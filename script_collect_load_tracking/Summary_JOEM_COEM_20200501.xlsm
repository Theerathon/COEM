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revisions/userNames1.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Headers.xml" ContentType="application/vnd.openxmlformats-officedocument.spreadsheetml.revisionHeaders+xml"/>
  <Override PartName="/xl/revisions/revisionLog26.xml" ContentType="application/vnd.openxmlformats-officedocument.spreadsheetml.revisionLog+xml"/>
  <Override PartName="/xl/revisions/revisionLog117.xml" ContentType="application/vnd.openxmlformats-officedocument.spreadsheetml.revisionLog+xml"/>
  <Override PartName="/xl/revisions/revisionLog21.xml" ContentType="application/vnd.openxmlformats-officedocument.spreadsheetml.revisionLog+xml"/>
  <Override PartName="/xl/revisions/revisionLog42.xml" ContentType="application/vnd.openxmlformats-officedocument.spreadsheetml.revisionLog+xml"/>
  <Override PartName="/xl/revisions/revisionLog47.xml" ContentType="application/vnd.openxmlformats-officedocument.spreadsheetml.revisionLog+xml"/>
  <Override PartName="/xl/revisions/revisionLog63.xml" ContentType="application/vnd.openxmlformats-officedocument.spreadsheetml.revisionLog+xml"/>
  <Override PartName="/xl/revisions/revisionLog68.xml" ContentType="application/vnd.openxmlformats-officedocument.spreadsheetml.revisionLog+xml"/>
  <Override PartName="/xl/revisions/revisionLog84.xml" ContentType="application/vnd.openxmlformats-officedocument.spreadsheetml.revisionLog+xml"/>
  <Override PartName="/xl/revisions/revisionLog89.xml" ContentType="application/vnd.openxmlformats-officedocument.spreadsheetml.revisionLog+xml"/>
  <Override PartName="/xl/revisions/revisionLog112.xml" ContentType="application/vnd.openxmlformats-officedocument.spreadsheetml.revisionLog+xml"/>
  <Override PartName="/xl/revisions/revisionLog16.xml" ContentType="application/vnd.openxmlformats-officedocument.spreadsheetml.revisionLog+xml"/>
  <Override PartName="/xl/revisions/revisionLog107.xml" ContentType="application/vnd.openxmlformats-officedocument.spreadsheetml.revisionLog+xml"/>
  <Override PartName="/xl/revisions/revisionLog11.xml" ContentType="application/vnd.openxmlformats-officedocument.spreadsheetml.revisionLog+xml"/>
  <Override PartName="/xl/revisions/revisionLog32.xml" ContentType="application/vnd.openxmlformats-officedocument.spreadsheetml.revisionLog+xml"/>
  <Override PartName="/xl/revisions/revisionLog37.xml" ContentType="application/vnd.openxmlformats-officedocument.spreadsheetml.revisionLog+xml"/>
  <Override PartName="/xl/revisions/revisionLog53.xml" ContentType="application/vnd.openxmlformats-officedocument.spreadsheetml.revisionLog+xml"/>
  <Override PartName="/xl/revisions/revisionLog58.xml" ContentType="application/vnd.openxmlformats-officedocument.spreadsheetml.revisionLog+xml"/>
  <Override PartName="/xl/revisions/revisionLog74.xml" ContentType="application/vnd.openxmlformats-officedocument.spreadsheetml.revisionLog+xml"/>
  <Override PartName="/xl/revisions/revisionLog79.xml" ContentType="application/vnd.openxmlformats-officedocument.spreadsheetml.revisionLog+xml"/>
  <Override PartName="/xl/revisions/revisionLog102.xml" ContentType="application/vnd.openxmlformats-officedocument.spreadsheetml.revisionLog+xml"/>
  <Override PartName="/xl/revisions/revisionLog123.xml" ContentType="application/vnd.openxmlformats-officedocument.spreadsheetml.revisionLog+xml"/>
  <Override PartName="/xl/revisions/revisionLog5.xml" ContentType="application/vnd.openxmlformats-officedocument.spreadsheetml.revisionLog+xml"/>
  <Override PartName="/xl/revisions/revisionLog61.xml" ContentType="application/vnd.openxmlformats-officedocument.spreadsheetml.revisionLog+xml"/>
  <Override PartName="/xl/revisions/revisionLog82.xml" ContentType="application/vnd.openxmlformats-officedocument.spreadsheetml.revisionLog+xml"/>
  <Override PartName="/xl/revisions/revisionLog90.xml" ContentType="application/vnd.openxmlformats-officedocument.spreadsheetml.revisionLog+xml"/>
  <Override PartName="/xl/revisions/revisionLog95.xml" ContentType="application/vnd.openxmlformats-officedocument.spreadsheetml.revisionLog+xml"/>
  <Override PartName="/xl/revisions/revisionLog19.xml" ContentType="application/vnd.openxmlformats-officedocument.spreadsheetml.revisionLog+xml"/>
  <Override PartName="/xl/revisions/revisionLog14.xml" ContentType="application/vnd.openxmlformats-officedocument.spreadsheetml.revisionLog+xml"/>
  <Override PartName="/xl/revisions/revisionLog22.xml" ContentType="application/vnd.openxmlformats-officedocument.spreadsheetml.revisionLog+xml"/>
  <Override PartName="/xl/revisions/revisionLog27.xml" ContentType="application/vnd.openxmlformats-officedocument.spreadsheetml.revisionLog+xml"/>
  <Override PartName="/xl/revisions/revisionLog30.xml" ContentType="application/vnd.openxmlformats-officedocument.spreadsheetml.revisionLog+xml"/>
  <Override PartName="/xl/revisions/revisionLog35.xml" ContentType="application/vnd.openxmlformats-officedocument.spreadsheetml.revisionLog+xml"/>
  <Override PartName="/xl/revisions/revisionLog43.xml" ContentType="application/vnd.openxmlformats-officedocument.spreadsheetml.revisionLog+xml"/>
  <Override PartName="/xl/revisions/revisionLog48.xml" ContentType="application/vnd.openxmlformats-officedocument.spreadsheetml.revisionLog+xml"/>
  <Override PartName="/xl/revisions/revisionLog56.xml" ContentType="application/vnd.openxmlformats-officedocument.spreadsheetml.revisionLog+xml"/>
  <Override PartName="/xl/revisions/revisionLog64.xml" ContentType="application/vnd.openxmlformats-officedocument.spreadsheetml.revisionLog+xml"/>
  <Override PartName="/xl/revisions/revisionLog69.xml" ContentType="application/vnd.openxmlformats-officedocument.spreadsheetml.revisionLog+xml"/>
  <Override PartName="/xl/revisions/revisionLog77.xml" ContentType="application/vnd.openxmlformats-officedocument.spreadsheetml.revisionLog+xml"/>
  <Override PartName="/xl/revisions/revisionLog100.xml" ContentType="application/vnd.openxmlformats-officedocument.spreadsheetml.revisionLog+xml"/>
  <Override PartName="/xl/revisions/revisionLog105.xml" ContentType="application/vnd.openxmlformats-officedocument.spreadsheetml.revisionLog+xml"/>
  <Override PartName="/xl/revisions/revisionLog113.xml" ContentType="application/vnd.openxmlformats-officedocument.spreadsheetml.revisionLog+xml"/>
  <Override PartName="/xl/revisions/revisionLog118.xml" ContentType="application/vnd.openxmlformats-officedocument.spreadsheetml.revisionLog+xml"/>
  <Override PartName="/xl/revisions/revisionLog8.xml" ContentType="application/vnd.openxmlformats-officedocument.spreadsheetml.revisionLog+xml"/>
  <Override PartName="/xl/revisions/revisionLog51.xml" ContentType="application/vnd.openxmlformats-officedocument.spreadsheetml.revisionLog+xml"/>
  <Override PartName="/xl/revisions/revisionLog72.xml" ContentType="application/vnd.openxmlformats-officedocument.spreadsheetml.revisionLog+xml"/>
  <Override PartName="/xl/revisions/revisionLog80.xml" ContentType="application/vnd.openxmlformats-officedocument.spreadsheetml.revisionLog+xml"/>
  <Override PartName="/xl/revisions/revisionLog85.xml" ContentType="application/vnd.openxmlformats-officedocument.spreadsheetml.revisionLog+xml"/>
  <Override PartName="/xl/revisions/revisionLog93.xml" ContentType="application/vnd.openxmlformats-officedocument.spreadsheetml.revisionLog+xml"/>
  <Override PartName="/xl/revisions/revisionLog98.xml" ContentType="application/vnd.openxmlformats-officedocument.spreadsheetml.revisionLog+xml"/>
  <Override PartName="/xl/revisions/revisionLog121.xml" ContentType="application/vnd.openxmlformats-officedocument.spreadsheetml.revisionLog+xml"/>
  <Override PartName="/xl/revisions/revisionLog3.xml" ContentType="application/vnd.openxmlformats-officedocument.spreadsheetml.revisionLog+xml"/>
  <Override PartName="/xl/revisions/revisionLog12.xml" ContentType="application/vnd.openxmlformats-officedocument.spreadsheetml.revisionLog+xml"/>
  <Override PartName="/xl/revisions/revisionLog17.xml" ContentType="application/vnd.openxmlformats-officedocument.spreadsheetml.revisionLog+xml"/>
  <Override PartName="/xl/revisions/revisionLog25.xml" ContentType="application/vnd.openxmlformats-officedocument.spreadsheetml.revisionLog+xml"/>
  <Override PartName="/xl/revisions/revisionLog33.xml" ContentType="application/vnd.openxmlformats-officedocument.spreadsheetml.revisionLog+xml"/>
  <Override PartName="/xl/revisions/revisionLog38.xml" ContentType="application/vnd.openxmlformats-officedocument.spreadsheetml.revisionLog+xml"/>
  <Override PartName="/xl/revisions/revisionLog46.xml" ContentType="application/vnd.openxmlformats-officedocument.spreadsheetml.revisionLog+xml"/>
  <Override PartName="/xl/revisions/revisionLog59.xml" ContentType="application/vnd.openxmlformats-officedocument.spreadsheetml.revisionLog+xml"/>
  <Override PartName="/xl/revisions/revisionLog67.xml" ContentType="application/vnd.openxmlformats-officedocument.spreadsheetml.revisionLog+xml"/>
  <Override PartName="/xl/revisions/revisionLog103.xml" ContentType="application/vnd.openxmlformats-officedocument.spreadsheetml.revisionLog+xml"/>
  <Override PartName="/xl/revisions/revisionLog108.xml" ContentType="application/vnd.openxmlformats-officedocument.spreadsheetml.revisionLog+xml"/>
  <Override PartName="/xl/revisions/revisionLog116.xml" ContentType="application/vnd.openxmlformats-officedocument.spreadsheetml.revisionLog+xml"/>
  <Override PartName="/xl/revisions/revisionLog124.xml" ContentType="application/vnd.openxmlformats-officedocument.spreadsheetml.revisionLog+xml"/>
  <Override PartName="/xl/revisions/revisionLog20.xml" ContentType="application/vnd.openxmlformats-officedocument.spreadsheetml.revisionLog+xml"/>
  <Override PartName="/xl/revisions/revisionLog41.xml" ContentType="application/vnd.openxmlformats-officedocument.spreadsheetml.revisionLog+xml"/>
  <Override PartName="/xl/revisions/revisionLog54.xml" ContentType="application/vnd.openxmlformats-officedocument.spreadsheetml.revisionLog+xml"/>
  <Override PartName="/xl/revisions/revisionLog62.xml" ContentType="application/vnd.openxmlformats-officedocument.spreadsheetml.revisionLog+xml"/>
  <Override PartName="/xl/revisions/revisionLog70.xml" ContentType="application/vnd.openxmlformats-officedocument.spreadsheetml.revisionLog+xml"/>
  <Override PartName="/xl/revisions/revisionLog75.xml" ContentType="application/vnd.openxmlformats-officedocument.spreadsheetml.revisionLog+xml"/>
  <Override PartName="/xl/revisions/revisionLog83.xml" ContentType="application/vnd.openxmlformats-officedocument.spreadsheetml.revisionLog+xml"/>
  <Override PartName="/xl/revisions/revisionLog88.xml" ContentType="application/vnd.openxmlformats-officedocument.spreadsheetml.revisionLog+xml"/>
  <Override PartName="/xl/revisions/revisionLog91.xml" ContentType="application/vnd.openxmlformats-officedocument.spreadsheetml.revisionLog+xml"/>
  <Override PartName="/xl/revisions/revisionLog96.xml" ContentType="application/vnd.openxmlformats-officedocument.spreadsheetml.revisionLog+xml"/>
  <Override PartName="/xl/revisions/revisionLog111.xml" ContentType="application/vnd.openxmlformats-officedocument.spreadsheetml.revisionLog+xml"/>
  <Override PartName="/xl/revisions/revisionLog1.xml" ContentType="application/vnd.openxmlformats-officedocument.spreadsheetml.revisionLog+xml"/>
  <Override PartName="/xl/revisions/revisionLog6.xml" ContentType="application/vnd.openxmlformats-officedocument.spreadsheetml.revisionLog+xml"/>
  <Override PartName="/xl/revisions/revisionLog15.xml" ContentType="application/vnd.openxmlformats-officedocument.spreadsheetml.revisionLog+xml"/>
  <Override PartName="/xl/revisions/revisionLog23.xml" ContentType="application/vnd.openxmlformats-officedocument.spreadsheetml.revisionLog+xml"/>
  <Override PartName="/xl/revisions/revisionLog28.xml" ContentType="application/vnd.openxmlformats-officedocument.spreadsheetml.revisionLog+xml"/>
  <Override PartName="/xl/revisions/revisionLog36.xml" ContentType="application/vnd.openxmlformats-officedocument.spreadsheetml.revisionLog+xml"/>
  <Override PartName="/xl/revisions/revisionLog49.xml" ContentType="application/vnd.openxmlformats-officedocument.spreadsheetml.revisionLog+xml"/>
  <Override PartName="/xl/revisions/revisionLog57.xml" ContentType="application/vnd.openxmlformats-officedocument.spreadsheetml.revisionLog+xml"/>
  <Override PartName="/xl/revisions/revisionLog106.xml" ContentType="application/vnd.openxmlformats-officedocument.spreadsheetml.revisionLog+xml"/>
  <Override PartName="/xl/revisions/revisionLog114.xml" ContentType="application/vnd.openxmlformats-officedocument.spreadsheetml.revisionLog+xml"/>
  <Override PartName="/xl/revisions/revisionLog119.xml" ContentType="application/vnd.openxmlformats-officedocument.spreadsheetml.revisionLog+xml"/>
  <Override PartName="/xl/revisions/revisionLog10.xml" ContentType="application/vnd.openxmlformats-officedocument.spreadsheetml.revisionLog+xml"/>
  <Override PartName="/xl/revisions/revisionLog31.xml" ContentType="application/vnd.openxmlformats-officedocument.spreadsheetml.revisionLog+xml"/>
  <Override PartName="/xl/revisions/revisionLog44.xml" ContentType="application/vnd.openxmlformats-officedocument.spreadsheetml.revisionLog+xml"/>
  <Override PartName="/xl/revisions/revisionLog52.xml" ContentType="application/vnd.openxmlformats-officedocument.spreadsheetml.revisionLog+xml"/>
  <Override PartName="/xl/revisions/revisionLog60.xml" ContentType="application/vnd.openxmlformats-officedocument.spreadsheetml.revisionLog+xml"/>
  <Override PartName="/xl/revisions/revisionLog65.xml" ContentType="application/vnd.openxmlformats-officedocument.spreadsheetml.revisionLog+xml"/>
  <Override PartName="/xl/revisions/revisionLog73.xml" ContentType="application/vnd.openxmlformats-officedocument.spreadsheetml.revisionLog+xml"/>
  <Override PartName="/xl/revisions/revisionLog78.xml" ContentType="application/vnd.openxmlformats-officedocument.spreadsheetml.revisionLog+xml"/>
  <Override PartName="/xl/revisions/revisionLog81.xml" ContentType="application/vnd.openxmlformats-officedocument.spreadsheetml.revisionLog+xml"/>
  <Override PartName="/xl/revisions/revisionLog86.xml" ContentType="application/vnd.openxmlformats-officedocument.spreadsheetml.revisionLog+xml"/>
  <Override PartName="/xl/revisions/revisionLog94.xml" ContentType="application/vnd.openxmlformats-officedocument.spreadsheetml.revisionLog+xml"/>
  <Override PartName="/xl/revisions/revisionLog99.xml" ContentType="application/vnd.openxmlformats-officedocument.spreadsheetml.revisionLog+xml"/>
  <Override PartName="/xl/revisions/revisionLog101.xml" ContentType="application/vnd.openxmlformats-officedocument.spreadsheetml.revisionLog+xml"/>
  <Override PartName="/xl/revisions/revisionLog122.xml" ContentType="application/vnd.openxmlformats-officedocument.spreadsheetml.revisionLog+xml"/>
  <Override PartName="/xl/revisions/revisionLog4.xml" ContentType="application/vnd.openxmlformats-officedocument.spreadsheetml.revisionLog+xml"/>
  <Override PartName="/xl/revisions/revisionLog9.xml" ContentType="application/vnd.openxmlformats-officedocument.spreadsheetml.revisionLog+xml"/>
  <Override PartName="/xl/revisions/revisionLog13.xml" ContentType="application/vnd.openxmlformats-officedocument.spreadsheetml.revisionLog+xml"/>
  <Override PartName="/xl/revisions/revisionLog18.xml" ContentType="application/vnd.openxmlformats-officedocument.spreadsheetml.revisionLog+xml"/>
  <Override PartName="/xl/revisions/revisionLog39.xml" ContentType="application/vnd.openxmlformats-officedocument.spreadsheetml.revisionLog+xml"/>
  <Override PartName="/xl/revisions/revisionLog109.xml" ContentType="application/vnd.openxmlformats-officedocument.spreadsheetml.revisionLog+xml"/>
  <Override PartName="/xl/revisions/revisionLog34.xml" ContentType="application/vnd.openxmlformats-officedocument.spreadsheetml.revisionLog+xml"/>
  <Override PartName="/xl/revisions/revisionLog50.xml" ContentType="application/vnd.openxmlformats-officedocument.spreadsheetml.revisionLog+xml"/>
  <Override PartName="/xl/revisions/revisionLog55.xml" ContentType="application/vnd.openxmlformats-officedocument.spreadsheetml.revisionLog+xml"/>
  <Override PartName="/xl/revisions/revisionLog76.xml" ContentType="application/vnd.openxmlformats-officedocument.spreadsheetml.revisionLog+xml"/>
  <Override PartName="/xl/revisions/revisionLog97.xml" ContentType="application/vnd.openxmlformats-officedocument.spreadsheetml.revisionLog+xml"/>
  <Override PartName="/xl/revisions/revisionLog104.xml" ContentType="application/vnd.openxmlformats-officedocument.spreadsheetml.revisionLog+xml"/>
  <Override PartName="/xl/revisions/revisionLog120.xml" ContentType="application/vnd.openxmlformats-officedocument.spreadsheetml.revisionLog+xml"/>
  <Override PartName="/xl/revisions/revisionLog7.xml" ContentType="application/vnd.openxmlformats-officedocument.spreadsheetml.revisionLog+xml"/>
  <Override PartName="/xl/revisions/revisionLog71.xml" ContentType="application/vnd.openxmlformats-officedocument.spreadsheetml.revisionLog+xml"/>
  <Override PartName="/xl/revisions/revisionLog92.xml" ContentType="application/vnd.openxmlformats-officedocument.spreadsheetml.revisionLog+xml"/>
  <Override PartName="/xl/revisions/revisionLog2.xml" ContentType="application/vnd.openxmlformats-officedocument.spreadsheetml.revisionLog+xml"/>
  <Override PartName="/xl/revisions/revisionLog29.xml" ContentType="application/vnd.openxmlformats-officedocument.spreadsheetml.revisionLog+xml"/>
  <Override PartName="/xl/revisions/revisionLog24.xml" ContentType="application/vnd.openxmlformats-officedocument.spreadsheetml.revisionLog+xml"/>
  <Override PartName="/xl/revisions/revisionLog40.xml" ContentType="application/vnd.openxmlformats-officedocument.spreadsheetml.revisionLog+xml"/>
  <Override PartName="/xl/revisions/revisionLog45.xml" ContentType="application/vnd.openxmlformats-officedocument.spreadsheetml.revisionLog+xml"/>
  <Override PartName="/xl/revisions/revisionLog66.xml" ContentType="application/vnd.openxmlformats-officedocument.spreadsheetml.revisionLog+xml"/>
  <Override PartName="/xl/revisions/revisionLog87.xml" ContentType="application/vnd.openxmlformats-officedocument.spreadsheetml.revisionLog+xml"/>
  <Override PartName="/xl/revisions/revisionLog110.xml" ContentType="application/vnd.openxmlformats-officedocument.spreadsheetml.revisionLog+xml"/>
  <Override PartName="/xl/revisions/revisionLog115.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hc-ut40346c\NHI5HC\hieunguyen\0000_Project\001_Prj\02_JOEM\99_BK\"/>
    </mc:Choice>
  </mc:AlternateContent>
  <bookViews>
    <workbookView xWindow="-120" yWindow="-120" windowWidth="15480" windowHeight="6585" activeTab="1"/>
  </bookViews>
  <sheets>
    <sheet name="Merged_COEM" sheetId="1" r:id="rId1"/>
    <sheet name="Merged_JOEM" sheetId="2" r:id="rId2"/>
    <sheet name="|-&gt;" sheetId="3" r:id="rId3"/>
    <sheet name="Report_For_Each_Project_COEM" sheetId="4" r:id="rId4"/>
    <sheet name="Report_For_Each_Project_JOEM" sheetId="5" r:id="rId5"/>
    <sheet name="Template_Total_Report" sheetId="6" r:id="rId6"/>
    <sheet name="Table" sheetId="7" r:id="rId7"/>
    <sheet name="Check_List" sheetId="8" r:id="rId8"/>
    <sheet name="|--&gt;" sheetId="9" r:id="rId9"/>
    <sheet name="Monthly_20200520" sheetId="10" r:id="rId10"/>
  </sheets>
  <definedNames>
    <definedName name="_xlnm._FilterDatabase" localSheetId="0" hidden="1">Merged_COEM!$B$47:$AO$308</definedName>
    <definedName name="_xlnm._FilterDatabase" localSheetId="1" hidden="1">Merged_JOEM!$B$47:$AN$174</definedName>
    <definedName name="Z_004AE50D_49C9_4A96_B731_3C42CAA0B01D_.wvu.FilterData" localSheetId="0" hidden="1">Merged_COEM!$B$47:$AN$172</definedName>
    <definedName name="Z_01DDD800_722F_415D_AA66_9ADBFD04888B_.wvu.FilterData" localSheetId="1" hidden="1">Merged_JOEM!$B$47:$AN$145</definedName>
    <definedName name="Z_05361591_7A29_421F_B4E3_2E109EC18103_.wvu.FilterData" localSheetId="0" hidden="1">Merged_COEM!$B$47:$AN$308</definedName>
    <definedName name="Z_055B52FC_2B7B_42BC_9AD2_87565E082A86_.wvu.FilterData" localSheetId="0" hidden="1">Merged_COEM!$B$47:$AN$308</definedName>
    <definedName name="Z_069C8E6F_B807_4CFF_804F_569E084B63E0_.wvu.FilterData" localSheetId="0" hidden="1">Merged_COEM!$B$47:$AN$111</definedName>
    <definedName name="Z_069C8E6F_B807_4CFF_804F_569E084B63E0_.wvu.FilterData" localSheetId="1" hidden="1">Merged_JOEM!$B$47:$AN$108</definedName>
    <definedName name="Z_06F3585B_DEF9_4D3E_A982_B08A4935ED38_.wvu.FilterData" localSheetId="0" hidden="1">Merged_COEM!$B$47:$AN$113</definedName>
    <definedName name="Z_06F3585B_DEF9_4D3E_A982_B08A4935ED38_.wvu.FilterData" localSheetId="1" hidden="1">Merged_JOEM!$B$47:$AN$108</definedName>
    <definedName name="Z_08D9EC9E_19A1_44EF_88CC_A93BDAE68A62_.wvu.FilterData" localSheetId="0" hidden="1">Merged_COEM!$B$47:$AN$308</definedName>
    <definedName name="Z_0D1BA331_ECC5_4B76_BF88_3D8E1D7061B4_.wvu.FilterData" localSheetId="0" hidden="1">Merged_COEM!$B$47:$AN$111</definedName>
    <definedName name="Z_0D1BA331_ECC5_4B76_BF88_3D8E1D7061B4_.wvu.FilterData" localSheetId="1" hidden="1">Merged_JOEM!$B$47:$AN$108</definedName>
    <definedName name="Z_0E0A1A84_274E_4C87_84D6_9771A179FB59_.wvu.FilterData" localSheetId="0" hidden="1">Merged_COEM!$B$47:$AN$308</definedName>
    <definedName name="Z_0EF03E06_FF78_44D3_8575_221339472074_.wvu.FilterData" localSheetId="0" hidden="1">Merged_COEM!$B$47:$AN$152</definedName>
    <definedName name="Z_0F860EF4_5649_4931_8506_A849C414452A_.wvu.FilterData" localSheetId="0" hidden="1">Merged_COEM!$B$47:$AN$142</definedName>
    <definedName name="Z_116C406F_56EF_4929_AB69_7B88A04CBA56_.wvu.FilterData" localSheetId="0" hidden="1">Merged_COEM!$B$47:$AN$47</definedName>
    <definedName name="Z_132C6898_7BD8_4053_9284_49B13D9C8D59_.wvu.FilterData" localSheetId="0" hidden="1">Merged_COEM!$B$47:$AN$308</definedName>
    <definedName name="Z_132C6898_7BD8_4053_9284_49B13D9C8D59_.wvu.FilterData" localSheetId="1" hidden="1">Merged_JOEM!$B$47:$AN$145</definedName>
    <definedName name="Z_16F63D1D_5D08_4984_94E5_2BF0D97B7171_.wvu.FilterData" localSheetId="0" hidden="1">Merged_COEM!$B$47:$AN$308</definedName>
    <definedName name="Z_1838E38E_0617_4284_B70D_EE93F3730ED0_.wvu.FilterData" localSheetId="0" hidden="1">Merged_COEM!$B$47:$AN$308</definedName>
    <definedName name="Z_1A40DE1E_71BB_4C99_BB8D_F9966378505E_.wvu.FilterData" localSheetId="0" hidden="1">Merged_COEM!$B$47:$AN$113</definedName>
    <definedName name="Z_1B4D24DE_B85A_4A3A_8CD0_1A40E6C2EC53_.wvu.FilterData" localSheetId="0" hidden="1">Merged_COEM!$B$47:$AN$308</definedName>
    <definedName name="Z_1BFCAE6D_00EB_4CA0_9800_157E5C060610_.wvu.FilterData" localSheetId="0" hidden="1">Merged_COEM!$B$47:$AN$152</definedName>
    <definedName name="Z_243D98C0_AF41_4E98_98EA_8605BD375B77_.wvu.FilterData" localSheetId="0" hidden="1">Merged_COEM!$B$47:$AN$308</definedName>
    <definedName name="Z_250915DF_0B97_45D7_B29D_7EED4C89C1C1_.wvu.FilterData" localSheetId="0" hidden="1">Merged_COEM!$B$47:$AO$308</definedName>
    <definedName name="Z_250915DF_0B97_45D7_B29D_7EED4C89C1C1_.wvu.FilterData" localSheetId="1" hidden="1">Merged_JOEM!$B$47:$AN$174</definedName>
    <definedName name="Z_25FBC392_575A_46D5_8F77_708EBF5D79D6_.wvu.FilterData" localSheetId="0" hidden="1">Merged_COEM!$B$47:$AN$308</definedName>
    <definedName name="Z_25FBC392_575A_46D5_8F77_708EBF5D79D6_.wvu.FilterData" localSheetId="1" hidden="1">Merged_JOEM!$B$47:$AN$174</definedName>
    <definedName name="Z_26D1F5A5_96D6_4E71_B7C1_A23D5D0DBEB6_.wvu.FilterData" localSheetId="0" hidden="1">Merged_COEM!$B$47:$AN$308</definedName>
    <definedName name="Z_28129A8E_4F11_454E_8B08_01465DFCCE16_.wvu.FilterData" localSheetId="0" hidden="1">Merged_COEM!$B$47:$AN$142</definedName>
    <definedName name="Z_28129A8E_4F11_454E_8B08_01465DFCCE16_.wvu.FilterData" localSheetId="1" hidden="1">Merged_JOEM!$B$47:$AN$108</definedName>
    <definedName name="Z_283D4045_5188_4FA2_AA4A_D83AF43FEE1E_.wvu.FilterData" localSheetId="0" hidden="1">Merged_COEM!$A$47:$AN$308</definedName>
    <definedName name="Z_285DD5EF_1CB5_4C35_A533_25F2740DEC08_.wvu.FilterData" localSheetId="0" hidden="1">Merged_COEM!$B$47:$AN$195</definedName>
    <definedName name="Z_29839EDF_F2F9_4AC5_A497_0424D917FB56_.wvu.FilterData" localSheetId="0" hidden="1">Merged_COEM!$B$47:$AN$195</definedName>
    <definedName name="Z_2A9975D9_7C20_4632_A4AA_EE470CC19EE0_.wvu.FilterData" localSheetId="0" hidden="1">Merged_COEM!$B$47:$AN$308</definedName>
    <definedName name="Z_2C3435F1_E81D_47F6_BD8B_DF1F8AAB8E69_.wvu.FilterData" localSheetId="1" hidden="1">Merged_JOEM!$B$47:$AN$145</definedName>
    <definedName name="Z_2E715778_0FD5_4002_A3DD_663BBC9D2879_.wvu.FilterData" localSheetId="0" hidden="1">Merged_COEM!$B$47:$AN$172</definedName>
    <definedName name="Z_336B6883_2145_4B58_921E_CEC7185A847E_.wvu.FilterData" localSheetId="0" hidden="1">Merged_COEM!$P$47:$P$309</definedName>
    <definedName name="Z_336B6883_2145_4B58_921E_CEC7185A847E_.wvu.FilterData" localSheetId="1" hidden="1">Merged_JOEM!$B$47:$AN$174</definedName>
    <definedName name="Z_3B3E6719_EACB_4D2C_89C1_05FFAB6020FD_.wvu.FilterData" localSheetId="0" hidden="1">Merged_COEM!$B$47:$AN$308</definedName>
    <definedName name="Z_3B3E6719_EACB_4D2C_89C1_05FFAB6020FD_.wvu.FilterData" localSheetId="1" hidden="1">Merged_JOEM!$B$47:$AN$174</definedName>
    <definedName name="Z_3D91D09F_6D0C_4255_BA2B_6BD947E2FF0E_.wvu.FilterData" localSheetId="0" hidden="1">Merged_COEM!$B$47:$AN$308</definedName>
    <definedName name="Z_3DA6A480_37AA_4361_B359_67BDC8170173_.wvu.FilterData" localSheetId="0" hidden="1">Merged_COEM!$B$47:$AN$308</definedName>
    <definedName name="Z_3F7EF641_556C_46DE_86B1_8FD08FA7AADD_.wvu.FilterData" localSheetId="1" hidden="1">Merged_JOEM!$B$47:$AN$174</definedName>
    <definedName name="Z_43B967EC_0D7C_46DF_9BEA_C0266BCF49B2_.wvu.FilterData" localSheetId="0" hidden="1">Merged_COEM!$B$47:$AN$308</definedName>
    <definedName name="Z_4631CDC9_3CB0_46A0_A411_DA030B1C25C6_.wvu.FilterData" localSheetId="0" hidden="1">Merged_COEM!$B$47:$AN$308</definedName>
    <definedName name="Z_4631CDC9_3CB0_46A0_A411_DA030B1C25C6_.wvu.FilterData" localSheetId="1" hidden="1">Merged_JOEM!$B$47:$AN$174</definedName>
    <definedName name="Z_471F4494_0449_4884_B80A_27DCFF4E79A7_.wvu.FilterData" localSheetId="0" hidden="1">Merged_COEM!$P$47:$P$309</definedName>
    <definedName name="Z_49C41633_B7C8_4854_8F3B_012C131B8151_.wvu.FilterData" localSheetId="0" hidden="1">Merged_COEM!$B$47:$AN$308</definedName>
    <definedName name="Z_4D18CEA0_D888_4F4D_AE86_1305F839E5A9_.wvu.FilterData" localSheetId="0" hidden="1">Merged_COEM!$B$47:$AN$308</definedName>
    <definedName name="Z_4E06BDBF_2CED_473B_850B_2A6C7311FF41_.wvu.FilterData" localSheetId="0" hidden="1">Merged_COEM!$A$47:$AN$308</definedName>
    <definedName name="Z_4E06BDBF_2CED_473B_850B_2A6C7311FF41_.wvu.FilterData" localSheetId="1" hidden="1">Merged_JOEM!$B$47:$AN$174</definedName>
    <definedName name="Z_4E40C96A_1DEC_426A_8589_DE34E4915A35_.wvu.FilterData" localSheetId="0" hidden="1">Merged_COEM!$B$47:$AN$308</definedName>
    <definedName name="Z_4E40C96A_1DEC_426A_8589_DE34E4915A35_.wvu.FilterData" localSheetId="1" hidden="1">Merged_JOEM!$B$47:$AN$174</definedName>
    <definedName name="Z_4F06BBAE_E91E_44B6_8F57_972D5EE0D29B_.wvu.FilterData" localSheetId="0" hidden="1">Merged_COEM!$B$47:$AN$192</definedName>
    <definedName name="Z_52019DA7_9246_4B08_9F51_34B8F5416A98_.wvu.FilterData" localSheetId="0" hidden="1">Merged_COEM!$B$47:$AN$308</definedName>
    <definedName name="Z_542EBC9D_64B9_4ABA_A324_302A387E309D_.wvu.FilterData" localSheetId="0" hidden="1">Merged_COEM!$B$47:$AN$308</definedName>
    <definedName name="Z_55512613_14D7_4168_A76D_6593BA530EA5_.wvu.FilterData" localSheetId="0" hidden="1">Merged_COEM!$B$47:$AN$113</definedName>
    <definedName name="Z_55512613_14D7_4168_A76D_6593BA530EA5_.wvu.FilterData" localSheetId="1" hidden="1">Merged_JOEM!$B$47:$AN$108</definedName>
    <definedName name="Z_555F3FCB_2741_40F9_A2E8_4947D8EA1113_.wvu.FilterData" localSheetId="0" hidden="1">Merged_COEM!$B$47:$AN$152</definedName>
    <definedName name="Z_55DD069B_3978_4FE9_9C83_8FBEED3226A1_.wvu.FilterData" localSheetId="1" hidden="1">Merged_JOEM!$B$47:$AN$108</definedName>
    <definedName name="Z_56EF2257_F8BF_4AD9_8AEB_55C432255099_.wvu.FilterData" localSheetId="0" hidden="1">Merged_COEM!$B$47:$AN$152</definedName>
    <definedName name="Z_56EF2257_F8BF_4AD9_8AEB_55C432255099_.wvu.FilterData" localSheetId="1" hidden="1">Merged_JOEM!$B$47:$AN$116</definedName>
    <definedName name="Z_584FB3CE_102E_4394_9BBE_155B20E57E5A_.wvu.FilterData" localSheetId="0" hidden="1">Merged_COEM!$B$47:$AN$47</definedName>
    <definedName name="Z_5C3799C0_C642_426B_89BE_BE1EE5249DB4_.wvu.FilterData" localSheetId="0" hidden="1">Merged_COEM!$P$47:$P$309</definedName>
    <definedName name="Z_5C3799C0_C642_426B_89BE_BE1EE5249DB4_.wvu.FilterData" localSheetId="1" hidden="1">Merged_JOEM!$B$47:$AN$108</definedName>
    <definedName name="Z_5CFC70B4_1A78_4D4E_9FE4_E799626D57F8_.wvu.FilterData" localSheetId="0" hidden="1">Merged_COEM!$B$47:$AN$142</definedName>
    <definedName name="Z_5CFC70B4_1A78_4D4E_9FE4_E799626D57F8_.wvu.FilterData" localSheetId="1" hidden="1">Merged_JOEM!$B$47:$AN$108</definedName>
    <definedName name="Z_5EDC2EFF_5E79_4466_BF9D_79C6A5B40ED9_.wvu.FilterData" localSheetId="0" hidden="1">Merged_COEM!$B$47:$AN$308</definedName>
    <definedName name="Z_60AC2527_814D_446F_96A2_688DF4B3FB31_.wvu.FilterData" localSheetId="0" hidden="1">Merged_COEM!$B$47:$AN$308</definedName>
    <definedName name="Z_60D2C030_4E31_4E07_8E1C_44D2EE84B177_.wvu.FilterData" localSheetId="0" hidden="1">Merged_COEM!$B$47:$AN$308</definedName>
    <definedName name="Z_60D2C030_4E31_4E07_8E1C_44D2EE84B177_.wvu.FilterData" localSheetId="1" hidden="1">Merged_JOEM!$B$47:$AN$174</definedName>
    <definedName name="Z_64D01CE5_FE18_455E_9C99_8DEE681E7DA8_.wvu.FilterData" localSheetId="0" hidden="1">Merged_COEM!$B$47:$AN$172</definedName>
    <definedName name="Z_656025FA_CC5B_4D55_9B87_DB7CD14FDC3E_.wvu.FilterData" localSheetId="0" hidden="1">Merged_COEM!$B$47:$AN$152</definedName>
    <definedName name="Z_6607199E_6F59_49CF_9E27_CD16D2C15F5A_.wvu.FilterData" localSheetId="0" hidden="1">Merged_COEM!$B$47:$AN$308</definedName>
    <definedName name="Z_6607199E_6F59_49CF_9E27_CD16D2C15F5A_.wvu.FilterData" localSheetId="1" hidden="1">Merged_JOEM!$B$47:$AN$145</definedName>
    <definedName name="Z_686C29B7_8607_4292_9041_CB1F6097339C_.wvu.FilterData" localSheetId="0" hidden="1">Merged_COEM!$B$47:$AN$47</definedName>
    <definedName name="Z_6A5804B2_391C_4C29_93A5_DA8848A9C0A9_.wvu.FilterData" localSheetId="0" hidden="1">Merged_COEM!$B$47:$AN$308</definedName>
    <definedName name="Z_6B374A4D_249C_4C23_AA17_86959F27F346_.wvu.FilterData" localSheetId="0" hidden="1">Merged_COEM!$B$47:$AN$308</definedName>
    <definedName name="Z_6B374A4D_249C_4C23_AA17_86959F27F346_.wvu.FilterData" localSheetId="1" hidden="1">Merged_JOEM!$B$47:$AN$174</definedName>
    <definedName name="Z_6B638F14_A9F5_4448_A254_1C4B412009F0_.wvu.FilterData" localSheetId="0" hidden="1">Merged_COEM!$B$47:$AN$142</definedName>
    <definedName name="Z_6B638F14_A9F5_4448_A254_1C4B412009F0_.wvu.FilterData" localSheetId="1" hidden="1">Merged_JOEM!$B$47:$AN$108</definedName>
    <definedName name="Z_6B713E76_ED25_4678_A716_879278BE9607_.wvu.FilterData" localSheetId="1" hidden="1">Merged_JOEM!$B$47:$AN$145</definedName>
    <definedName name="Z_6CABF124_200E_4AC7_9AB1_549B637A0FFC_.wvu.FilterData" localSheetId="0" hidden="1">Merged_COEM!$B$47:$AN$152</definedName>
    <definedName name="Z_6DE17C78_E65F_476D_9F32_90CC12C01E83_.wvu.FilterData" localSheetId="0" hidden="1">Merged_COEM!$A$47:$AN$308</definedName>
    <definedName name="Z_6FCAA524_7D77_4BB4_8962_4E73EBC6BB43_.wvu.FilterData" localSheetId="0" hidden="1">Merged_COEM!$B$47:$AN$172</definedName>
    <definedName name="Z_7261821D_1D33_4FAC_B604_2D03A21B59EC_.wvu.FilterData" localSheetId="0" hidden="1">Merged_COEM!$A$47:$AN$308</definedName>
    <definedName name="Z_72A6EB0A_84D5_4B8A_AC51_54CCD061630B_.wvu.FilterData" localSheetId="0" hidden="1">Merged_COEM!$B$47:$AN$308</definedName>
    <definedName name="Z_72A6EB0A_84D5_4B8A_AC51_54CCD061630B_.wvu.FilterData" localSheetId="1" hidden="1">Merged_JOEM!$B$47:$AN$174</definedName>
    <definedName name="Z_730EFCB3_2402_4578_8B7C_79704658095C_.wvu.FilterData" localSheetId="1" hidden="1">Merged_JOEM!$B$47:$AN$145</definedName>
    <definedName name="Z_74F104B0_C4E5_41FD_9F43_0DFCE277A292_.wvu.FilterData" localSheetId="0" hidden="1">Merged_COEM!$B$47:$AN$308</definedName>
    <definedName name="Z_76551960_825E_460F_979A_E5C4C2C41114_.wvu.FilterData" localSheetId="0" hidden="1">Merged_COEM!$B$47:$AN$308</definedName>
    <definedName name="Z_76551960_825E_460F_979A_E5C4C2C41114_.wvu.FilterData" localSheetId="1" hidden="1">Merged_JOEM!$B$47:$AN$174</definedName>
    <definedName name="Z_7BCF790B_B0C0_4842_8AD7_5E2098ABB76A_.wvu.FilterData" localSheetId="0" hidden="1">Merged_COEM!$B$47:$AN$308</definedName>
    <definedName name="Z_7E0EA425_A420_4443_B9E0_CDF0AA9E5D09_.wvu.FilterData" localSheetId="0" hidden="1">Merged_COEM!$B$47:$AO$308</definedName>
    <definedName name="Z_7E0EA425_A420_4443_B9E0_CDF0AA9E5D09_.wvu.FilterData" localSheetId="1" hidden="1">Merged_JOEM!$B$47:$AN$174</definedName>
    <definedName name="Z_7E9E86EE_4E86_464D_A02D_88BA33E6F7E1_.wvu.FilterData" localSheetId="0" hidden="1">Merged_COEM!$B$47:$AN$308</definedName>
    <definedName name="Z_7ECC2B8E_6A82_42F5_8AB0_4A51C54EA5EC_.wvu.FilterData" localSheetId="0" hidden="1">Merged_COEM!$B$47:$AN$308</definedName>
    <definedName name="Z_7ECC2B8E_6A82_42F5_8AB0_4A51C54EA5EC_.wvu.FilterData" localSheetId="1" hidden="1">Merged_JOEM!$B$47:$AN$174</definedName>
    <definedName name="Z_803CD872_D993_4AEC_ABDC_098E41A41D56_.wvu.FilterData" localSheetId="0" hidden="1">Merged_COEM!$B$47:$AN$308</definedName>
    <definedName name="Z_85A0930F_259C_45E1_BAE2_0EEDD0B3722A_.wvu.FilterData" localSheetId="0" hidden="1">Merged_COEM!$B$47:$AN$308</definedName>
    <definedName name="Z_8AF3B40C_4A62_4CCD_B7A0_B85E971B5DE3_.wvu.FilterData" localSheetId="0" hidden="1">Merged_COEM!$B$47:$AN$308</definedName>
    <definedName name="Z_8C93A640_930B_411B_8D78_081C9283D060_.wvu.FilterData" localSheetId="0" hidden="1">Merged_COEM!$B$47:$AN$308</definedName>
    <definedName name="Z_8C93A640_930B_411B_8D78_081C9283D060_.wvu.FilterData" localSheetId="1" hidden="1">Merged_JOEM!$B$47:$AN$145</definedName>
    <definedName name="Z_8CFDC2B1_A931_463F_B4B3_66F2BDFB2938_.wvu.FilterData" localSheetId="0" hidden="1">Merged_COEM!$B$47:$AN$195</definedName>
    <definedName name="Z_8CFDC2B1_A931_463F_B4B3_66F2BDFB2938_.wvu.FilterData" localSheetId="1" hidden="1">Merged_JOEM!$B$47:$AN$145</definedName>
    <definedName name="Z_90215879_D202_47D7_95B0_308EB9360CBB_.wvu.FilterData" localSheetId="0" hidden="1">Merged_COEM!$B$47:$AN$152</definedName>
    <definedName name="Z_92C3B6E0_E822_4BCF_8785_C7C14B2ADD22_.wvu.FilterData" localSheetId="0" hidden="1">Merged_COEM!$B$47:$AN$308</definedName>
    <definedName name="Z_97218D6F_FBE0_4BB8_82A5_9A2B9CDAE672_.wvu.FilterData" localSheetId="0" hidden="1">Merged_COEM!$B$47:$AN$308</definedName>
    <definedName name="Z_97A9DF88_B70E_4292_BE2C_86AD0A2D47DE_.wvu.FilterData" localSheetId="0" hidden="1">Merged_COEM!$B$47:$AN$308</definedName>
    <definedName name="Z_99E5354C_71C6_436F_9EE1_C848EB01C814_.wvu.FilterData" localSheetId="0" hidden="1">Merged_COEM!$B$47:$AN$113</definedName>
    <definedName name="Z_99E5354C_71C6_436F_9EE1_C848EB01C814_.wvu.FilterData" localSheetId="1" hidden="1">Merged_JOEM!$B$47:$AN$108</definedName>
    <definedName name="Z_9AD1B165_0807_4FC0_AD7A_19295CA7995A_.wvu.FilterData" localSheetId="0" hidden="1">Merged_COEM!$B$47:$AN$192</definedName>
    <definedName name="Z_9AD1B165_0807_4FC0_AD7A_19295CA7995A_.wvu.FilterData" localSheetId="1" hidden="1">Merged_JOEM!$B$47:$AN$145</definedName>
    <definedName name="Z_9E145E8C_2B31_4DB8_B4B0_C616F5D01119_.wvu.FilterData" localSheetId="0" hidden="1">Merged_COEM!$B$47:$AN$111</definedName>
    <definedName name="Z_A2A917F4_F661_4683_88C9_57D64E10A4C2_.wvu.FilterData" localSheetId="0" hidden="1">Merged_COEM!$B$47:$AN$308</definedName>
    <definedName name="Z_A2C66332_A809_458E_971B_FDB6D62C74C3_.wvu.FilterData" localSheetId="0" hidden="1">Merged_COEM!$B$47:$AN$308</definedName>
    <definedName name="Z_A2C66332_A809_458E_971B_FDB6D62C74C3_.wvu.FilterData" localSheetId="1" hidden="1">Merged_JOEM!$B$47:$AN$174</definedName>
    <definedName name="Z_A41FDE28_6FFB_43B6_B43B_9101088A5207_.wvu.FilterData" localSheetId="0" hidden="1">Merged_COEM!$B$47:$AN$111</definedName>
    <definedName name="Z_A4227727_9F71_47E1_8C2E_042438D3D073_.wvu.FilterData" localSheetId="0" hidden="1">Merged_COEM!$B$47:$AN$111</definedName>
    <definedName name="Z_A660862E_E137_45E6_9126_F71C85FD8B0C_.wvu.FilterData" localSheetId="0" hidden="1">Merged_COEM!$B$47:$AN$47</definedName>
    <definedName name="Z_A6A46D6D_F867_4FA0_8E53_62A7F47A4E88_.wvu.FilterData" localSheetId="0" hidden="1">Merged_COEM!$P$47:$P$309</definedName>
    <definedName name="Z_A744FF6C_D2CD_4F7F_AB46_8716E1600217_.wvu.FilterData" localSheetId="0" hidden="1">Merged_COEM!$B$47:$AN$142</definedName>
    <definedName name="Z_AA3A2856_F934_43FD_A71B_100B2ECD9F4A_.wvu.FilterData" localSheetId="0" hidden="1">Merged_COEM!$B$47:$AN$172</definedName>
    <definedName name="Z_AA85FADB_94FF_41A1_80F2_8EF99C6BD443_.wvu.FilterData" localSheetId="0" hidden="1">Merged_COEM!$B$47:$AN$129</definedName>
    <definedName name="Z_ABE1B979_D75D_42A3_AB3C_1BC48A1ABE90_.wvu.FilterData" localSheetId="0" hidden="1">Merged_COEM!$B$47:$AN$308</definedName>
    <definedName name="Z_AC999F38_EF0E_452F_99C6_511671044A11_.wvu.FilterData" localSheetId="0" hidden="1">Merged_COEM!$B$47:$AN$308</definedName>
    <definedName name="Z_AC999F38_EF0E_452F_99C6_511671044A11_.wvu.FilterData" localSheetId="1" hidden="1">Merged_JOEM!$B$47:$AN$174</definedName>
    <definedName name="Z_AD31D473_ABF1_4543_84A5_D817CF174F0C_.wvu.FilterData" localSheetId="0" hidden="1">Merged_COEM!$B$47:$AN$308</definedName>
    <definedName name="Z_B28487AD_1FF3_420C_9816_908EA83E5D3C_.wvu.FilterData" localSheetId="0" hidden="1">Merged_COEM!$A$47:$AN$308</definedName>
    <definedName name="Z_B28487AD_1FF3_420C_9816_908EA83E5D3C_.wvu.FilterData" localSheetId="1" hidden="1">Merged_JOEM!$B$47:$AN$174</definedName>
    <definedName name="Z_B28746A6_3784_4E4C_9E3E_05917653FE5F_.wvu.FilterData" localSheetId="0" hidden="1">Merged_COEM!$B$47:$AN$308</definedName>
    <definedName name="Z_B63DD65C_9EF8_4E01_9252_9D7B6691A477_.wvu.FilterData" localSheetId="0" hidden="1">Merged_COEM!$B$47:$AN$152</definedName>
    <definedName name="Z_B6B30A94_A4FB_42AF_BB3D_564C0E1E2210_.wvu.FilterData" localSheetId="0" hidden="1">Merged_COEM!$B$47:$AN$129</definedName>
    <definedName name="Z_B6B30A94_A4FB_42AF_BB3D_564C0E1E2210_.wvu.FilterData" localSheetId="1" hidden="1">Merged_JOEM!$B$47:$AN$108</definedName>
    <definedName name="Z_B6ED238C_0DE9_471E_909B_1EAB15BEA059_.wvu.FilterData" localSheetId="0" hidden="1">Merged_COEM!$P$47:$P$309</definedName>
    <definedName name="Z_BC173873_A7A3_429A_A2F2_06B8E17D4E2D_.wvu.FilterData" localSheetId="0" hidden="1">Merged_COEM!$P$47:$P$309</definedName>
    <definedName name="Z_BC173873_A7A3_429A_A2F2_06B8E17D4E2D_.wvu.FilterData" localSheetId="1" hidden="1">Merged_JOEM!$B$47:$AN$108</definedName>
    <definedName name="Z_BCE99E97_CE8F_4575_BF43_E13B513D810F_.wvu.FilterData" localSheetId="0" hidden="1">Merged_COEM!$B$47:$AN$308</definedName>
    <definedName name="Z_BF1F7491_F461_4810_B06E_8AF629E4946B_.wvu.FilterData" localSheetId="0" hidden="1">Merged_COEM!$B$47:$AN$308</definedName>
    <definedName name="Z_BFE28FD3_FC05_47D2_B394_F3516A4D0AB3_.wvu.FilterData" localSheetId="0" hidden="1">Merged_COEM!$B$47:$AN$47</definedName>
    <definedName name="Z_C0E51FCA_4F01_4943_98A0_011C2CAE2D2E_.wvu.FilterData" localSheetId="0" hidden="1">Merged_COEM!$B$47:$AN$192</definedName>
    <definedName name="Z_C36428D0_4662_4A3F_8269_04B9F62FB882_.wvu.FilterData" localSheetId="0" hidden="1">Merged_COEM!$B$47:$AN$308</definedName>
    <definedName name="Z_C3B26110_BB96_4041_9E86_8FB1D3595EC3_.wvu.FilterData" localSheetId="0" hidden="1">Merged_COEM!$P$47:$P$309</definedName>
    <definedName name="Z_CD235416_A5FA_481B_8E55_C60A832823B9_.wvu.FilterData" localSheetId="0" hidden="1">Merged_COEM!$B$47:$AN$308</definedName>
    <definedName name="Z_CD27DB33_53E8_44D2_9D7B_46C7E0D8406D_.wvu.FilterData" localSheetId="1" hidden="1">Merged_JOEM!$B$47:$AN$174</definedName>
    <definedName name="Z_CDA0C6D7_3A34_4603_A386_6EC3B3F2C1A3_.wvu.FilterData" localSheetId="0" hidden="1">Merged_COEM!$B$47:$AN$152</definedName>
    <definedName name="Z_CEBE8AC3_188B_4F97_A24F_371A11C4421A_.wvu.FilterData" localSheetId="0" hidden="1">Merged_COEM!$B$47:$AN$152</definedName>
    <definedName name="Z_D27A9719_CA1F_4F10_B026_6793A25D97CF_.wvu.FilterData" localSheetId="0" hidden="1">Merged_COEM!$B$47:$AN$152</definedName>
    <definedName name="Z_D27A9719_CA1F_4F10_B026_6793A25D97CF_.wvu.FilterData" localSheetId="1" hidden="1">Merged_JOEM!$B$47:$AN$116</definedName>
    <definedName name="Z_D33AC7AF_C8AB_4CE9_94C7_9237011A5FC3_.wvu.FilterData" localSheetId="0" hidden="1">Merged_COEM!$B$47:$AO$308</definedName>
    <definedName name="Z_D33AC7AF_C8AB_4CE9_94C7_9237011A5FC3_.wvu.FilterData" localSheetId="1" hidden="1">Merged_JOEM!$B$47:$AN$174</definedName>
    <definedName name="Z_D41295E5_0507_4FFC_9DE6_9C52285F0275_.wvu.FilterData" localSheetId="0" hidden="1">Merged_COEM!$B$47:$AN$308</definedName>
    <definedName name="Z_D5ACA420_0704_4A7B_8271_EFB400689CE3_.wvu.FilterData" localSheetId="0" hidden="1">Merged_COEM!$B$47:$AN$113</definedName>
    <definedName name="Z_D5ACA420_0704_4A7B_8271_EFB400689CE3_.wvu.FilterData" localSheetId="1" hidden="1">Merged_JOEM!$B$47:$AN$108</definedName>
    <definedName name="Z_D6832C49_66A5_40BB_A73B_0C25E4D9B698_.wvu.FilterData" localSheetId="0" hidden="1">Merged_COEM!$B$47:$AN$113</definedName>
    <definedName name="Z_D68AA120_23E6_4E33_B593_B08CB8C9A9E2_.wvu.FilterData" localSheetId="0" hidden="1">Merged_COEM!$A$47:$AN$308</definedName>
    <definedName name="Z_D6B6CCCC_9FFF_4FFF_98B0_4EA5B228ED4B_.wvu.FilterData" localSheetId="0" hidden="1">Merged_COEM!$A$47:$AN$308</definedName>
    <definedName name="Z_D872AF61_C529_4DF8_A0AD_23C1DBB7ABFF_.wvu.FilterData" localSheetId="0" hidden="1">Merged_COEM!$B$47:$AN$308</definedName>
    <definedName name="Z_DA781726_B906_42BF_9F10_92770707708D_.wvu.FilterData" localSheetId="0" hidden="1">Merged_COEM!$B$47:$AN$152</definedName>
    <definedName name="Z_DDB52F07_9CA6_4C4D_B256_178082EC8245_.wvu.FilterData" localSheetId="0" hidden="1">Merged_COEM!$B$47:$AN$308</definedName>
    <definedName name="Z_DDB52F07_9CA6_4C4D_B256_178082EC8245_.wvu.FilterData" localSheetId="1" hidden="1">Merged_JOEM!$B$47:$AN$145</definedName>
    <definedName name="Z_E0DA618F_5168_4BDA_B90D_1071596CF2FC_.wvu.FilterData" localSheetId="0" hidden="1">Merged_COEM!$B$47:$AN$192</definedName>
    <definedName name="Z_E0F05845_7B3E_4BDE_9641_919043CF8853_.wvu.FilterData" localSheetId="0" hidden="1">Merged_COEM!$B$47:$AN$308</definedName>
    <definedName name="Z_E6180E73_1E02_47C0_826F_065429E1DBB3_.wvu.FilterData" localSheetId="0" hidden="1">Merged_COEM!$B$47:$AN$172</definedName>
    <definedName name="Z_E72CA2CF_6FE7_4387_B8FB_A8EC0BD159B1_.wvu.FilterData" localSheetId="0" hidden="1">Merged_COEM!$B$47:$AN$308</definedName>
    <definedName name="Z_E73B0B7F_6007_4682_BC1D_F46CD41654E9_.wvu.FilterData" localSheetId="0" hidden="1">Merged_COEM!$B$47:$AN$308</definedName>
    <definedName name="Z_EB30279F_71BB_4BBD_A7EE_691D83FBCC50_.wvu.FilterData" localSheetId="0" hidden="1">Merged_COEM!$B$47:$AN$47</definedName>
    <definedName name="Z_F2F80064_51A8_4D52_A123_C0058F84AA1A_.wvu.FilterData" localSheetId="0" hidden="1">Merged_COEM!$B$47:$AN$308</definedName>
    <definedName name="Z_F3C62E6E_7BB8_439B_825E_263944F8EEFB_.wvu.FilterData" localSheetId="0" hidden="1">Merged_COEM!$B$47:$AN$308</definedName>
    <definedName name="Z_F42B3598_EC4C_4CA4_96A7_EB7E4FD7B31F_.wvu.FilterData" localSheetId="0" hidden="1">Merged_COEM!$B$47:$AN$152</definedName>
    <definedName name="Z_F687CD9E_1B76_4957_9426_4ECD58D5D7D3_.wvu.FilterData" localSheetId="0" hidden="1">Merged_COEM!$B$47:$AN$152</definedName>
    <definedName name="Z_FDF8FFD6_749D_4772_99C1_B3E079EA1F04_.wvu.FilterData" localSheetId="0" hidden="1">Merged_COEM!$B$47:$AN$308</definedName>
    <definedName name="Z_FF8C4B39_B2F5_497E_BC38_7C8656C296DA_.wvu.FilterData" localSheetId="0" hidden="1">Merged_COEM!$B$47:$AN$172</definedName>
  </definedNames>
  <calcPr calcId="162913" calcOnSave="0"/>
  <customWorkbookViews>
    <customWorkbookView name="EXTERNAL Do Anh Huy (Ban Vien Company, RBVH/EPS45) - Personal View" guid="{D33AC7AF-C8AB-4CE9-94C7-9237011A5FC3}" mergeInterval="0" personalView="1" maximized="1" xWindow="-8" yWindow="-8" windowWidth="1936" windowHeight="1176" activeSheetId="2"/>
    <customWorkbookView name="EXTERNAL Nguyen Trung Hieu (Ban Vien, RBVH/EPS45) - Personal View" guid="{250915DF-0B97-45D7-B29D-7EED4C89C1C1}" mergeInterval="0" personalView="1" maximized="1" xWindow="-8" yWindow="-8" windowWidth="1936" windowHeight="1176" activeSheetId="1"/>
    <customWorkbookView name="gup7hc - Personal View" guid="{3B3E6719-EACB-4D2C-89C1-05FFAB6020FD}" mergeInterval="0" personalView="1" maximized="1" xWindow="-8" yWindow="-8" windowWidth="1936" windowHeight="1186" activeSheetId="1"/>
    <customWorkbookView name="EXTERNAL Do Phu Loc (Ban Vien, RBVH/EPS45) - Personal View" guid="{72A6EB0A-84D5-4B8A-AC51-54CCD061630B}" mergeInterval="0" personalView="1" maximized="1" xWindow="-8" yWindow="-8" windowWidth="1936" windowHeight="1176" tabRatio="327" activeSheetId="1"/>
    <customWorkbookView name="EXTERNAL Nguyen Kim Thanh (Ban Vien, RBVH/EPS45) - Personal View" guid="{4E06BDBF-2CED-473B-850B-2A6C7311FF41}" mergeInterval="0" personalView="1" maximized="1" xWindow="-8" yWindow="-8" windowWidth="1936" windowHeight="1176" activeSheetId="1"/>
    <customWorkbookView name="EXTERNAL Nguyen Duy Bang (Ban Vien, RBVH/EPS45) - Personal View" guid="{A2C66332-A809-458E-971B-FDB6D62C74C3}" mergeInterval="0" personalView="1" maximized="1" xWindow="-8" yWindow="-8" windowWidth="1936" windowHeight="1176" activeSheetId="1"/>
    <customWorkbookView name="EXTERNAL Luu Cong Dac (Ban Vien, RBVH/EPS45) - Personal View" guid="{336B6883-2145-4B58-921E-CEC7185A847E}" mergeInterval="0" personalView="1" maximized="1" xWindow="-8" yWindow="-8" windowWidth="1936" windowHeight="1176" tabRatio="428" activeSheetId="2"/>
    <customWorkbookView name="EXTERNAL Nguyen Tai Hau (Ban Vien, RBVH/EPS45) - Personal View" guid="{7ECC2B8E-6A82-42F5-8AB0-4A51C54EA5EC}" mergeInterval="0" personalView="1" maximized="1" xWindow="-8" yWindow="-8" windowWidth="1936" windowHeight="1176" activeSheetId="1"/>
    <customWorkbookView name="EXTERNAL Ly Chung (Ban Vien, RBVH/EPS45) - Personal View" guid="{60D2C030-4E31-4E07-8E1C-44D2EE84B177}" mergeInterval="0" personalView="1" maximized="1" xWindow="-8" yWindow="-8" windowWidth="1936" windowHeight="1176" tabRatio="495" activeSheetId="1"/>
    <customWorkbookView name="EXTERNAL Nguyen Tuan Duong (Ban Vien, RBVH/EPS45) - Personal View" guid="{7E0EA425-A420-4443-B9E0-CDF0AA9E5D09}" mergeInterval="0" personalView="1" maximized="1" xWindow="-8" yWindow="-8" windowWidth="1936" windowHeight="1176"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5" i="2" l="1"/>
  <c r="E6" i="2"/>
  <c r="E8" i="2"/>
  <c r="E9" i="2"/>
  <c r="E10" i="2"/>
  <c r="E11" i="2"/>
  <c r="E13" i="2"/>
  <c r="E7" i="1"/>
  <c r="E12" i="1"/>
  <c r="F192" i="4" l="1"/>
  <c r="D192" i="4"/>
  <c r="F191" i="4"/>
  <c r="D191" i="4"/>
  <c r="K190" i="4"/>
  <c r="K191" i="4" s="1"/>
  <c r="J190" i="4"/>
  <c r="J192" i="4" s="1"/>
  <c r="C187" i="4"/>
  <c r="C186" i="4"/>
  <c r="G179" i="4"/>
  <c r="F179" i="4"/>
  <c r="D179" i="4"/>
  <c r="E179" i="4" s="1"/>
  <c r="D178" i="4"/>
  <c r="K177" i="4"/>
  <c r="K178" i="4" s="1"/>
  <c r="J177" i="4"/>
  <c r="J179" i="4" s="1"/>
  <c r="C174" i="4"/>
  <c r="C173" i="4"/>
  <c r="G192" i="4"/>
  <c r="G191" i="4"/>
  <c r="C185" i="4" l="1"/>
  <c r="I179" i="4"/>
  <c r="E192" i="4"/>
  <c r="I192" i="4" s="1"/>
  <c r="E191" i="4"/>
  <c r="I191" i="4" s="1"/>
  <c r="J191" i="4"/>
  <c r="K192" i="4"/>
  <c r="H191" i="4"/>
  <c r="H192" i="4"/>
  <c r="J178" i="4"/>
  <c r="K179" i="4"/>
  <c r="H178" i="4"/>
  <c r="H179" i="4"/>
  <c r="C188" i="4" l="1"/>
  <c r="K34" i="5"/>
  <c r="K35" i="5" s="1"/>
  <c r="J34" i="5"/>
  <c r="J35" i="5" s="1"/>
  <c r="K22" i="5"/>
  <c r="J22" i="5"/>
  <c r="K21" i="5"/>
  <c r="K23" i="5" s="1"/>
  <c r="J21" i="5"/>
  <c r="J23" i="5" s="1"/>
  <c r="J8" i="5"/>
  <c r="J9" i="5" s="1"/>
  <c r="K8" i="5"/>
  <c r="K9" i="5"/>
  <c r="J10" i="5"/>
  <c r="K10" i="5"/>
  <c r="K21" i="4"/>
  <c r="K22" i="4" s="1"/>
  <c r="J21" i="4"/>
  <c r="J22" i="4" s="1"/>
  <c r="J36" i="5" l="1"/>
  <c r="K36" i="5"/>
  <c r="J23" i="4"/>
  <c r="K23" i="4"/>
  <c r="U10" i="4" l="1"/>
  <c r="S10" i="4"/>
  <c r="X9" i="4"/>
  <c r="W9" i="4"/>
  <c r="Q10" i="4"/>
  <c r="R10" i="4" s="1"/>
  <c r="Q9" i="4"/>
  <c r="X8" i="4"/>
  <c r="X10" i="4" s="1"/>
  <c r="W8" i="4"/>
  <c r="W10" i="4" s="1"/>
  <c r="G166" i="4"/>
  <c r="E166" i="4"/>
  <c r="D166" i="4"/>
  <c r="F166" i="4" s="1"/>
  <c r="D165" i="4"/>
  <c r="K164" i="4"/>
  <c r="K166" i="4" s="1"/>
  <c r="J164" i="4"/>
  <c r="J166" i="4" s="1"/>
  <c r="D153" i="4"/>
  <c r="H153" i="4" s="1"/>
  <c r="D152" i="4"/>
  <c r="K151" i="4"/>
  <c r="K153" i="4" s="1"/>
  <c r="J151" i="4"/>
  <c r="J153" i="4" s="1"/>
  <c r="G140" i="4"/>
  <c r="F140" i="4"/>
  <c r="E140" i="4"/>
  <c r="D140" i="4"/>
  <c r="H140" i="4" s="1"/>
  <c r="D139" i="4"/>
  <c r="K138" i="4"/>
  <c r="K140" i="4" s="1"/>
  <c r="J138" i="4"/>
  <c r="J140" i="4" s="1"/>
  <c r="G127" i="4"/>
  <c r="E127" i="4"/>
  <c r="D127" i="4"/>
  <c r="H127" i="4" s="1"/>
  <c r="D126" i="4"/>
  <c r="K125" i="4"/>
  <c r="K127" i="4" s="1"/>
  <c r="J125" i="4"/>
  <c r="J127" i="4" s="1"/>
  <c r="G114" i="4"/>
  <c r="F114" i="4"/>
  <c r="E114" i="4"/>
  <c r="D114" i="4"/>
  <c r="H114" i="4" s="1"/>
  <c r="D113" i="4"/>
  <c r="H113" i="4" s="1"/>
  <c r="K112" i="4"/>
  <c r="K114" i="4" s="1"/>
  <c r="J112" i="4"/>
  <c r="J114" i="4" s="1"/>
  <c r="D101" i="4"/>
  <c r="H101" i="4" s="1"/>
  <c r="D100" i="4"/>
  <c r="H100" i="4" s="1"/>
  <c r="K99" i="4"/>
  <c r="K101" i="4" s="1"/>
  <c r="J99" i="4"/>
  <c r="J101" i="4" s="1"/>
  <c r="D88" i="4"/>
  <c r="D87" i="4"/>
  <c r="H87" i="4" s="1"/>
  <c r="K86" i="4"/>
  <c r="K88" i="4" s="1"/>
  <c r="J86" i="4"/>
  <c r="J88" i="4" s="1"/>
  <c r="G75" i="4"/>
  <c r="E75" i="4"/>
  <c r="D75" i="4"/>
  <c r="H75" i="4" s="1"/>
  <c r="D74" i="4"/>
  <c r="H74" i="4" s="1"/>
  <c r="K73" i="4"/>
  <c r="K75" i="4" s="1"/>
  <c r="J73" i="4"/>
  <c r="J75" i="4" s="1"/>
  <c r="G62" i="4"/>
  <c r="F62" i="4"/>
  <c r="E62" i="4"/>
  <c r="D62" i="4"/>
  <c r="H62" i="4" s="1"/>
  <c r="D61" i="4"/>
  <c r="H61" i="4" s="1"/>
  <c r="K60" i="4"/>
  <c r="K62" i="4" s="1"/>
  <c r="J60" i="4"/>
  <c r="J62" i="4" s="1"/>
  <c r="G49" i="4"/>
  <c r="E49" i="4"/>
  <c r="D49" i="4"/>
  <c r="H49" i="4" s="1"/>
  <c r="D48" i="4"/>
  <c r="H48" i="4" s="1"/>
  <c r="K47" i="4"/>
  <c r="K49" i="4" s="1"/>
  <c r="J47" i="4"/>
  <c r="J49" i="4" s="1"/>
  <c r="F36" i="4"/>
  <c r="D36" i="4"/>
  <c r="H36" i="4" s="1"/>
  <c r="D35" i="4"/>
  <c r="H35" i="4" s="1"/>
  <c r="K34" i="4"/>
  <c r="K36" i="4" s="1"/>
  <c r="J34" i="4"/>
  <c r="J36" i="4" s="1"/>
  <c r="D23" i="4"/>
  <c r="H23" i="4" s="1"/>
  <c r="D22" i="4"/>
  <c r="J10" i="4"/>
  <c r="K9" i="4"/>
  <c r="D36" i="5"/>
  <c r="G36" i="5" s="1"/>
  <c r="D35" i="5"/>
  <c r="G23" i="5"/>
  <c r="D23" i="5"/>
  <c r="H23" i="5" s="1"/>
  <c r="G22" i="5"/>
  <c r="D22" i="5"/>
  <c r="H22" i="5" s="1"/>
  <c r="G9" i="5"/>
  <c r="D10" i="5"/>
  <c r="H10" i="5" s="1"/>
  <c r="D9" i="5"/>
  <c r="K8" i="4"/>
  <c r="K10" i="4" s="1"/>
  <c r="J8" i="4"/>
  <c r="D10" i="4"/>
  <c r="D9" i="4"/>
  <c r="F10" i="4"/>
  <c r="H9" i="4"/>
  <c r="E178" i="4" l="1"/>
  <c r="I114" i="4"/>
  <c r="I166" i="4"/>
  <c r="I62" i="4"/>
  <c r="I140" i="4"/>
  <c r="V10" i="4"/>
  <c r="K35" i="4"/>
  <c r="K61" i="4"/>
  <c r="K87" i="4"/>
  <c r="K113" i="4"/>
  <c r="K139" i="4"/>
  <c r="K165" i="4"/>
  <c r="J48" i="4"/>
  <c r="F49" i="4"/>
  <c r="I49" i="4" s="1"/>
  <c r="J74" i="4"/>
  <c r="F75" i="4"/>
  <c r="I75" i="4" s="1"/>
  <c r="J100" i="4"/>
  <c r="J126" i="4"/>
  <c r="F127" i="4"/>
  <c r="I127" i="4" s="1"/>
  <c r="J152" i="4"/>
  <c r="H166" i="4"/>
  <c r="T10" i="4"/>
  <c r="K48" i="4"/>
  <c r="K74" i="4"/>
  <c r="K100" i="4"/>
  <c r="K126" i="4"/>
  <c r="K152" i="4"/>
  <c r="J35" i="4"/>
  <c r="J61" i="4"/>
  <c r="J87" i="4"/>
  <c r="J113" i="4"/>
  <c r="J139" i="4"/>
  <c r="J165" i="4"/>
  <c r="H10" i="4"/>
  <c r="G10" i="4"/>
  <c r="E10" i="4"/>
  <c r="H35" i="5"/>
  <c r="H36" i="5"/>
  <c r="J9" i="4"/>
  <c r="G10" i="5"/>
  <c r="G35" i="5"/>
  <c r="F178" i="4" l="1"/>
  <c r="I178" i="4" s="1"/>
  <c r="G178" i="4"/>
  <c r="C172" i="4" l="1"/>
  <c r="C175" i="4"/>
  <c r="C161" i="4"/>
  <c r="C160" i="4"/>
  <c r="E165" i="4" l="1"/>
  <c r="H165" i="4"/>
  <c r="C147" i="4"/>
  <c r="G165" i="4" l="1"/>
  <c r="F165" i="4"/>
  <c r="I165" i="4" s="1"/>
  <c r="C148" i="4"/>
  <c r="E152" i="4" l="1"/>
  <c r="R9" i="4"/>
  <c r="E153" i="4"/>
  <c r="C159" i="4"/>
  <c r="C162" i="4"/>
  <c r="C135" i="4"/>
  <c r="C134" i="4"/>
  <c r="C122" i="4"/>
  <c r="C121" i="4"/>
  <c r="C109" i="4"/>
  <c r="C108" i="4"/>
  <c r="F152" i="4" l="1"/>
  <c r="I152" i="4" s="1"/>
  <c r="G153" i="4"/>
  <c r="F153" i="4"/>
  <c r="I153" i="4" s="1"/>
  <c r="G152" i="4"/>
  <c r="S9" i="4"/>
  <c r="V9" i="4" s="1"/>
  <c r="U9" i="4"/>
  <c r="T9" i="4"/>
  <c r="H152" i="4"/>
  <c r="W264" i="1"/>
  <c r="W263" i="1"/>
  <c r="W262" i="1"/>
  <c r="W261" i="1"/>
  <c r="W260" i="1"/>
  <c r="W259" i="1"/>
  <c r="W258" i="1"/>
  <c r="W257" i="1"/>
  <c r="C146" i="4" l="1"/>
  <c r="Y264" i="1"/>
  <c r="X264" i="1"/>
  <c r="C149" i="4"/>
  <c r="Y261" i="1"/>
  <c r="X261" i="1"/>
  <c r="Y262" i="1"/>
  <c r="X262" i="1"/>
  <c r="Y259" i="1"/>
  <c r="X259" i="1"/>
  <c r="Y260" i="1"/>
  <c r="X260" i="1"/>
  <c r="Y257" i="1"/>
  <c r="X257" i="1"/>
  <c r="Y258" i="1"/>
  <c r="X258" i="1"/>
  <c r="W245" i="1"/>
  <c r="Y245" i="1" s="1"/>
  <c r="Z245" i="1" s="1"/>
  <c r="W246" i="1"/>
  <c r="Y246" i="1" s="1"/>
  <c r="Z246" i="1" s="1"/>
  <c r="W247" i="1"/>
  <c r="Y247" i="1" s="1"/>
  <c r="W248" i="1"/>
  <c r="W249" i="1"/>
  <c r="W250" i="1"/>
  <c r="Y250" i="1" s="1"/>
  <c r="W251" i="1"/>
  <c r="W252" i="1"/>
  <c r="W253" i="1"/>
  <c r="W254" i="1"/>
  <c r="W255" i="1"/>
  <c r="W256" i="1"/>
  <c r="W244" i="1"/>
  <c r="E139" i="4" l="1"/>
  <c r="Y255" i="1"/>
  <c r="X255" i="1"/>
  <c r="Y256" i="1"/>
  <c r="X256" i="1"/>
  <c r="Y253" i="1"/>
  <c r="X253" i="1"/>
  <c r="Y252" i="1"/>
  <c r="X252" i="1"/>
  <c r="Y251" i="1"/>
  <c r="Z251" i="1" s="1"/>
  <c r="X251" i="1"/>
  <c r="Y244" i="1"/>
  <c r="Y248" i="1"/>
  <c r="X248" i="1"/>
  <c r="Y249" i="1"/>
  <c r="Z249" i="1" s="1"/>
  <c r="X249" i="1"/>
  <c r="Y254" i="1"/>
  <c r="X254" i="1"/>
  <c r="X244" i="1"/>
  <c r="X247" i="1"/>
  <c r="X245" i="1"/>
  <c r="X246" i="1"/>
  <c r="X250" i="1"/>
  <c r="X189" i="1"/>
  <c r="H139" i="4" l="1"/>
  <c r="G139" i="4"/>
  <c r="C133" i="4" s="1"/>
  <c r="F139" i="4"/>
  <c r="I139" i="4" s="1"/>
  <c r="Y189" i="1"/>
  <c r="C136" i="4" l="1"/>
  <c r="W232" i="1"/>
  <c r="W233" i="1"/>
  <c r="W234" i="1"/>
  <c r="W235" i="1"/>
  <c r="W236" i="1"/>
  <c r="W237" i="1"/>
  <c r="W238" i="1"/>
  <c r="W239" i="1"/>
  <c r="W240" i="1"/>
  <c r="W241" i="1"/>
  <c r="W242" i="1"/>
  <c r="W243" i="1"/>
  <c r="X243" i="1" s="1"/>
  <c r="W231" i="1"/>
  <c r="E126" i="4" s="1"/>
  <c r="X231" i="1" l="1"/>
  <c r="Y238" i="1"/>
  <c r="X238" i="1"/>
  <c r="Y240" i="1"/>
  <c r="X240" i="1"/>
  <c r="Y236" i="1"/>
  <c r="Z236" i="1" s="1"/>
  <c r="X236" i="1"/>
  <c r="Y239" i="1"/>
  <c r="Z239" i="1" s="1"/>
  <c r="X239" i="1"/>
  <c r="Y235" i="1"/>
  <c r="Z235" i="1" s="1"/>
  <c r="X235" i="1"/>
  <c r="Y241" i="1"/>
  <c r="Z241" i="1" s="1"/>
  <c r="X241" i="1"/>
  <c r="Y237" i="1"/>
  <c r="Z237" i="1" s="1"/>
  <c r="X237" i="1"/>
  <c r="Y233" i="1"/>
  <c r="X233" i="1"/>
  <c r="Y234" i="1"/>
  <c r="Z234" i="1" s="1"/>
  <c r="X234" i="1"/>
  <c r="Y232" i="1"/>
  <c r="Z232" i="1" s="1"/>
  <c r="X232" i="1"/>
  <c r="Y242" i="1"/>
  <c r="X242" i="1"/>
  <c r="Y243" i="1"/>
  <c r="Y231" i="1"/>
  <c r="C96" i="4"/>
  <c r="C95" i="4"/>
  <c r="W230" i="1"/>
  <c r="X230" i="1" s="1"/>
  <c r="W229" i="1"/>
  <c r="X229" i="1" s="1"/>
  <c r="W228" i="1"/>
  <c r="Y228" i="1" s="1"/>
  <c r="G126" i="4" l="1"/>
  <c r="C120" i="4" s="1"/>
  <c r="H126" i="4"/>
  <c r="F126" i="4"/>
  <c r="I126" i="4" s="1"/>
  <c r="X228" i="1"/>
  <c r="Y230" i="1"/>
  <c r="Y229" i="1"/>
  <c r="W227" i="1"/>
  <c r="W226" i="1"/>
  <c r="W225" i="1"/>
  <c r="W224" i="1"/>
  <c r="W223" i="1"/>
  <c r="W222" i="1"/>
  <c r="W221" i="1"/>
  <c r="W220" i="1"/>
  <c r="W219" i="1"/>
  <c r="W218" i="1"/>
  <c r="W217" i="1"/>
  <c r="W216" i="1"/>
  <c r="W215" i="1"/>
  <c r="W214" i="1"/>
  <c r="W213" i="1"/>
  <c r="W212" i="1"/>
  <c r="W211" i="1"/>
  <c r="W210" i="1"/>
  <c r="W209" i="1"/>
  <c r="W208" i="1"/>
  <c r="W207" i="1"/>
  <c r="W206" i="1"/>
  <c r="W205" i="1"/>
  <c r="W204" i="1"/>
  <c r="W203" i="1"/>
  <c r="W202" i="1"/>
  <c r="W201" i="1"/>
  <c r="W200" i="1"/>
  <c r="W199" i="1"/>
  <c r="W198" i="1"/>
  <c r="W197" i="1"/>
  <c r="W196" i="1"/>
  <c r="E113" i="4" l="1"/>
  <c r="C123" i="4"/>
  <c r="X196" i="1"/>
  <c r="Y204" i="1"/>
  <c r="X204" i="1"/>
  <c r="Y205" i="1"/>
  <c r="X205" i="1"/>
  <c r="Y202" i="1"/>
  <c r="X202" i="1"/>
  <c r="Y203" i="1"/>
  <c r="X203" i="1"/>
  <c r="Y200" i="1"/>
  <c r="X200" i="1"/>
  <c r="Y197" i="1"/>
  <c r="X197" i="1"/>
  <c r="Y201" i="1"/>
  <c r="X201" i="1"/>
  <c r="Y198" i="1"/>
  <c r="X198" i="1"/>
  <c r="Y199" i="1"/>
  <c r="X199" i="1"/>
  <c r="Y221" i="1"/>
  <c r="X221" i="1"/>
  <c r="Y207" i="1"/>
  <c r="X207" i="1"/>
  <c r="Y211" i="1"/>
  <c r="X211" i="1"/>
  <c r="Y208" i="1"/>
  <c r="X208" i="1"/>
  <c r="Y212" i="1"/>
  <c r="X212" i="1"/>
  <c r="Y209" i="1"/>
  <c r="X209" i="1"/>
  <c r="Y213" i="1"/>
  <c r="X213" i="1"/>
  <c r="Y206" i="1"/>
  <c r="X206" i="1"/>
  <c r="Y210" i="1"/>
  <c r="X210" i="1"/>
  <c r="Y214" i="1"/>
  <c r="X214" i="1"/>
  <c r="Y226" i="1"/>
  <c r="X226" i="1"/>
  <c r="Y215" i="1"/>
  <c r="X215" i="1"/>
  <c r="Y219" i="1"/>
  <c r="X219" i="1"/>
  <c r="Y223" i="1"/>
  <c r="X223" i="1"/>
  <c r="Y227" i="1"/>
  <c r="X227" i="1"/>
  <c r="Y220" i="1"/>
  <c r="X220" i="1"/>
  <c r="Y224" i="1"/>
  <c r="X224" i="1"/>
  <c r="Y225" i="1"/>
  <c r="X225" i="1"/>
  <c r="Y222" i="1"/>
  <c r="X222" i="1"/>
  <c r="Y217" i="1"/>
  <c r="X217" i="1"/>
  <c r="Y218" i="1"/>
  <c r="X218" i="1"/>
  <c r="Y216" i="1"/>
  <c r="X216" i="1"/>
  <c r="Y196" i="1"/>
  <c r="W195" i="1"/>
  <c r="E101" i="4" s="1"/>
  <c r="W194" i="1"/>
  <c r="Y194" i="1" s="1"/>
  <c r="W193" i="1"/>
  <c r="G113" i="4" l="1"/>
  <c r="C107" i="4" s="1"/>
  <c r="E100" i="4"/>
  <c r="F113" i="4"/>
  <c r="I113" i="4" s="1"/>
  <c r="X193" i="1"/>
  <c r="Y195" i="1"/>
  <c r="G101" i="4" s="1"/>
  <c r="X195" i="1"/>
  <c r="F101" i="4" s="1"/>
  <c r="I101" i="4" s="1"/>
  <c r="X194" i="1"/>
  <c r="Y193" i="1"/>
  <c r="G100" i="4" s="1"/>
  <c r="M14" i="6"/>
  <c r="F100" i="4" l="1"/>
  <c r="I100" i="4" s="1"/>
  <c r="C110" i="4"/>
  <c r="C94" i="4"/>
  <c r="C97" i="4"/>
  <c r="W192" i="1"/>
  <c r="Y192" i="1" l="1"/>
  <c r="X192" i="1"/>
  <c r="C83" i="4"/>
  <c r="C82" i="4"/>
  <c r="C70" i="4"/>
  <c r="C69" i="4"/>
  <c r="C31" i="4"/>
  <c r="C30" i="4"/>
  <c r="C44" i="4"/>
  <c r="C43" i="4"/>
  <c r="C57" i="4"/>
  <c r="C56" i="4"/>
  <c r="W145" i="2" l="1"/>
  <c r="X145" i="2" s="1"/>
  <c r="W144" i="2"/>
  <c r="X144" i="2" s="1"/>
  <c r="W143" i="2"/>
  <c r="X143" i="2" s="1"/>
  <c r="W142" i="2"/>
  <c r="X142" i="2" s="1"/>
  <c r="W141" i="2"/>
  <c r="X141" i="2" s="1"/>
  <c r="W140" i="2"/>
  <c r="X140" i="2" s="1"/>
  <c r="W139" i="2"/>
  <c r="X139" i="2" s="1"/>
  <c r="W138" i="2"/>
  <c r="X138" i="2" s="1"/>
  <c r="W137" i="2"/>
  <c r="X137" i="2" s="1"/>
  <c r="W136" i="2"/>
  <c r="X136" i="2" s="1"/>
  <c r="W191" i="1"/>
  <c r="W190" i="1"/>
  <c r="W188" i="1"/>
  <c r="W187" i="1"/>
  <c r="W186" i="1"/>
  <c r="W185" i="1"/>
  <c r="W184" i="1"/>
  <c r="W183" i="1"/>
  <c r="W182" i="1"/>
  <c r="W181" i="1"/>
  <c r="W180" i="1"/>
  <c r="W179" i="1"/>
  <c r="W178" i="1"/>
  <c r="W177" i="1"/>
  <c r="W176" i="1"/>
  <c r="W175" i="1"/>
  <c r="X175" i="1" s="1"/>
  <c r="W174" i="1"/>
  <c r="W173" i="1"/>
  <c r="Y162" i="1"/>
  <c r="W172" i="1"/>
  <c r="Y172" i="1" s="1"/>
  <c r="W171" i="1"/>
  <c r="Y171" i="1" s="1"/>
  <c r="W170" i="1"/>
  <c r="Y170" i="1" s="1"/>
  <c r="W169" i="1"/>
  <c r="Y169" i="1" s="1"/>
  <c r="W168" i="1"/>
  <c r="E74" i="4" l="1"/>
  <c r="E87" i="4"/>
  <c r="E88" i="4"/>
  <c r="X173" i="1"/>
  <c r="X176" i="1"/>
  <c r="Y178" i="1"/>
  <c r="X178" i="1"/>
  <c r="Y182" i="1"/>
  <c r="X182" i="1"/>
  <c r="Y186" i="1"/>
  <c r="X186" i="1"/>
  <c r="Y175" i="1"/>
  <c r="Y179" i="1"/>
  <c r="X179" i="1"/>
  <c r="Y183" i="1"/>
  <c r="X183" i="1"/>
  <c r="Y177" i="1"/>
  <c r="X177" i="1"/>
  <c r="Y181" i="1"/>
  <c r="X181" i="1"/>
  <c r="Y180" i="1"/>
  <c r="X180" i="1"/>
  <c r="Y184" i="1"/>
  <c r="X184" i="1"/>
  <c r="Y185" i="1"/>
  <c r="X185" i="1"/>
  <c r="Y174" i="1"/>
  <c r="X174" i="1"/>
  <c r="Y190" i="1"/>
  <c r="X190" i="1"/>
  <c r="Y188" i="1"/>
  <c r="X188" i="1"/>
  <c r="Y187" i="1"/>
  <c r="X187" i="1"/>
  <c r="Y191" i="1"/>
  <c r="Z191" i="1" s="1"/>
  <c r="H88" i="4" s="1"/>
  <c r="X191" i="1"/>
  <c r="Y173" i="1"/>
  <c r="Y168" i="1"/>
  <c r="G74" i="4" s="1"/>
  <c r="Y176" i="1"/>
  <c r="X169" i="1"/>
  <c r="X170" i="1"/>
  <c r="X171" i="1"/>
  <c r="X168" i="1"/>
  <c r="X172" i="1"/>
  <c r="C31" i="5"/>
  <c r="C30" i="5"/>
  <c r="W135" i="2"/>
  <c r="X135" i="2" s="1"/>
  <c r="W134" i="2"/>
  <c r="X134" i="2" s="1"/>
  <c r="W133" i="2"/>
  <c r="X133" i="2" s="1"/>
  <c r="W132" i="2"/>
  <c r="X132" i="2" s="1"/>
  <c r="W131" i="2"/>
  <c r="X131" i="2" s="1"/>
  <c r="W130" i="2"/>
  <c r="X130" i="2" s="1"/>
  <c r="W129" i="2"/>
  <c r="X129" i="2" s="1"/>
  <c r="W128" i="2"/>
  <c r="X128" i="2" s="1"/>
  <c r="W127" i="2"/>
  <c r="W126" i="2"/>
  <c r="X126" i="2" s="1"/>
  <c r="W125" i="2"/>
  <c r="X125" i="2" s="1"/>
  <c r="W124" i="2"/>
  <c r="X124" i="2" s="1"/>
  <c r="W123" i="2"/>
  <c r="W122" i="2"/>
  <c r="X122" i="2" s="1"/>
  <c r="W121" i="2"/>
  <c r="W120" i="2"/>
  <c r="W119" i="2"/>
  <c r="W118" i="2"/>
  <c r="W117" i="2"/>
  <c r="F74" i="4" l="1"/>
  <c r="I74" i="4" s="1"/>
  <c r="G87" i="4"/>
  <c r="G88" i="4"/>
  <c r="F87" i="4"/>
  <c r="I87" i="4" s="1"/>
  <c r="E36" i="5"/>
  <c r="F88" i="4"/>
  <c r="I88" i="4" s="1"/>
  <c r="X127" i="2"/>
  <c r="F35" i="5" s="1"/>
  <c r="E35" i="5"/>
  <c r="X123" i="2"/>
  <c r="F36" i="5" s="1"/>
  <c r="C29" i="5"/>
  <c r="C68" i="4"/>
  <c r="C71" i="4"/>
  <c r="C32" i="5"/>
  <c r="I36" i="5" l="1"/>
  <c r="I35" i="5"/>
  <c r="C81" i="4"/>
  <c r="C84" i="4"/>
  <c r="W118" i="1"/>
  <c r="Y118" i="1" s="1"/>
  <c r="X118" i="1" l="1"/>
  <c r="W152" i="1" l="1"/>
  <c r="Y152" i="1" s="1"/>
  <c r="W151" i="1"/>
  <c r="Y151" i="1" s="1"/>
  <c r="W150" i="1"/>
  <c r="W149" i="1"/>
  <c r="X149" i="1" s="1"/>
  <c r="W148" i="1"/>
  <c r="W147" i="1"/>
  <c r="W146" i="1"/>
  <c r="W145" i="1"/>
  <c r="X145" i="1" s="1"/>
  <c r="W144" i="1"/>
  <c r="W143" i="1"/>
  <c r="E61" i="4" s="1"/>
  <c r="X150" i="1" l="1"/>
  <c r="Y150" i="1"/>
  <c r="Y149" i="1"/>
  <c r="X151" i="1"/>
  <c r="Y148" i="1"/>
  <c r="X148" i="1"/>
  <c r="Y145" i="1"/>
  <c r="Y147" i="1"/>
  <c r="X147" i="1"/>
  <c r="Y146" i="1"/>
  <c r="X146" i="1"/>
  <c r="Y143" i="1"/>
  <c r="X143" i="1"/>
  <c r="Y144" i="1"/>
  <c r="X144" i="1"/>
  <c r="X152" i="1"/>
  <c r="W133" i="1"/>
  <c r="X133" i="1" s="1"/>
  <c r="F61" i="4" l="1"/>
  <c r="I61" i="4" s="1"/>
  <c r="G61" i="4"/>
  <c r="Y133" i="1"/>
  <c r="W131" i="1"/>
  <c r="W132" i="1"/>
  <c r="W134" i="1"/>
  <c r="W135" i="1"/>
  <c r="W136" i="1"/>
  <c r="W137" i="1"/>
  <c r="W138" i="1"/>
  <c r="W139" i="1"/>
  <c r="W140" i="1"/>
  <c r="W141" i="1"/>
  <c r="W142" i="1"/>
  <c r="W130" i="1"/>
  <c r="C18" i="5"/>
  <c r="C17" i="5"/>
  <c r="W116" i="2"/>
  <c r="X116" i="2" s="1"/>
  <c r="W115" i="2"/>
  <c r="X115" i="2" s="1"/>
  <c r="W114" i="2"/>
  <c r="X114" i="2" s="1"/>
  <c r="W113" i="2"/>
  <c r="X113" i="2" s="1"/>
  <c r="W112" i="2"/>
  <c r="X112" i="2" s="1"/>
  <c r="W111" i="2"/>
  <c r="W110" i="2"/>
  <c r="X110" i="2" s="1"/>
  <c r="W109" i="2"/>
  <c r="W73" i="1"/>
  <c r="X73" i="1" s="1"/>
  <c r="X111" i="2" l="1"/>
  <c r="F23" i="5" s="1"/>
  <c r="E23" i="5"/>
  <c r="X109" i="2"/>
  <c r="F22" i="5" s="1"/>
  <c r="E22" i="5"/>
  <c r="Y137" i="1"/>
  <c r="X137" i="1"/>
  <c r="C55" i="4"/>
  <c r="C58" i="4"/>
  <c r="Y136" i="1"/>
  <c r="X136" i="1"/>
  <c r="Y130" i="1"/>
  <c r="X130" i="1"/>
  <c r="C16" i="5"/>
  <c r="C19" i="5"/>
  <c r="Y142" i="1"/>
  <c r="X142" i="1"/>
  <c r="Y138" i="1"/>
  <c r="X138" i="1"/>
  <c r="Y134" i="1"/>
  <c r="X134" i="1"/>
  <c r="Y141" i="1"/>
  <c r="X141" i="1"/>
  <c r="Y132" i="1"/>
  <c r="X132" i="1"/>
  <c r="Y140" i="1"/>
  <c r="X140" i="1"/>
  <c r="Y139" i="1"/>
  <c r="X139" i="1"/>
  <c r="Y131" i="1"/>
  <c r="X131" i="1"/>
  <c r="Y135" i="1"/>
  <c r="X135" i="1"/>
  <c r="W129" i="1"/>
  <c r="W128" i="1"/>
  <c r="W127" i="1"/>
  <c r="W126" i="1"/>
  <c r="W125" i="1"/>
  <c r="W124" i="1"/>
  <c r="W123" i="1"/>
  <c r="W122" i="1"/>
  <c r="W121" i="1"/>
  <c r="W120" i="1"/>
  <c r="W119" i="1"/>
  <c r="W117" i="1"/>
  <c r="W116" i="1"/>
  <c r="W115" i="1"/>
  <c r="W114" i="1"/>
  <c r="I22" i="5" l="1"/>
  <c r="I23" i="5"/>
  <c r="E48" i="4"/>
  <c r="X114" i="1"/>
  <c r="Y115" i="1"/>
  <c r="X115" i="1"/>
  <c r="Y116" i="1"/>
  <c r="X116" i="1"/>
  <c r="Y117" i="1"/>
  <c r="X117" i="1"/>
  <c r="Y129" i="1"/>
  <c r="X129" i="1"/>
  <c r="Y128" i="1"/>
  <c r="X128" i="1"/>
  <c r="Y119" i="1"/>
  <c r="X119" i="1"/>
  <c r="Y123" i="1"/>
  <c r="X123" i="1"/>
  <c r="Y127" i="1"/>
  <c r="X127" i="1"/>
  <c r="Y126" i="1"/>
  <c r="X126" i="1"/>
  <c r="Y120" i="1"/>
  <c r="X120" i="1"/>
  <c r="Y121" i="1"/>
  <c r="X121" i="1"/>
  <c r="Y122" i="1"/>
  <c r="X122" i="1"/>
  <c r="Y124" i="1"/>
  <c r="X124" i="1"/>
  <c r="Y125" i="1"/>
  <c r="X125" i="1"/>
  <c r="Y114" i="1"/>
  <c r="Y66" i="1"/>
  <c r="X66" i="1"/>
  <c r="W112" i="1"/>
  <c r="E35" i="4" s="1"/>
  <c r="E4" i="1" l="1"/>
  <c r="G48" i="4"/>
  <c r="C42" i="4" s="1"/>
  <c r="F48" i="4"/>
  <c r="I48" i="4" s="1"/>
  <c r="X112" i="1"/>
  <c r="F35" i="4" s="1"/>
  <c r="I35" i="4" s="1"/>
  <c r="Z89" i="1"/>
  <c r="H22" i="4" s="1"/>
  <c r="X61" i="1"/>
  <c r="C45" i="4" l="1"/>
  <c r="Y112" i="1"/>
  <c r="G35" i="4" s="1"/>
  <c r="W113" i="1"/>
  <c r="E36" i="4" s="1"/>
  <c r="I36" i="4" s="1"/>
  <c r="V74" i="1"/>
  <c r="V72" i="1"/>
  <c r="V71" i="1"/>
  <c r="V68" i="1"/>
  <c r="Y113" i="1" l="1"/>
  <c r="G36" i="4" s="1"/>
  <c r="D4" i="1"/>
  <c r="C29" i="4" l="1"/>
  <c r="Z107" i="2"/>
  <c r="Z106" i="2"/>
  <c r="Z104" i="2"/>
  <c r="Z103" i="2"/>
  <c r="Z71" i="2"/>
  <c r="Z67" i="2"/>
  <c r="Z66" i="2"/>
  <c r="Z65" i="2"/>
  <c r="Z64" i="2"/>
  <c r="Z63" i="2"/>
  <c r="Z62" i="2"/>
  <c r="Z61" i="2"/>
  <c r="Z60" i="2"/>
  <c r="Z59" i="2"/>
  <c r="Z58" i="2"/>
  <c r="Z57" i="2"/>
  <c r="Z56" i="2"/>
  <c r="Z55" i="2"/>
  <c r="Z54" i="2"/>
  <c r="H9" i="5" s="1"/>
  <c r="V70" i="1"/>
  <c r="V69" i="1"/>
  <c r="C32" i="4" l="1"/>
  <c r="W108" i="2"/>
  <c r="X108" i="2" s="1"/>
  <c r="C18" i="4" l="1"/>
  <c r="C17" i="4"/>
  <c r="W75" i="1" l="1"/>
  <c r="W76" i="1"/>
  <c r="Y76" i="1" s="1"/>
  <c r="Y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Y80" i="1" l="1"/>
  <c r="X80" i="1"/>
  <c r="Y96" i="1"/>
  <c r="X96" i="1"/>
  <c r="Y75" i="1"/>
  <c r="X75" i="1"/>
  <c r="Y86" i="1"/>
  <c r="X86" i="1"/>
  <c r="Y104" i="1"/>
  <c r="X104" i="1"/>
  <c r="Y106" i="1"/>
  <c r="X106" i="1"/>
  <c r="Y105" i="1"/>
  <c r="X105" i="1"/>
  <c r="Y111" i="1"/>
  <c r="X111" i="1"/>
  <c r="Y107" i="1"/>
  <c r="X107" i="1"/>
  <c r="Y94" i="1"/>
  <c r="X94" i="1"/>
  <c r="Y95" i="1"/>
  <c r="X95" i="1"/>
  <c r="Y101" i="1"/>
  <c r="X101" i="1"/>
  <c r="Y99" i="1"/>
  <c r="X99" i="1"/>
  <c r="Y79" i="1"/>
  <c r="X79" i="1"/>
  <c r="Y109" i="1"/>
  <c r="X109" i="1"/>
  <c r="Y103" i="1"/>
  <c r="X103" i="1"/>
  <c r="Y110" i="1"/>
  <c r="X110" i="1"/>
  <c r="Y108" i="1"/>
  <c r="X108" i="1"/>
  <c r="Y100" i="1"/>
  <c r="X100" i="1"/>
  <c r="Y98" i="1"/>
  <c r="X98" i="1"/>
  <c r="Y92" i="1"/>
  <c r="X92" i="1"/>
  <c r="Y88" i="1"/>
  <c r="X88" i="1"/>
  <c r="Y102" i="1"/>
  <c r="X102" i="1"/>
  <c r="Y90" i="1"/>
  <c r="X90" i="1"/>
  <c r="Y91" i="1"/>
  <c r="X91" i="1"/>
  <c r="Y83" i="1"/>
  <c r="X83" i="1"/>
  <c r="Y93" i="1"/>
  <c r="X93" i="1"/>
  <c r="Y89" i="1"/>
  <c r="X89" i="1"/>
  <c r="Y78" i="1"/>
  <c r="X78" i="1"/>
  <c r="Y97" i="1"/>
  <c r="X97" i="1"/>
  <c r="Y87" i="1"/>
  <c r="X87" i="1"/>
  <c r="Y82" i="1"/>
  <c r="X82" i="1"/>
  <c r="Y85" i="1"/>
  <c r="X85" i="1"/>
  <c r="Y81" i="1"/>
  <c r="X81" i="1"/>
  <c r="Y84" i="1"/>
  <c r="X84" i="1"/>
  <c r="W68" i="1"/>
  <c r="W69" i="1"/>
  <c r="W70" i="1"/>
  <c r="W71" i="1"/>
  <c r="W72" i="1"/>
  <c r="Y73" i="1"/>
  <c r="W74" i="1"/>
  <c r="Y74" i="1" s="1"/>
  <c r="E10" i="1" l="1"/>
  <c r="E9" i="1"/>
  <c r="E23" i="4"/>
  <c r="X68" i="1"/>
  <c r="Y72" i="1"/>
  <c r="X72" i="1"/>
  <c r="Y69" i="1"/>
  <c r="X69" i="1"/>
  <c r="E8" i="1" s="1"/>
  <c r="Y68" i="1"/>
  <c r="Y70" i="1"/>
  <c r="X70" i="1"/>
  <c r="E11" i="1" s="1"/>
  <c r="Y71" i="1"/>
  <c r="X71" i="1"/>
  <c r="W67" i="1"/>
  <c r="W65" i="1"/>
  <c r="W64" i="1"/>
  <c r="G23" i="4" l="1"/>
  <c r="E22" i="4"/>
  <c r="F23" i="4"/>
  <c r="I23" i="4" s="1"/>
  <c r="X64" i="1"/>
  <c r="Y67" i="1"/>
  <c r="X67" i="1"/>
  <c r="Y65" i="1"/>
  <c r="X65" i="1"/>
  <c r="Y64" i="1"/>
  <c r="L21" i="6"/>
  <c r="L19" i="6"/>
  <c r="I34" i="1"/>
  <c r="J35" i="1"/>
  <c r="G22" i="4" l="1"/>
  <c r="C19" i="4" s="1"/>
  <c r="F22" i="4"/>
  <c r="I22" i="4" s="1"/>
  <c r="F52" i="6"/>
  <c r="E51" i="6"/>
  <c r="J43" i="2"/>
  <c r="P60" i="6" s="1"/>
  <c r="I43" i="2"/>
  <c r="O60" i="6" s="1"/>
  <c r="J42" i="2"/>
  <c r="P59" i="6" s="1"/>
  <c r="I42" i="2"/>
  <c r="O59" i="6" s="1"/>
  <c r="J41" i="2"/>
  <c r="P58" i="6" s="1"/>
  <c r="I41" i="2"/>
  <c r="O58" i="6" s="1"/>
  <c r="J40" i="2"/>
  <c r="P57" i="6" s="1"/>
  <c r="I40" i="2"/>
  <c r="O57" i="6" s="1"/>
  <c r="J39" i="2"/>
  <c r="P56" i="6" s="1"/>
  <c r="I39" i="2"/>
  <c r="O56" i="6" s="1"/>
  <c r="J38" i="2"/>
  <c r="P55" i="6" s="1"/>
  <c r="I38" i="2"/>
  <c r="O55" i="6" s="1"/>
  <c r="J37" i="2"/>
  <c r="P54" i="6" s="1"/>
  <c r="I37" i="2"/>
  <c r="O54" i="6" s="1"/>
  <c r="J36" i="2"/>
  <c r="P53" i="6" s="1"/>
  <c r="I36" i="2"/>
  <c r="O53" i="6" s="1"/>
  <c r="J35" i="2"/>
  <c r="P52" i="6" s="1"/>
  <c r="I35" i="2"/>
  <c r="O52" i="6" s="1"/>
  <c r="J34" i="2"/>
  <c r="P51" i="6" s="1"/>
  <c r="I34" i="2"/>
  <c r="O51" i="6" s="1"/>
  <c r="J43" i="1"/>
  <c r="J42" i="1"/>
  <c r="J41" i="1"/>
  <c r="J40" i="1"/>
  <c r="J39" i="1"/>
  <c r="J38" i="1"/>
  <c r="J37" i="1"/>
  <c r="J36" i="1"/>
  <c r="J34" i="1"/>
  <c r="I35" i="1"/>
  <c r="I36" i="1"/>
  <c r="I37" i="1"/>
  <c r="I38" i="1"/>
  <c r="I39" i="1"/>
  <c r="I40" i="1"/>
  <c r="I41" i="1"/>
  <c r="I42" i="1"/>
  <c r="I43" i="1"/>
  <c r="O32" i="6"/>
  <c r="Q32" i="6" s="1"/>
  <c r="O40" i="6"/>
  <c r="Q40" i="6" s="1"/>
  <c r="W107" i="2"/>
  <c r="X107" i="2" s="1"/>
  <c r="W106" i="2"/>
  <c r="X106" i="2" s="1"/>
  <c r="W105" i="2"/>
  <c r="X105" i="2" s="1"/>
  <c r="W104" i="2"/>
  <c r="X104" i="2" s="1"/>
  <c r="W103" i="2"/>
  <c r="X103" i="2" s="1"/>
  <c r="W102" i="2"/>
  <c r="X102" i="2" s="1"/>
  <c r="W101" i="2"/>
  <c r="X101" i="2" s="1"/>
  <c r="W100" i="2"/>
  <c r="X100" i="2" s="1"/>
  <c r="W99" i="2"/>
  <c r="X99" i="2" s="1"/>
  <c r="W98" i="2"/>
  <c r="X98" i="2" s="1"/>
  <c r="W97" i="2"/>
  <c r="X97" i="2" s="1"/>
  <c r="W96" i="2"/>
  <c r="X96" i="2" s="1"/>
  <c r="W95" i="2"/>
  <c r="X95" i="2" s="1"/>
  <c r="W94" i="2"/>
  <c r="X94" i="2" s="1"/>
  <c r="W93" i="2"/>
  <c r="X93" i="2" s="1"/>
  <c r="W92" i="2"/>
  <c r="X92" i="2" s="1"/>
  <c r="W91" i="2"/>
  <c r="X91" i="2" s="1"/>
  <c r="W90" i="2"/>
  <c r="X90" i="2" s="1"/>
  <c r="W89" i="2"/>
  <c r="X89" i="2" s="1"/>
  <c r="W88" i="2"/>
  <c r="X88" i="2" s="1"/>
  <c r="W87" i="2"/>
  <c r="X87" i="2" s="1"/>
  <c r="W86" i="2"/>
  <c r="X86" i="2" s="1"/>
  <c r="W85" i="2"/>
  <c r="X85" i="2" s="1"/>
  <c r="W84" i="2"/>
  <c r="X84" i="2" s="1"/>
  <c r="W83" i="2"/>
  <c r="X83" i="2" s="1"/>
  <c r="W82" i="2"/>
  <c r="X82" i="2" s="1"/>
  <c r="W81" i="2"/>
  <c r="X81" i="2" s="1"/>
  <c r="W80" i="2"/>
  <c r="X80" i="2" s="1"/>
  <c r="W79" i="2"/>
  <c r="X79" i="2" s="1"/>
  <c r="W78" i="2"/>
  <c r="X78" i="2" s="1"/>
  <c r="W77" i="2"/>
  <c r="X77" i="2" s="1"/>
  <c r="W76" i="2"/>
  <c r="X76" i="2" s="1"/>
  <c r="W75" i="2"/>
  <c r="X75" i="2" s="1"/>
  <c r="W74" i="2"/>
  <c r="X74" i="2" s="1"/>
  <c r="W73" i="2"/>
  <c r="X73" i="2" s="1"/>
  <c r="W72" i="2"/>
  <c r="X72" i="2" s="1"/>
  <c r="W71" i="2"/>
  <c r="X71" i="2" s="1"/>
  <c r="W70" i="2"/>
  <c r="X70" i="2" s="1"/>
  <c r="W69" i="2"/>
  <c r="X69" i="2" s="1"/>
  <c r="W68" i="2"/>
  <c r="X68" i="2" s="1"/>
  <c r="W67" i="2"/>
  <c r="X67" i="2" s="1"/>
  <c r="W66" i="2"/>
  <c r="X66" i="2" s="1"/>
  <c r="W65" i="2"/>
  <c r="X65" i="2" s="1"/>
  <c r="W64" i="2"/>
  <c r="X64" i="2" s="1"/>
  <c r="W63" i="2"/>
  <c r="X63" i="2" s="1"/>
  <c r="W62" i="2"/>
  <c r="X62" i="2" s="1"/>
  <c r="W61" i="2"/>
  <c r="X61" i="2" s="1"/>
  <c r="W60" i="2"/>
  <c r="X60" i="2" s="1"/>
  <c r="W59" i="2"/>
  <c r="X59" i="2" s="1"/>
  <c r="W58" i="2"/>
  <c r="X58" i="2" s="1"/>
  <c r="W57" i="2"/>
  <c r="X57" i="2" s="1"/>
  <c r="W56" i="2"/>
  <c r="X56" i="2" s="1"/>
  <c r="W55" i="2"/>
  <c r="X55" i="2" s="1"/>
  <c r="W54" i="2"/>
  <c r="W53" i="2"/>
  <c r="X53" i="2" s="1"/>
  <c r="W52" i="2"/>
  <c r="X52" i="2" s="1"/>
  <c r="W51" i="2"/>
  <c r="X51" i="2" s="1"/>
  <c r="W50" i="2"/>
  <c r="X50" i="2" s="1"/>
  <c r="W49" i="2"/>
  <c r="X49" i="2" s="1"/>
  <c r="B49" i="2"/>
  <c r="B50" i="2" s="1"/>
  <c r="B51" i="2" s="1"/>
  <c r="B52" i="2" s="1"/>
  <c r="B53" i="2" s="1"/>
  <c r="B54" i="2" s="1"/>
  <c r="B55" i="2" s="1"/>
  <c r="B56" i="2" s="1"/>
  <c r="B57" i="2" s="1"/>
  <c r="B58" i="2" s="1"/>
  <c r="B59" i="2" s="1"/>
  <c r="B60" i="2" s="1"/>
  <c r="B61" i="2" s="1"/>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W48" i="2"/>
  <c r="F29" i="2"/>
  <c r="F28" i="2"/>
  <c r="E28" i="2"/>
  <c r="D28" i="2"/>
  <c r="F27" i="2"/>
  <c r="E27" i="2"/>
  <c r="P39" i="6" s="1"/>
  <c r="R39" i="6" s="1"/>
  <c r="D27" i="2"/>
  <c r="F26" i="2"/>
  <c r="E26" i="2"/>
  <c r="D26" i="2"/>
  <c r="F25" i="2"/>
  <c r="E25" i="2"/>
  <c r="P37" i="6" s="1"/>
  <c r="R37" i="6" s="1"/>
  <c r="D25" i="2"/>
  <c r="F24" i="2"/>
  <c r="E24" i="2"/>
  <c r="P36" i="6" s="1"/>
  <c r="R36" i="6" s="1"/>
  <c r="D24" i="2"/>
  <c r="F23" i="2"/>
  <c r="E23" i="2"/>
  <c r="P35" i="6" s="1"/>
  <c r="R35" i="6" s="1"/>
  <c r="D23" i="2"/>
  <c r="F22" i="2"/>
  <c r="F21" i="2"/>
  <c r="E21" i="2"/>
  <c r="P33" i="6" s="1"/>
  <c r="R33" i="6" s="1"/>
  <c r="D21" i="2"/>
  <c r="F20" i="2"/>
  <c r="E20" i="2"/>
  <c r="D20" i="2"/>
  <c r="F19" i="2"/>
  <c r="E19" i="2"/>
  <c r="P31" i="6" s="1"/>
  <c r="R31" i="6" s="1"/>
  <c r="D19" i="2"/>
  <c r="F14" i="2"/>
  <c r="K14" i="2"/>
  <c r="F13" i="2"/>
  <c r="D13" i="2"/>
  <c r="F12" i="2"/>
  <c r="F11" i="2"/>
  <c r="O38" i="6"/>
  <c r="Q38" i="6" s="1"/>
  <c r="D11" i="2"/>
  <c r="F10" i="2"/>
  <c r="O37" i="6"/>
  <c r="Q37" i="6" s="1"/>
  <c r="D10" i="2"/>
  <c r="F9" i="2"/>
  <c r="O36" i="6"/>
  <c r="Q36" i="6" s="1"/>
  <c r="D9" i="2"/>
  <c r="F8" i="2"/>
  <c r="O35" i="6"/>
  <c r="Q35" i="6" s="1"/>
  <c r="D8" i="2"/>
  <c r="F7" i="2"/>
  <c r="F6" i="2"/>
  <c r="O33" i="6"/>
  <c r="Q33" i="6" s="1"/>
  <c r="D6" i="2"/>
  <c r="F5" i="2"/>
  <c r="D5" i="2"/>
  <c r="F4" i="2"/>
  <c r="A2" i="5"/>
  <c r="C4" i="5"/>
  <c r="C5" i="5"/>
  <c r="E12" i="2" l="1"/>
  <c r="O39" i="6" s="1"/>
  <c r="Q39" i="6" s="1"/>
  <c r="E4" i="2"/>
  <c r="O31" i="6" s="1"/>
  <c r="Q31" i="6" s="1"/>
  <c r="X54" i="2"/>
  <c r="E9" i="5"/>
  <c r="E10" i="5"/>
  <c r="C16" i="4"/>
  <c r="D4" i="2"/>
  <c r="D34" i="2" s="1"/>
  <c r="X48" i="2"/>
  <c r="D12" i="2"/>
  <c r="D42" i="2" s="1"/>
  <c r="J4" i="6"/>
  <c r="I4" i="6"/>
  <c r="J5" i="6"/>
  <c r="E56" i="6"/>
  <c r="I9" i="6"/>
  <c r="F55" i="6"/>
  <c r="J8" i="6"/>
  <c r="E55" i="6"/>
  <c r="I8" i="6"/>
  <c r="E58" i="6"/>
  <c r="I11" i="6"/>
  <c r="E54" i="6"/>
  <c r="I7" i="6"/>
  <c r="F53" i="6"/>
  <c r="J6" i="6"/>
  <c r="F57" i="6"/>
  <c r="J10" i="6"/>
  <c r="E52" i="6"/>
  <c r="I5" i="6"/>
  <c r="E59" i="6"/>
  <c r="I12" i="6"/>
  <c r="F60" i="6"/>
  <c r="J13" i="6"/>
  <c r="E57" i="6"/>
  <c r="I10" i="6"/>
  <c r="E53" i="6"/>
  <c r="I6" i="6"/>
  <c r="F54" i="6"/>
  <c r="J7" i="6"/>
  <c r="F58" i="6"/>
  <c r="J11" i="6"/>
  <c r="E60" i="6"/>
  <c r="I13" i="6"/>
  <c r="F59" i="6"/>
  <c r="J12" i="6"/>
  <c r="F56" i="6"/>
  <c r="J9" i="6"/>
  <c r="J44" i="1"/>
  <c r="F51" i="6"/>
  <c r="I44" i="1"/>
  <c r="J44" i="2"/>
  <c r="I44" i="2"/>
  <c r="E43" i="2"/>
  <c r="H27" i="2"/>
  <c r="D39" i="2"/>
  <c r="G10" i="2"/>
  <c r="H19" i="2"/>
  <c r="E35" i="2"/>
  <c r="D41" i="2"/>
  <c r="G27" i="2"/>
  <c r="H6" i="2"/>
  <c r="G9" i="2"/>
  <c r="G19" i="2"/>
  <c r="G26" i="2"/>
  <c r="P32" i="6"/>
  <c r="R32" i="6" s="1"/>
  <c r="P38" i="6"/>
  <c r="R38" i="6" s="1"/>
  <c r="P40" i="6"/>
  <c r="R40" i="6" s="1"/>
  <c r="G24" i="2"/>
  <c r="D29" i="2"/>
  <c r="O27" i="6" s="1"/>
  <c r="Q27" i="6" s="1"/>
  <c r="G23" i="2"/>
  <c r="D40" i="2"/>
  <c r="G13" i="2"/>
  <c r="D35" i="2"/>
  <c r="G6" i="2"/>
  <c r="H11" i="2"/>
  <c r="D36" i="2"/>
  <c r="G11" i="2"/>
  <c r="D7" i="2"/>
  <c r="H23" i="2"/>
  <c r="G28" i="2"/>
  <c r="E41" i="2"/>
  <c r="D43" i="2"/>
  <c r="H10" i="2"/>
  <c r="G20" i="2"/>
  <c r="D22" i="2"/>
  <c r="E39" i="2"/>
  <c r="H26" i="2"/>
  <c r="E29" i="2"/>
  <c r="D38" i="2"/>
  <c r="E14" i="2"/>
  <c r="G5" i="2"/>
  <c r="K16" i="2"/>
  <c r="F44" i="2" s="1"/>
  <c r="E40" i="2"/>
  <c r="H25" i="2"/>
  <c r="G25" i="2"/>
  <c r="H8" i="2"/>
  <c r="G8" i="2"/>
  <c r="E38" i="2"/>
  <c r="H9" i="2"/>
  <c r="H13" i="2"/>
  <c r="E36" i="2"/>
  <c r="H21" i="2"/>
  <c r="G21" i="2"/>
  <c r="H5" i="2"/>
  <c r="D14" i="2"/>
  <c r="O26" i="6" s="1"/>
  <c r="Q26" i="6" s="1"/>
  <c r="H20" i="2"/>
  <c r="H24" i="2"/>
  <c r="H28" i="2"/>
  <c r="F9" i="5" l="1"/>
  <c r="E7" i="2"/>
  <c r="O34" i="6" s="1"/>
  <c r="Q34" i="6" s="1"/>
  <c r="E22" i="2"/>
  <c r="F10" i="5"/>
  <c r="E34" i="2"/>
  <c r="H34" i="2" s="1"/>
  <c r="G4" i="2"/>
  <c r="H4" i="2"/>
  <c r="H12" i="2"/>
  <c r="E42" i="2"/>
  <c r="H42" i="2" s="1"/>
  <c r="G12" i="2"/>
  <c r="J14" i="6"/>
  <c r="I14" i="6"/>
  <c r="H43" i="2"/>
  <c r="H39" i="2"/>
  <c r="H41" i="2"/>
  <c r="H29" i="2"/>
  <c r="H35" i="2"/>
  <c r="D37" i="2"/>
  <c r="D44" i="2" s="1"/>
  <c r="G14" i="2"/>
  <c r="P26" i="6"/>
  <c r="R26" i="6" s="1"/>
  <c r="G29" i="2"/>
  <c r="P27" i="6"/>
  <c r="R27" i="6" s="1"/>
  <c r="H14" i="2"/>
  <c r="F37" i="2"/>
  <c r="F40" i="2"/>
  <c r="G40" i="2" s="1"/>
  <c r="F42" i="2"/>
  <c r="F35" i="2"/>
  <c r="G35" i="2" s="1"/>
  <c r="F39" i="2"/>
  <c r="G39" i="2" s="1"/>
  <c r="F36" i="2"/>
  <c r="G36" i="2" s="1"/>
  <c r="F41" i="2"/>
  <c r="G41" i="2" s="1"/>
  <c r="F34" i="2"/>
  <c r="F38" i="2"/>
  <c r="G38" i="2" s="1"/>
  <c r="F43" i="2"/>
  <c r="G43" i="2" s="1"/>
  <c r="H36" i="2"/>
  <c r="H38" i="2"/>
  <c r="H40" i="2"/>
  <c r="C5" i="4"/>
  <c r="C4" i="4"/>
  <c r="G34" i="2" l="1"/>
  <c r="G7" i="2"/>
  <c r="E37" i="2"/>
  <c r="G37" i="2" s="1"/>
  <c r="H7" i="2"/>
  <c r="P34" i="6"/>
  <c r="R34" i="6" s="1"/>
  <c r="H22" i="2"/>
  <c r="G22" i="2"/>
  <c r="G42" i="2"/>
  <c r="W49" i="1"/>
  <c r="W50" i="1"/>
  <c r="W51" i="1"/>
  <c r="W52" i="1"/>
  <c r="W53" i="1"/>
  <c r="W54" i="1"/>
  <c r="W55" i="1"/>
  <c r="W56" i="1"/>
  <c r="W57" i="1"/>
  <c r="W58" i="1"/>
  <c r="W59" i="1"/>
  <c r="W60" i="1"/>
  <c r="W62" i="1"/>
  <c r="W63" i="1"/>
  <c r="W48" i="1"/>
  <c r="E14" i="1" s="1"/>
  <c r="E44" i="2" l="1"/>
  <c r="G44" i="2" s="1"/>
  <c r="H37" i="2"/>
  <c r="X48" i="1"/>
  <c r="E9" i="4"/>
  <c r="Y59" i="1"/>
  <c r="X59" i="1"/>
  <c r="Y58" i="1"/>
  <c r="X58" i="1"/>
  <c r="E6" i="1" s="1"/>
  <c r="Y49" i="1"/>
  <c r="X49" i="1"/>
  <c r="Y60" i="1"/>
  <c r="X60" i="1"/>
  <c r="Y61" i="1"/>
  <c r="Y62" i="1"/>
  <c r="X62" i="1"/>
  <c r="Y50" i="1"/>
  <c r="X50" i="1"/>
  <c r="Y52" i="1"/>
  <c r="X52" i="1"/>
  <c r="Y54" i="1"/>
  <c r="X54" i="1"/>
  <c r="Y53" i="1"/>
  <c r="X53" i="1"/>
  <c r="Y63" i="1"/>
  <c r="X63" i="1"/>
  <c r="Y55" i="1"/>
  <c r="X55" i="1"/>
  <c r="Y51" i="1"/>
  <c r="X51" i="1"/>
  <c r="Y57" i="1"/>
  <c r="X57" i="1"/>
  <c r="Y48" i="1"/>
  <c r="Y56" i="1"/>
  <c r="X56" i="1"/>
  <c r="I9" i="5"/>
  <c r="D14" i="1"/>
  <c r="B49" i="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H44" i="2" l="1"/>
  <c r="E5" i="1"/>
  <c r="E13" i="1"/>
  <c r="G9" i="4"/>
  <c r="C6" i="4" s="1"/>
  <c r="F9" i="4"/>
  <c r="I9" i="4" s="1"/>
  <c r="K16" i="1" l="1"/>
  <c r="F44" i="1" s="1"/>
  <c r="P4" i="4"/>
  <c r="P5" i="4"/>
  <c r="F37" i="1" l="1"/>
  <c r="F41" i="1"/>
  <c r="F38" i="1"/>
  <c r="F42" i="1"/>
  <c r="F35" i="1"/>
  <c r="F39" i="1"/>
  <c r="F43" i="1"/>
  <c r="F36" i="1"/>
  <c r="F40" i="1"/>
  <c r="F34" i="1"/>
  <c r="P3" i="4"/>
  <c r="C3" i="4" l="1"/>
  <c r="I10" i="4" l="1"/>
  <c r="F28" i="1" l="1"/>
  <c r="E28" i="1"/>
  <c r="D28" i="1"/>
  <c r="F27" i="1"/>
  <c r="E27" i="1"/>
  <c r="D27" i="1"/>
  <c r="F26" i="1"/>
  <c r="E26" i="1"/>
  <c r="D26" i="1"/>
  <c r="F25" i="1"/>
  <c r="E25" i="1"/>
  <c r="D25" i="1"/>
  <c r="F24" i="1"/>
  <c r="E24" i="1"/>
  <c r="D24" i="1"/>
  <c r="F23" i="1"/>
  <c r="E23" i="1"/>
  <c r="D23" i="1"/>
  <c r="F22" i="1"/>
  <c r="F21" i="1"/>
  <c r="F13" i="1"/>
  <c r="F12" i="1"/>
  <c r="F11" i="1"/>
  <c r="D11" i="1"/>
  <c r="F10" i="1"/>
  <c r="D10" i="1"/>
  <c r="F9" i="1"/>
  <c r="D9" i="1"/>
  <c r="F8" i="1"/>
  <c r="D8" i="1"/>
  <c r="F7" i="1"/>
  <c r="E38" i="6" l="1"/>
  <c r="G38" i="6" s="1"/>
  <c r="F38" i="6"/>
  <c r="H38" i="6" s="1"/>
  <c r="E37" i="6"/>
  <c r="G37" i="6" s="1"/>
  <c r="F37" i="6"/>
  <c r="H37" i="6" s="1"/>
  <c r="E36" i="6"/>
  <c r="G36" i="6" s="1"/>
  <c r="F36" i="6"/>
  <c r="H36" i="6" s="1"/>
  <c r="F40" i="6"/>
  <c r="H40" i="6" s="1"/>
  <c r="E35" i="6"/>
  <c r="G35" i="6" s="1"/>
  <c r="F35" i="6"/>
  <c r="H35" i="6" s="1"/>
  <c r="F39" i="6"/>
  <c r="H39" i="6" s="1"/>
  <c r="H8" i="1"/>
  <c r="G10" i="1"/>
  <c r="G25" i="1"/>
  <c r="D39" i="1"/>
  <c r="D9" i="6" s="1"/>
  <c r="D38" i="1"/>
  <c r="D8" i="6" s="1"/>
  <c r="H28" i="1"/>
  <c r="E38" i="1"/>
  <c r="E8" i="6" s="1"/>
  <c r="D41" i="1"/>
  <c r="D11" i="6" s="1"/>
  <c r="H27" i="1"/>
  <c r="H10" i="1"/>
  <c r="G11" i="1"/>
  <c r="H26" i="1"/>
  <c r="H25" i="1"/>
  <c r="D40" i="1"/>
  <c r="D10" i="6" s="1"/>
  <c r="E40" i="1"/>
  <c r="E10" i="6" s="1"/>
  <c r="H11" i="1"/>
  <c r="H24" i="1"/>
  <c r="H9" i="1"/>
  <c r="H23" i="1"/>
  <c r="G26" i="1"/>
  <c r="E39" i="1"/>
  <c r="E9" i="6" s="1"/>
  <c r="E41" i="1"/>
  <c r="E11" i="6" s="1"/>
  <c r="G23" i="1"/>
  <c r="G27" i="1"/>
  <c r="G24" i="1"/>
  <c r="G28" i="1"/>
  <c r="G8" i="1"/>
  <c r="G9" i="1"/>
  <c r="H9" i="6" l="1"/>
  <c r="H8" i="6"/>
  <c r="H38" i="1"/>
  <c r="H11" i="6"/>
  <c r="H10" i="6"/>
  <c r="H41" i="1"/>
  <c r="H39" i="1"/>
  <c r="H40" i="1"/>
  <c r="D13" i="1" l="1"/>
  <c r="D43" i="1" s="1"/>
  <c r="D13" i="6" s="1"/>
  <c r="D12" i="1"/>
  <c r="D42" i="1" s="1"/>
  <c r="D12" i="6" s="1"/>
  <c r="E39" i="6" l="1"/>
  <c r="G39" i="6" s="1"/>
  <c r="E40" i="6"/>
  <c r="G40" i="6" s="1"/>
  <c r="H12" i="1"/>
  <c r="G12" i="1"/>
  <c r="E42" i="1"/>
  <c r="E12" i="6" s="1"/>
  <c r="H13" i="1"/>
  <c r="E43" i="1"/>
  <c r="E13" i="6" s="1"/>
  <c r="G13" i="1"/>
  <c r="B22" i="6"/>
  <c r="F13" i="6" l="1"/>
  <c r="F4" i="6"/>
  <c r="F6" i="6"/>
  <c r="F10" i="6"/>
  <c r="G10" i="6" s="1"/>
  <c r="F7" i="6"/>
  <c r="F11" i="6"/>
  <c r="G11" i="6" s="1"/>
  <c r="F8" i="6"/>
  <c r="G8" i="6" s="1"/>
  <c r="F12" i="6"/>
  <c r="F5" i="6"/>
  <c r="F9" i="6"/>
  <c r="G9" i="6" s="1"/>
  <c r="F14" i="6"/>
  <c r="K14" i="6" s="1"/>
  <c r="H43" i="1"/>
  <c r="H42" i="1"/>
  <c r="N19" i="6"/>
  <c r="B20" i="6"/>
  <c r="L20" i="6" s="1"/>
  <c r="H12" i="6" l="1"/>
  <c r="G12" i="6"/>
  <c r="G13" i="6"/>
  <c r="H13" i="6"/>
  <c r="L22" i="6"/>
  <c r="K14" i="1"/>
  <c r="G40" i="1" l="1"/>
  <c r="G43" i="1"/>
  <c r="G39" i="1"/>
  <c r="G42" i="1"/>
  <c r="G38" i="1"/>
  <c r="G41" i="1"/>
  <c r="F14" i="1" l="1"/>
  <c r="F6" i="1"/>
  <c r="F5" i="1"/>
  <c r="F4" i="1"/>
  <c r="F19" i="1"/>
  <c r="D7" i="1" l="1"/>
  <c r="E21" i="1"/>
  <c r="D21" i="1"/>
  <c r="D22" i="1"/>
  <c r="D5" i="1"/>
  <c r="D6" i="1"/>
  <c r="E26" i="6"/>
  <c r="E29" i="1"/>
  <c r="F27" i="6" s="1"/>
  <c r="D20" i="1"/>
  <c r="F20" i="1"/>
  <c r="F29" i="1"/>
  <c r="F26" i="6"/>
  <c r="D19" i="1"/>
  <c r="D29" i="1"/>
  <c r="E27" i="6" s="1"/>
  <c r="E33" i="6" l="1"/>
  <c r="G33" i="6" s="1"/>
  <c r="F33" i="6"/>
  <c r="H33" i="6" s="1"/>
  <c r="E34" i="6"/>
  <c r="G34" i="6" s="1"/>
  <c r="E32" i="6"/>
  <c r="G32" i="6" s="1"/>
  <c r="E31" i="6"/>
  <c r="G31" i="6" s="1"/>
  <c r="G27" i="6"/>
  <c r="G26" i="6"/>
  <c r="D37" i="1"/>
  <c r="D7" i="6" s="1"/>
  <c r="E36" i="1"/>
  <c r="E6" i="6" s="1"/>
  <c r="G21" i="1"/>
  <c r="E22" i="1"/>
  <c r="H7" i="1"/>
  <c r="G7" i="1"/>
  <c r="H21" i="1"/>
  <c r="D36" i="1"/>
  <c r="D6" i="6" s="1"/>
  <c r="G5" i="1"/>
  <c r="E19" i="1"/>
  <c r="D35" i="1"/>
  <c r="D5" i="6" s="1"/>
  <c r="D34" i="1"/>
  <c r="D4" i="6" s="1"/>
  <c r="H29" i="1"/>
  <c r="G29" i="1"/>
  <c r="E20" i="1"/>
  <c r="G4" i="1"/>
  <c r="H4" i="1"/>
  <c r="H5" i="1"/>
  <c r="G14" i="1"/>
  <c r="H14" i="1"/>
  <c r="G6" i="1"/>
  <c r="H6" i="1"/>
  <c r="E34" i="1" l="1"/>
  <c r="E4" i="6" s="1"/>
  <c r="D14" i="6"/>
  <c r="G36" i="1"/>
  <c r="F34" i="6"/>
  <c r="H34" i="6" s="1"/>
  <c r="F32" i="6"/>
  <c r="H32" i="6" s="1"/>
  <c r="F31" i="6"/>
  <c r="H31" i="6" s="1"/>
  <c r="H26" i="6"/>
  <c r="H27" i="6"/>
  <c r="H36" i="1"/>
  <c r="H22" i="1"/>
  <c r="E37" i="1"/>
  <c r="E7" i="6" s="1"/>
  <c r="G22" i="1"/>
  <c r="H19" i="1"/>
  <c r="G19" i="1"/>
  <c r="D44" i="1"/>
  <c r="H20" i="1"/>
  <c r="E35" i="1"/>
  <c r="E5" i="6" s="1"/>
  <c r="G20" i="1"/>
  <c r="E44" i="1" l="1"/>
  <c r="H44" i="1" s="1"/>
  <c r="H34" i="1"/>
  <c r="G7" i="6"/>
  <c r="H7" i="6"/>
  <c r="G6" i="6"/>
  <c r="H6" i="6"/>
  <c r="H35" i="1"/>
  <c r="H37" i="1"/>
  <c r="G37" i="1"/>
  <c r="H5" i="6" l="1"/>
  <c r="G5" i="6"/>
  <c r="H4" i="6"/>
  <c r="E14" i="6"/>
  <c r="L14" i="6" s="1"/>
  <c r="N14" i="6" s="1"/>
  <c r="G4" i="6"/>
  <c r="G35" i="1"/>
  <c r="G44" i="1"/>
  <c r="G34" i="1"/>
  <c r="C6" i="5"/>
  <c r="C3" i="5"/>
  <c r="I10" i="5" s="1"/>
  <c r="K5" i="6" l="1"/>
  <c r="K4" i="6"/>
  <c r="K6" i="6"/>
  <c r="K11" i="6"/>
  <c r="K9" i="6"/>
  <c r="K8" i="6"/>
  <c r="K10" i="6"/>
  <c r="K13" i="6"/>
  <c r="K12" i="6"/>
  <c r="K7" i="6"/>
  <c r="G14" i="6"/>
  <c r="H14" i="6"/>
</calcChain>
</file>

<file path=xl/comments1.xml><?xml version="1.0" encoding="utf-8"?>
<comments xmlns="http://schemas.openxmlformats.org/spreadsheetml/2006/main">
  <authors>
    <author>EXTERNAL Nguyen Tuan Duong (Ban Vien, RBVH/EPS45)</author>
    <author>EXTERNAL Nguyen Trung Hieu (Ban Vien, RBVH/EPS45)</author>
    <author>EXTERNAL Nguyen Tai Hau (Ban Vien, RBVH/EPS45)</author>
  </authors>
  <commentList>
    <comment ref="A68" authorId="0" guid="{DA35FBC6-4B0E-4254-86E2-CF0C764BB76D}" shapeId="0">
      <text>
        <r>
          <rPr>
            <b/>
            <sz val="9"/>
            <color indexed="81"/>
            <rFont val="Tahoma"/>
            <family val="2"/>
          </rPr>
          <t>EXTERNAL Nguyen Tuan Duong (Ban Vien, RBVH/EPS45):</t>
        </r>
        <r>
          <rPr>
            <sz val="9"/>
            <color indexed="81"/>
            <rFont val="Tahoma"/>
            <family val="2"/>
          </rPr>
          <t xml:space="preserve">
Prj China mainstream -&gt; double effort
</t>
        </r>
      </text>
    </comment>
    <comment ref="V69" authorId="0" guid="{58E6F418-71FC-4B3B-A631-9031A0B5D56B}" shapeId="0">
      <text>
        <r>
          <rPr>
            <b/>
            <sz val="9"/>
            <color indexed="81"/>
            <rFont val="Tahoma"/>
            <family val="2"/>
          </rPr>
          <t>EXTERNAL Nguyen Tuan Duong (Ban Vien, RBVH/EPS45):</t>
        </r>
        <r>
          <rPr>
            <sz val="9"/>
            <color indexed="81"/>
            <rFont val="Tahoma"/>
            <family val="2"/>
          </rPr>
          <t xml:space="preserve">
Prj China mainstream -&gt; double effort
</t>
        </r>
      </text>
    </comment>
    <comment ref="I118" authorId="1" guid="{7F04830A-AE52-42BE-A33F-0337C69FA1AC}" shapeId="0">
      <text>
        <r>
          <rPr>
            <b/>
            <sz val="9"/>
            <color indexed="81"/>
            <rFont val="Tahoma"/>
            <family val="2"/>
          </rPr>
          <t>EXTERNAL Nguyen Trung Hieu (Ban Vien, RBVH/EPS45):</t>
        </r>
        <r>
          <rPr>
            <sz val="9"/>
            <color indexed="81"/>
            <rFont val="Tahoma"/>
            <family val="2"/>
          </rPr>
          <t xml:space="preserve">
Support for Mr Hai 20200511
</t>
        </r>
      </text>
    </comment>
    <comment ref="AD175" authorId="1" guid="{39822A39-40B6-470A-A52F-23C132D24F98}" shapeId="0">
      <text>
        <r>
          <rPr>
            <b/>
            <sz val="9"/>
            <color indexed="81"/>
            <rFont val="Tahoma"/>
            <family val="2"/>
          </rPr>
          <t>EXTERNAL Nguyen Trung Hieu (Ban Vien, RBVH/EPS45):</t>
        </r>
        <r>
          <rPr>
            <sz val="9"/>
            <color indexed="81"/>
            <rFont val="Tahoma"/>
            <family val="2"/>
          </rPr>
          <t xml:space="preserve">
Shift date, confirm by Mr. Hai
</t>
        </r>
      </text>
    </comment>
    <comment ref="I189" authorId="1" guid="{CE7781C9-202E-4266-B2D5-868E57D85244}" shapeId="0">
      <text>
        <r>
          <rPr>
            <b/>
            <sz val="9"/>
            <color indexed="81"/>
            <rFont val="Tahoma"/>
            <family val="2"/>
          </rPr>
          <t>EXTERNAL Nguyen Trung Hieu (Ban Vien, RBVH/EPS45):</t>
        </r>
        <r>
          <rPr>
            <sz val="9"/>
            <color indexed="81"/>
            <rFont val="Tahoma"/>
            <family val="2"/>
          </rPr>
          <t xml:space="preserve">
support Mr. Hai test. Assign task 16h00 20200515
</t>
        </r>
      </text>
    </comment>
    <comment ref="AD189" authorId="1" guid="{E32A2888-C152-4612-AC3F-C8C12ACEA559}" shapeId="0">
      <text>
        <r>
          <rPr>
            <b/>
            <sz val="9"/>
            <color indexed="81"/>
            <rFont val="Tahoma"/>
            <family val="2"/>
          </rPr>
          <t>EXTERNAL Nguyen Trung Hieu (Ban Vien, RBVH/EPS45):</t>
        </r>
        <r>
          <rPr>
            <sz val="9"/>
            <color indexed="81"/>
            <rFont val="Tahoma"/>
            <family val="2"/>
          </rPr>
          <t xml:space="preserve">
Shift date confirm by Mr. Hai
</t>
        </r>
      </text>
    </comment>
    <comment ref="I191" authorId="1" guid="{381E2CAD-A94E-460A-A315-D40EA4E2D102}" shapeId="0">
      <text>
        <r>
          <rPr>
            <b/>
            <sz val="9"/>
            <color indexed="81"/>
            <rFont val="Tahoma"/>
            <family val="2"/>
          </rPr>
          <t>EXTERNAL Nguyen Trung Hieu (Ban Vien, RBVH/EPS45):</t>
        </r>
        <r>
          <rPr>
            <sz val="9"/>
            <color indexed="81"/>
            <rFont val="Tahoma"/>
            <family val="2"/>
          </rPr>
          <t xml:space="preserve">
Please get high priory for CNMS_UT task because it need to release on 12.May.2020
</t>
        </r>
      </text>
    </comment>
    <comment ref="N196" authorId="2" guid="{A0230EDC-AFC0-4A53-A035-A55043B11533}" shapeId="0">
      <text>
        <r>
          <rPr>
            <b/>
            <sz val="9"/>
            <color indexed="81"/>
            <rFont val="Tahoma"/>
            <family val="2"/>
          </rPr>
          <t>EXTERNAL Nguyen Tai Hau (Ban Vien, RBVH/EPS45):</t>
        </r>
        <r>
          <rPr>
            <sz val="9"/>
            <color indexed="81"/>
            <rFont val="Tahoma"/>
            <family val="2"/>
          </rPr>
          <t xml:space="preserve">
FAW_L3_MainPath_HevX_Int_N confirm with Tran Hoang Hai
</t>
        </r>
      </text>
    </comment>
  </commentList>
</comments>
</file>

<file path=xl/comments2.xml><?xml version="1.0" encoding="utf-8"?>
<comments xmlns="http://schemas.openxmlformats.org/spreadsheetml/2006/main">
  <authors>
    <author>EXTERNAL Nguyen Trung Hieu (Ban Vien, RBVH/EPS45)</author>
  </authors>
  <commentList>
    <comment ref="C146" authorId="0" guid="{1E3C9B88-D83D-4526-B15D-BEE600BECD71}" shapeId="0">
      <text>
        <r>
          <rPr>
            <b/>
            <sz val="9"/>
            <color indexed="81"/>
            <rFont val="Tahoma"/>
            <family val="2"/>
          </rPr>
          <t>EXTERNAL Nguyen Trung Hieu (Ban Vien, RBVH/EPS45):</t>
        </r>
        <r>
          <rPr>
            <sz val="9"/>
            <color indexed="81"/>
            <rFont val="Tahoma"/>
            <family val="2"/>
          </rPr>
          <t xml:space="preserve">
Support testing on 20200519
</t>
        </r>
      </text>
    </comment>
  </commentList>
</comments>
</file>

<file path=xl/sharedStrings.xml><?xml version="1.0" encoding="utf-8"?>
<sst xmlns="http://schemas.openxmlformats.org/spreadsheetml/2006/main" count="7647" uniqueCount="1027">
  <si>
    <t>No</t>
  </si>
  <si>
    <t>Type</t>
  </si>
  <si>
    <t>ASW</t>
  </si>
  <si>
    <t>PSW</t>
  </si>
  <si>
    <t>No\Type</t>
  </si>
  <si>
    <t>Member</t>
  </si>
  <si>
    <t>hieu.nguyen-trung</t>
  </si>
  <si>
    <t>TaskGroup</t>
  </si>
  <si>
    <t>Tester</t>
  </si>
  <si>
    <t>1. Test Design (.xls)
2. Plot File (.plt)
3. ATT project
4. Coverage Log</t>
  </si>
  <si>
    <t>1. TPA file (.tpa)
2. test report (.html)
3. test report (.xml)
4. test summary (.html)
5. File Coverage Fail Reason (.xls)</t>
  </si>
  <si>
    <t>KPI Table</t>
  </si>
  <si>
    <t>Start</t>
  </si>
  <si>
    <t>End</t>
  </si>
  <si>
    <t>C0</t>
  </si>
  <si>
    <t>C1</t>
  </si>
  <si>
    <t>MCDC</t>
  </si>
  <si>
    <t>Status</t>
  </si>
  <si>
    <t>Ready for review</t>
  </si>
  <si>
    <t>Status Table</t>
  </si>
  <si>
    <t>N/A</t>
  </si>
  <si>
    <t>Ready for PLC</t>
  </si>
  <si>
    <t>KPI/days</t>
  </si>
  <si>
    <t>Ongoing</t>
  </si>
  <si>
    <t>Status (%)</t>
  </si>
  <si>
    <t>#</t>
  </si>
  <si>
    <t>Types</t>
  </si>
  <si>
    <t>Assigned ELOCs</t>
  </si>
  <si>
    <t>Completed ELOCs</t>
  </si>
  <si>
    <t>Status (%)
(Completed/Assigned)</t>
  </si>
  <si>
    <t>Total Days</t>
  </si>
  <si>
    <t>External Name</t>
  </si>
  <si>
    <t>PSW
ELOCs</t>
  </si>
  <si>
    <t>ASW
ELOCs</t>
  </si>
  <si>
    <t>3. Risks/ Pending Issues:</t>
  </si>
  <si>
    <t>Risks/ Issues</t>
  </si>
  <si>
    <t>Num of Day</t>
  </si>
  <si>
    <t>Detail</t>
  </si>
  <si>
    <t>Date</t>
  </si>
  <si>
    <t>Note:</t>
  </si>
  <si>
    <t>PSW: 450 ELOCs</t>
  </si>
  <si>
    <t>Productivity of each Member per Day</t>
  </si>
  <si>
    <t>Total Productivity per Month</t>
  </si>
  <si>
    <t>PSW: 450x4x20 = 36,000 ELOCs</t>
  </si>
  <si>
    <t>ASW: 130x4x20 = 10,400 ELOCs</t>
  </si>
  <si>
    <t>Table Type of Testing</t>
  </si>
  <si>
    <t>Table Tester</t>
  </si>
  <si>
    <t>Detail Output</t>
  </si>
  <si>
    <t>ATT</t>
  </si>
  <si>
    <t>Cantata</t>
  </si>
  <si>
    <t>Tool</t>
  </si>
  <si>
    <t>Table KPI ASW</t>
  </si>
  <si>
    <t>Table KPI PSW</t>
  </si>
  <si>
    <t>LOC Complete</t>
  </si>
  <si>
    <t>Actual hour</t>
  </si>
  <si>
    <t>Task Jira</t>
  </si>
  <si>
    <t>Project</t>
  </si>
  <si>
    <t>ComponentName</t>
  </si>
  <si>
    <t>ItemName</t>
  </si>
  <si>
    <t>Planned Start</t>
  </si>
  <si>
    <t>Planned End</t>
  </si>
  <si>
    <t>-</t>
  </si>
  <si>
    <t>ItemRevision</t>
  </si>
  <si>
    <t>Package</t>
  </si>
  <si>
    <t>hau.nguyen-tai</t>
  </si>
  <si>
    <t>bang.nguyen-duy</t>
  </si>
  <si>
    <t>dac.luu-cong</t>
  </si>
  <si>
    <t>duong.nguyen</t>
  </si>
  <si>
    <t>loc.do-phu</t>
  </si>
  <si>
    <t>thanh.nguyen-kim</t>
  </si>
  <si>
    <t>chung.ly</t>
  </si>
  <si>
    <t>Database</t>
  </si>
  <si>
    <t>BB</t>
  </si>
  <si>
    <t>Ready for delivery</t>
  </si>
  <si>
    <t>Complete &amp; Closed</t>
  </si>
  <si>
    <t>ELOC Assigned</t>
  </si>
  <si>
    <t>ELOC Recheck With Tool</t>
  </si>
  <si>
    <t>Status Result</t>
  </si>
  <si>
    <t>PeerReviewer</t>
  </si>
  <si>
    <t>Estimation base TOOL</t>
  </si>
  <si>
    <t>Owner Contact</t>
  </si>
  <si>
    <t>Remark</t>
  </si>
  <si>
    <t>Please ensure your push correct the Package name with the TaskGroup</t>
  </si>
  <si>
    <t xml:space="preserve">+ Location for delivery to internal team: </t>
  </si>
  <si>
    <t>Location</t>
  </si>
  <si>
    <t>\\hc-ut40745c\Ban_Vien_external\Release\Gen_9.3</t>
  </si>
  <si>
    <t>+ Location Internal Project:</t>
  </si>
  <si>
    <t>\\hc-ut40346c\NHI5HC\hieunguyen\0000_Project</t>
  </si>
  <si>
    <t>\\hc-ut40346c\NHI5HC\hieunguyen\0000_Project\001_Prj\01_COEM\01_Output_Package</t>
  </si>
  <si>
    <t>+ Location Internal Your Output:</t>
  </si>
  <si>
    <t>+ Location Internal Your Release Output:</t>
  </si>
  <si>
    <t>\\hc-ut40346c\NHI5HC\hieunguyen\0000_Project\001_Prj\01_COEM\02_Release_Package</t>
  </si>
  <si>
    <t>Status Review</t>
  </si>
  <si>
    <t>Pending for OPL</t>
  </si>
  <si>
    <t>MT_016</t>
  </si>
  <si>
    <t>MT_018</t>
  </si>
  <si>
    <t>MT_032</t>
  </si>
  <si>
    <t>T501</t>
  </si>
  <si>
    <t>T500</t>
  </si>
  <si>
    <t>T502</t>
  </si>
  <si>
    <t>ASW: 130 ELOCs</t>
  </si>
  <si>
    <t>Task Group</t>
  </si>
  <si>
    <t>Effort (days)</t>
  </si>
  <si>
    <t>UT_Status</t>
  </si>
  <si>
    <t>EXTERNAL Nguyen Trung Hieu (Ban Vien, RBVH/EPS45)</t>
  </si>
  <si>
    <t>Done</t>
  </si>
  <si>
    <t>EXTERNAL Nguyen Tai Hau (Ban Vien, RBVH/EPS45)</t>
  </si>
  <si>
    <t>EXTERNAL Nguyen Duy Bang (Ban Vien, RBVH/EPS45)</t>
  </si>
  <si>
    <t>EXTERNAL Luu Cong Dac (Ban Vien, RBVH/EPS45)</t>
  </si>
  <si>
    <t>Total</t>
  </si>
  <si>
    <t>Judge Total KPI</t>
  </si>
  <si>
    <t>Duration</t>
  </si>
  <si>
    <t>MT_Needed</t>
  </si>
  <si>
    <t>MT_Number</t>
  </si>
  <si>
    <t>How to fill status</t>
  </si>
  <si>
    <t>Status: Passed/Failed</t>
  </si>
  <si>
    <t>Test_Result: Ready for review</t>
  </si>
  <si>
    <t>Nguyen Trung Hieu</t>
  </si>
  <si>
    <t>Nguyen Tai Hau</t>
  </si>
  <si>
    <t>Nguyen Duy Bang</t>
  </si>
  <si>
    <t>Luu Cong Dac</t>
  </si>
  <si>
    <t>New</t>
  </si>
  <si>
    <t>17h00</t>
  </si>
  <si>
    <t>Time</t>
  </si>
  <si>
    <t>days</t>
  </si>
  <si>
    <t>Assigned
ELOCs</t>
  </si>
  <si>
    <t>Completed
ELOCs</t>
  </si>
  <si>
    <t>Effort
(days)</t>
  </si>
  <si>
    <t>Actual Effort
(days)</t>
  </si>
  <si>
    <t>Loc Assigned</t>
  </si>
  <si>
    <t>Brief Description:</t>
  </si>
  <si>
    <t>9h00</t>
  </si>
  <si>
    <t>12h00</t>
  </si>
  <si>
    <t>Duration (Plan)</t>
  </si>
  <si>
    <t>Duration (Actual)</t>
  </si>
  <si>
    <t>- No comment</t>
  </si>
  <si>
    <t>Actual Effort (days)</t>
  </si>
  <si>
    <t>Num of OPLs</t>
  </si>
  <si>
    <t>Num of Defects</t>
  </si>
  <si>
    <t>Effort PSW (days)</t>
  </si>
  <si>
    <t>Effort ASW
(days)</t>
  </si>
  <si>
    <t>T503</t>
  </si>
  <si>
    <t>MT_001</t>
  </si>
  <si>
    <t>1.2</t>
  </si>
  <si>
    <t>13h00</t>
  </si>
  <si>
    <t>Holidays</t>
  </si>
  <si>
    <t>Reason for Fail Testcase</t>
  </si>
  <si>
    <t>Reason For code coverage</t>
  </si>
  <si>
    <t>ToyotaCMP</t>
  </si>
  <si>
    <t>OPL</t>
  </si>
  <si>
    <t>Summary</t>
  </si>
  <si>
    <t>rba_BldrBCL_AESHandler</t>
  </si>
  <si>
    <t>rba_BldrCmp_Cfg_TestServices</t>
  </si>
  <si>
    <t>rba_BldrCmp_Cfg_TestStackEval</t>
  </si>
  <si>
    <t>rba_BldrMemCpy</t>
  </si>
  <si>
    <t>rba_BldrCMP_27SecurityAccess</t>
  </si>
  <si>
    <t>huy.do-anh</t>
  </si>
  <si>
    <t>phuong.nguyen-thanh</t>
  </si>
  <si>
    <t>TaskID</t>
  </si>
  <si>
    <t>Type of Comment</t>
  </si>
  <si>
    <t>OPL/Defect</t>
  </si>
  <si>
    <t>Auto</t>
  </si>
  <si>
    <t>Baseline</t>
  </si>
  <si>
    <t>Type of OPL/Defect</t>
  </si>
  <si>
    <t>Defect</t>
  </si>
  <si>
    <t>None</t>
  </si>
  <si>
    <t>10h00</t>
  </si>
  <si>
    <t>MA Python (CC-AS/EVA-SW31-CN)</t>
  </si>
  <si>
    <t>RBVAR_VarCode_PROJECT.c</t>
  </si>
  <si>
    <t>206370_BYD_ESP9.3_New_Hybrid_MS15.1_BSS18</t>
  </si>
  <si>
    <t>BL04</t>
  </si>
  <si>
    <t>BSS03</t>
  </si>
  <si>
    <t>rba_BldrCmp_Cfg_FlashIf.c</t>
  </si>
  <si>
    <t>rba_BldrCmp_Cfg_Functions.c</t>
  </si>
  <si>
    <t>rba_BldrCmp_Cfg_SecA.c</t>
  </si>
  <si>
    <t>GAC_ESPHevX_HADHAP_Int</t>
  </si>
  <si>
    <t>rba_BldrCmp_Cfg_CheckMem.c</t>
  </si>
  <si>
    <t>rba_BldrCmp_Cfg_NvmIf.c</t>
  </si>
  <si>
    <t>rba_BldrCmp_Cfg_PrjFunctions.c</t>
  </si>
  <si>
    <t>Nguyen Thanh Phuong</t>
  </si>
  <si>
    <t>Do Anh Huy</t>
  </si>
  <si>
    <t>RBVAR_OutputDriver_PROJECT.c</t>
  </si>
  <si>
    <t>RBVAR_IDDefinitionTable_PROJECT.c</t>
  </si>
  <si>
    <t>RBVAR_SystemStateManagement_PROJECT.c</t>
  </si>
  <si>
    <t>Release Date</t>
  </si>
  <si>
    <t>JOEM</t>
  </si>
  <si>
    <t>COEM</t>
  </si>
  <si>
    <t>Total Package for all JOEM, COEM</t>
  </si>
  <si>
    <t>PSW: 45000 ELOCS</t>
  </si>
  <si>
    <t>ASW: 13000 ELOCS</t>
  </si>
  <si>
    <t>Nguyen Tuan Duong</t>
  </si>
  <si>
    <t>Do Phu Loc</t>
  </si>
  <si>
    <t>Nguyen Kim Thanh</t>
  </si>
  <si>
    <t>Ly Chung</t>
  </si>
  <si>
    <t>1.0.847.0</t>
  </si>
  <si>
    <t>1.4.847.0</t>
  </si>
  <si>
    <t>1.19.118.1</t>
  </si>
  <si>
    <t>3.5.118.0</t>
  </si>
  <si>
    <t>Delta/New</t>
  </si>
  <si>
    <t>MT_122</t>
  </si>
  <si>
    <t>MT_123</t>
  </si>
  <si>
    <t>MT_124</t>
  </si>
  <si>
    <t>MT_125</t>
  </si>
  <si>
    <t>MT_126</t>
  </si>
  <si>
    <t>MT_127</t>
  </si>
  <si>
    <t>MT_042</t>
  </si>
  <si>
    <t>MT_044</t>
  </si>
  <si>
    <t>MT_045</t>
  </si>
  <si>
    <t>MT_072</t>
  </si>
  <si>
    <t>MT_073</t>
  </si>
  <si>
    <t>MT_074</t>
  </si>
  <si>
    <t>MT_075</t>
  </si>
  <si>
    <t>MT_076</t>
  </si>
  <si>
    <t>MT_077</t>
  </si>
  <si>
    <t>MT_078</t>
  </si>
  <si>
    <t>MT_079</t>
  </si>
  <si>
    <t>MT_080</t>
  </si>
  <si>
    <t>MT_081</t>
  </si>
  <si>
    <t>MT_082</t>
  </si>
  <si>
    <t>MT_083</t>
  </si>
  <si>
    <t>MT_084</t>
  </si>
  <si>
    <t>MT_085</t>
  </si>
  <si>
    <t>MT_086</t>
  </si>
  <si>
    <t>MT_087</t>
  </si>
  <si>
    <t>MT_088</t>
  </si>
  <si>
    <t>MT_089</t>
  </si>
  <si>
    <t>MT_090</t>
  </si>
  <si>
    <t>MT_091</t>
  </si>
  <si>
    <t>MT_092</t>
  </si>
  <si>
    <t>MT_093</t>
  </si>
  <si>
    <t>MT_094</t>
  </si>
  <si>
    <t>MT_095</t>
  </si>
  <si>
    <t>MT_096</t>
  </si>
  <si>
    <t>MT_097</t>
  </si>
  <si>
    <t>MT_098</t>
  </si>
  <si>
    <t>MT_099</t>
  </si>
  <si>
    <t>MT_100</t>
  </si>
  <si>
    <t>MT_101</t>
  </si>
  <si>
    <t>MT_102</t>
  </si>
  <si>
    <t>MT_103</t>
  </si>
  <si>
    <t>MT_104</t>
  </si>
  <si>
    <t>MT_105</t>
  </si>
  <si>
    <t>MT_106</t>
  </si>
  <si>
    <t>MT_108</t>
  </si>
  <si>
    <t>MT_109</t>
  </si>
  <si>
    <t>MT_110</t>
  </si>
  <si>
    <t>MT_111</t>
  </si>
  <si>
    <t>MT_112</t>
  </si>
  <si>
    <t>MT_114</t>
  </si>
  <si>
    <t>MT_115</t>
  </si>
  <si>
    <t>MT_116</t>
  </si>
  <si>
    <t>MT_117</t>
  </si>
  <si>
    <t>MT_118</t>
  </si>
  <si>
    <t>MT_119</t>
  </si>
  <si>
    <t>MT_120</t>
  </si>
  <si>
    <t>MT_021</t>
  </si>
  <si>
    <t>rb.as.core.app.asw.ldm.lfc</t>
  </si>
  <si>
    <t>rb.as.core.app.asw.tcs.leantcs20msvse</t>
  </si>
  <si>
    <t>rb.as.toy.cmp.app.asw.custtarball</t>
  </si>
  <si>
    <t>rba.as.Bldr.toy_Phase5</t>
  </si>
  <si>
    <t>Toyota_ACC_BrkStop_HSVPreOpen</t>
  </si>
  <si>
    <t>Toyota_SSM_vhcRolloutpTarCalc</t>
  </si>
  <si>
    <t>TCS_StallDet</t>
  </si>
  <si>
    <t>Toyota_DMS_ModeEsp_MUD_SAND</t>
  </si>
  <si>
    <t>Toyota_DMS_ModeEsp_ROCK_DIRT</t>
  </si>
  <si>
    <t>LDI_ACT_InputActivation</t>
  </si>
  <si>
    <t>CubasAdapter</t>
  </si>
  <si>
    <t>DcmAppl_DcmConfirmation</t>
  </si>
  <si>
    <t>DcmAppl_DcmConfirmation_GeneralReject</t>
  </si>
  <si>
    <t>DcmAppl_DcmIgnoreNRC21AndResetS3Timer</t>
  </si>
  <si>
    <t>DcmAppl_DcmSesCtrlChangeIndication</t>
  </si>
  <si>
    <t>DcmAppl_DcmStartProtocol</t>
  </si>
  <si>
    <t>DcmAppl_DcmStopProtocol</t>
  </si>
  <si>
    <t>DcmAppl_UserServiceModeRuleService</t>
  </si>
  <si>
    <t>det</t>
  </si>
  <si>
    <t>Gpt</t>
  </si>
  <si>
    <t>Gpt_Cfg</t>
  </si>
  <si>
    <t>HWPStubs</t>
  </si>
  <si>
    <t>OsStubs</t>
  </si>
  <si>
    <t>rba_Bldr_main</t>
  </si>
  <si>
    <t>rba_BldrBCL_Cfg_Drbg_Sp800d90HashCalv00</t>
  </si>
  <si>
    <t>rba_BldrCmp_10DiagnosticSessionControl</t>
  </si>
  <si>
    <t>rba_BldrCmp_11EcuReset</t>
  </si>
  <si>
    <t>rba_BldrCmp_22ReadDataByIdentifier</t>
  </si>
  <si>
    <t>rba_BldrCmp_28CommunicationControl</t>
  </si>
  <si>
    <t>rba_BldrCmp_2EWriteDataByIdentifier</t>
  </si>
  <si>
    <t>rba_BldrCmp_31RoutineControl</t>
  </si>
  <si>
    <t>rba_BldrCmp_31RoutineControl_Chkmem</t>
  </si>
  <si>
    <t>rba_BldrCmp_31RoutineControl_Chkpd</t>
  </si>
  <si>
    <t>rba_BldrCmp_31RoutineControl_Er</t>
  </si>
  <si>
    <t>rba_BldrCmp_34RequestDownload</t>
  </si>
  <si>
    <t>rba_BldrCmp_36TransferData</t>
  </si>
  <si>
    <t>rba_BldrCmp_37RequestTransferExit</t>
  </si>
  <si>
    <t>rba_BldrCmp_85ControlDTCSettings</t>
  </si>
  <si>
    <t>rba_BldrCmp</t>
  </si>
  <si>
    <t>rba_BldrCmp_Cfg_CheckMem</t>
  </si>
  <si>
    <t>rba_BldrCmp_Cfg_Com</t>
  </si>
  <si>
    <t>rba_BldrCmp_Cfg_Execute_ChkMemTask</t>
  </si>
  <si>
    <t>rba_BldrCmp_Cfg_FlashIf</t>
  </si>
  <si>
    <t>rba_BldrCmp_Cfg_Functions</t>
  </si>
  <si>
    <t>rba_BldrCmp_Cfg_NvmIf</t>
  </si>
  <si>
    <t>rba_BldrCmp_Cfg_PrjFunctions</t>
  </si>
  <si>
    <t>rba_BldrCmp_Cfg_SyncFEEWrapper</t>
  </si>
  <si>
    <t>rba_BldrCmp_Cfg_TestServices_TaskMon</t>
  </si>
  <si>
    <t>rba_BldrCmp_DataHdl</t>
  </si>
  <si>
    <t>rba_BldrCmp_LogBlkHdl</t>
  </si>
  <si>
    <t>rba_BldrCmp_ServiceCondCheck</t>
  </si>
  <si>
    <t>rba_BldrCmp_Task_SADelayTimer</t>
  </si>
  <si>
    <t>rba_BldrFls</t>
  </si>
  <si>
    <t>rba_BldrFlsDrv</t>
  </si>
  <si>
    <t>rba_BldrFlsDrv_Cfg</t>
  </si>
  <si>
    <t>rba_BldrMTC10Consistency</t>
  </si>
  <si>
    <t>rba_BldrOs</t>
  </si>
  <si>
    <t>rba_BldrSrvStHdl</t>
  </si>
  <si>
    <t>rba_BldrSVM</t>
  </si>
  <si>
    <t>rba_Bmgr_main</t>
  </si>
  <si>
    <t>CSMosarASWMainstream93_TMC_847B</t>
  </si>
  <si>
    <t>Contact point: Praggya Ashok Kumar (RBEI/ESJ-ATO) AshokKumar.Praggya@in.bosch.com . Desai Nagaraj (CC-AS/ESJ3-JP) NagarajBasappa.Desai@in.bosch.com</t>
  </si>
  <si>
    <t>1st May</t>
  </si>
  <si>
    <t>GEELY_FE-3AH_CB_CSIS241976_BSS03</t>
  </si>
  <si>
    <t>228771_SAIC EP22 X1 &amp; IP31E w/o_DA ESPHevX BSS04_SP01</t>
  </si>
  <si>
    <t>GAC_220680_Carbon_A18_ESPHevx_FPA/RPA_BL04</t>
  </si>
  <si>
    <t>rba_sbl_main.c</t>
  </si>
  <si>
    <t>BB81720</t>
  </si>
  <si>
    <t>BB80912</t>
  </si>
  <si>
    <t>BB81182</t>
  </si>
  <si>
    <t>BYD_ESP93_Int</t>
  </si>
  <si>
    <t>SAIC_EP_CMP_ESPHevX_Int</t>
  </si>
  <si>
    <t>Deepika Rangarajan (RBEI/EBB7)</t>
  </si>
  <si>
    <t>SONG Yaping (CC-AS/EVA-SW3-CN)</t>
  </si>
  <si>
    <t>CHEN Xiaomin (CC-AS/EVA-SW31-CN)</t>
  </si>
  <si>
    <t>BSS04_SP01</t>
  </si>
  <si>
    <t>Team size</t>
  </si>
  <si>
    <t>Geely_FE3AH_CB_Carbon_Int</t>
  </si>
  <si>
    <t>BSS18</t>
  </si>
  <si>
    <t>OK</t>
  </si>
  <si>
    <t>NG</t>
  </si>
  <si>
    <t>Team:</t>
  </si>
  <si>
    <t>MC_239507_SGMW_CN210S_PHEV_ESP9.3CPi_BSS03_SP1</t>
  </si>
  <si>
    <t>GAC_Carbon_Stream_ESPCP_BL05</t>
  </si>
  <si>
    <t>BSS03_SP1</t>
  </si>
  <si>
    <t>BL05</t>
  </si>
  <si>
    <t>BAO Eric (CC-AS/EVA-SW32-CN)</t>
  </si>
  <si>
    <t>ZHANG Yu (CC-AS/EVA-SW31-CN)</t>
  </si>
  <si>
    <t>ZHOU Xiaoxi (CC-AS/EVA-SW31-CN)</t>
  </si>
  <si>
    <t>BB81377</t>
  </si>
  <si>
    <t>BB81116 / BB81175</t>
  </si>
  <si>
    <t>SGMW_ESP93_Carbon_Int</t>
  </si>
  <si>
    <t>GAC_ESP93CP_Carbon_Int</t>
  </si>
  <si>
    <t>SGMW_RBA_NDS_SystemInfo_Callout.c</t>
  </si>
  <si>
    <t>NET_SCL_Rx_SGMW_RemoteControl.c</t>
  </si>
  <si>
    <t>NET_SCL_Rx_GearBox.c</t>
  </si>
  <si>
    <t>RBNET_ESPiB_Monitoring.c</t>
  </si>
  <si>
    <t>Manual</t>
  </si>
  <si>
    <t>216916_FAW_E115_L3_ESPhev_APB(CBi)_BL60</t>
  </si>
  <si>
    <t>Carbon RPA</t>
  </si>
  <si>
    <t>CNMS_226315_HevX_RPA_BL03SP03</t>
  </si>
  <si>
    <t>FAW_RBF_usedBrakeChannel</t>
  </si>
  <si>
    <t>RBAPLCUST_InputOutputControl.c</t>
  </si>
  <si>
    <t xml:space="preserve">VlcLsm_InitialMnvrStartIndcn_ReleasePLock </t>
  </si>
  <si>
    <t xml:space="preserve">VlcLsm_DrvDirChangeSftyEval </t>
  </si>
  <si>
    <t xml:space="preserve">VlcLsm_InitialMnvrStartIndcn </t>
  </si>
  <si>
    <t>1.2.147.1</t>
  </si>
  <si>
    <t>1.0.147.1</t>
  </si>
  <si>
    <t>1.5.147.0</t>
  </si>
  <si>
    <t>1.0</t>
  </si>
  <si>
    <t>RBF_Main_ECU_CSW_BB00001.axl</t>
  </si>
  <si>
    <t>JI Xin (CC-AS/EYB1-CN)</t>
  </si>
  <si>
    <t>LU Martin (CC-AS/ESW2-CN)</t>
  </si>
  <si>
    <t>YU Yichi (CC/PJ-AD-EYM-CN)</t>
  </si>
  <si>
    <t>XE431RC ABS10.3ME</t>
  </si>
  <si>
    <t>CubasAdapter.c</t>
  </si>
  <si>
    <t>Fls_Cfg.c</t>
  </si>
  <si>
    <t>HWPStubs.c</t>
  </si>
  <si>
    <t>rba_Bldr_main.c</t>
  </si>
  <si>
    <t>rba_BldrCmp_10DiagnosticSessionControl.c</t>
  </si>
  <si>
    <t>rba_BldrCmp_11EcuReset.c</t>
  </si>
  <si>
    <t>rba_BldrCmp_18ReadDTCByStatus.c</t>
  </si>
  <si>
    <t>rba_BldrCmp_1AReadECUIdentification.c</t>
  </si>
  <si>
    <t>rba_BldrCmp_20StopDiagnosticSessionControl.c</t>
  </si>
  <si>
    <t>rba_BldrCMP_27SecurityAccess.c</t>
  </si>
  <si>
    <t>rba_BldrCmp_34RequestDownload.c</t>
  </si>
  <si>
    <t>rba_BldrCmp_36TransferData.c</t>
  </si>
  <si>
    <t>rba_BldrCmp_37RequestTransferExit.c</t>
  </si>
  <si>
    <t>rba_BldrCmp_3BWriteDataByLocalIdentifier.c</t>
  </si>
  <si>
    <t>rba_BldrCmp_3ETesterPresent.c</t>
  </si>
  <si>
    <t>rba_BldrCmp_4D4NMHandler.c</t>
  </si>
  <si>
    <t>rba_BldrCmp.c</t>
  </si>
  <si>
    <t>rba_BldrCmp_Cfg_Com.c</t>
  </si>
  <si>
    <t>rba_BldrCmp_Cfg_SyncEaWrapper.c</t>
  </si>
  <si>
    <t>rba_BldrCmp_Cfg_SyncFEEWrapper.c</t>
  </si>
  <si>
    <t>rba_BldrCmp_Cfg_TestServices.c</t>
  </si>
  <si>
    <t>rba_BldrCmp_Cfg_TestServices_SVM.c</t>
  </si>
  <si>
    <t>rba_BldrCmp_Cfg_TestServices_TaskMon.c</t>
  </si>
  <si>
    <t>rba_BldrCmp_CheckMemTask.c</t>
  </si>
  <si>
    <t>rba_BldrCmp_DataHdl.c</t>
  </si>
  <si>
    <t>rba_BldrCmp_LogBlkHdl.c</t>
  </si>
  <si>
    <t>rba_BldrCmp_ServiceCondCheck.c</t>
  </si>
  <si>
    <t>rba_BldrCmp_Task_SADelayTimer.c</t>
  </si>
  <si>
    <t>rba_BldrFlsDrv_Cfg.c</t>
  </si>
  <si>
    <t>rba_BldrMemCpy.c</t>
  </si>
  <si>
    <t>rba_BldrSVM.c</t>
  </si>
  <si>
    <t>rba_Bmgr_main.c</t>
  </si>
  <si>
    <t>Nguyen Minh Khoi (RBVH/EJV42)</t>
  </si>
  <si>
    <t>1. Completed ELOCs of the team from the beginning of Month till Now:</t>
  </si>
  <si>
    <t>2. Completed ELOCs of each member from the beginning of Month till Now:</t>
  </si>
  <si>
    <t>4. Found Defects/ OPLs in Month:</t>
  </si>
  <si>
    <t>5. Leave Plan:</t>
  </si>
  <si>
    <t>Can’t cover MCDC for case T-F-X of condition at line#12, because it conflict with condition at line#4.</t>
  </si>
  <si>
    <t>at line 71 &amp; line 99 cannot cover channel_en &gt; Gpt_NoOfChannels, because program use channel_en to access array which maximum elements equal to Gpt_NoOfChannels ( line 69 &amp; 97)</t>
  </si>
  <si>
    <t>at line 109 is a infinit loop (for (;;))</t>
  </si>
  <si>
    <t xml:space="preserve">because statement return; at line 70 =&gt; all line above line 70 can not reach 
</t>
  </si>
  <si>
    <t>NA</t>
  </si>
  <si>
    <t>at line 124, 127 Variable NRC_u8 always equal to  0x00</t>
  </si>
  <si>
    <t>Param1D can't cover full C0, C1</t>
  </si>
  <si>
    <t>Param1D can't cover full C0, C1
Can't cover limit assignment to t_Stall for out max vaule at line #35. Because of the condition "t_Stall &gt;= (P_TCS_dT_Stall - P_dT_TCS)" at line #26 is false =&gt; at line #35 "t_Stall += P_dT_TCS" =&gt; "t_Stall &lt; (P_TCS_dT_Stall - P_dT_TCS) + P_dT_TCS" &lt;=&gt; ""t_Stall &lt; P_TCS_dT_Stall" &lt;=&gt; "t_Stall &lt; 0.2"</t>
  </si>
  <si>
    <t xml:space="preserve"> Can't cover true case of if(DRBG_ok[2] == E_OK) at line #742 because DRBG_ok is out of range</t>
  </si>
  <si>
    <t>Refer</t>
  </si>
  <si>
    <t>No function to test</t>
  </si>
  <si>
    <t>CNMS_ESP_Carbon_Int</t>
  </si>
  <si>
    <t>2WP_ABS10.3ME_SUZUKI_XE431_Carbon_Migration_Stream</t>
  </si>
  <si>
    <t>-Duplicate Condition</t>
  </si>
  <si>
    <t>Can't cover true case of if (*length_pu16 &gt; maxLength_u16) at line #98 because *length_pu16 is always equal to 0x00. Can't cover false case of if (retValue == E_OK) at line #216 because retValue is always equal to E_OK</t>
  </si>
  <si>
    <t>GWM CHB027 RC3 ESP9.3</t>
  </si>
  <si>
    <t>DFN_ESP_Gen9.3_534_238307_BS03SP03</t>
  </si>
  <si>
    <t>GWM_NET_SCL_Rx_SCM.c</t>
  </si>
  <si>
    <t>BSS04SP4</t>
  </si>
  <si>
    <t>BL03</t>
  </si>
  <si>
    <t>BB81615</t>
  </si>
  <si>
    <t>GWM_CP_RBVH_Stream_Int</t>
  </si>
  <si>
    <t>AEB_ECU_CSW_BB00001</t>
  </si>
  <si>
    <t>4.2.1.0</t>
  </si>
  <si>
    <t>Ngo Nhat Tan (RBVH/EAS12)</t>
  </si>
  <si>
    <t>LI Ranran (CC-AS/EVA-SW2-CN)</t>
  </si>
  <si>
    <t>Can't cover true case of while (jobResult == MEMIF_JOB_PENDING) at line # 272, Can't cover false case of if (jobResult == MEMIF_JOB_OK) at line #275</t>
  </si>
  <si>
    <t>Actual LOC is 278, not 34</t>
  </si>
  <si>
    <t>Can't cover false case of if ((nvmif_b == TRUE)&amp;&amp; (rba_BldrCmp_WDBI_ListIdx_u8&lt;RBA_BLDRCMP_WDBI_NoWriteDidByNvmidListEntries)) at line # 146</t>
  </si>
  <si>
    <t>Can’t cover for true case of condition at line#88, because it have a forever loop at line#167.</t>
  </si>
  <si>
    <t>Owner confirm this file will be remove in the task</t>
  </si>
  <si>
    <t>- Condition always true</t>
  </si>
  <si>
    <t>- Can't cover for function Std_ReturnType rba_BldrCmp_Cfg_CheckMem_Init(rba_BldrCmp_Check_tst* rba_BldrCmp_Check_pst).
- Owner confirms that we can ignore it.</t>
  </si>
  <si>
    <t>VlcLsm_ParkLockSafetyEval</t>
  </si>
  <si>
    <t>AEB_DriverAccelerates</t>
  </si>
  <si>
    <t>- Tool issue.</t>
  </si>
  <si>
    <t>can not cover false case at line 69 because limited loop at line 62</t>
  </si>
  <si>
    <t>cannot cover false case at line 180 because endOfStack always greater than 4000 at line 152, 157
cannot cover false case at line 97 and 109 because limited at line 94 and 106</t>
  </si>
  <si>
    <t>at line 210 cannot cover false case because rba_BldrCmp_LogicalBlockTable_pst[i].ConsistencyRelevant always equal to TRUE (const)</t>
  </si>
  <si>
    <t>- Can't cover for function Std_ReturnType rba_BldrFlsDrv_Cfg_Write (void) because address of canCore_pvst and  txbufflocal_pvst are fixed.</t>
  </si>
  <si>
    <t>Owner confirm it's no impact</t>
  </si>
  <si>
    <t>Geely_FE3AH_CB_Carbon_Int\MainstreamF30\rba\Bldr\config\ApplicationLayer\rba_BldrCmp\src\rba_BldrCmp_Cfg_CheckMem.c</t>
  </si>
  <si>
    <t>Geely_FE3AH_CB_Carbon_Int\MainstreamF30\rba\Bldr\config\ApplicationLayer\rba_BldrCmp\src\rba_BldrCmp_Cfg_FlashIf.c</t>
  </si>
  <si>
    <t>Geely_FE3AH_CB_Carbon_Int\MainstreamF30\rba\Bldr\config\ApplicationLayer\rba_BldrCmp\src\rba_BldrCmp_Cfg_Functions.c</t>
  </si>
  <si>
    <t>Geely_FE3AH_CB_Carbon_Int\MainstreamF30\rba\Bldr\config\ApplicationLayer\rba_BldrCmp\src\rba_BldrCmp_Cfg_NvmIf.c</t>
  </si>
  <si>
    <t>Geely_FE3AH_CB_Carbon_Int\MainstreamF30\rba\Bldr\config\ApplicationLayer\rba_BldrCmp\src\rba_BldrCmp_Cfg_PrjFunctions.c</t>
  </si>
  <si>
    <t>Geely_FE3AH_CB_Carbon_Int\MainstreamF30\rba\Bldr\config\ApplicationLayer\rba_BldrCmp\src\rba_BldrCmp_Cfg_SecA.c</t>
  </si>
  <si>
    <t>Geely_FE3AH_CB_Carbon_Int\MainstreamF30\rba\Bldr\sbl\src\rba_sbl_main.c</t>
  </si>
  <si>
    <t>BYD_ESP93_Int\MainstreamF30\rb\as\BYD\Mainstream151\app\dsm\RBVAR\src\RBVAR_IDDefinitionTable_PROJECT.c</t>
  </si>
  <si>
    <t>BYD_ESP93_Int\MainstreamF30\rb\as\BYD\Mainstream151\app\dsm\RBVAR\src\RBVAR_OutputDriver_PROJECT.c</t>
  </si>
  <si>
    <t>BYD_ESP93_Int\MainstreamF30\rb\as\BYD\Mainstream151\app\dsm\RBVAR\src\RBVAR_SystemStateManagement_PROJECT.c</t>
  </si>
  <si>
    <t>BYD_ESP93_Int\MainstreamF30\rb\as\BYD\Mainstream151\app\dsm\RBVAR\src\RBVAR_VarCode_PROJECT.c</t>
  </si>
  <si>
    <t>SAIC_EP_CMP_ESPHevX_Int\ESPhevXSAICEP\rb\as\ESPhevX\saicep\app\dsm\RBVAR\src\RBVAR_IDDefinitionTable_PROJECT.c</t>
  </si>
  <si>
    <t>SAIC_EP_CMP_ESPHevX_Int\ESPhevXSAICEP\rb\as\ESPhevX\saicep\app\dsm\RBVAR\src\RBVAR_SystemStateManagement_PROJECT.c</t>
  </si>
  <si>
    <t>SAIC_EP_CMP_ESPHevX_Int\ESPhevXSAICEP\rb\as\ESPhevX\saicep\app\dsm\RBVAR\src\RBVAR_VarCode_PROJECT.c</t>
  </si>
  <si>
    <t>GAC_ESPHevX_HADHAP_Int\CNMSHevXHADHAP\rb\as\gaig\core\app\dsm\RBVAR\BB99308A18FPA\src\RBVAR_OutputDriver_PROJECT.c</t>
  </si>
  <si>
    <t>GAC_ESPHevX_HADHAP_Int\CNMSHevXHADHAP\rb\as\gaig\core\app\dsm\RBVAR\BB99308A18FPA\src\RBVAR_VarCode_PROJECT.c</t>
  </si>
  <si>
    <t>SGMW_ESP93_Carbon_Int\MainstreamF30\rb\as\sgmw\CN210S\app\net\RBScl\RBScl_SGMW\src\SGMW_RBA_NDS_SystemInfo_Callout.c</t>
  </si>
  <si>
    <t>SGMW_ESP93_Carbon_Int\MainstreamF30\rb\as\sgmw\CN210S\app\net\RBScl\RBScl_SGMW\src\NET_SCL_Rx_SGMW_RemoteControl.c</t>
  </si>
  <si>
    <t>GAC_ESP93CP_Carbon_Int\MainstreamF30\rb\as\gaig\A12ESP\app\net\RBScl\RBScl_GAC\src\NET_SCL_Rx_GearBox.c</t>
  </si>
  <si>
    <t>GAC_ESPHevX_HADHAP_Int\CNMSHevXHADHAP\rb\as\core\app\espibooster_interface\net\src\RBNET_ESPiB_Monitoring.c</t>
  </si>
  <si>
    <t>- Can't cover for function rba_BldrSVM_state_tst rba_BldrSVM_GetValidity(void) because address of (uint8 *)RBA_BLDRSVM_CFG_BLOCKADDRESS is fixed.</t>
  </si>
  <si>
    <t xml:space="preserve">Can’t cover MCDC for case T-F of condition line#132 because func_b is always equa tol FALSE (line#102).
Can’t cover MCDC for case F- X of condition at line#142 because func_b is always equal to FALSE, so when nvmif_b is equal  to FALSE , condition at line#132 is true , NRC_u8 is equal to DCM_E_SUBFUNCTIONNOTSUPPORTED (0x12).
Condition at line#138 is false , we can’t reach to condition at line#142.
Similar to MCDC case T-F of condition at line#142. nvmif_b is equal  to TRUE when condition at line#87 is true .  rba_BldrCmp_WDBI_ListIdx_u8 equal i and i is less than RBA_BLDRCMP_WDBI_NoWriteDidByNvmidListEntries (0x02).
</t>
  </si>
  <si>
    <t>can’t cover function Chec_reprog_req() at line #75. Because it have a forever loop at line #99.</t>
  </si>
  <si>
    <t>Actual LOC is 636, not 332</t>
  </si>
  <si>
    <t>Owner confirm it's OK (There is no impact for project functionality)</t>
  </si>
  <si>
    <t>Can't cover function rba_BldrOs_Main because can't do UT for for(;;)</t>
  </si>
  <si>
    <t>SAIC ZS12MCE withDA ESP9.3 BSS03SP01</t>
  </si>
  <si>
    <t>MC_239446_Geely_FE6AB_ESP9.3HD_BB81527_BL04</t>
  </si>
  <si>
    <t>217437_FAW_C229_BL43</t>
  </si>
  <si>
    <t>BAIC_C62X_RC_APA_BL01</t>
  </si>
  <si>
    <t>BSS03SP01</t>
  </si>
  <si>
    <t>BL43</t>
  </si>
  <si>
    <t>rba_AS_HWProt.c</t>
  </si>
  <si>
    <t>RBAPLCUST_RBDI_NVMData.c</t>
  </si>
  <si>
    <t>RBAPLCUST_WDBI_NVMData.c</t>
  </si>
  <si>
    <t>NET_AliveCounterLib_CNMS.c</t>
  </si>
  <si>
    <t>NET_CheckSumLib_CNMS.c</t>
  </si>
  <si>
    <t>NET_MonitoringClasses_F30.c</t>
  </si>
  <si>
    <t>NET_SCL_Rx.c</t>
  </si>
  <si>
    <t>NET_SCL_Tx_APA.c</t>
  </si>
  <si>
    <t>NET_SCL_Tx_APBMi_PRJ.c</t>
  </si>
  <si>
    <t>NET_SCL_Tx_WheelPulse_APA.c</t>
  </si>
  <si>
    <t>RBPduHandler_Callouts.c</t>
  </si>
  <si>
    <t>Thangamani Shanmugam (RBEI/EBB7)</t>
  </si>
  <si>
    <t>ZHANG Guorong (CC-AS/EVA-SW32-CN)</t>
  </si>
  <si>
    <t>NGUYEN LY THINH QUANG (RBVH/EAS12)</t>
  </si>
  <si>
    <t>Nguyen Minh Phi (RBVH/EAS12)</t>
  </si>
  <si>
    <t>BB81403</t>
  </si>
  <si>
    <t>BB99860</t>
  </si>
  <si>
    <t>BB82308</t>
  </si>
  <si>
    <t>SAIC_A_ARCH_CMP_ESP93_RBVH_Carbon_Int</t>
  </si>
  <si>
    <t>Geely_Beryllium2_Int</t>
  </si>
  <si>
    <t>FAW_MainPath_Int</t>
  </si>
  <si>
    <t>BAIC_ESP93CPi_RC_Init</t>
  </si>
  <si>
    <t>TOY_847B_MPT_Release1</t>
  </si>
  <si>
    <t>EXTERNAL Do Anh Huy (Ban Vien, RBVH/EPS45)</t>
  </si>
  <si>
    <t>RBPSC_CurrentsCalc</t>
  </si>
  <si>
    <t>RBSecOcFV_Slave</t>
  </si>
  <si>
    <t>AVH_NvM_ReadData</t>
  </si>
  <si>
    <t>CM_Honda_FA_iB_LFC5ms_LFC20msV1_3_4_0</t>
  </si>
  <si>
    <t>Honda_ACC_AxFuncSafety</t>
  </si>
  <si>
    <t>Honda_IMG_ADAS_FuncSafety</t>
  </si>
  <si>
    <t>Honda_Main_And_CMBS_FunSafety</t>
  </si>
  <si>
    <t>RBHMI_iBLampInterface_HONDA</t>
  </si>
  <si>
    <t>HONDA_iB2_1401_BL09_Sprint02</t>
  </si>
  <si>
    <t>rb.as.core.app.asw.psc</t>
  </si>
  <si>
    <t>rb.as.joem.honda</t>
  </si>
  <si>
    <t>rb.as.mb.ib2.app.asw.custtarball</t>
  </si>
  <si>
    <t>rb.as.mb.ib2.app.dsm.rbhmi</t>
  </si>
  <si>
    <t>MT_004</t>
  </si>
  <si>
    <t>MT_031</t>
  </si>
  <si>
    <t>MT_046</t>
  </si>
  <si>
    <t>MT_047</t>
  </si>
  <si>
    <t>MT_054</t>
  </si>
  <si>
    <t>MT_055</t>
  </si>
  <si>
    <t>HONDAiBGen2_14_01</t>
  </si>
  <si>
    <t>iBoosterGen2Asw_Honda_CMP1401</t>
  </si>
  <si>
    <t>Contact point: Manjunath Jayaram (RBEI/ESJ-AHG), Megha Shyam Varam (RBEI/ESJ-AHG)</t>
  </si>
  <si>
    <t>1.0.131.1</t>
  </si>
  <si>
    <t>1.8</t>
  </si>
  <si>
    <t>16h00</t>
  </si>
  <si>
    <t>GAC_Carbon_RPA_ESPHevx_Mainpath_BL05</t>
  </si>
  <si>
    <t>NET_SCL_GAC_Complex_function.c</t>
  </si>
  <si>
    <t>RBA_NDS_SystemInfo.c</t>
  </si>
  <si>
    <t>NET_SCL_EngineIntervention_Torq_GAC.c</t>
  </si>
  <si>
    <t>NET_SCL_GAC_OBD.c</t>
  </si>
  <si>
    <t>RB_DNC_SCL_RX_TPMF.c</t>
  </si>
  <si>
    <t>SAS_LWS_Standard.c</t>
  </si>
  <si>
    <t>TPMS_PSW_Interface_COMMON_CN.c</t>
  </si>
  <si>
    <t>TPMS_Handler_COMMON_CN.c</t>
  </si>
  <si>
    <t>WSSALLTIMESTMPS_SIM_CN.c</t>
  </si>
  <si>
    <t>BB81262 / BB81708</t>
  </si>
  <si>
    <t>BB81262 / BB81709</t>
  </si>
  <si>
    <t>BB81262 / BB81710</t>
  </si>
  <si>
    <t>BB81262 / BB81711</t>
  </si>
  <si>
    <t>BB81262 / BB81712</t>
  </si>
  <si>
    <t>BB81262 / BB81713</t>
  </si>
  <si>
    <t>BB81262 / BB81714</t>
  </si>
  <si>
    <t>BB81262 / BB81715</t>
  </si>
  <si>
    <t>BB81262 / BB81716</t>
  </si>
  <si>
    <t>BL01</t>
  </si>
  <si>
    <t>CAI Tantan (CC-AS/EVA-SW31-CN)</t>
  </si>
  <si>
    <t>SAIC_A_ARCH_CMP_ESP93_RBVH_Carbon_Int\MainstreamF30\rba\Bldr\config\ApplicationLayer\rba_BldrCmp\src\rba_BldrCmp_Cfg_FlashIf.c</t>
  </si>
  <si>
    <t>SAIC_A_ARCH_CMP_ESP93_RBVH_Carbon_Int\MainstreamF30\rba\Bldr\config\Infrastruct\rba_AS_HWProt\src\rba_AS_HWProt.c</t>
  </si>
  <si>
    <t>Geely_Beryllium2_Int\MainstreamF30\rb\as\geely\project\app\dsm\RBHMI\src\RBHMI_Synchronisation_F30.C</t>
  </si>
  <si>
    <t>BAIC_ESP93CPi_RC_Init\MainstreamF30\rb\as\baic\core\app\dcom\RBAPLCust\src\RBAPLCUST_RBDI_NVMData.c</t>
  </si>
  <si>
    <t>BAIC_ESP93CPi_RC_Init\MainstreamF30\rb\as\baic\core\app\dcom\RBAPLCust\src\RBAPLCUST_WDBI_NVMData.c</t>
  </si>
  <si>
    <t>BAIC_ESP93CPi_RC_Init\MainstreamF30\rb\as\baic\CpiwAPB\app\dsm\RBVAR\src\RBVAR_OutputDriver_PROJECT.c</t>
  </si>
  <si>
    <t>BAIC_ESP93CPi_RC_Init\MainstreamF30\rb\as\baic\CpiwAPB\app\net\RbNetPrj\RBNet_Can\src\NET_AliveCounterLib_CNMS.c</t>
  </si>
  <si>
    <t>BAIC_ESP93CPi_RC_Init\MainstreamF30\rb\as\baic\CpiwAPB\app\net\RbNetPrj\RBNet_Can\src\NET_CheckSumLib_CNMS.c</t>
  </si>
  <si>
    <t>BAIC_ESP93CPi_RC_Init\MainstreamF30\rb\as\baic\CpiwAPB\app\net\RbNetPrj\RBNet_Can\src\NET_MonitoringClasses_F30.c</t>
  </si>
  <si>
    <t>BAIC_ESP93CPi_RC_Init\MainstreamF30\rb\as\baic\CpiwAPB\app\net\RBScl\src\NET_SCL_Rx.c</t>
  </si>
  <si>
    <t>BAIC_ESP93CPi_RC_Init\MainstreamF30\rb\as\baic\CpiwAPB\app\net\RBScl\src\NET_SCL_Tx_APA.c</t>
  </si>
  <si>
    <t>BAIC_ESP93CPi_RC_Init\MainstreamF30\rb\as\baic\CpiwAPB\app\net\RBScl\src\NET_SCL_Tx_APBMi_PRJ.c</t>
  </si>
  <si>
    <t>BAIC_ESP93CPi_RC_Init\MainstreamF30\rb\as\baic\CpiwAPB\app\net\RBScl\src\NET_SCL_Tx_WheelPulse_APA.c</t>
  </si>
  <si>
    <t>BAIC_ESP93CPi_RC_Init\MainstreamF30\rb\as\baic\CpiwAPB\dsmpr\src\RBPduHandler_Callouts.c</t>
  </si>
  <si>
    <t>FAW_MainPath_Int\MainstreamFAW\rba\Bldr\config\ApplicationLayer\rba_BldrCmp\src\rba_BldrCmp_Cfg_CheckMem.c</t>
  </si>
  <si>
    <t>Owner confirm it isn't need to do UT
It’s OK, this part is followed CNMS
WT was updated</t>
  </si>
  <si>
    <t>GAC_Carbon_RPA_ESPHevx_Mainpath_BL04</t>
  </si>
  <si>
    <t>BB99308</t>
  </si>
  <si>
    <t>-I can’t coverage the false case of l_MMotRedFast_SW &lt; 0   and l_MMotRedSlow_SW &lt; 0   because NETBOUND always make l_MMotRedFast_SW and l_MMotRedSlow_SW     into 0x00 and 0xff</t>
  </si>
  <si>
    <t>Can't cover full MCDCs at line #102, line #112 and #133 because all of them are macros, thus if statements are always TRUE</t>
  </si>
  <si>
    <t>T200</t>
  </si>
  <si>
    <t>T201</t>
  </si>
  <si>
    <t>EC_245950_NIO_ESX_ESPHevX_DTC</t>
  </si>
  <si>
    <t>BSS04_SP02</t>
  </si>
  <si>
    <t>BS03SP03</t>
  </si>
  <si>
    <t>RBDSM_SWT_DTC.c</t>
  </si>
  <si>
    <t>NET_SCL_Rx_PEUF_VCU_84_NextEV.c</t>
  </si>
  <si>
    <t>NET_SCL_Rx_PEUR_VCU_8C_NextEV.c</t>
  </si>
  <si>
    <t>RBAPLEOL_ActuatorTest.c</t>
  </si>
  <si>
    <t>RBAPLEOL_ESPDynamicTest.c</t>
  </si>
  <si>
    <t>RBAPLEOL_ExtendedDynamicTest.c</t>
  </si>
  <si>
    <t>RBAPLEOL_PumpMotorErrorState.c</t>
  </si>
  <si>
    <t>RBAPLEOL_PumpSDTimeTest.c</t>
  </si>
  <si>
    <t>RBAPLEOL_ValvesToggling.c</t>
  </si>
  <si>
    <t>rba_SCL_Settings.c</t>
  </si>
  <si>
    <t>LI Joe (CC-AS/EVA-SW32-CN)</t>
  </si>
  <si>
    <t>LI Jiaxing (CC-AS/EVA-SW32-CN)</t>
  </si>
  <si>
    <t>LI Zhiyuan (CC-AS/EVA-SW31-CN)</t>
  </si>
  <si>
    <t>VENKATESAN Azhaku Sathya Narayanan (CC-AS/EVA-SW32-CN)</t>
  </si>
  <si>
    <t>BB82090</t>
  </si>
  <si>
    <t>NextEV_ESPHevX_Int</t>
  </si>
  <si>
    <t>DFN_Venucia_ESP93_Carbon_Int</t>
  </si>
  <si>
    <t>Can't cover function rba_Bmgr_main at line #45 because there is a endless loop at line #51</t>
  </si>
  <si>
    <t>Can’t cover FALSE case at line #246. Because of when the condition at line #200 is FALSE, the condition at line #246 cannot be the FALSE case.</t>
  </si>
  <si>
    <t>Cannot cover branch if at line #1290 and line #1339</t>
  </si>
  <si>
    <t>GAC_ESPHevX_HADHAP_Int\rb\as\gaig\core\app\net\RBScl\src</t>
  </si>
  <si>
    <t>Cannot cover branch if (*length_pu16 &gt; maxLength_u16) at line #93, 
Cannot cover branch if (retValue == E_OK) at line #229</t>
  </si>
  <si>
    <t>Cannot cover branch "else" at line #155</t>
  </si>
  <si>
    <t>NextEV_ESPHevX_Int\CNMSESPHevX\rb\as\nio\core\app\net\RBScl\src\NET_SCL_Rx_PEUF_VCU_84_NextEV.c</t>
  </si>
  <si>
    <t>NextEV_ESPHevX_Int\CNMSESPHevX\rb\as\nio\core\app\net\RBScl\src\NET_SCL_Rx_PEUR_VCU_8C_NextEV.c</t>
  </si>
  <si>
    <t>DFN_Venucia_ESP93_Carbon_Int\MainstreamF30\rb\as\core\app\dcom\RBAPLEOL\src\RBAPLEOL_ActuatorTest.c</t>
  </si>
  <si>
    <t>DFN_Venucia_ESP93_Carbon_Int\MainstreamF30\rb\as\core\app\dcom\RBAPLEOL\src\RBAPLEOL_ESPDynamicTest.c</t>
  </si>
  <si>
    <t>DFN_Venucia_ESP93_Carbon_Int\MainstreamF30\rb\as\core\app\dcom\RBAPLEOL\src\RBAPLEOL_ExtendedDynamicTest.c</t>
  </si>
  <si>
    <t>DFN_Venucia_ESP93_Carbon_Int\MainstreamF30\rb\as\core\app\dcom\RBAPLEOL\src\RBAPLEOL_PumpMotorErrorState.c</t>
  </si>
  <si>
    <t>DFN_Venucia_ESP93_Carbon_Int\MainstreamF30\rb\as\core\app\dcom\RBAPLEOL\src\RBAPLEOL_PumpSDTimeTest.c</t>
  </si>
  <si>
    <t>DFN_Venucia_ESP93_Carbon_Int\MainstreamF30\rb\as\core\app\dcom\RBAPLEOL\src\RBAPLEOL_ValvesToggling.c</t>
  </si>
  <si>
    <t>BYD_ESP93_Int\MainstreamF30\rb\as\BYD\Mainstream151\app\net\RbNetPrj\RBNet_Can\src\rba_SCL_Settings.c</t>
  </si>
  <si>
    <t>RBHMI_Synchronisation_F30.c</t>
  </si>
  <si>
    <t>- Can’t cover endless loop at line #64.</t>
  </si>
  <si>
    <t>Message Class</t>
  </si>
  <si>
    <t xml:space="preserve">
</t>
  </si>
  <si>
    <t xml:space="preserve">Can't cover case default for switch(DQ_index) at line #582 because array PSC_uDQ_DevCount[DQ_index] has only 2 items 0-1 (DQ_index only equals to 0 or 1)
</t>
  </si>
  <si>
    <t xml:space="preserve">1. Condition (VlcLsmMainReq == ReqMainState_Standstill) at line #14 cant show its influence due to it conflicts with decision at line #6.
2. Condition (VlcLsmMainReq == ReqMainState_Standstill) at line #29 cant show its influence due to it conflicts with decision at line #25.
</t>
  </si>
  <si>
    <t>- Assigned 6.2 days not 4.5 days</t>
  </si>
  <si>
    <t>- dSD not update.</t>
  </si>
  <si>
    <t>KPI\days</t>
  </si>
  <si>
    <t>FAW_MainPath_Int\MainstreamFAW\rb\as\fawMP\fawcore\app\dcom\RBAPLCust\src\RBAPLCUST_RBDI_NVMData.c</t>
  </si>
  <si>
    <t>Support testing on 20200511</t>
  </si>
  <si>
    <t>-Tool issue at line #4015, #4031, #4063, #3632 and #3633</t>
  </si>
  <si>
    <t xml:space="preserve">At line #485 cannot cover MCDC because l_LoopCnt &lt; g_EOLParamBuffer_PUB[4] at line 485 &amp; line 489 have been conflict.
At line #486cannot cover MCDC because l_LoopCnt &lt; 10] at line 486 &amp; line 490 have been conflict.
</t>
  </si>
  <si>
    <t>RC_242264_SOKON_S513EVR_ESP9.3</t>
  </si>
  <si>
    <t>NET_SCL_InitPrc_CNMS.c</t>
  </si>
  <si>
    <t>DFSK_ESP93_EV_Mainstream_Int</t>
  </si>
  <si>
    <t>Nguyen Hiep Thanh (RBVH/EAS11)</t>
  </si>
  <si>
    <t>Ventil_Strategie_Wheel</t>
  </si>
  <si>
    <t>Honda_ENG_IS_RESTART_INHIBIT</t>
  </si>
  <si>
    <t>Honda_FA_iB_JOEM_PressureLimiter_2_V1_2</t>
  </si>
  <si>
    <t>Honda_FA_iB_JOEM_PressureLimiter_PreCalc_V1_1</t>
  </si>
  <si>
    <t>Honda_FA_iB_LFC_cal_nRfpMin_V4_0</t>
  </si>
  <si>
    <t>Honda_FA_iB_LFC_Exe_V4_10</t>
  </si>
  <si>
    <t>Honda_FA_iB_pVehLimitationByNMax_V4_0</t>
  </si>
  <si>
    <t>Honda_FA_iB_SSM_VehSecured_ReqAPB_V4_3</t>
  </si>
  <si>
    <t>Honda_LFC5ms_LFC20msV4_8</t>
  </si>
  <si>
    <t>Honda_TargetStateLFC_Decision</t>
  </si>
  <si>
    <t>cubas_ComStack_Proc</t>
  </si>
  <si>
    <t>RBAPLPLANT_DiagnosticSessionControl</t>
  </si>
  <si>
    <t>RBTSI_RbDiagInit</t>
  </si>
  <si>
    <t>rba_ComScl_Scl_EPS_14A_CH1_Rx</t>
  </si>
  <si>
    <t>RBNET_TimeoutStandStill</t>
  </si>
  <si>
    <t>RBAplCust_RDBI_4004_ReadABSVSABasicDiagnosticParameters_Project</t>
  </si>
  <si>
    <t>RBAplCust_RDBI_4007_ReadDiagnosticParameterForAdditionalFunctions1_Project</t>
  </si>
  <si>
    <t>RBAplCust_RDBI_4030_Read1stFreezeFrameDataBasicParameters1_Project</t>
  </si>
  <si>
    <t>RBAplCust_RDBI_4031_Read1stFreezeFrameDataSensorParameters1_Project</t>
  </si>
  <si>
    <t>RBAplCust_RDBI_4032_Read1stFreezeFrameDataCommunicationStatus1_Project</t>
  </si>
  <si>
    <t>RBAplCust_RDBI_4033_Read2ndFreezeFrameDataBasicParameters1_Project</t>
  </si>
  <si>
    <t>RBAplCust_RDBI_4035_Read2ndFreezeFrameDataCommunicationStatus1_Project</t>
  </si>
  <si>
    <t>RBAplCust_RDBI_4070_Read1stOperatioRecordDataBasicParameters1_Project</t>
  </si>
  <si>
    <t>RBAplCust_RDBI_4071_Read1stOperatioRecordDataSensorParameters1_Project</t>
  </si>
  <si>
    <t>RBAplCust_RDBI_4072_Read2ndOperatioRecordDataBasicParameters1_Project</t>
  </si>
  <si>
    <t>RBAplCust_RDBI_4074_Read1stOperatioRecordDataEBB_Project</t>
  </si>
  <si>
    <t>RBFMHC_FreezeFrameHandling</t>
  </si>
  <si>
    <t>RBFMHC_OperationDataHandling_Project</t>
  </si>
  <si>
    <t>RBNET_ChecksumLib_HONDA</t>
  </si>
  <si>
    <t>7.1.131.0</t>
  </si>
  <si>
    <t>1.4</t>
  </si>
  <si>
    <t>HONDA_CMP_BL11sp02_snapshot05</t>
  </si>
  <si>
    <t>rb.as.core.app.asw.alc.alc5ms20ms</t>
  </si>
  <si>
    <t>rb.as.core.hwp.cubas.ComServices</t>
  </si>
  <si>
    <t>rb.as.core.hwp.hsw.rbaplplant</t>
  </si>
  <si>
    <t>rb.as.honda.cmp.app.net</t>
  </si>
  <si>
    <t>rb.as.honda.core.app.net</t>
  </si>
  <si>
    <t>rb.as.honda.esp.tgva.app.dcom</t>
  </si>
  <si>
    <t>MT_223</t>
  </si>
  <si>
    <t>MT_225</t>
  </si>
  <si>
    <t>MT_200</t>
  </si>
  <si>
    <t>MT_201</t>
  </si>
  <si>
    <t>MT_202</t>
  </si>
  <si>
    <t>MT_203</t>
  </si>
  <si>
    <t>MT_204</t>
  </si>
  <si>
    <t>MT_205</t>
  </si>
  <si>
    <t>MT_206</t>
  </si>
  <si>
    <t>MT_207</t>
  </si>
  <si>
    <t>MT_009</t>
  </si>
  <si>
    <t>MT_012</t>
  </si>
  <si>
    <t>MT_028</t>
  </si>
  <si>
    <t>Delta &gt; New</t>
  </si>
  <si>
    <t>Contact point: Iwase Megumi (CC-AS/ESJ2-JP) ; EXTERNAL Motoyoshi Kazuyuki (VSN, CC-AS/ESJ2-JP)</t>
  </si>
  <si>
    <t>RB_HONDA_ESP</t>
  </si>
  <si>
    <t>11h00</t>
  </si>
  <si>
    <t>DFSK_ESP93_EV_Mainstream_Int\MainstreamF30\rb\as\dfsk\CpiwAPB\app\net\RbNetPrj\RBNet_Can\src\NET_SCL_InitPrc_CNMS.c</t>
  </si>
  <si>
    <t>cannot cover MCDC at line 232 because RBNet_Variant_EPS_14A_CH1_Rx_b() always equal to 1.</t>
  </si>
  <si>
    <t>MC_237270_GAC_A55CP_Carbon_ESP_BL02</t>
  </si>
  <si>
    <t>GAC_220680_Carbon_A18_ESPHevx_FPA/RPA_BL05</t>
  </si>
  <si>
    <t>BL02</t>
  </si>
  <si>
    <t>RBAPLCUST_DFSK_RoutineControl_CheckProgrammingPrecondition.c</t>
  </si>
  <si>
    <t>RBAPLCUST_DiagnosticSessionControl.c</t>
  </si>
  <si>
    <t>RBAPLCUST_RBDI_CustomerHardwareVersion.c</t>
  </si>
  <si>
    <t>RBAPLCUST_RBDI_CustomerSoftwareVersion.c</t>
  </si>
  <si>
    <t>RBAPLCUST_RBDI_VariandCode.c</t>
  </si>
  <si>
    <t>RBAPLCUST_SecurityAccess.c</t>
  </si>
  <si>
    <t>NET_SCL_Rx_VAM_SOKON.c</t>
  </si>
  <si>
    <t>rba_StartStopAndCranking.c</t>
  </si>
  <si>
    <t>TestEnvironment_Fee_S513.c</t>
  </si>
  <si>
    <t>RBA_NDS_YAWRATE_Callout.c</t>
  </si>
  <si>
    <t>RBNetSAS_Functions.c</t>
  </si>
  <si>
    <t>RBHMI_ESPiB_WarningLamp_GAC.c</t>
  </si>
  <si>
    <t>BB81449</t>
  </si>
  <si>
    <t>cannot cover false case MCDC at line 1414, 1415 because litmited at 2 condition at line 1397, 1405</t>
  </si>
  <si>
    <t>GAC_ESPHevX_HADHAP_Int\CNMSHevXHADHAP\rb\as\gaig\core\app\net\RBScl\src\NET_SCL_GAC_Complex_function.c</t>
  </si>
  <si>
    <t>FAW_E115_ESPhev_BSL60</t>
  </si>
  <si>
    <t>BJEV_N60_2WD_4WD</t>
  </si>
  <si>
    <t>BL73_SP02</t>
  </si>
  <si>
    <t xml:space="preserve">AD_ShutDown </t>
  </si>
  <si>
    <t>ACC_ShutDown</t>
  </si>
  <si>
    <t xml:space="preserve">VLC_ADSignalsChoice </t>
  </si>
  <si>
    <t>rba_BldrBCLSigChk.c</t>
  </si>
  <si>
    <t>rba_BldrFlsDrv.c</t>
  </si>
  <si>
    <t>RBLCF_Customized_Hexblocks_Allocation_Signature.c</t>
  </si>
  <si>
    <t>V 1.0</t>
  </si>
  <si>
    <t>(0.1.146314.4)</t>
  </si>
  <si>
    <t>BAIC_MainPath_HevX_Int</t>
  </si>
  <si>
    <t>LI Jiaojiao (CC/PJ-AD-EYM-CN)</t>
  </si>
  <si>
    <t>Nageswara Reddy Tindi (RBEI/EBB7)</t>
  </si>
  <si>
    <t>1.4.1.1.0.1</t>
  </si>
  <si>
    <t>Nguyen Nhat, Canh</t>
  </si>
  <si>
    <t>ABS9.1MB_Corona_Projects_COEM_DiagCAN__1_6</t>
  </si>
  <si>
    <t>CNMS_226528_IB2_RPA</t>
  </si>
  <si>
    <t>APBSysState_Mockup</t>
  </si>
  <si>
    <t>BL03SP05</t>
  </si>
  <si>
    <t>SUN Kai (CC/PJ-AD-EYM-CN)</t>
  </si>
  <si>
    <t>Can't cover true case of if(0) at line #1483,1489,1495,1501 because decision always FALSE</t>
  </si>
  <si>
    <t xml:space="preserve">There is a redundant semicolon at the end of the line #732
</t>
  </si>
  <si>
    <t xml:space="preserve">No fuction to test
</t>
  </si>
  <si>
    <t>Missing "src" at Component Name</t>
  </si>
  <si>
    <t>NextEV_ESPHevX_Int\CNMSESPHevX\rb\as\nio\prj\dsmpr\tst\Sim\STMComponents\src\RBDSM_SWT_DTC.c</t>
  </si>
  <si>
    <t>- Delay 1 day: 1457821,1458024,1413974,1458032</t>
  </si>
  <si>
    <t>CMNS Standard</t>
  </si>
  <si>
    <t>CSMosarASWMainstream93_Honda</t>
  </si>
  <si>
    <t>DFSK_ESP93_EV_Mainstream_Int\MainstreamF30\rb\as\dfsk\core\app\dcom\RBAPLCust\src\RBAPLCUST_DFSK_RoutineControl_CheckProgrammingPrecondition.c</t>
  </si>
  <si>
    <t>DFSK_ESP93_EV_Mainstream_Int\MainstreamF30\rb\as\dfsk\core\app\dcom\RBAPLCust\src\RBAPLCUST_RBDI_CustomerHardwareVersion.c</t>
  </si>
  <si>
    <t>DFSK_ESP93_EV_Mainstream_Int\MainstreamF30\rb\as\dfsk\core\app\dcom\RBAPLCust\src\RBAPLCUST_RBDI_CustomerSoftwareVersion.c</t>
  </si>
  <si>
    <t>DFSK_ESP93_EV_Mainstream_Int\MainstreamF30\rb\as\dfsk\core\app\dcom\RBAPLCust\src\RBAPLCUST_RBDI_NVMData.c</t>
  </si>
  <si>
    <t>DFSK_ESP93_EV_Mainstream_Int\MainstreamF30\rb\as\dfsk\core\app\dcom\RBAPLCust\src\RBAPLCUST_RBDI_VariandCode.c</t>
  </si>
  <si>
    <t>DFSK_ESP93_EV_Mainstream_Int\MainstreamF30\rb\as\dfsk\core\app\dcom\RBAPLCust\src\RBAPLCUST_SecurityAccess.c</t>
  </si>
  <si>
    <t>DFSK_ESP93_EV_Mainstream_Int\MainstreamF30\rb\as\dfsk\core\app\dcom\RBAPLCust\src\RBAPLCUST_WDBI_NVMData.c</t>
  </si>
  <si>
    <t>DFSK_ESP93_EV_Mainstream_Int\MainstreamF30\rb\as\dfsk\CpiwAPB\app\net\RbNetPrj\RBNet_Can\src\NET_MonitoringClasses_F30.c</t>
  </si>
  <si>
    <t>DFSK_ESP93_EV_Mainstream_Int\MainstreamF30\rb\as\dfsk\CpiwAPB\app\net\RBScl_BB99581\src\NET_SCL_Rx_VAM_SOKON.c</t>
  </si>
  <si>
    <t>DFSK_ESP93_EV_Mainstream_Int\MainstreamF30\rb\as\dfsk\CpiwAPB\app\net\RBSTSP_Crank\RBCN\SRC\rba_StartStopAndCranking.c</t>
  </si>
  <si>
    <t>DFSK_ESP93_EV_Mainstream_Int\MainstreamF30\rb\as\dfsk\CpiwAPB\hswpr\tst\hswsim\src\TestEnvironment_Fee_S513.c</t>
  </si>
  <si>
    <t>GAC_ESPHevX_HADHAP_Int\CNMSHevXHADHAP\rb\as\cnms_core\app\net\scl_callout\src\RBA_NDS_YAWRATE_Callout.c</t>
  </si>
  <si>
    <t>GAC_ESP93CP_Carbon_Int\MainstreamF30\rb\as\core\app\net\RBNetSAS\src\RBNetSAS_Functions.c</t>
  </si>
  <si>
    <t>GAC_ESP93CP_Carbon_Int\MainstreamF30\rb\as\cnms_core\app\net\scl\Sensors\Steering\src\SAS_LWS_Standard.c</t>
  </si>
  <si>
    <t>GAC_ESPHevX_HADHAP_Int\CNMSHevXHADHAP\rb\as\gaig\prj\dsmpr\src\RBHMI\src\RBHMI_ESPiB_WarningLamp_GAC.c</t>
  </si>
  <si>
    <t>Lack component.</t>
  </si>
  <si>
    <t>Remove. Cancel UT</t>
  </si>
  <si>
    <t>MC_239507_SGMW_CN210S_PHEV_ESP9.3CPi_BSS02_SP2</t>
  </si>
  <si>
    <t>BSS02_SP2</t>
  </si>
  <si>
    <t>RBAPLCUST_VariandCode.c</t>
  </si>
  <si>
    <t>SUN Yun (CC-AS/EVA-SW31-CN)</t>
  </si>
  <si>
    <t>1404916.axl</t>
  </si>
  <si>
    <t>ESPiBVmcESPDeploymentInputStubs_ECU_CSW_BB95473.axl</t>
  </si>
  <si>
    <t>BAIC_MainPath_HevX_Int\BAICHevX\rba\Bldr\comps\ComplexDeviceDriver\rba_BldrBCLSigChk\src\rba_BldrBCLSigChk.c</t>
  </si>
  <si>
    <t>BAIC_MainPath_HevX_Int\BAICHevX\rba\Bldr\comps\ComplexDeviceDriver\rba_BldrFlsDrv\src\rba_BldrFlsDrv.c</t>
  </si>
  <si>
    <t>BAIC_MainPath_HevX_Int\BAICHevX\rba\Bldr\config\ApplicationLayer\rba_BldrCmp\src\rba_BldrCmp_Cfg_CheckMem.c</t>
  </si>
  <si>
    <t>BAIC_MainPath_HevX_Int\BAICHevX\rba\Bldr\config\ApplicationLayer\rba_BldrCmp\src\rba_BldrCmp_Cfg_FlashIf.c</t>
  </si>
  <si>
    <t>BAIC_MainPath_HevX_Int\BAICHevX\rba\Bldr\config\ApplicationLayer\rba_BldrCmp\src\rba_BldrCmp_Cfg_Functions.c</t>
  </si>
  <si>
    <t>BAIC_MainPath_HevX_Int\BAICHevX\rba\Bldr\config\ApplicationLayer\rba_BldrCmp\src\rba_BldrCmp_Cfg_SecA.c</t>
  </si>
  <si>
    <t>BAIC_MainPath_HevX_Int\BAICHevX\rba\Bldr\config\ComplexDeviceDriver\rba_BldrFlsDrv\src\rba_BldrFlsDrv_Cfg.c</t>
  </si>
  <si>
    <t>BAIC_MainPath_HevX_Int\BAICHevX\rba\Bldr\config\Infrastruct\CubasAdapter\src\CubasAdapter.c</t>
  </si>
  <si>
    <t>BAIC_MainPath_HevX_Int\BAICHevX\rba\Bldr\bldr\src\rba_Bldr_main.c</t>
  </si>
  <si>
    <t>BAIC_MainPath_HevX_Int\BAICHevX\rba\Bldr\sbl\src\rba_sbl_main.c</t>
  </si>
  <si>
    <t>BAIC_MainPath_HevX_Int\BAICHevX\rba\BldrCmp\src\rba_BldrCMP_27SecurityAccess.c</t>
  </si>
  <si>
    <t>BAIC_MainPath_HevX_Int\BAICHevX\rb\as\baic\prj\cswpr\src\RBLCF_Customized_Hexblocks_Allocation_Signature.c</t>
  </si>
  <si>
    <t>BAIC_MainPath_HevX_Int\BAICHevX\rba\FBL\AS\SW\rba_Bmgr\src\rba_Bmgr_main.c</t>
  </si>
  <si>
    <t>ABS9.1MB_Corona_Projects_COEM_DiagCAN__1_6\Psw\DNC\DNC09_BB91153\HMI09_BB91153\SRC\HMI09_ConfigOutputDriver_BB91102.C</t>
  </si>
  <si>
    <t>SGMW_ESP93_Carbon_Int\MainstreamF30\rb\as\sgmw\core\app\dcom\RBAPLCust\src\common\RBAPLCUST_VariandCode.c</t>
  </si>
  <si>
    <t>Lack component. Owner confirm it's no impact</t>
  </si>
  <si>
    <t>[No1]: Line 236, 281, 423, 435, 456 can not cover false condition if(ls_PreSig_Value_UB == ls_CurSig_Value_UB) because: ls_PreSig_Value_UB is static variable, and it is always set at line 420 by “case 1”.
[No2] Missing key word break at line 589 case C_State_Init_UB
[No3]: Condition line 1291 can not cover true case because the limit assignment from line 1284 with C_MMotRedMin_UW = 0x00. There for the value of l_MMotRedFastFA_SW is never lower than “0”.</t>
  </si>
  <si>
    <t>237281_GAC_A76_CarbonESP9.3CP_BL04</t>
  </si>
  <si>
    <t>238493_GAC_A36_CarbonESP9.3CP_BL04</t>
  </si>
  <si>
    <t>GAC_ESP93CP_Carbon_Int\MainstreamF30\rb\as\gaig\A12ESP\app\dsm\RBVAR\BB_81116A76CP\src\RBVAR_VarCode_PROJECT.c</t>
  </si>
  <si>
    <t>GAC_ESP93CP_Carbon_Int\MainstreamF30\rb\as\gaig\A12ESP\app\dsm\RBVAR\BB_81175A36CP\src\RBVAR_OutputDriver_PROJECT.c</t>
  </si>
  <si>
    <t>FENG Yinfei (CC-AS/EVA-SW31-CN)</t>
  </si>
  <si>
    <t>PT_ModelTransAxletoBody_C</t>
  </si>
  <si>
    <t>1435036.zip</t>
  </si>
  <si>
    <t>1.5.147308.0</t>
  </si>
  <si>
    <t>YANG Qingliu (CC-AS/EVA-SW1-CN)</t>
  </si>
  <si>
    <t>Can’t cover C0, C1 for case TRUE of condition at line#112, because it always FALSE</t>
  </si>
  <si>
    <t>Can’t cover C0, C1 for case FALSE of condition at line#357, because it always TRUE when variable Direction_u8 pass through if statement at line #272</t>
  </si>
  <si>
    <t>at line 24 cannot cover outrange of tEPBREQ [0-5] because limited condition at line 21
at line 63 cannot cover MCDC at case: F-T-F-F because when line 65 FALSE =&gt; line 62 or 64 TRUE
at line 132 cannot cover outrange of tCMBSActive [0-5] because limited condition at line 127
at line 154 cannot cover MCDC at case T-F because when (IMG_BRKMODE_STATUS == 1.0) is FALSE =&gt; condition at line 137 TRUE =&gt; line 154 cannot reach
at line 186 cannot cover FALSE case of C1 because limted condition at line 87, 108</t>
  </si>
  <si>
    <t>+ Can’t cover function rba_Bmgr_main() at line #75. Because It has a forever loop at line #90
+ Can’t cover MCDC for condition at line #237. Because of the address of integer variable can’t be adjusted.</t>
  </si>
  <si>
    <t>HMI09_ConfigOutputDriver_BB91102.c</t>
  </si>
  <si>
    <t>Can't cover ful MCDCs ait line #15 because variable StepSize is constant</t>
  </si>
  <si>
    <t>FAW_E115_ESPhev_BSS60</t>
  </si>
  <si>
    <t>GWM AB30 7DCT</t>
  </si>
  <si>
    <t>BB99180</t>
  </si>
  <si>
    <t>BB80433 BB80431 BB81003</t>
  </si>
  <si>
    <t>BSS08</t>
  </si>
  <si>
    <t>BB80433</t>
  </si>
  <si>
    <t>RBHMI_ConfigOutputDriver_PRJ.c</t>
  </si>
  <si>
    <t>RBHMI_ExtStateCalculation_PRJ.c</t>
  </si>
  <si>
    <t>CCM_Callbacks_Project.c</t>
  </si>
  <si>
    <t>RBVAR_PROJECT.c</t>
  </si>
  <si>
    <t>RBAPLCUST_RBDI_NVMData_Prj.c</t>
  </si>
  <si>
    <t>RBAPLCUST_RDBI_BOM.c</t>
  </si>
  <si>
    <t>RBAPLCUST_RDBI_IOCtrlState.c</t>
  </si>
  <si>
    <t>RBAPLCUST_ReadDTCInformation.c</t>
  </si>
  <si>
    <t>ComScl_CalcCRC8.c</t>
  </si>
  <si>
    <t>ComScl_Scl_Complex_proc.c</t>
  </si>
  <si>
    <t>NET_ATM_Callout_GWM.c</t>
  </si>
  <si>
    <t>NET_DST_Callout_GWM.c</t>
  </si>
  <si>
    <t>NET_Monitoring.c</t>
  </si>
  <si>
    <t>NET_NetBLSStrategy_GWM.c</t>
  </si>
  <si>
    <t>NET_PBCMessageStrategy_GWM.c</t>
  </si>
  <si>
    <t>NET_SAS_Callout_GWM.c</t>
  </si>
  <si>
    <t>NET_SpecialStrategy_GWM.c</t>
  </si>
  <si>
    <t>NET_SystemInfo_Callout_GWM.c</t>
  </si>
  <si>
    <t>NET_Torque_Callout_GWM.c</t>
  </si>
  <si>
    <t>NET_WSSensorFault_Callout_GWM.c</t>
  </si>
  <si>
    <t>NET_Yrs_Callout_GWM.c</t>
  </si>
  <si>
    <t>rba_NET_Global_variable.c</t>
  </si>
  <si>
    <t>Dem_VarCode_PRJ.c</t>
  </si>
  <si>
    <t>RBVAR_StateMachine_COMMON.c</t>
  </si>
  <si>
    <t>RBVAR_VarCode_COMMON.c</t>
  </si>
  <si>
    <t>GWM_AB30_CP_Int</t>
  </si>
  <si>
    <t>YANG Zhongjian (CC-AS/EVA-SW2-CN)</t>
  </si>
  <si>
    <t>XU Zhuofan (CC-AS/EVA-SW33-CN)</t>
  </si>
  <si>
    <t>LI Chengcheng (CC-AS/EVA-SW33-CN)</t>
  </si>
  <si>
    <t>CHEN Steve (CC-AS/EVA-SW33-CN)</t>
  </si>
  <si>
    <t>Owner confirm it's no impact
- dSD not update.</t>
  </si>
  <si>
    <t>EC_245950_NIO_ESX_ESPHevX_DTC_BSS04_SP02</t>
  </si>
  <si>
    <t>Chitra Chandrasekaran (RBEI/EBB7)</t>
  </si>
  <si>
    <t>FAW_L3_MainPath_HevX_Int_N</t>
  </si>
  <si>
    <t>- Issue of cantata for display MCDC at line#71 and line#76
=&gt; Confirm by Mr.Thinh</t>
  </si>
  <si>
    <t>FAW_L3_MainPath_HevX_Int_N\CNMSESPHevX\rb\as\fawesphevx\fawcore\app\dsm\RBHMI\src\RBHMI_ConfigOutputDriver_PRJ.c</t>
  </si>
  <si>
    <t>FAW_L3_MainPath_HevX_Int_N\CNMSESPHevX\rb\as\fawesphevx\fawcore\app\dsm\RBHMI\src\RBHMI_ExtStateCalculation_PRJ.c</t>
  </si>
  <si>
    <t>FAW_L3_MainPath_HevX_Int_N\CNMSESPHevX\rb\as\fawesphevx\fawprj\dsmpr\src\RBPduHandler_Callouts.c</t>
  </si>
  <si>
    <t>FAW_L3_MainPath_HevX_Int_N\CNMSESPHevX\rb\as\fawesphevx\fawprj\dsmpr\src\RBEMM\CCM_Callbacks_Project.c</t>
  </si>
  <si>
    <t>FAW_L3_MainPath_HevX_Int_N\CNMSESPHevX\rb\as\fawesphevx\fawprj\dsmpr\src\RBVAR\RBVAR_PROJECT.c</t>
  </si>
  <si>
    <t>GWM_AB30_CP_Int\MainstreamF30\rb\as\gwm\core\app\dcom\RBAPLCust\src\common\RBAPLCUST_RBDI_NVMData_Prj.c</t>
  </si>
  <si>
    <t>GWM_AB30_CP_Int\MainstreamF30\rb\as\gwm\core\app\dcom\RBAPLCust\src\common\RBAPLCUST_RDBI_BOM.c</t>
  </si>
  <si>
    <t>GWM_AB30_CP_Int\MainstreamF30\rb\as\gwm\core\app\dcom\RBAPLCust\src\ESP\RBAPLCUST_RDBI_IOCtrlState.c</t>
  </si>
  <si>
    <t>GWM_AB30_CP_Int\MainstreamF30\rb\as\gwm\core\app\dcom\RBAPLCust\src\common\RBAPLCUST_ReadDTCInformation.c</t>
  </si>
  <si>
    <t>GWM_AB30_CP_Int\MainstreamF30\rb\as\gwm\cp\app\net\RbNetPrj\RBNet_Can\src\ComScl_CalcCRC8.c</t>
  </si>
  <si>
    <t>GWM_AB30_CP_Int\MainstreamF30\rb\as\gwm\cp\app\net\RBScl\src\ComScl_Scl_Complex_proc.c</t>
  </si>
  <si>
    <t>GWM_AB30_CP_Int\MainstreamF30\rb\as\gwm\cp\app\net\SclCallout\src\NET_ATM_Callout_GWM.c</t>
  </si>
  <si>
    <t>GWM_AB30_CP_Int\MainstreamF30\rb\as\gwm\cp\app\net\RbNetPrj\RBNet_Can\src\NET_CheckSumLib_CNMS.c</t>
  </si>
  <si>
    <t>GWM_AB30_CP_Int\MainstreamF30\rb\as\gwm\cp\app\net\SclCallout\src\NET_DST_Callout_GWM.c</t>
  </si>
  <si>
    <t>GWM_AB30_CP_Int\MainstreamF30\rb\as\gwm\cp\app\net\RBNm\src\NET_Monitoring.c</t>
  </si>
  <si>
    <t>GWM_AB30_CP_Int\MainstreamF30\rb\as\gwm\cp\app\net\SpecialStrategy\src\NET_NetBLSStrategy_GWM.c</t>
  </si>
  <si>
    <t>GWM_AB30_CP_Int\MainstreamF30\rb\as\gwm\cp\app\net\SpecialStrategy\src\NET_PBCMessageStrategy_GWM.c</t>
  </si>
  <si>
    <t>GWM_AB30_CP_Int\MainstreamF30\rb\as\gwm\cp\app\net\SclCallout\src\NET_SAS_Callout_GWM.c</t>
  </si>
  <si>
    <t>GWM_AB30_CP_Int\MainstreamF30\rb\as\gwm\cp\app\net\SpecialStrategy\src\NET_SpecialStrategy_GWM.c</t>
  </si>
  <si>
    <t>GWM_AB30_CP_Int\MainstreamF30\rb\as\gwm\cp\app\net\SclCallout\src\NET_SystemInfo_Callout_GWM.c</t>
  </si>
  <si>
    <t>GWM_AB30_CP_Int\MainstreamF30\rb\as\gwm\cp\app\net\SclCallout\src\NET_Torque_Callout_GWM.c</t>
  </si>
  <si>
    <t>GWM_AB30_CP_Int\MainstreamF30\rb\as\gwm\cp\app\net\SclCallout\src\NET_WSSensorFault_Callout_GWM.c</t>
  </si>
  <si>
    <t>GWM_AB30_CP_Int\MainstreamF30\rb\as\gwm\cp\app\net\SclCallout\src\NET_Yrs_Callout_GWM.c</t>
  </si>
  <si>
    <t>GWM_AB30_CP_Int\MainstreamF30\rb\as\gwm\cp\app\net\RBNetGlobal\src\rba_NET_Global_variable.c</t>
  </si>
  <si>
    <t>GWM_AB30_CP_Int\MainstreamF30\rb\as\cnms_core\app\dsm\DemVar\src\Dem_VarCode_PRJ.c</t>
  </si>
  <si>
    <t>GWM_AB30_CP_Int\MainstreamF30\rb\as\cnms_core\app\dsm\RBVAR\src\RBVAR_StateMachine_COMMON.c</t>
  </si>
  <si>
    <t>GWM_AB30_CP_Int\MainstreamF30\rb\as\cnms_core\app\dsm\RBVAR\src\RBVAR_VarCode_COMMON.c</t>
  </si>
  <si>
    <t>GWM_AB30_CP_Int\MainstreamF30\rb\as\gwm\cp\app\dsm\RBVAR\BB80433\src\RBVAR_VarCode_PROJECT.c</t>
  </si>
  <si>
    <t>GWM_AB30_CP_Int\MainstreamF30\rb\as\gwm\cp\app\dsm\RBVAR\BB80431\src\RBVAR_VarCode_PROJECT.c</t>
  </si>
  <si>
    <t>GWM_AB30_CP_Int\MainstreamF30\rb\as\gwm\cp\app\dsm\RBVAR\BB81003\src\RBVAR_VarCode_PROJECT.c</t>
  </si>
  <si>
    <t>GWM_AB30_CP_Int\MainstreamF30\rb\as\gwm\cp\app\dsm\RBVAR\BB82313\src\RBVAR_VarCode_PROJECT.c</t>
  </si>
  <si>
    <t>- Can't cover default switch case at line 265</t>
  </si>
  <si>
    <t xml:space="preserve">- Unable to cover DEFAULT case of switch( SsmState ) at line #270 because the enum SsmState only has 4 values.
'- Cannot cover MCDC case T-T-F at line 139 becase when IMG_BRKMODE_STATUS false =&gt; line 71 false =&gt; line 139 never reach"
</t>
  </si>
  <si>
    <t>235199_SAIC_EP21_MCE_ESP9.3HevX</t>
  </si>
  <si>
    <t>GWM_AB30_7DCT_BSS08</t>
  </si>
  <si>
    <t>GAC_239741_Carbon_A12 4WD ESPHevx FPA/RPA_BL02</t>
  </si>
  <si>
    <t>BYD_IPB_SW_Mainstream_BL05</t>
  </si>
  <si>
    <t>ComScl_Scl_Complex.c</t>
  </si>
  <si>
    <t>ComScl_Scl_GW_HSC2_HCU_FrP01_Rx.c</t>
  </si>
  <si>
    <t>PbcWrapper.c</t>
  </si>
  <si>
    <t>PbcInterface.c</t>
  </si>
  <si>
    <t>ASWIF_CustomerConfig.c</t>
  </si>
  <si>
    <t>cco_stub.c</t>
  </si>
  <si>
    <t>other_stub.c</t>
  </si>
  <si>
    <t>MM_WakeUp.c</t>
  </si>
  <si>
    <t>MM_PowerDown.c</t>
  </si>
  <si>
    <t>MM_NmClient.c</t>
  </si>
  <si>
    <t>Obd_CalId.c</t>
  </si>
  <si>
    <t>RBAPLCUST_RDBI_InputData_APBMi.c</t>
  </si>
  <si>
    <t>NET_SCL_Rx_VAF_Complex.c</t>
  </si>
  <si>
    <t>BB81539</t>
  </si>
  <si>
    <t>BB81483</t>
  </si>
  <si>
    <t>BYD_IPB_BL05_Int</t>
  </si>
  <si>
    <t>GUO Sasa (CC-AS/EVA-SW3-CN)</t>
  </si>
  <si>
    <t>PAN Qi (CC-AS/EVA-SW31-CN)</t>
  </si>
  <si>
    <t>TANG Yanqi (CC-AS/EVA-SW31-CN)</t>
  </si>
  <si>
    <t>ZHANG Wenjia (CC-AS/EVA-SW33-CN)</t>
  </si>
  <si>
    <t xml:space="preserve">I cannot cover full  C1 becasuse length_pu16 &lt; maxLength_u16 or length_pu16 = maxLength_u16.
Switch at Case “default” =&gt; *length_pu16 = (uint16)0x00 and maxLength_u16 have type unsign int 16.
So cannot cover if (*length_pu16 &gt; maxLength_u16).
</t>
  </si>
  <si>
    <t>I cannot cover full  C1 becasuse “if(1)”.</t>
  </si>
  <si>
    <t>rba_Bldr_Backdoor.c</t>
  </si>
  <si>
    <t>BAIC_MainPath_HevX_Int\BAICHevX\rba\Bldr\bldr\src\rba_Bldr_Backdoor.c</t>
  </si>
  <si>
    <t>Support Mr Hai Testing this funciton. Assign 16h00 20200515, but function got issue about controlling address of "local variable". So it need to confirm with developer for next step. Shift due date to 20200518, confirm by Mr. Hai</t>
  </si>
  <si>
    <t xml:space="preserve">1. NMSG_SnowModeActive_B_pre in decision else if(NMSG_SnowModeActive_B_l &amp;&amp; NMSG_SnowModeActive_B_pre) at line #322 can’t show its influence because it conflicts with decision at line #307.
2. !NMSG_SnowModeActive_B_l in decision else if(!NMSG_SnowModeActive_B_l &amp;&amp; NMSG_SnowModeActive_B_pre) at line #340 can’t show its influence because it conflicts with decision at line #307 or decision at line #322.
3. !NMSG_SnowModeActive_B_l and !NMSG_SnowModeActive_B_pre in decision else if(!NMSG_SnowModeActive_B_l &amp;&amp; !NMSG_SnowModeActive_B_pre) at line #355 can’t show its influence because it sequentially conflicts with (decision at line #307 or decision at line #322) and decision at line #340.
</t>
  </si>
  <si>
    <t>+ Cannot cover FALSE case at the right side for condition else if ((ComScl_RawSignal_AEBHydBrkAstLvlReqHSC2_RX_u8)&amp;&amp;(l_ABAActive_B == FALSE)) at line #238
+ Cannot cover for ELSE case for condition else if (ComScl_RawSignal_AEBHydBrkAstLvlReqHSC2_RX_u8 == 0) at line #260</t>
  </si>
  <si>
    <t>-Already have confirm by owner as the previous phase</t>
  </si>
  <si>
    <t>-Can't cover for default of switch case at line #99</t>
  </si>
  <si>
    <t>BYD_IPB_BL05_Int\BYDIPB\rb\as\BYD\ipb\app\net\RBScl\Scl_Callout\src</t>
  </si>
  <si>
    <t>BAIC_N60_iBooster</t>
  </si>
  <si>
    <t>NET_AliveCounterLib_BAIC.c</t>
  </si>
  <si>
    <t>RBRIS_MainHandler.c</t>
  </si>
  <si>
    <t>RBAPLCUST_RBDI_NVMData_BAICib.c</t>
  </si>
  <si>
    <t>RBAPLCUST_WDBI_NVMData_BAICib.c</t>
  </si>
  <si>
    <t>RBAPLCUST_RBDI_SWVersionNumber.c</t>
  </si>
  <si>
    <t>RBAPLCUST_RDBI_AnalogData.c</t>
  </si>
  <si>
    <t>RBAPLCUST_RDBI_StatusInformation.c</t>
  </si>
  <si>
    <t>RBAPLCUST_SnapshotChecksumAlivecounter_iBooster.c</t>
  </si>
  <si>
    <t>BL72_SP02</t>
  </si>
  <si>
    <t>BB98384</t>
  </si>
  <si>
    <t>BAIC_IB2_Int</t>
  </si>
  <si>
    <t>HU Evan (CC-AS/EVA-SW33-CN)</t>
  </si>
  <si>
    <t>ZHU Anlin (CC-AS/EVA-SW2-CN)</t>
  </si>
  <si>
    <t>ZHENG Fangfang (CC-AS/EVA-SW33-CN)</t>
  </si>
  <si>
    <t>LIANG Xin (CC-AS/EVA-SW33-CN)</t>
  </si>
  <si>
    <t>GEELY_SS11ESP9.3CP_BL02_SP04</t>
  </si>
  <si>
    <t>BB 80795</t>
  </si>
  <si>
    <t xml:space="preserve">Geely_ESP93_Carbon_Int </t>
  </si>
  <si>
    <t>BL02_SP04</t>
  </si>
  <si>
    <t>Geely_ESP93_Carbon_Int\MainstreamF30\rba\Bldr\config\ApplicationLayer\rba_BldrCmp\src\rba_BldrCmp_Cfg_CheckMem.c</t>
  </si>
  <si>
    <t>Geely_ESP93_Carbon_Int\MainstreamF30\rba\Bldr\config\ApplicationLayer\rba_BldrCmp\src\rba_BldrCmp_Cfg_FlashIf.c</t>
  </si>
  <si>
    <t>Geely_ESP93_Carbon_Int\MainstreamF30\rba\Bldr\config\ApplicationLayer\rba_BldrCmp\src\rba_BldrCmp_Cfg_Functions.c</t>
  </si>
  <si>
    <t>Geely_ESP93_Carbon_Int\MainstreamF30\rba\Bldr\config\ApplicationLayer\rba_BldrCmp\src\rba_BldrCmp_Cfg_NvmIf.c</t>
  </si>
  <si>
    <t>Geely_ESP93_Carbon_Int\MainstreamF30\rba\Bldr\config\ApplicationLayer\rba_BldrCmp\src\rba_BldrCmp_Cfg_PrjFunctions.c</t>
  </si>
  <si>
    <t>Geely_ESP93_Carbon_Int\MainstreamF30\rba\Bldr\config\ApplicationLayer\rba_BldrCmp\src\rba_BldrCmp_Cfg_SecA.c</t>
  </si>
  <si>
    <t>Geely_ESP93_Carbon_Int\MainstreamF30\rba\Bldr\bmgr\src\rba_Bmgr_main.c</t>
  </si>
  <si>
    <t>Geely_ESP93_Carbon_Int\MainstreamF30\rba\Bldr\bldr\src\rba_Bldr_main.c</t>
  </si>
  <si>
    <t>FAW_TypeC2_BSL33_Security</t>
  </si>
  <si>
    <t>GEEA2.0_ESP9.3_CMP_BL07</t>
  </si>
  <si>
    <t>BL07</t>
  </si>
  <si>
    <t>rb_ASW_Wrapper_SCL_BBM_Tx.c</t>
  </si>
  <si>
    <t>rb_ASW_Wrapper_SCL_L3_Tx.c</t>
  </si>
  <si>
    <t>rb_ASW_Wrapper_SCL_ABS_Tx.c</t>
  </si>
  <si>
    <t>rb_ASW_Wrapper_SCL_VAF_Rx.c</t>
  </si>
  <si>
    <t>Jogi Madivalappa (RBEI/ESH31)</t>
  </si>
  <si>
    <t>BB81818</t>
  </si>
  <si>
    <t>CEVT_GEEA_DeuteriumR_DEV</t>
  </si>
  <si>
    <t>CEVT_GEEA_DeuteriumR_DEV\GEEA2.0\rb\as\cevt\Geely\app\net\RBScl\src\Xmt\rb_ASW_Wrapper_SCL_BBM_Tx.c</t>
  </si>
  <si>
    <t>CEVT_GEEA_DeuteriumR_DEV\GEEA2.0\rb\as\cevt\Geely\app\net\RBScl\src\Xmt\rb_ASW_Wrapper_SCL_L3_Tx.c</t>
  </si>
  <si>
    <t>CEVT_GEEA_DeuteriumR_DEV\GEEA2.0\rb\as\cevt\Geely\app\net\RBScl\src\Xmt\rb_ASW_Wrapper_SCL_ABS_Tx.c</t>
  </si>
  <si>
    <t>CEVT_GEEA_DeuteriumR_DEV\GEEA2.0\rb\as\cevt\Geely\app\net\RBScl\src\Rcv\rb_ASW_Wrapper_SCL_VAF_Rx.c</t>
  </si>
  <si>
    <t>FAW_L3_MainPath_HevX_Int_N\CNMSESPHevX\rb\as\core\app\asw\common\cfg\Diamant_Spec_STM\VirtualNodes_CallBackFunctions\src\SSI_Signal2State_CallbackFunction_ESPHEV_VirtualNode_PMcForAbsMeasured.c</t>
  </si>
  <si>
    <t>SSI_Signal2State_CallbackFunction_ESPHEV_VirtualNode_PMcForAbsMeasured.c</t>
  </si>
  <si>
    <t>BSS60</t>
  </si>
  <si>
    <t>Miss src in componentname.</t>
  </si>
  <si>
    <t>Can't cover fully MCDC for condition at the line#135 and the line #140</t>
  </si>
  <si>
    <t>Have already confirm by owner at the previous phase</t>
  </si>
  <si>
    <t>GWM_AB30_CP_Int\MainstreamF30\rb\as\gwm\cp\app\dsm\RBModemgmt\src</t>
  </si>
  <si>
    <t>Can’t cover full MCDCs case FALSE. Because value of Direction_u8 has already limited at line #272</t>
  </si>
  <si>
    <r>
      <t xml:space="preserve">Can’t cover full MCDCs case True at line #122. Because </t>
    </r>
    <r>
      <rPr>
        <b/>
        <i/>
        <sz val="11"/>
        <color rgb="FF000000"/>
        <rFont val="Courier New"/>
        <family val="3"/>
      </rPr>
      <t>maxLength_u16</t>
    </r>
    <r>
      <rPr>
        <sz val="11"/>
        <color rgb="FF000000"/>
        <rFont val="Courier New"/>
        <family val="3"/>
      </rPr>
      <t xml:space="preserve"> </t>
    </r>
    <r>
      <rPr>
        <sz val="10"/>
        <color rgb="FF000000"/>
        <rFont val="Courier New"/>
        <family val="3"/>
      </rPr>
      <t xml:space="preserve">is assigned by </t>
    </r>
    <r>
      <rPr>
        <b/>
        <i/>
        <sz val="11"/>
        <color rgb="FF000000"/>
        <rFont val="Courier New"/>
        <family val="3"/>
      </rPr>
      <t>*length_pu16</t>
    </r>
  </si>
  <si>
    <t>CNMS_ESP_Carbon_Int\MainstreamF30\rb\as\rbcn\core\app\dcom\RBAPLCust\src\ESP</t>
  </si>
  <si>
    <t>2WP_ABS10.3ME_SUZUKI_XE431_Carbon_Migration_Stream\ABS_103_ME_SMC\rba\Bldr\config\Infrastruct\CubasAdapter\src</t>
  </si>
  <si>
    <t>2WP_ABS10.3ME_SUZUKI_XE431_Carbon_Migration_Stream\ABS_103_ME_SMC\rba\Bldr\config\MemStack\Fls\src</t>
  </si>
  <si>
    <t>2WP_ABS10.3ME_SUZUKI_XE431_Carbon_Migration_Stream\ABS_103_ME_SMC\rba\Bldr\config\Infrastruct\Stubs\src</t>
  </si>
  <si>
    <t>2WP_ABS10.3ME_SUZUKI_XE431_Carbon_Migration_Stream\ABS_103_ME_SMC\rba\Bldr\bldr\src</t>
  </si>
  <si>
    <t>2WP_ABS10.3ME_SUZUKI_XE431_Carbon_Migration_Stream\ABS_103_ME_SMC\rba\Bldr\comps\ApplicationLayer\rba_BldrCmp\src</t>
  </si>
  <si>
    <t>2WP_ABS10.3ME_SUZUKI_XE431_Carbon_Migration_Stream\ABS_103_ME_SMC\rba\Bldr\config\Infrastruct\TestEnv\src</t>
  </si>
  <si>
    <t>2WP_ABS10.3ME_SUZUKI_XE431_Carbon_Migration_Stream\ABS_103_ME_SMC\rba\Bldr\config\ComplexDeviceDriver\rba_BldrFlsDrv\src</t>
  </si>
  <si>
    <t>2WP_ABS10.3ME_SUZUKI_XE431_Carbon_Migration_Stream\ABS_103_ME_SMC\rba\Bldr\comps\ApplicationLayer\rba_BldrMemCpy\src</t>
  </si>
  <si>
    <t>2WP_ABS10.3ME_SUZUKI_XE431_Carbon_Migration_Stream\ABS_103_ME_SMC\rba\Bldr\comps\ComplexDeviceDriver\rba_BldrSVM\src</t>
  </si>
  <si>
    <t>2WP_ABS10.3ME_SUZUKI_XE431_Carbon_Migration_Stream\ABS_103_ME_SMC\rba\Bldr\bmgr\src</t>
  </si>
  <si>
    <t>GWM_CP_RBVH_Stream_Int\rb\as\gwm\core\app\net\scl\LDMFunctions\SCM\src</t>
  </si>
  <si>
    <t>GAC_ESPHevX_HADHAP_Int\CNMSHevXHADHAP\rb\as\gaig\core\app\net\RBScl\src</t>
  </si>
  <si>
    <t>GAC_ESPHevX_HADHAP_Int\CNMSHevXHADHAP\rb\as\cnms_core\app\net\scl_callout\src</t>
  </si>
  <si>
    <t>GAC_ESP93CP_Carbon_Int\MainstreamF30\rb\as\gaig\A12ESP\app\net\RBScl\RBScl_GAC\src</t>
  </si>
  <si>
    <t>GAC_ESP93CP_Carbon_Int\MainstreamF30\rb\as\cnms_core\app\net\scl_callout\src</t>
  </si>
  <si>
    <t>GAC_ESP93CP_Carbon_Int\MainstreamF30\rb\as\cnms_core\app\net\scl\Sensors\Steering\src</t>
  </si>
  <si>
    <t>GAC_ESP93CP_Carbon_Int\MainstreamF30\rb\as\gaig\core\app\itpms\TPMS_Common_CN\SRC</t>
  </si>
  <si>
    <t>GAC_ESP93CP_Carbon_Int\MainstreamF30\rb\as\gaig\core\app\itpms\TPMS_Common_CN\SIM\SRC</t>
  </si>
  <si>
    <t>rba\Bldr_dfsk\config\ApplicationLayer\rba_BldrCmp\src</t>
  </si>
  <si>
    <t>BYD_ESP93_Int\MainstreamF30\rba\Bldr\config\ApplicationLayer\rba_BldrCmp\src</t>
  </si>
  <si>
    <t>BYD_ESP93_Int\MainstreamF30\rba\Bldr\config\Infrastruct\rba_AS_HWProt\src</t>
  </si>
  <si>
    <t>NextEV_ESPHevX_Int\CNMSESPHevX\rb\as\nio\prj\dsmpr\src\RBHMI\src</t>
  </si>
  <si>
    <t>SAIC_EP_CMP_ESPHevX_Int\ESPhevXSAICEP\rb\as\saicep\esphevx\app\net\RBScl\src</t>
  </si>
  <si>
    <t>SAIC_EP_CMP_ESPHevX_Int\ESPhevXSAICEP\rb\as\saicep\esphevx\app\net\RBScl\src\Rcv</t>
  </si>
  <si>
    <t>GWM_AB30_CP_Int\MainstreamF30\rb\as\core\app\asw\apbmi\host\PBC\SRC</t>
  </si>
  <si>
    <t>GWM_AB30_CP_Int\MainstreamF30\rb\as\gwm\cp\app\asw\aswif\src</t>
  </si>
  <si>
    <t>GWM_AB30_CP_Int\MainstreamF30\rb\as\gwm\cp\app\asw\stubs\src</t>
  </si>
  <si>
    <t>GWM_AB30_CP_Int\MainstreamF30\rb\as\gwm\cp\app\obd\ObdCvnCalId\src</t>
  </si>
  <si>
    <t>GAC_ESPHevX_HADHAP_Int\CNMSHevXHADHAP\rb\as\gaig\core\app\dcom\RBAPLCust\src</t>
  </si>
  <si>
    <t>BAIC_IB2_Int\iBoosterGen2\rb\as\ib2_baic\ib2_baic_core\app\net\net_OBD_Off\RBScl\src</t>
  </si>
  <si>
    <t>BAIC_IB2_Int\iBoosterGen2\rb\as\ib2_baic\ib2_baic_core\app\net\net_OBD_Off\RBNetPrj\RBNet_Can\src</t>
  </si>
  <si>
    <t>BAIC_IB2_Int\iBoosterGen2\rb\as\ib2_baic\prj\dsmpr\src</t>
  </si>
  <si>
    <t>BAIC_IB2_Int\iBoosterGen2\rb\as\ib2_baic\ib2_baic_core\app\dcom\RBAPLCust\src\iBooster</t>
  </si>
  <si>
    <t>BAIC_IB2_Int\iBoosterGen2\rb\as\ib2_baic\ib2_baic_core\app\dsm\RBVAR\src</t>
  </si>
  <si>
    <t>BAIC_IB2_Int\iBoosterGen2\rb\as\cnms_core\app\dcom\RBAPLCust\src\common</t>
  </si>
  <si>
    <t>BAIC_IB2_Int\iBoosterGen2\rb\as\ib2_baic\ib2_baic_core\app\dcom\RBAPLCust\src\common</t>
  </si>
  <si>
    <t>- Release in advance for phase 1 on 18-May-2020</t>
  </si>
  <si>
    <t>- Phase 2 assign from 19-May-2020</t>
  </si>
  <si>
    <t>Can’t cover FALSE case of condition at line #930. Because of the variable l_IsUpdated_B at line #924 equal to TRUE.</t>
  </si>
  <si>
    <t>Turn fuction rba_Bldr_main into comment for testing purpose at line #56
Turn fuction for loop into comment for testing purpose at line #121</t>
  </si>
  <si>
    <t>Turn fuction rba_Bmgr_main into comment for testing purpose at line #56. because it contain infinite loop.</t>
  </si>
  <si>
    <t>2WP_ABS10.3ME_SUZUKI_XE431_Carbon_Migration_Stream\ABS_103_ME_SMC\rba\Bldr\config\ApplicationLayer\rba_BldrCmp\src\</t>
  </si>
  <si>
    <t>Can’t cover full MCDCs case FALSE. Because value of Direction_u8 has already limited at line #272.</t>
  </si>
  <si>
    <t>No impact</t>
  </si>
  <si>
    <t>Defect ID: Defect 1481021</t>
  </si>
  <si>
    <t>RTN_MOTO][RT750-J]</t>
  </si>
  <si>
    <t>rb.as.core.app.asw.dtc.dtfdtcdte20msesp</t>
  </si>
  <si>
    <t>MT_224</t>
  </si>
  <si>
    <t>DTCActionNoTrq</t>
  </si>
  <si>
    <t>4.2.131.1</t>
  </si>
  <si>
    <t>cannot cover full C0/C1 because of param1D</t>
  </si>
  <si>
    <t>rb.as.core.hwp.cubas.CanStack</t>
  </si>
  <si>
    <t>MT_003</t>
  </si>
  <si>
    <t>CUBAS_Comstack_Can</t>
  </si>
  <si>
    <t>Delta</t>
  </si>
  <si>
    <t>rb.as.honda.cmp.app.asw.custtarball</t>
  </si>
  <si>
    <t>MT_209</t>
  </si>
  <si>
    <t>CM_Honda_LFC5ms_LFC20msV1_3_4_0</t>
  </si>
  <si>
    <t>1.1</t>
  </si>
  <si>
    <t>MT_210</t>
  </si>
  <si>
    <t>CVSA_Control</t>
  </si>
  <si>
    <t>2.2</t>
  </si>
  <si>
    <t>MT_211</t>
  </si>
  <si>
    <t>CVSA_PataAndLampStrategy</t>
  </si>
  <si>
    <t>2.1</t>
  </si>
  <si>
    <t>MT_214</t>
  </si>
  <si>
    <t>Honda_LfcMTarLim_FunctionSafety</t>
  </si>
  <si>
    <t>1.7</t>
  </si>
  <si>
    <t>[No1]: cannot cover full C0/C1 because of param1D
[No2]: cannot cover MCDC case F-X at line 43 because of previous condtion at line 36 true =&gt; line 43 never reach
=&gt;similar case for cover MCDC case F-X at:   Line 54 , Line 65 , Line 76 , Line 87 , Line 98 , Line 109, Line 120, Line 131, Line 142, Line 153, Line 164, Line 175, Line 186, Line 197, Line 208, Line 219, Line 230, Line 241, Line 252, Line 263, Line 274, Line 285, Line 296, Line 307, Line 318, Line 329, Line 340, Line 351, Line 362, Line 373, Line 384, Line 395, Line 406, Line 417, Line 428, Line 439, Line 450, Line 461, Line 472, Line 483, Line 494, Line 505, Line 516, Line 527, Line 538, Line 549, Line 560, Line 571, Line 582, Line 593, Line 604, Line 615, Line 626, Line 637, Line 648, Line 659, Line 670, Line 681, Line 692, Line 703, Line 714, Line 725, Line 736, Line 747, Line 758, Line 769, Line 780, Line 791, Line 878, Line 883, Line 888, Line 893, Line 898, Line 903, Line 908, Line 913, Line 918, Line 923, Line 928, Line 933, Line 938, Line 943, Line 948, Line 953, Line 958, Line 963, Line 968, Line 973, Line 978, Line 983, Line 988, Line 993.</t>
  </si>
  <si>
    <t>rb.as.honda.cmp.app.dsm</t>
  </si>
  <si>
    <t>MT_014</t>
  </si>
  <si>
    <t>RBHMI_ConfigOutput_ESP_Status</t>
  </si>
  <si>
    <t>MT_026</t>
  </si>
  <si>
    <t>rba_ComScl_Scl_ENG_17C_CH1_Rx</t>
  </si>
  <si>
    <t>Can't cover false case of if(RBFS_HondaCANRxENG13B == RBFS_HondaCANRxENG13B_NONE ) at line  #291 because RBFS_HondaCANRxENG13B is always equal to RBFS_HondaCANRxENG13B_NONE.Can't cover MCDC F&amp;&amp;T, T&amp;&amp;F of (rba_ComScl_EvaluateRxPdu_ENG_17C_CH1 &amp;&amp; (RBNet_Variant_ENG_17C_CH1_Rx_b()) at line #403 because rba_ComScl_EvaluateRxPdu_ENG_17C_CH1 and RBNet_Variant_ENG_17C_CH1_Rx_b() must be equals to TRUE to access the condition TRUE at line #239</t>
  </si>
  <si>
    <t>MT_035</t>
  </si>
  <si>
    <t>rba_ComScl_Scl_SRS_094_CH2_Rx</t>
  </si>
  <si>
    <t>RBNET_VariantTableInterface_HONDA</t>
  </si>
  <si>
    <t>rb.as.honda.core.app.asw.maeps</t>
  </si>
  <si>
    <t>MT_218</t>
  </si>
  <si>
    <t>Honda_MAEPS_20ms</t>
  </si>
  <si>
    <t>s</t>
  </si>
  <si>
    <t>Defect ID: 1506926: [HONDA][Module Test] Redundant semicolon in rb_fun_dcom_4070_Byte11 function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</si>
</sst>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yy;@"/>
  </numFmts>
  <fonts count="35" x14ac:knownFonts="1">
    <font>
      <sz val="11"/>
      <color theme="1"/>
      <name val="Calibri"/>
      <family val="2"/>
      <scheme val="minor"/>
    </font>
    <font>
      <sz val="10"/>
      <color theme="1"/>
      <name val="Arial"/>
      <family val="2"/>
    </font>
    <font>
      <b/>
      <sz val="11"/>
      <color theme="1"/>
      <name val="Calibri"/>
      <family val="2"/>
      <scheme val="minor"/>
    </font>
    <font>
      <b/>
      <sz val="11"/>
      <name val="Calibri"/>
      <family val="2"/>
      <scheme val="minor"/>
    </font>
    <font>
      <sz val="11"/>
      <name val="Calibri"/>
      <family val="2"/>
      <scheme val="minor"/>
    </font>
    <font>
      <sz val="10"/>
      <name val="Arial"/>
      <family val="2"/>
    </font>
    <font>
      <b/>
      <sz val="10"/>
      <color theme="1"/>
      <name val="Arial"/>
      <family val="2"/>
    </font>
    <font>
      <sz val="10"/>
      <color rgb="FF9C0006"/>
      <name val="Arial"/>
      <family val="2"/>
    </font>
    <font>
      <b/>
      <sz val="11"/>
      <color theme="1"/>
      <name val="Calibri"/>
      <family val="2"/>
      <scheme val="minor"/>
    </font>
    <font>
      <b/>
      <sz val="11"/>
      <color rgb="FFFF0000"/>
      <name val="Calibri"/>
      <family val="2"/>
      <scheme val="minor"/>
    </font>
    <font>
      <b/>
      <sz val="11"/>
      <color theme="1"/>
      <name val="Calibri"/>
      <family val="2"/>
      <scheme val="minor"/>
    </font>
    <font>
      <sz val="10"/>
      <color rgb="FFFF0000"/>
      <name val="Arial"/>
      <family val="2"/>
    </font>
    <font>
      <sz val="11"/>
      <color rgb="FFFF0000"/>
      <name val="Calibri"/>
      <family val="2"/>
      <scheme val="minor"/>
    </font>
    <font>
      <sz val="9"/>
      <color indexed="81"/>
      <name val="Tahoma"/>
      <family val="2"/>
    </font>
    <font>
      <b/>
      <sz val="9"/>
      <color indexed="81"/>
      <name val="Tahoma"/>
      <family val="2"/>
    </font>
    <font>
      <sz val="11"/>
      <color theme="1"/>
      <name val="Calibri"/>
      <family val="2"/>
      <scheme val="minor"/>
    </font>
    <font>
      <sz val="12"/>
      <color theme="1"/>
      <name val="Calibri"/>
      <family val="2"/>
      <scheme val="minor"/>
    </font>
    <font>
      <sz val="10"/>
      <color indexed="8"/>
      <name val="Arial"/>
      <family val="2"/>
    </font>
    <font>
      <sz val="11"/>
      <color theme="1"/>
      <name val="Calibri"/>
      <family val="2"/>
      <scheme val="minor"/>
    </font>
    <font>
      <b/>
      <sz val="10"/>
      <color rgb="FF9C6500"/>
      <name val="Calibri"/>
      <family val="2"/>
      <scheme val="minor"/>
    </font>
    <font>
      <sz val="10"/>
      <color theme="1"/>
      <name val="Arial"/>
      <family val="2"/>
    </font>
    <font>
      <sz val="11"/>
      <color rgb="FFFF0000"/>
      <name val="Calibri"/>
      <family val="2"/>
      <scheme val="minor"/>
    </font>
    <font>
      <b/>
      <sz val="11"/>
      <color theme="1"/>
      <name val="Calibri"/>
      <family val="2"/>
      <scheme val="minor"/>
    </font>
    <font>
      <sz val="10"/>
      <color rgb="FF000000"/>
      <name val="Arial"/>
      <family val="2"/>
    </font>
    <font>
      <sz val="11"/>
      <color theme="1"/>
      <name val="Calibri"/>
      <family val="2"/>
      <scheme val="minor"/>
    </font>
    <font>
      <sz val="11"/>
      <name val="Calibri"/>
      <family val="2"/>
      <scheme val="minor"/>
    </font>
    <font>
      <sz val="10"/>
      <color theme="1"/>
      <name val="Arial"/>
      <family val="2"/>
    </font>
    <font>
      <b/>
      <i/>
      <sz val="11"/>
      <color rgb="FF000000"/>
      <name val="Courier New"/>
      <family val="3"/>
    </font>
    <font>
      <sz val="11"/>
      <color rgb="FF000000"/>
      <name val="Courier New"/>
      <family val="3"/>
    </font>
    <font>
      <sz val="10"/>
      <color rgb="FF000000"/>
      <name val="Courier New"/>
      <family val="3"/>
    </font>
    <font>
      <sz val="11"/>
      <color theme="1"/>
      <name val="Calibri"/>
      <family val="2"/>
      <scheme val="minor"/>
    </font>
    <font>
      <b/>
      <sz val="11"/>
      <color theme="1"/>
      <name val="Calibri"/>
      <family val="2"/>
      <scheme val="minor"/>
    </font>
    <font>
      <sz val="11"/>
      <name val="Calibri"/>
      <family val="2"/>
      <scheme val="minor"/>
    </font>
    <font>
      <b/>
      <sz val="11"/>
      <color theme="1"/>
      <name val="Calibri"/>
      <scheme val="minor"/>
    </font>
    <font>
      <sz val="11"/>
      <color theme="1"/>
      <name val="Calibri"/>
      <scheme val="minor"/>
    </font>
  </fonts>
  <fills count="26">
    <fill>
      <patternFill patternType="none"/>
    </fill>
    <fill>
      <patternFill patternType="gray125"/>
    </fill>
    <fill>
      <patternFill patternType="solid">
        <fgColor rgb="FFFFFF00"/>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rgb="FFFF0000"/>
        <bgColor indexed="64"/>
      </patternFill>
    </fill>
    <fill>
      <patternFill patternType="solid">
        <fgColor theme="0"/>
        <bgColor indexed="64"/>
      </patternFill>
    </fill>
    <fill>
      <patternFill patternType="solid">
        <fgColor rgb="FFFFC7CE"/>
      </patternFill>
    </fill>
    <fill>
      <patternFill patternType="solid">
        <fgColor theme="0" tint="-0.499984740745262"/>
        <bgColor indexed="64"/>
      </patternFill>
    </fill>
    <fill>
      <patternFill patternType="solid">
        <fgColor rgb="FF00B0F0"/>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0" tint="-0.499984740745262"/>
        <bgColor indexed="65"/>
      </patternFill>
    </fill>
    <fill>
      <patternFill patternType="solid">
        <fgColor rgb="FFFFFF00"/>
      </patternFill>
    </fill>
    <fill>
      <patternFill patternType="solid">
        <fgColor rgb="FF92D050"/>
        <bgColor indexed="64"/>
      </patternFill>
    </fill>
    <fill>
      <patternFill patternType="solid">
        <fgColor rgb="FFFFC000"/>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9"/>
        <bgColor indexed="64"/>
      </patternFill>
    </fill>
    <fill>
      <patternFill patternType="solid">
        <fgColor rgb="FF1B6FB5"/>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5" fillId="0" borderId="0"/>
    <xf numFmtId="0" fontId="7" fillId="7" borderId="0" applyNumberFormat="0" applyBorder="0" applyAlignment="0" applyProtection="0"/>
  </cellStyleXfs>
  <cellXfs count="178">
    <xf numFmtId="0" fontId="0" fillId="0" borderId="0" xfId="0"/>
    <xf numFmtId="0" fontId="2" fillId="0" borderId="0" xfId="0" applyFont="1"/>
    <xf numFmtId="0" fontId="2" fillId="0" borderId="1" xfId="0" applyFont="1" applyBorder="1"/>
    <xf numFmtId="0" fontId="0" fillId="0" borderId="1" xfId="0" applyBorder="1"/>
    <xf numFmtId="0" fontId="2" fillId="0" borderId="1" xfId="0" applyFont="1" applyFill="1" applyBorder="1"/>
    <xf numFmtId="0" fontId="0" fillId="0" borderId="0" xfId="0" applyBorder="1"/>
    <xf numFmtId="14" fontId="0" fillId="0" borderId="0" xfId="0" applyNumberFormat="1"/>
    <xf numFmtId="0" fontId="0" fillId="0" borderId="0" xfId="0" applyNumberFormat="1"/>
    <xf numFmtId="0" fontId="0" fillId="0" borderId="1" xfId="0" applyFill="1" applyBorder="1" applyAlignment="1">
      <alignment horizontal="right" vertical="center"/>
    </xf>
    <xf numFmtId="0" fontId="2" fillId="2" borderId="1" xfId="0" applyFont="1" applyFill="1" applyBorder="1" applyAlignment="1">
      <alignment horizontal="center" vertical="center" wrapText="1"/>
    </xf>
    <xf numFmtId="0" fontId="3" fillId="0" borderId="0" xfId="0" applyFont="1"/>
    <xf numFmtId="0" fontId="2" fillId="0" borderId="1" xfId="0" applyFont="1" applyBorder="1" applyAlignment="1">
      <alignment horizontal="center"/>
    </xf>
    <xf numFmtId="0" fontId="0" fillId="0" borderId="1" xfId="0" applyBorder="1" applyAlignment="1">
      <alignment horizontal="center"/>
    </xf>
    <xf numFmtId="0" fontId="0" fillId="0" borderId="1" xfId="0" applyBorder="1" applyAlignment="1">
      <alignment horizontal="center" vertical="center" wrapText="1"/>
    </xf>
    <xf numFmtId="0" fontId="0" fillId="0" borderId="1" xfId="0" applyBorder="1" applyAlignment="1">
      <alignment vertical="center" wrapText="1"/>
    </xf>
    <xf numFmtId="0" fontId="0" fillId="0" borderId="1" xfId="0" quotePrefix="1" applyBorder="1"/>
    <xf numFmtId="0" fontId="0" fillId="0" borderId="1" xfId="0" applyFont="1" applyBorder="1" applyAlignment="1">
      <alignment horizontal="left" vertical="top"/>
    </xf>
    <xf numFmtId="0" fontId="0" fillId="0" borderId="1" xfId="0" applyFont="1" applyFill="1" applyBorder="1" applyAlignment="1">
      <alignment horizontal="left" vertical="top"/>
    </xf>
    <xf numFmtId="0" fontId="0" fillId="0" borderId="1" xfId="0" quotePrefix="1" applyFont="1" applyBorder="1" applyAlignment="1">
      <alignment horizontal="left" vertical="top"/>
    </xf>
    <xf numFmtId="0" fontId="0" fillId="2" borderId="1" xfId="0" applyFont="1" applyFill="1" applyBorder="1" applyAlignment="1">
      <alignment horizontal="left" vertical="top"/>
    </xf>
    <xf numFmtId="164" fontId="0" fillId="0" borderId="1" xfId="0" applyNumberFormat="1" applyFont="1" applyBorder="1" applyAlignment="1">
      <alignment horizontal="left" vertical="top"/>
    </xf>
    <xf numFmtId="0" fontId="4" fillId="0" borderId="1" xfId="0" applyNumberFormat="1" applyFont="1" applyFill="1" applyBorder="1" applyAlignment="1" applyProtection="1">
      <alignment horizontal="left" vertical="top"/>
    </xf>
    <xf numFmtId="0" fontId="1" fillId="0" borderId="0" xfId="0" applyFont="1" applyAlignment="1">
      <alignment vertical="center"/>
    </xf>
    <xf numFmtId="0" fontId="1" fillId="0" borderId="0" xfId="0" quotePrefix="1" applyFont="1" applyAlignment="1">
      <alignment vertical="center"/>
    </xf>
    <xf numFmtId="0" fontId="0" fillId="0" borderId="0" xfId="0" applyAlignment="1">
      <alignment vertical="top"/>
    </xf>
    <xf numFmtId="0" fontId="6" fillId="2" borderId="1" xfId="0" applyFont="1" applyFill="1" applyBorder="1" applyAlignment="1">
      <alignment horizontal="center"/>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6" fillId="5" borderId="4" xfId="0" applyFont="1" applyFill="1" applyBorder="1" applyAlignment="1">
      <alignment horizontal="center" vertical="center"/>
    </xf>
    <xf numFmtId="0" fontId="0" fillId="0" borderId="1" xfId="0" applyFill="1" applyBorder="1" applyAlignment="1">
      <alignment horizontal="left" vertical="center"/>
    </xf>
    <xf numFmtId="0" fontId="0" fillId="0" borderId="0" xfId="0" applyFill="1" applyBorder="1" applyAlignment="1">
      <alignment horizontal="left" vertical="center"/>
    </xf>
    <xf numFmtId="0" fontId="0" fillId="0" borderId="0" xfId="0" applyFill="1" applyBorder="1" applyAlignment="1">
      <alignment horizontal="center" vertical="center"/>
    </xf>
    <xf numFmtId="10" fontId="0" fillId="0" borderId="1" xfId="0" applyNumberFormat="1" applyFont="1" applyBorder="1" applyAlignment="1">
      <alignment horizontal="left" vertical="top"/>
    </xf>
    <xf numFmtId="0" fontId="0" fillId="0" borderId="0" xfId="0" applyFill="1" applyBorder="1" applyAlignment="1">
      <alignment horizontal="right" vertical="center"/>
    </xf>
    <xf numFmtId="10" fontId="0" fillId="0" borderId="0" xfId="0" applyNumberFormat="1" applyFill="1" applyBorder="1" applyAlignment="1">
      <alignment horizontal="center" vertical="center"/>
    </xf>
    <xf numFmtId="0" fontId="0" fillId="0" borderId="0" xfId="0" applyFont="1"/>
    <xf numFmtId="164" fontId="0" fillId="0" borderId="0" xfId="0" applyNumberFormat="1"/>
    <xf numFmtId="0" fontId="0" fillId="0" borderId="0" xfId="0" quotePrefix="1"/>
    <xf numFmtId="0" fontId="0" fillId="6" borderId="5" xfId="0" quotePrefix="1" applyFill="1" applyBorder="1" applyAlignment="1">
      <alignment vertical="center"/>
    </xf>
    <xf numFmtId="0" fontId="0" fillId="6" borderId="6" xfId="0" applyFill="1" applyBorder="1" applyAlignment="1">
      <alignment vertical="center"/>
    </xf>
    <xf numFmtId="0" fontId="0" fillId="6" borderId="7" xfId="0" applyFill="1" applyBorder="1" applyAlignment="1">
      <alignment vertical="center"/>
    </xf>
    <xf numFmtId="0" fontId="0" fillId="0" borderId="1" xfId="0" applyBorder="1" applyAlignment="1">
      <alignment horizontal="center" vertical="center"/>
    </xf>
    <xf numFmtId="10" fontId="0" fillId="0" borderId="1" xfId="0" applyNumberFormat="1" applyBorder="1" applyAlignment="1">
      <alignment horizontal="center" vertical="center"/>
    </xf>
    <xf numFmtId="0" fontId="2" fillId="2" borderId="1" xfId="0" applyFont="1" applyFill="1" applyBorder="1" applyAlignment="1">
      <alignment horizontal="center" vertical="center"/>
    </xf>
    <xf numFmtId="0" fontId="0" fillId="0" borderId="1" xfId="0" applyFill="1" applyBorder="1" applyAlignment="1">
      <alignment horizontal="center" vertical="center"/>
    </xf>
    <xf numFmtId="0" fontId="4" fillId="2" borderId="1" xfId="0" applyNumberFormat="1" applyFont="1" applyFill="1" applyBorder="1" applyAlignment="1" applyProtection="1">
      <alignment horizontal="left" vertical="top"/>
    </xf>
    <xf numFmtId="0" fontId="0" fillId="0" borderId="1" xfId="0" applyFill="1" applyBorder="1" applyAlignment="1">
      <alignment horizontal="center" vertical="center"/>
    </xf>
    <xf numFmtId="0" fontId="8" fillId="0" borderId="0" xfId="0" applyFont="1"/>
    <xf numFmtId="0" fontId="8" fillId="2" borderId="1" xfId="0" applyFont="1" applyFill="1" applyBorder="1" applyAlignment="1">
      <alignment horizontal="center" vertical="center"/>
    </xf>
    <xf numFmtId="0" fontId="8" fillId="2" borderId="1" xfId="0" applyFont="1" applyFill="1" applyBorder="1" applyAlignment="1">
      <alignment horizontal="center" vertical="center" wrapText="1"/>
    </xf>
    <xf numFmtId="0" fontId="0" fillId="0" borderId="1" xfId="0" applyBorder="1" applyAlignment="1">
      <alignment horizontal="right" vertical="center"/>
    </xf>
    <xf numFmtId="0" fontId="2"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2" fillId="2" borderId="5"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0" fillId="8" borderId="1" xfId="0" quotePrefix="1" applyFont="1" applyFill="1" applyBorder="1" applyAlignment="1">
      <alignment horizontal="left" vertical="top"/>
    </xf>
    <xf numFmtId="0" fontId="2" fillId="2" borderId="1" xfId="0" applyFont="1" applyFill="1" applyBorder="1" applyAlignment="1">
      <alignment horizontal="left" vertical="top"/>
    </xf>
    <xf numFmtId="0" fontId="2" fillId="2" borderId="1" xfId="0" applyFont="1" applyFill="1" applyBorder="1" applyAlignment="1">
      <alignment horizontal="center" vertical="center"/>
    </xf>
    <xf numFmtId="0" fontId="0" fillId="0" borderId="1" xfId="0" applyFill="1" applyBorder="1" applyAlignment="1">
      <alignment horizontal="center" vertical="center"/>
    </xf>
    <xf numFmtId="0" fontId="2" fillId="0" borderId="1" xfId="0" applyFont="1" applyBorder="1" applyAlignment="1">
      <alignment horizontal="left" vertical="top"/>
    </xf>
    <xf numFmtId="0" fontId="2" fillId="0" borderId="1" xfId="0" applyFont="1" applyFill="1" applyBorder="1" applyAlignment="1">
      <alignment horizontal="left" vertical="top"/>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0" fillId="0" borderId="0" xfId="0" quotePrefix="1" applyFill="1" applyBorder="1" applyAlignment="1">
      <alignment horizontal="center" vertical="center"/>
    </xf>
    <xf numFmtId="0" fontId="2" fillId="0" borderId="1" xfId="0" applyFont="1" applyBorder="1" applyAlignment="1">
      <alignment vertical="top"/>
    </xf>
    <xf numFmtId="0" fontId="2" fillId="0" borderId="1" xfId="0" applyFont="1" applyFill="1" applyBorder="1" applyAlignment="1">
      <alignment vertical="top"/>
    </xf>
    <xf numFmtId="0" fontId="0" fillId="0" borderId="1" xfId="0" applyBorder="1" applyAlignment="1">
      <alignment vertical="top"/>
    </xf>
    <xf numFmtId="0" fontId="0" fillId="4" borderId="1" xfId="0" applyFill="1" applyBorder="1" applyAlignment="1">
      <alignment vertical="top"/>
    </xf>
    <xf numFmtId="0" fontId="0" fillId="0" borderId="1" xfId="0" applyBorder="1" applyAlignment="1">
      <alignment horizontal="center" vertical="top"/>
    </xf>
    <xf numFmtId="10" fontId="0" fillId="0" borderId="1" xfId="0" applyNumberFormat="1" applyBorder="1" applyAlignment="1">
      <alignment horizontal="center" vertical="top"/>
    </xf>
    <xf numFmtId="0" fontId="0" fillId="3" borderId="1" xfId="0" applyFill="1" applyBorder="1" applyAlignment="1">
      <alignment vertical="top"/>
    </xf>
    <xf numFmtId="0" fontId="2" fillId="0" borderId="0" xfId="0" applyFont="1" applyAlignment="1">
      <alignment vertical="top"/>
    </xf>
    <xf numFmtId="0" fontId="7" fillId="7" borderId="1" xfId="2" applyBorder="1" applyAlignment="1">
      <alignment horizontal="center" vertical="top"/>
    </xf>
    <xf numFmtId="164" fontId="0" fillId="0" borderId="0" xfId="0" applyNumberFormat="1" applyAlignment="1">
      <alignment vertical="top"/>
    </xf>
    <xf numFmtId="0" fontId="0" fillId="0" borderId="0" xfId="0" applyNumberFormat="1" applyAlignment="1">
      <alignment vertical="top"/>
    </xf>
    <xf numFmtId="16" fontId="0" fillId="0" borderId="0" xfId="0" quotePrefix="1" applyNumberFormat="1" applyAlignment="1">
      <alignment vertical="top"/>
    </xf>
    <xf numFmtId="0" fontId="4" fillId="9" borderId="1" xfId="0" applyNumberFormat="1" applyFont="1" applyFill="1" applyBorder="1" applyAlignment="1" applyProtection="1">
      <alignment horizontal="left" vertical="top"/>
    </xf>
    <xf numFmtId="0" fontId="2" fillId="4" borderId="1" xfId="0" applyFont="1" applyFill="1" applyBorder="1" applyAlignment="1">
      <alignment vertical="top"/>
    </xf>
    <xf numFmtId="0" fontId="2" fillId="0" borderId="1" xfId="0" quotePrefix="1" applyFont="1" applyBorder="1" applyAlignment="1">
      <alignment horizontal="left" vertical="top"/>
    </xf>
    <xf numFmtId="0" fontId="9" fillId="2" borderId="0" xfId="0" applyFont="1" applyFill="1"/>
    <xf numFmtId="0" fontId="0" fillId="9" borderId="0" xfId="0" applyFill="1"/>
    <xf numFmtId="0" fontId="0" fillId="4" borderId="1" xfId="0" applyFont="1" applyFill="1" applyBorder="1" applyAlignment="1">
      <alignment vertical="top"/>
    </xf>
    <xf numFmtId="0" fontId="4" fillId="10" borderId="1" xfId="0" applyNumberFormat="1" applyFont="1" applyFill="1" applyBorder="1" applyAlignment="1" applyProtection="1">
      <alignment horizontal="left" vertical="top"/>
    </xf>
    <xf numFmtId="0" fontId="4" fillId="11" borderId="1" xfId="0" applyNumberFormat="1" applyFont="1" applyFill="1" applyBorder="1" applyAlignment="1" applyProtection="1">
      <alignment horizontal="left" vertical="top"/>
    </xf>
    <xf numFmtId="0" fontId="0" fillId="0" borderId="1" xfId="0" quotePrefix="1" applyBorder="1" applyAlignment="1">
      <alignment horizontal="left" vertical="top"/>
    </xf>
    <xf numFmtId="0" fontId="10" fillId="0" borderId="0" xfId="0" applyFont="1" applyAlignment="1">
      <alignment vertical="top"/>
    </xf>
    <xf numFmtId="0" fontId="11" fillId="0" borderId="1" xfId="0" applyFont="1" applyFill="1" applyBorder="1" applyAlignment="1" applyProtection="1"/>
    <xf numFmtId="0" fontId="12" fillId="0" borderId="1" xfId="0" applyFont="1" applyBorder="1" applyAlignment="1"/>
    <xf numFmtId="0" fontId="0" fillId="0" borderId="1" xfId="0" applyFont="1" applyBorder="1"/>
    <xf numFmtId="10" fontId="0" fillId="0" borderId="1" xfId="0" quotePrefix="1" applyNumberFormat="1" applyFont="1" applyBorder="1" applyAlignment="1">
      <alignment horizontal="left" vertical="top"/>
    </xf>
    <xf numFmtId="0" fontId="0" fillId="0" borderId="1" xfId="0" applyBorder="1" applyAlignment="1">
      <alignment horizontal="left" vertical="top"/>
    </xf>
    <xf numFmtId="0" fontId="15" fillId="0" borderId="1" xfId="0" applyFont="1" applyBorder="1" applyAlignment="1">
      <alignment horizontal="left" vertical="top"/>
    </xf>
    <xf numFmtId="0" fontId="15" fillId="0" borderId="1" xfId="0" quotePrefix="1" applyFont="1" applyBorder="1" applyAlignment="1">
      <alignment horizontal="left" vertical="top"/>
    </xf>
    <xf numFmtId="0" fontId="2" fillId="2" borderId="1" xfId="0" applyFont="1" applyFill="1" applyBorder="1" applyAlignment="1">
      <alignment vertical="top"/>
    </xf>
    <xf numFmtId="0" fontId="2" fillId="5" borderId="1" xfId="0" applyFont="1" applyFill="1" applyBorder="1" applyAlignment="1">
      <alignment vertical="top"/>
    </xf>
    <xf numFmtId="0" fontId="16" fillId="0" borderId="1" xfId="0" applyFont="1" applyBorder="1"/>
    <xf numFmtId="0" fontId="0" fillId="5" borderId="1" xfId="0" applyFont="1" applyFill="1" applyBorder="1" applyAlignment="1">
      <alignment horizontal="left" vertical="top"/>
    </xf>
    <xf numFmtId="10" fontId="15" fillId="0" borderId="1" xfId="0" applyNumberFormat="1" applyFont="1" applyBorder="1" applyAlignment="1">
      <alignment horizontal="left" vertical="top"/>
    </xf>
    <xf numFmtId="0" fontId="17" fillId="0" borderId="1" xfId="0" applyFont="1" applyBorder="1" applyAlignment="1">
      <alignment vertical="top"/>
    </xf>
    <xf numFmtId="0" fontId="0" fillId="0" borderId="0" xfId="0" applyFont="1" applyBorder="1" applyAlignment="1">
      <alignment vertical="top"/>
    </xf>
    <xf numFmtId="164" fontId="0" fillId="0" borderId="1" xfId="0" applyNumberFormat="1" applyBorder="1" applyAlignment="1">
      <alignment horizontal="left" vertical="top"/>
    </xf>
    <xf numFmtId="10" fontId="0" fillId="0" borderId="1" xfId="0" applyNumberFormat="1" applyBorder="1" applyAlignment="1">
      <alignment horizontal="left" vertical="top"/>
    </xf>
    <xf numFmtId="10" fontId="15" fillId="0" borderId="1" xfId="0" applyNumberFormat="1" applyFont="1" applyBorder="1" applyAlignment="1">
      <alignment horizontal="left"/>
    </xf>
    <xf numFmtId="10" fontId="0" fillId="0" borderId="1" xfId="0" applyNumberFormat="1" applyFont="1" applyBorder="1" applyAlignment="1">
      <alignment horizontal="left"/>
    </xf>
    <xf numFmtId="0" fontId="4" fillId="12" borderId="1" xfId="0" applyNumberFormat="1" applyFont="1" applyFill="1" applyBorder="1" applyAlignment="1" applyProtection="1">
      <alignment horizontal="left" vertical="top"/>
    </xf>
    <xf numFmtId="0" fontId="4" fillId="13" borderId="1" xfId="0" applyNumberFormat="1" applyFont="1" applyFill="1" applyBorder="1" applyAlignment="1" applyProtection="1">
      <alignment horizontal="left" vertical="top"/>
    </xf>
    <xf numFmtId="0" fontId="4" fillId="14" borderId="1" xfId="0" applyNumberFormat="1" applyFont="1" applyFill="1" applyBorder="1" applyAlignment="1" applyProtection="1">
      <alignment horizontal="left" vertical="top"/>
    </xf>
    <xf numFmtId="0" fontId="10" fillId="0" borderId="1" xfId="0" quotePrefix="1" applyFont="1" applyFill="1" applyBorder="1" applyAlignment="1">
      <alignment horizontal="left" vertical="top"/>
    </xf>
    <xf numFmtId="0" fontId="4" fillId="15" borderId="1" xfId="0" applyNumberFormat="1" applyFont="1" applyFill="1" applyBorder="1" applyAlignment="1" applyProtection="1">
      <alignment horizontal="left" vertical="top"/>
    </xf>
    <xf numFmtId="0" fontId="0" fillId="0" borderId="1" xfId="0" applyFill="1" applyBorder="1" applyAlignment="1">
      <alignment horizontal="left" vertical="top"/>
    </xf>
    <xf numFmtId="0" fontId="0" fillId="0" borderId="1" xfId="0" applyFont="1" applyBorder="1" applyAlignment="1">
      <alignment horizontal="left" vertical="top" wrapText="1"/>
    </xf>
    <xf numFmtId="0" fontId="18" fillId="16" borderId="1" xfId="0" quotePrefix="1" applyFont="1" applyFill="1" applyBorder="1" applyAlignment="1">
      <alignment horizontal="left" vertical="top"/>
    </xf>
    <xf numFmtId="0" fontId="18" fillId="0" borderId="1" xfId="0" applyFont="1" applyFill="1" applyBorder="1" applyAlignment="1">
      <alignment horizontal="left" vertical="top"/>
    </xf>
    <xf numFmtId="0" fontId="18" fillId="0" borderId="1" xfId="0" quotePrefix="1" applyFont="1" applyFill="1" applyBorder="1" applyAlignment="1">
      <alignment horizontal="left" vertical="top"/>
    </xf>
    <xf numFmtId="0" fontId="18" fillId="17" borderId="1" xfId="0" applyFont="1" applyFill="1" applyBorder="1" applyAlignment="1">
      <alignment horizontal="left" vertical="top"/>
    </xf>
    <xf numFmtId="0" fontId="0" fillId="2" borderId="0" xfId="0" applyFill="1"/>
    <xf numFmtId="0" fontId="19" fillId="0" borderId="1" xfId="0" quotePrefix="1" applyFont="1" applyBorder="1" applyAlignment="1">
      <alignment horizontal="left" vertical="top"/>
    </xf>
    <xf numFmtId="0" fontId="0" fillId="2" borderId="1" xfId="0" applyFont="1" applyFill="1" applyBorder="1" applyAlignment="1">
      <alignment horizontal="left" vertical="top" wrapText="1"/>
    </xf>
    <xf numFmtId="0" fontId="0" fillId="2" borderId="1" xfId="0" quotePrefix="1" applyFont="1" applyFill="1" applyBorder="1" applyAlignment="1">
      <alignment horizontal="left" vertical="top"/>
    </xf>
    <xf numFmtId="0" fontId="18" fillId="0" borderId="1" xfId="0" applyFont="1" applyBorder="1" applyAlignment="1">
      <alignment horizontal="left" vertical="top"/>
    </xf>
    <xf numFmtId="0" fontId="0" fillId="0" borderId="0" xfId="0" applyFont="1" applyBorder="1" applyAlignment="1">
      <alignment horizontal="left" vertical="top"/>
    </xf>
    <xf numFmtId="0" fontId="0" fillId="0" borderId="0" xfId="0" quotePrefix="1" applyFont="1" applyBorder="1" applyAlignment="1">
      <alignment horizontal="left" vertical="top"/>
    </xf>
    <xf numFmtId="0" fontId="4" fillId="18" borderId="1" xfId="0" applyNumberFormat="1" applyFont="1" applyFill="1" applyBorder="1" applyAlignment="1" applyProtection="1">
      <alignment horizontal="left" vertical="top"/>
    </xf>
    <xf numFmtId="0" fontId="12" fillId="0" borderId="0" xfId="0" quotePrefix="1" applyFont="1"/>
    <xf numFmtId="0" fontId="4" fillId="19" borderId="1" xfId="0" applyNumberFormat="1" applyFont="1" applyFill="1" applyBorder="1" applyAlignment="1" applyProtection="1">
      <alignment horizontal="left" vertical="top"/>
    </xf>
    <xf numFmtId="164" fontId="0" fillId="19" borderId="1" xfId="0" applyNumberFormat="1" applyFont="1" applyFill="1" applyBorder="1" applyAlignment="1">
      <alignment horizontal="left" vertical="top"/>
    </xf>
    <xf numFmtId="0" fontId="2" fillId="19" borderId="1" xfId="0" quotePrefix="1" applyFont="1" applyFill="1" applyBorder="1" applyAlignment="1">
      <alignment horizontal="left" vertical="top"/>
    </xf>
    <xf numFmtId="0" fontId="4" fillId="20" borderId="1" xfId="0" applyNumberFormat="1" applyFont="1" applyFill="1" applyBorder="1" applyAlignment="1" applyProtection="1">
      <alignment horizontal="left" vertical="top"/>
    </xf>
    <xf numFmtId="0" fontId="4" fillId="21" borderId="1" xfId="0" applyNumberFormat="1" applyFont="1" applyFill="1" applyBorder="1" applyAlignment="1" applyProtection="1">
      <alignment horizontal="left" vertical="top"/>
    </xf>
    <xf numFmtId="0" fontId="0" fillId="21" borderId="1" xfId="0" applyFont="1" applyFill="1" applyBorder="1" applyAlignment="1">
      <alignment horizontal="left" vertical="top"/>
    </xf>
    <xf numFmtId="0" fontId="2" fillId="21" borderId="1" xfId="0" quotePrefix="1" applyFont="1" applyFill="1" applyBorder="1" applyAlignment="1">
      <alignment horizontal="left" vertical="top"/>
    </xf>
    <xf numFmtId="0" fontId="0" fillId="21" borderId="1" xfId="0" quotePrefix="1" applyFont="1" applyFill="1" applyBorder="1" applyAlignment="1">
      <alignment horizontal="left" vertical="top"/>
    </xf>
    <xf numFmtId="164" fontId="0" fillId="21" borderId="1" xfId="0" applyNumberFormat="1" applyFont="1" applyFill="1" applyBorder="1" applyAlignment="1">
      <alignment horizontal="left" vertical="top"/>
    </xf>
    <xf numFmtId="10" fontId="0" fillId="21" borderId="1" xfId="0" applyNumberFormat="1" applyFont="1" applyFill="1" applyBorder="1" applyAlignment="1">
      <alignment horizontal="left" vertical="top"/>
    </xf>
    <xf numFmtId="0" fontId="0" fillId="21" borderId="1" xfId="0" applyFill="1" applyBorder="1" applyAlignment="1">
      <alignment horizontal="left" vertical="top"/>
    </xf>
    <xf numFmtId="0" fontId="20" fillId="21" borderId="0" xfId="0" applyFont="1" applyFill="1"/>
    <xf numFmtId="0" fontId="12" fillId="21" borderId="1" xfId="0" applyFont="1" applyFill="1" applyBorder="1" applyAlignment="1">
      <alignment horizontal="left" vertical="top"/>
    </xf>
    <xf numFmtId="0" fontId="21" fillId="21" borderId="1" xfId="0" applyFont="1" applyFill="1" applyBorder="1" applyAlignment="1">
      <alignment horizontal="left" vertical="top"/>
    </xf>
    <xf numFmtId="0" fontId="18" fillId="0" borderId="0" xfId="0" applyFont="1" applyBorder="1" applyAlignment="1"/>
    <xf numFmtId="0" fontId="4" fillId="22" borderId="1" xfId="0" applyNumberFormat="1" applyFont="1" applyFill="1" applyBorder="1" applyAlignment="1" applyProtection="1">
      <alignment horizontal="left" vertical="top"/>
    </xf>
    <xf numFmtId="0" fontId="4" fillId="23" borderId="1" xfId="0" applyNumberFormat="1" applyFont="1" applyFill="1" applyBorder="1" applyAlignment="1" applyProtection="1">
      <alignment horizontal="left" vertical="top"/>
    </xf>
    <xf numFmtId="0" fontId="4" fillId="19" borderId="1" xfId="0" applyFont="1" applyFill="1" applyBorder="1" applyAlignment="1">
      <alignment horizontal="left" vertical="top"/>
    </xf>
    <xf numFmtId="0" fontId="22" fillId="0" borderId="1" xfId="0" quotePrefix="1" applyFont="1" applyBorder="1" applyAlignment="1">
      <alignment horizontal="left" vertical="top"/>
    </xf>
    <xf numFmtId="0" fontId="4" fillId="24" borderId="1" xfId="0" applyNumberFormat="1" applyFont="1" applyFill="1" applyBorder="1" applyAlignment="1" applyProtection="1">
      <alignment horizontal="left" vertical="top"/>
    </xf>
    <xf numFmtId="0" fontId="23" fillId="0" borderId="1" xfId="0" applyFont="1" applyBorder="1"/>
    <xf numFmtId="0" fontId="4" fillId="25" borderId="1" xfId="0" applyNumberFormat="1" applyFont="1" applyFill="1" applyBorder="1" applyAlignment="1" applyProtection="1">
      <alignment horizontal="left" vertical="top"/>
    </xf>
    <xf numFmtId="0" fontId="24" fillId="0" borderId="1" xfId="0" applyFont="1" applyBorder="1" applyAlignment="1">
      <alignment horizontal="left" vertical="top"/>
    </xf>
    <xf numFmtId="0" fontId="0" fillId="19" borderId="1" xfId="0" applyFont="1" applyFill="1" applyBorder="1" applyAlignment="1">
      <alignment horizontal="left" vertical="top"/>
    </xf>
    <xf numFmtId="0" fontId="0" fillId="0" borderId="1" xfId="0" quotePrefix="1" applyFont="1" applyFill="1" applyBorder="1" applyAlignment="1">
      <alignment horizontal="left" vertical="top"/>
    </xf>
    <xf numFmtId="164" fontId="0" fillId="0" borderId="1" xfId="0" applyNumberFormat="1" applyFont="1" applyFill="1" applyBorder="1" applyAlignment="1">
      <alignment horizontal="left" vertical="top"/>
    </xf>
    <xf numFmtId="0" fontId="22" fillId="0" borderId="0" xfId="0" applyFont="1"/>
    <xf numFmtId="0" fontId="22" fillId="2" borderId="1" xfId="0" applyFont="1" applyFill="1" applyBorder="1" applyAlignment="1">
      <alignment horizontal="center" vertical="center"/>
    </xf>
    <xf numFmtId="0" fontId="22" fillId="2" borderId="1" xfId="0" applyFont="1" applyFill="1" applyBorder="1" applyAlignment="1">
      <alignment horizontal="center" vertical="center" wrapText="1"/>
    </xf>
    <xf numFmtId="0" fontId="4" fillId="0" borderId="0" xfId="0" quotePrefix="1" applyFont="1"/>
    <xf numFmtId="0" fontId="25" fillId="0" borderId="0" xfId="0" quotePrefix="1" applyFont="1"/>
    <xf numFmtId="10" fontId="24" fillId="0" borderId="1" xfId="0" applyNumberFormat="1" applyFont="1" applyBorder="1" applyAlignment="1">
      <alignment horizontal="left" vertical="top"/>
    </xf>
    <xf numFmtId="0" fontId="24" fillId="0" borderId="1" xfId="0" applyNumberFormat="1" applyFont="1" applyBorder="1" applyAlignment="1">
      <alignment horizontal="left" vertical="top"/>
    </xf>
    <xf numFmtId="0" fontId="26" fillId="0" borderId="0" xfId="0" applyFont="1"/>
    <xf numFmtId="0" fontId="0" fillId="0" borderId="0" xfId="0" applyNumberFormat="1" applyBorder="1" applyAlignment="1"/>
    <xf numFmtId="0" fontId="24" fillId="0" borderId="0" xfId="0" applyFont="1" applyBorder="1"/>
    <xf numFmtId="164" fontId="30" fillId="0" borderId="1" xfId="0" applyNumberFormat="1" applyFont="1" applyFill="1" applyBorder="1" applyAlignment="1">
      <alignment horizontal="left" vertical="top"/>
    </xf>
    <xf numFmtId="0" fontId="30" fillId="0" borderId="3" xfId="0" applyFont="1" applyBorder="1" applyAlignment="1">
      <alignment horizontal="left" vertical="top"/>
    </xf>
    <xf numFmtId="0" fontId="31" fillId="0" borderId="0" xfId="0" applyFont="1"/>
    <xf numFmtId="0" fontId="31" fillId="2" borderId="1" xfId="0" applyFont="1" applyFill="1" applyBorder="1" applyAlignment="1">
      <alignment horizontal="center" vertical="center"/>
    </xf>
    <xf numFmtId="0" fontId="31" fillId="2" borderId="1" xfId="0" applyFont="1" applyFill="1" applyBorder="1" applyAlignment="1">
      <alignment horizontal="center" vertical="center" wrapText="1"/>
    </xf>
    <xf numFmtId="0" fontId="32" fillId="0" borderId="0" xfId="0" quotePrefix="1" applyFont="1"/>
    <xf numFmtId="0" fontId="0" fillId="5" borderId="1" xfId="0" quotePrefix="1" applyFont="1" applyFill="1" applyBorder="1" applyAlignment="1">
      <alignment horizontal="left" vertical="top"/>
    </xf>
    <xf numFmtId="0" fontId="30" fillId="0" borderId="1" xfId="0" applyNumberFormat="1" applyFont="1" applyBorder="1" applyAlignment="1">
      <alignment horizontal="left" vertical="top"/>
    </xf>
    <xf numFmtId="0" fontId="33" fillId="2" borderId="1" xfId="0" applyFont="1" applyFill="1" applyBorder="1" applyAlignment="1">
      <alignment horizontal="center" vertical="center" wrapText="1"/>
    </xf>
    <xf numFmtId="0" fontId="34" fillId="0" borderId="0" xfId="0" applyNumberFormat="1" applyFont="1" applyBorder="1"/>
    <xf numFmtId="0" fontId="34" fillId="0" borderId="0" xfId="0" applyFont="1" applyBorder="1" applyAlignment="1"/>
    <xf numFmtId="0" fontId="0" fillId="0" borderId="1" xfId="0" applyNumberFormat="1" applyFont="1" applyFill="1" applyBorder="1" applyAlignment="1" applyProtection="1">
      <alignment horizontal="left" vertical="center"/>
    </xf>
    <xf numFmtId="0" fontId="0" fillId="2" borderId="1" xfId="0" applyFont="1" applyFill="1" applyBorder="1" applyAlignment="1">
      <alignment horizontal="left" vertical="center"/>
    </xf>
    <xf numFmtId="0" fontId="0" fillId="0" borderId="1" xfId="0" applyFont="1" applyBorder="1" applyAlignment="1">
      <alignment horizontal="left" vertical="center"/>
    </xf>
    <xf numFmtId="16" fontId="0" fillId="0" borderId="1" xfId="0" quotePrefix="1" applyNumberFormat="1" applyFill="1" applyBorder="1" applyAlignment="1">
      <alignment horizontal="center" vertical="center"/>
    </xf>
    <xf numFmtId="0" fontId="0" fillId="0" borderId="3" xfId="0" applyFont="1" applyFill="1" applyBorder="1" applyAlignment="1">
      <alignment horizontal="left" vertical="top"/>
    </xf>
  </cellXfs>
  <cellStyles count="3">
    <cellStyle name="Bad" xfId="2" builtinId="27"/>
    <cellStyle name="Normal" xfId="0" builtinId="0"/>
    <cellStyle name="Normal 3" xfId="1"/>
  </cellStyles>
  <dxfs count="10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0066FF"/>
        </patternFill>
      </fill>
    </dxf>
    <dxf>
      <fill>
        <patternFill>
          <bgColor rgb="FF92D050"/>
        </patternFill>
      </fill>
    </dxf>
    <dxf>
      <fill>
        <patternFill>
          <bgColor rgb="FF0066FF"/>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font>
      <fill>
        <patternFill>
          <bgColor rgb="FFFFFF00"/>
        </patternFill>
      </fill>
    </dxf>
    <dxf>
      <font>
        <b/>
        <i val="0"/>
      </font>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0066FF"/>
        </patternFill>
      </fill>
    </dxf>
    <dxf>
      <fill>
        <patternFill>
          <bgColor theme="8" tint="0.39994506668294322"/>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colors>
    <mruColors>
      <color rgb="FF0066FF"/>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usernames" Target="revisions/userNames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revisionHeaders" Target="revisions/revisionHeader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18</xdr:row>
      <xdr:rowOff>142875</xdr:rowOff>
    </xdr:from>
    <xdr:to>
      <xdr:col>3</xdr:col>
      <xdr:colOff>322851</xdr:colOff>
      <xdr:row>36</xdr:row>
      <xdr:rowOff>113875</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647700" y="3571875"/>
          <a:ext cx="7990476" cy="3400000"/>
        </a:xfrm>
        <a:prstGeom prst="rect">
          <a:avLst/>
        </a:prstGeom>
      </xdr:spPr>
    </xdr:pic>
    <xdr:clientData/>
  </xdr:twoCellAnchor>
</xdr:wsDr>
</file>

<file path=xl/revisions/_rels/revisionHeaders.xml.rels><?xml version="1.0" encoding="UTF-8" standalone="yes"?>
<Relationships xmlns="http://schemas.openxmlformats.org/package/2006/relationships"><Relationship Id="rId26" Type="http://schemas.openxmlformats.org/officeDocument/2006/relationships/revisionLog" Target="revisionLog26.xml"/><Relationship Id="rId117" Type="http://schemas.openxmlformats.org/officeDocument/2006/relationships/revisionLog" Target="revisionLog117.xml"/><Relationship Id="rId21" Type="http://schemas.openxmlformats.org/officeDocument/2006/relationships/revisionLog" Target="revisionLog21.xml"/><Relationship Id="rId42" Type="http://schemas.openxmlformats.org/officeDocument/2006/relationships/revisionLog" Target="revisionLog42.xml"/><Relationship Id="rId47" Type="http://schemas.openxmlformats.org/officeDocument/2006/relationships/revisionLog" Target="revisionLog47.xml"/><Relationship Id="rId63" Type="http://schemas.openxmlformats.org/officeDocument/2006/relationships/revisionLog" Target="revisionLog63.xml"/><Relationship Id="rId68" Type="http://schemas.openxmlformats.org/officeDocument/2006/relationships/revisionLog" Target="revisionLog68.xml"/><Relationship Id="rId84" Type="http://schemas.openxmlformats.org/officeDocument/2006/relationships/revisionLog" Target="revisionLog84.xml"/><Relationship Id="rId89" Type="http://schemas.openxmlformats.org/officeDocument/2006/relationships/revisionLog" Target="revisionLog89.xml"/><Relationship Id="rId112" Type="http://schemas.openxmlformats.org/officeDocument/2006/relationships/revisionLog" Target="revisionLog112.xml"/><Relationship Id="rId16" Type="http://schemas.openxmlformats.org/officeDocument/2006/relationships/revisionLog" Target="revisionLog16.xml"/><Relationship Id="rId107" Type="http://schemas.openxmlformats.org/officeDocument/2006/relationships/revisionLog" Target="revisionLog107.xml"/><Relationship Id="rId11" Type="http://schemas.openxmlformats.org/officeDocument/2006/relationships/revisionLog" Target="revisionLog11.xml"/><Relationship Id="rId32" Type="http://schemas.openxmlformats.org/officeDocument/2006/relationships/revisionLog" Target="revisionLog32.xml"/><Relationship Id="rId37" Type="http://schemas.openxmlformats.org/officeDocument/2006/relationships/revisionLog" Target="revisionLog37.xml"/><Relationship Id="rId53" Type="http://schemas.openxmlformats.org/officeDocument/2006/relationships/revisionLog" Target="revisionLog53.xml"/><Relationship Id="rId58" Type="http://schemas.openxmlformats.org/officeDocument/2006/relationships/revisionLog" Target="revisionLog58.xml"/><Relationship Id="rId74" Type="http://schemas.openxmlformats.org/officeDocument/2006/relationships/revisionLog" Target="revisionLog74.xml"/><Relationship Id="rId79" Type="http://schemas.openxmlformats.org/officeDocument/2006/relationships/revisionLog" Target="revisionLog79.xml"/><Relationship Id="rId102" Type="http://schemas.openxmlformats.org/officeDocument/2006/relationships/revisionLog" Target="revisionLog102.xml"/><Relationship Id="rId123" Type="http://schemas.openxmlformats.org/officeDocument/2006/relationships/revisionLog" Target="revisionLog123.xml"/><Relationship Id="rId5" Type="http://schemas.openxmlformats.org/officeDocument/2006/relationships/revisionLog" Target="revisionLog5.xml"/><Relationship Id="rId61" Type="http://schemas.openxmlformats.org/officeDocument/2006/relationships/revisionLog" Target="revisionLog61.xml"/><Relationship Id="rId82" Type="http://schemas.openxmlformats.org/officeDocument/2006/relationships/revisionLog" Target="revisionLog82.xml"/><Relationship Id="rId90" Type="http://schemas.openxmlformats.org/officeDocument/2006/relationships/revisionLog" Target="revisionLog90.xml"/><Relationship Id="rId95" Type="http://schemas.openxmlformats.org/officeDocument/2006/relationships/revisionLog" Target="revisionLog95.xml"/><Relationship Id="rId19" Type="http://schemas.openxmlformats.org/officeDocument/2006/relationships/revisionLog" Target="revisionLog19.xml"/><Relationship Id="rId14" Type="http://schemas.openxmlformats.org/officeDocument/2006/relationships/revisionLog" Target="revisionLog14.xml"/><Relationship Id="rId22" Type="http://schemas.openxmlformats.org/officeDocument/2006/relationships/revisionLog" Target="revisionLog22.xml"/><Relationship Id="rId27" Type="http://schemas.openxmlformats.org/officeDocument/2006/relationships/revisionLog" Target="revisionLog27.xml"/><Relationship Id="rId30" Type="http://schemas.openxmlformats.org/officeDocument/2006/relationships/revisionLog" Target="revisionLog30.xml"/><Relationship Id="rId35" Type="http://schemas.openxmlformats.org/officeDocument/2006/relationships/revisionLog" Target="revisionLog35.xml"/><Relationship Id="rId43" Type="http://schemas.openxmlformats.org/officeDocument/2006/relationships/revisionLog" Target="revisionLog43.xml"/><Relationship Id="rId48" Type="http://schemas.openxmlformats.org/officeDocument/2006/relationships/revisionLog" Target="revisionLog48.xml"/><Relationship Id="rId56" Type="http://schemas.openxmlformats.org/officeDocument/2006/relationships/revisionLog" Target="revisionLog56.xml"/><Relationship Id="rId64" Type="http://schemas.openxmlformats.org/officeDocument/2006/relationships/revisionLog" Target="revisionLog64.xml"/><Relationship Id="rId69" Type="http://schemas.openxmlformats.org/officeDocument/2006/relationships/revisionLog" Target="revisionLog69.xml"/><Relationship Id="rId77" Type="http://schemas.openxmlformats.org/officeDocument/2006/relationships/revisionLog" Target="revisionLog77.xml"/><Relationship Id="rId100" Type="http://schemas.openxmlformats.org/officeDocument/2006/relationships/revisionLog" Target="revisionLog100.xml"/><Relationship Id="rId105" Type="http://schemas.openxmlformats.org/officeDocument/2006/relationships/revisionLog" Target="revisionLog105.xml"/><Relationship Id="rId113" Type="http://schemas.openxmlformats.org/officeDocument/2006/relationships/revisionLog" Target="revisionLog113.xml"/><Relationship Id="rId118" Type="http://schemas.openxmlformats.org/officeDocument/2006/relationships/revisionLog" Target="revisionLog118.xml"/><Relationship Id="rId8" Type="http://schemas.openxmlformats.org/officeDocument/2006/relationships/revisionLog" Target="revisionLog8.xml"/><Relationship Id="rId51" Type="http://schemas.openxmlformats.org/officeDocument/2006/relationships/revisionLog" Target="revisionLog51.xml"/><Relationship Id="rId72" Type="http://schemas.openxmlformats.org/officeDocument/2006/relationships/revisionLog" Target="revisionLog72.xml"/><Relationship Id="rId80" Type="http://schemas.openxmlformats.org/officeDocument/2006/relationships/revisionLog" Target="revisionLog80.xml"/><Relationship Id="rId85" Type="http://schemas.openxmlformats.org/officeDocument/2006/relationships/revisionLog" Target="revisionLog85.xml"/><Relationship Id="rId93" Type="http://schemas.openxmlformats.org/officeDocument/2006/relationships/revisionLog" Target="revisionLog93.xml"/><Relationship Id="rId98" Type="http://schemas.openxmlformats.org/officeDocument/2006/relationships/revisionLog" Target="revisionLog98.xml"/><Relationship Id="rId121" Type="http://schemas.openxmlformats.org/officeDocument/2006/relationships/revisionLog" Target="revisionLog121.xml"/><Relationship Id="rId3" Type="http://schemas.openxmlformats.org/officeDocument/2006/relationships/revisionLog" Target="revisionLog3.xml"/><Relationship Id="rId12" Type="http://schemas.openxmlformats.org/officeDocument/2006/relationships/revisionLog" Target="revisionLog12.xml"/><Relationship Id="rId17" Type="http://schemas.openxmlformats.org/officeDocument/2006/relationships/revisionLog" Target="revisionLog17.xml"/><Relationship Id="rId25" Type="http://schemas.openxmlformats.org/officeDocument/2006/relationships/revisionLog" Target="revisionLog25.xml"/><Relationship Id="rId33" Type="http://schemas.openxmlformats.org/officeDocument/2006/relationships/revisionLog" Target="revisionLog33.xml"/><Relationship Id="rId38" Type="http://schemas.openxmlformats.org/officeDocument/2006/relationships/revisionLog" Target="revisionLog38.xml"/><Relationship Id="rId46" Type="http://schemas.openxmlformats.org/officeDocument/2006/relationships/revisionLog" Target="revisionLog46.xml"/><Relationship Id="rId59" Type="http://schemas.openxmlformats.org/officeDocument/2006/relationships/revisionLog" Target="revisionLog59.xml"/><Relationship Id="rId67" Type="http://schemas.openxmlformats.org/officeDocument/2006/relationships/revisionLog" Target="revisionLog67.xml"/><Relationship Id="rId103" Type="http://schemas.openxmlformats.org/officeDocument/2006/relationships/revisionLog" Target="revisionLog103.xml"/><Relationship Id="rId108" Type="http://schemas.openxmlformats.org/officeDocument/2006/relationships/revisionLog" Target="revisionLog108.xml"/><Relationship Id="rId116" Type="http://schemas.openxmlformats.org/officeDocument/2006/relationships/revisionLog" Target="revisionLog116.xml"/><Relationship Id="rId124" Type="http://schemas.openxmlformats.org/officeDocument/2006/relationships/revisionLog" Target="revisionLog124.xml"/><Relationship Id="rId20" Type="http://schemas.openxmlformats.org/officeDocument/2006/relationships/revisionLog" Target="revisionLog20.xml"/><Relationship Id="rId41" Type="http://schemas.openxmlformats.org/officeDocument/2006/relationships/revisionLog" Target="revisionLog41.xml"/><Relationship Id="rId54" Type="http://schemas.openxmlformats.org/officeDocument/2006/relationships/revisionLog" Target="revisionLog54.xml"/><Relationship Id="rId62" Type="http://schemas.openxmlformats.org/officeDocument/2006/relationships/revisionLog" Target="revisionLog62.xml"/><Relationship Id="rId70" Type="http://schemas.openxmlformats.org/officeDocument/2006/relationships/revisionLog" Target="revisionLog70.xml"/><Relationship Id="rId75" Type="http://schemas.openxmlformats.org/officeDocument/2006/relationships/revisionLog" Target="revisionLog75.xml"/><Relationship Id="rId83" Type="http://schemas.openxmlformats.org/officeDocument/2006/relationships/revisionLog" Target="revisionLog83.xml"/><Relationship Id="rId88" Type="http://schemas.openxmlformats.org/officeDocument/2006/relationships/revisionLog" Target="revisionLog88.xml"/><Relationship Id="rId91" Type="http://schemas.openxmlformats.org/officeDocument/2006/relationships/revisionLog" Target="revisionLog91.xml"/><Relationship Id="rId96" Type="http://schemas.openxmlformats.org/officeDocument/2006/relationships/revisionLog" Target="revisionLog96.xml"/><Relationship Id="rId111" Type="http://schemas.openxmlformats.org/officeDocument/2006/relationships/revisionLog" Target="revisionLog111.xml"/><Relationship Id="rId1" Type="http://schemas.openxmlformats.org/officeDocument/2006/relationships/revisionLog" Target="revisionLog1.xml"/><Relationship Id="rId6" Type="http://schemas.openxmlformats.org/officeDocument/2006/relationships/revisionLog" Target="revisionLog6.xml"/><Relationship Id="rId15" Type="http://schemas.openxmlformats.org/officeDocument/2006/relationships/revisionLog" Target="revisionLog15.xml"/><Relationship Id="rId23" Type="http://schemas.openxmlformats.org/officeDocument/2006/relationships/revisionLog" Target="revisionLog23.xml"/><Relationship Id="rId28" Type="http://schemas.openxmlformats.org/officeDocument/2006/relationships/revisionLog" Target="revisionLog28.xml"/><Relationship Id="rId36" Type="http://schemas.openxmlformats.org/officeDocument/2006/relationships/revisionLog" Target="revisionLog36.xml"/><Relationship Id="rId49" Type="http://schemas.openxmlformats.org/officeDocument/2006/relationships/revisionLog" Target="revisionLog49.xml"/><Relationship Id="rId57" Type="http://schemas.openxmlformats.org/officeDocument/2006/relationships/revisionLog" Target="revisionLog57.xml"/><Relationship Id="rId106" Type="http://schemas.openxmlformats.org/officeDocument/2006/relationships/revisionLog" Target="revisionLog106.xml"/><Relationship Id="rId114" Type="http://schemas.openxmlformats.org/officeDocument/2006/relationships/revisionLog" Target="revisionLog114.xml"/><Relationship Id="rId119" Type="http://schemas.openxmlformats.org/officeDocument/2006/relationships/revisionLog" Target="revisionLog119.xml"/><Relationship Id="rId10" Type="http://schemas.openxmlformats.org/officeDocument/2006/relationships/revisionLog" Target="revisionLog10.xml"/><Relationship Id="rId31" Type="http://schemas.openxmlformats.org/officeDocument/2006/relationships/revisionLog" Target="revisionLog31.xml"/><Relationship Id="rId44" Type="http://schemas.openxmlformats.org/officeDocument/2006/relationships/revisionLog" Target="revisionLog44.xml"/><Relationship Id="rId52" Type="http://schemas.openxmlformats.org/officeDocument/2006/relationships/revisionLog" Target="revisionLog52.xml"/><Relationship Id="rId60" Type="http://schemas.openxmlformats.org/officeDocument/2006/relationships/revisionLog" Target="revisionLog60.xml"/><Relationship Id="rId65" Type="http://schemas.openxmlformats.org/officeDocument/2006/relationships/revisionLog" Target="revisionLog65.xml"/><Relationship Id="rId73" Type="http://schemas.openxmlformats.org/officeDocument/2006/relationships/revisionLog" Target="revisionLog73.xml"/><Relationship Id="rId78" Type="http://schemas.openxmlformats.org/officeDocument/2006/relationships/revisionLog" Target="revisionLog78.xml"/><Relationship Id="rId81" Type="http://schemas.openxmlformats.org/officeDocument/2006/relationships/revisionLog" Target="revisionLog81.xml"/><Relationship Id="rId86" Type="http://schemas.openxmlformats.org/officeDocument/2006/relationships/revisionLog" Target="revisionLog86.xml"/><Relationship Id="rId94" Type="http://schemas.openxmlformats.org/officeDocument/2006/relationships/revisionLog" Target="revisionLog94.xml"/><Relationship Id="rId99" Type="http://schemas.openxmlformats.org/officeDocument/2006/relationships/revisionLog" Target="revisionLog99.xml"/><Relationship Id="rId101" Type="http://schemas.openxmlformats.org/officeDocument/2006/relationships/revisionLog" Target="revisionLog101.xml"/><Relationship Id="rId122" Type="http://schemas.openxmlformats.org/officeDocument/2006/relationships/revisionLog" Target="revisionLog122.xml"/><Relationship Id="rId4" Type="http://schemas.openxmlformats.org/officeDocument/2006/relationships/revisionLog" Target="revisionLog4.xml"/><Relationship Id="rId9" Type="http://schemas.openxmlformats.org/officeDocument/2006/relationships/revisionLog" Target="revisionLog9.xml"/><Relationship Id="rId13" Type="http://schemas.openxmlformats.org/officeDocument/2006/relationships/revisionLog" Target="revisionLog13.xml"/><Relationship Id="rId18" Type="http://schemas.openxmlformats.org/officeDocument/2006/relationships/revisionLog" Target="revisionLog18.xml"/><Relationship Id="rId39" Type="http://schemas.openxmlformats.org/officeDocument/2006/relationships/revisionLog" Target="revisionLog39.xml"/><Relationship Id="rId109" Type="http://schemas.openxmlformats.org/officeDocument/2006/relationships/revisionLog" Target="revisionLog109.xml"/><Relationship Id="rId34" Type="http://schemas.openxmlformats.org/officeDocument/2006/relationships/revisionLog" Target="revisionLog34.xml"/><Relationship Id="rId50" Type="http://schemas.openxmlformats.org/officeDocument/2006/relationships/revisionLog" Target="revisionLog50.xml"/><Relationship Id="rId55" Type="http://schemas.openxmlformats.org/officeDocument/2006/relationships/revisionLog" Target="revisionLog55.xml"/><Relationship Id="rId76" Type="http://schemas.openxmlformats.org/officeDocument/2006/relationships/revisionLog" Target="revisionLog76.xml"/><Relationship Id="rId97" Type="http://schemas.openxmlformats.org/officeDocument/2006/relationships/revisionLog" Target="revisionLog97.xml"/><Relationship Id="rId104" Type="http://schemas.openxmlformats.org/officeDocument/2006/relationships/revisionLog" Target="revisionLog104.xml"/><Relationship Id="rId120" Type="http://schemas.openxmlformats.org/officeDocument/2006/relationships/revisionLog" Target="revisionLog120.xml"/><Relationship Id="rId7" Type="http://schemas.openxmlformats.org/officeDocument/2006/relationships/revisionLog" Target="revisionLog7.xml"/><Relationship Id="rId71" Type="http://schemas.openxmlformats.org/officeDocument/2006/relationships/revisionLog" Target="revisionLog71.xml"/><Relationship Id="rId92" Type="http://schemas.openxmlformats.org/officeDocument/2006/relationships/revisionLog" Target="revisionLog92.xml"/><Relationship Id="rId2" Type="http://schemas.openxmlformats.org/officeDocument/2006/relationships/revisionLog" Target="revisionLog2.xml"/><Relationship Id="rId29" Type="http://schemas.openxmlformats.org/officeDocument/2006/relationships/revisionLog" Target="revisionLog29.xml"/><Relationship Id="rId24" Type="http://schemas.openxmlformats.org/officeDocument/2006/relationships/revisionLog" Target="revisionLog24.xml"/><Relationship Id="rId40" Type="http://schemas.openxmlformats.org/officeDocument/2006/relationships/revisionLog" Target="revisionLog40.xml"/><Relationship Id="rId45" Type="http://schemas.openxmlformats.org/officeDocument/2006/relationships/revisionLog" Target="revisionLog45.xml"/><Relationship Id="rId66" Type="http://schemas.openxmlformats.org/officeDocument/2006/relationships/revisionLog" Target="revisionLog66.xml"/><Relationship Id="rId87" Type="http://schemas.openxmlformats.org/officeDocument/2006/relationships/revisionLog" Target="revisionLog87.xml"/><Relationship Id="rId110" Type="http://schemas.openxmlformats.org/officeDocument/2006/relationships/revisionLog" Target="revisionLog110.xml"/><Relationship Id="rId115" Type="http://schemas.openxmlformats.org/officeDocument/2006/relationships/revisionLog" Target="revisionLog115.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557E0CE2-5220-4625-A5AD-A26269335580}" diskRevisions="1" revisionId="1836" version="124">
  <header guid="{D0751588-4398-4388-A3CE-A72755833A0A}" dateTime="2020-05-21T17:13:51" maxSheetId="11" userName="EXTERNAL Nguyen Trung Hieu (Ban Vien, RBVH/EPS45)" r:id="rId1">
    <sheetIdMap count="10">
      <sheetId val="1"/>
      <sheetId val="2"/>
      <sheetId val="3"/>
      <sheetId val="4"/>
      <sheetId val="5"/>
      <sheetId val="6"/>
      <sheetId val="7"/>
      <sheetId val="8"/>
      <sheetId val="9"/>
      <sheetId val="10"/>
    </sheetIdMap>
  </header>
  <header guid="{258BA752-0BF8-40D9-B6CA-2179AFF581B6}" dateTime="2020-05-21T17:14:07" maxSheetId="11" userName="EXTERNAL Nguyen Trung Hieu (Ban Vien, RBVH/EPS45)" r:id="rId2" minRId="1" maxRId="4">
    <sheetIdMap count="10">
      <sheetId val="1"/>
      <sheetId val="2"/>
      <sheetId val="3"/>
      <sheetId val="4"/>
      <sheetId val="5"/>
      <sheetId val="6"/>
      <sheetId val="7"/>
      <sheetId val="8"/>
      <sheetId val="9"/>
      <sheetId val="10"/>
    </sheetIdMap>
  </header>
  <header guid="{9099E79C-6B26-4563-B019-94E62D41AC1D}" dateTime="2020-05-21T17:14:11" maxSheetId="11" userName="EXTERNAL Nguyen Trung Hieu (Ban Vien, RBVH/EPS45)" r:id="rId3">
    <sheetIdMap count="10">
      <sheetId val="1"/>
      <sheetId val="2"/>
      <sheetId val="3"/>
      <sheetId val="4"/>
      <sheetId val="5"/>
      <sheetId val="6"/>
      <sheetId val="7"/>
      <sheetId val="8"/>
      <sheetId val="9"/>
      <sheetId val="10"/>
    </sheetIdMap>
  </header>
  <header guid="{9FF6383B-450E-4A96-BB09-74624F76DE2A}" dateTime="2020-05-21T17:14:15" maxSheetId="11" userName="EXTERNAL Nguyen Trung Hieu (Ban Vien, RBVH/EPS45)" r:id="rId4" minRId="9" maxRId="10">
    <sheetIdMap count="10">
      <sheetId val="1"/>
      <sheetId val="2"/>
      <sheetId val="3"/>
      <sheetId val="4"/>
      <sheetId val="5"/>
      <sheetId val="6"/>
      <sheetId val="7"/>
      <sheetId val="8"/>
      <sheetId val="9"/>
      <sheetId val="10"/>
    </sheetIdMap>
  </header>
  <header guid="{CA73703A-588D-41D1-86BF-F1CD79AF1C62}" dateTime="2020-05-21T17:14:48" maxSheetId="11" userName="EXTERNAL Nguyen Trung Hieu (Ban Vien, RBVH/EPS45)" r:id="rId5" minRId="13" maxRId="15">
    <sheetIdMap count="10">
      <sheetId val="1"/>
      <sheetId val="2"/>
      <sheetId val="3"/>
      <sheetId val="4"/>
      <sheetId val="5"/>
      <sheetId val="6"/>
      <sheetId val="7"/>
      <sheetId val="8"/>
      <sheetId val="9"/>
      <sheetId val="10"/>
    </sheetIdMap>
  </header>
  <header guid="{C6DEBF20-48CD-461A-A3E6-644483E11051}" dateTime="2020-05-21T17:16:25" maxSheetId="11" userName="EXTERNAL Nguyen Trung Hieu (Ban Vien, RBVH/EPS45)" r:id="rId6">
    <sheetIdMap count="10">
      <sheetId val="1"/>
      <sheetId val="2"/>
      <sheetId val="3"/>
      <sheetId val="4"/>
      <sheetId val="5"/>
      <sheetId val="6"/>
      <sheetId val="7"/>
      <sheetId val="8"/>
      <sheetId val="9"/>
      <sheetId val="10"/>
    </sheetIdMap>
  </header>
  <header guid="{FF95C9F4-3F4B-4DB1-A0DA-AF523C0CDFC5}" dateTime="2020-05-21T17:19:53" maxSheetId="11" userName="EXTERNAL Nguyen Trung Hieu (Ban Vien, RBVH/EPS45)" r:id="rId7">
    <sheetIdMap count="10">
      <sheetId val="1"/>
      <sheetId val="2"/>
      <sheetId val="3"/>
      <sheetId val="4"/>
      <sheetId val="5"/>
      <sheetId val="6"/>
      <sheetId val="7"/>
      <sheetId val="8"/>
      <sheetId val="9"/>
      <sheetId val="10"/>
    </sheetIdMap>
  </header>
  <header guid="{4DDF53BA-D2A4-4233-AC9F-B5288B200F17}" dateTime="2020-05-21T17:27:03" maxSheetId="11" userName="EXTERNAL Nguyen Trung Hieu (Ban Vien, RBVH/EPS45)" r:id="rId8">
    <sheetIdMap count="10">
      <sheetId val="1"/>
      <sheetId val="2"/>
      <sheetId val="3"/>
      <sheetId val="4"/>
      <sheetId val="5"/>
      <sheetId val="6"/>
      <sheetId val="7"/>
      <sheetId val="8"/>
      <sheetId val="9"/>
      <sheetId val="10"/>
    </sheetIdMap>
  </header>
  <header guid="{2FB4A3E7-C61B-41AD-91F8-065121080AFA}" dateTime="2020-05-21T17:35:48" maxSheetId="11" userName="EXTERNAL Nguyen Trung Hieu (Ban Vien, RBVH/EPS45)" r:id="rId9">
    <sheetIdMap count="10">
      <sheetId val="1"/>
      <sheetId val="2"/>
      <sheetId val="3"/>
      <sheetId val="4"/>
      <sheetId val="5"/>
      <sheetId val="6"/>
      <sheetId val="7"/>
      <sheetId val="8"/>
      <sheetId val="9"/>
      <sheetId val="10"/>
    </sheetIdMap>
  </header>
  <header guid="{83953F14-F95F-4259-B990-5A1DE294F928}" dateTime="2020-05-21T17:36:09" maxSheetId="11" userName="EXTERNAL Nguyen Trung Hieu (Ban Vien, RBVH/EPS45)" r:id="rId10">
    <sheetIdMap count="10">
      <sheetId val="1"/>
      <sheetId val="2"/>
      <sheetId val="3"/>
      <sheetId val="4"/>
      <sheetId val="5"/>
      <sheetId val="6"/>
      <sheetId val="7"/>
      <sheetId val="8"/>
      <sheetId val="9"/>
      <sheetId val="10"/>
    </sheetIdMap>
  </header>
  <header guid="{F5C6B3F1-FAEE-4B52-AC7F-1B7CF44E505A}" dateTime="2020-05-21T18:26:16" maxSheetId="11" userName="EXTERNAL Nguyen Trung Hieu (Ban Vien, RBVH/EPS45)" r:id="rId11" minRId="28" maxRId="37">
    <sheetIdMap count="10">
      <sheetId val="1"/>
      <sheetId val="2"/>
      <sheetId val="3"/>
      <sheetId val="4"/>
      <sheetId val="5"/>
      <sheetId val="6"/>
      <sheetId val="7"/>
      <sheetId val="8"/>
      <sheetId val="9"/>
      <sheetId val="10"/>
    </sheetIdMap>
  </header>
  <header guid="{7E815BC7-A288-48A6-B5FF-5B06D08B52FC}" dateTime="2020-05-21T18:27:52" maxSheetId="11" userName="EXTERNAL Nguyen Trung Hieu (Ban Vien, RBVH/EPS45)" r:id="rId12">
    <sheetIdMap count="10">
      <sheetId val="1"/>
      <sheetId val="2"/>
      <sheetId val="3"/>
      <sheetId val="4"/>
      <sheetId val="5"/>
      <sheetId val="6"/>
      <sheetId val="7"/>
      <sheetId val="8"/>
      <sheetId val="9"/>
      <sheetId val="10"/>
    </sheetIdMap>
  </header>
  <header guid="{02205007-256B-4EB7-B7F7-DE988B6F468F}" dateTime="2020-05-21T18:29:03" maxSheetId="11" userName="EXTERNAL Nguyen Trung Hieu (Ban Vien, RBVH/EPS45)" r:id="rId13" minRId="42" maxRId="43">
    <sheetIdMap count="10">
      <sheetId val="1"/>
      <sheetId val="2"/>
      <sheetId val="3"/>
      <sheetId val="4"/>
      <sheetId val="5"/>
      <sheetId val="6"/>
      <sheetId val="7"/>
      <sheetId val="8"/>
      <sheetId val="9"/>
      <sheetId val="10"/>
    </sheetIdMap>
  </header>
  <header guid="{13D3BF9B-C459-427C-8D84-9F8E65000221}" dateTime="2020-05-21T18:29:37" maxSheetId="11" userName="EXTERNAL Nguyen Trung Hieu (Ban Vien, RBVH/EPS45)" r:id="rId14">
    <sheetIdMap count="10">
      <sheetId val="1"/>
      <sheetId val="2"/>
      <sheetId val="3"/>
      <sheetId val="4"/>
      <sheetId val="5"/>
      <sheetId val="6"/>
      <sheetId val="7"/>
      <sheetId val="8"/>
      <sheetId val="9"/>
      <sheetId val="10"/>
    </sheetIdMap>
  </header>
  <header guid="{D7BCAF83-C6A4-4B48-834F-63A904FD1FFA}" dateTime="2020-05-21T18:30:03" maxSheetId="11" userName="EXTERNAL Nguyen Trung Hieu (Ban Vien, RBVH/EPS45)" r:id="rId15" minRId="46">
    <sheetIdMap count="10">
      <sheetId val="1"/>
      <sheetId val="2"/>
      <sheetId val="3"/>
      <sheetId val="4"/>
      <sheetId val="5"/>
      <sheetId val="6"/>
      <sheetId val="7"/>
      <sheetId val="8"/>
      <sheetId val="9"/>
      <sheetId val="10"/>
    </sheetIdMap>
  </header>
  <header guid="{1C0744A6-839E-4105-94B6-1DE807EDA1E8}" dateTime="2020-05-21T18:30:09" maxSheetId="11" userName="EXTERNAL Nguyen Trung Hieu (Ban Vien, RBVH/EPS45)" r:id="rId16" minRId="49">
    <sheetIdMap count="10">
      <sheetId val="1"/>
      <sheetId val="2"/>
      <sheetId val="3"/>
      <sheetId val="4"/>
      <sheetId val="5"/>
      <sheetId val="6"/>
      <sheetId val="7"/>
      <sheetId val="8"/>
      <sheetId val="9"/>
      <sheetId val="10"/>
    </sheetIdMap>
  </header>
  <header guid="{C69AFBF8-F85B-466F-9318-C3672230987F}" dateTime="2020-05-21T18:30:14" maxSheetId="11" userName="EXTERNAL Nguyen Trung Hieu (Ban Vien, RBVH/EPS45)" r:id="rId17">
    <sheetIdMap count="10">
      <sheetId val="1"/>
      <sheetId val="2"/>
      <sheetId val="3"/>
      <sheetId val="4"/>
      <sheetId val="5"/>
      <sheetId val="6"/>
      <sheetId val="7"/>
      <sheetId val="8"/>
      <sheetId val="9"/>
      <sheetId val="10"/>
    </sheetIdMap>
  </header>
  <header guid="{F72D68A3-EE39-4141-A0A9-A5F19D06F993}" dateTime="2020-05-21T18:31:32" maxSheetId="11" userName="EXTERNAL Nguyen Trung Hieu (Ban Vien, RBVH/EPS45)" r:id="rId18" minRId="50">
    <sheetIdMap count="10">
      <sheetId val="1"/>
      <sheetId val="2"/>
      <sheetId val="3"/>
      <sheetId val="4"/>
      <sheetId val="5"/>
      <sheetId val="6"/>
      <sheetId val="7"/>
      <sheetId val="8"/>
      <sheetId val="9"/>
      <sheetId val="10"/>
    </sheetIdMap>
  </header>
  <header guid="{41BEFC20-8279-40A2-A18F-BA35640FEE95}" dateTime="2020-05-21T18:31:58" maxSheetId="11" userName="EXTERNAL Nguyen Trung Hieu (Ban Vien, RBVH/EPS45)" r:id="rId19">
    <sheetIdMap count="10">
      <sheetId val="1"/>
      <sheetId val="2"/>
      <sheetId val="3"/>
      <sheetId val="4"/>
      <sheetId val="5"/>
      <sheetId val="6"/>
      <sheetId val="7"/>
      <sheetId val="8"/>
      <sheetId val="9"/>
      <sheetId val="10"/>
    </sheetIdMap>
  </header>
  <header guid="{9A765344-A850-4C79-AA05-D516800F3057}" dateTime="2020-05-21T18:32:23" maxSheetId="11" userName="EXTERNAL Nguyen Trung Hieu (Ban Vien, RBVH/EPS45)" r:id="rId20" minRId="53" maxRId="55">
    <sheetIdMap count="10">
      <sheetId val="1"/>
      <sheetId val="2"/>
      <sheetId val="3"/>
      <sheetId val="4"/>
      <sheetId val="5"/>
      <sheetId val="6"/>
      <sheetId val="7"/>
      <sheetId val="8"/>
      <sheetId val="9"/>
      <sheetId val="10"/>
    </sheetIdMap>
  </header>
  <header guid="{28DD0F0C-D0F6-4078-AD3C-CF9EFCF7D9C9}" dateTime="2020-05-21T18:32:40" maxSheetId="11" userName="EXTERNAL Nguyen Trung Hieu (Ban Vien, RBVH/EPS45)" r:id="rId21" minRId="58" maxRId="60">
    <sheetIdMap count="10">
      <sheetId val="1"/>
      <sheetId val="2"/>
      <sheetId val="3"/>
      <sheetId val="4"/>
      <sheetId val="5"/>
      <sheetId val="6"/>
      <sheetId val="7"/>
      <sheetId val="8"/>
      <sheetId val="9"/>
      <sheetId val="10"/>
    </sheetIdMap>
  </header>
  <header guid="{301BFE51-4A26-402A-8950-9F8BF904B9CF}" dateTime="2020-05-22T08:50:17" maxSheetId="11" userName="gup7hc" r:id="rId22">
    <sheetIdMap count="10">
      <sheetId val="1"/>
      <sheetId val="2"/>
      <sheetId val="3"/>
      <sheetId val="4"/>
      <sheetId val="5"/>
      <sheetId val="6"/>
      <sheetId val="7"/>
      <sheetId val="8"/>
      <sheetId val="9"/>
      <sheetId val="10"/>
    </sheetIdMap>
  </header>
  <header guid="{1684BC72-DB45-4419-8255-7D339FB0EEC4}" dateTime="2020-05-22T09:14:18" maxSheetId="11" userName="EXTERNAL Luu Cong Dac (Ban Vien, RBVH/EPS45)" r:id="rId23" minRId="63" maxRId="67">
    <sheetIdMap count="10">
      <sheetId val="1"/>
      <sheetId val="2"/>
      <sheetId val="3"/>
      <sheetId val="4"/>
      <sheetId val="5"/>
      <sheetId val="6"/>
      <sheetId val="7"/>
      <sheetId val="8"/>
      <sheetId val="9"/>
      <sheetId val="10"/>
    </sheetIdMap>
  </header>
  <header guid="{4E50A215-65AC-4934-AA6B-9B4B773937A9}" dateTime="2020-05-22T09:16:54" maxSheetId="11" userName="EXTERNAL Luu Cong Dac (Ban Vien, RBVH/EPS45)" r:id="rId24" minRId="70">
    <sheetIdMap count="10">
      <sheetId val="1"/>
      <sheetId val="2"/>
      <sheetId val="3"/>
      <sheetId val="4"/>
      <sheetId val="5"/>
      <sheetId val="6"/>
      <sheetId val="7"/>
      <sheetId val="8"/>
      <sheetId val="9"/>
      <sheetId val="10"/>
    </sheetIdMap>
  </header>
  <header guid="{9C762B26-21E8-4BE3-92BD-143DEAE0A481}" dateTime="2020-05-22T09:49:37" maxSheetId="11" userName="EXTERNAL Nguyen Trung Hieu (Ban Vien, RBVH/EPS45)" r:id="rId25">
    <sheetIdMap count="10">
      <sheetId val="1"/>
      <sheetId val="2"/>
      <sheetId val="3"/>
      <sheetId val="4"/>
      <sheetId val="5"/>
      <sheetId val="6"/>
      <sheetId val="7"/>
      <sheetId val="8"/>
      <sheetId val="9"/>
      <sheetId val="10"/>
    </sheetIdMap>
  </header>
  <header guid="{EFEA8D9F-7E5E-4FBA-B3AB-9327F7ED4C8A}" dateTime="2020-05-22T10:00:33" maxSheetId="11" userName="EXTERNAL Nguyen Tuan Duong (Ban Vien, RBVH/EPS45)" r:id="rId26" minRId="75" maxRId="158">
    <sheetIdMap count="10">
      <sheetId val="1"/>
      <sheetId val="2"/>
      <sheetId val="3"/>
      <sheetId val="4"/>
      <sheetId val="5"/>
      <sheetId val="6"/>
      <sheetId val="7"/>
      <sheetId val="8"/>
      <sheetId val="9"/>
      <sheetId val="10"/>
    </sheetIdMap>
  </header>
  <header guid="{C14150EC-939F-4989-BA74-793954F9C50C}" dateTime="2020-05-22T10:05:47" maxSheetId="11" userName="EXTERNAL Nguyen Trung Hieu (Ban Vien, RBVH/EPS45)" r:id="rId27" minRId="161" maxRId="164">
    <sheetIdMap count="10">
      <sheetId val="1"/>
      <sheetId val="2"/>
      <sheetId val="3"/>
      <sheetId val="4"/>
      <sheetId val="5"/>
      <sheetId val="6"/>
      <sheetId val="7"/>
      <sheetId val="8"/>
      <sheetId val="9"/>
      <sheetId val="10"/>
    </sheetIdMap>
  </header>
  <header guid="{47360D90-FADE-476A-B61B-99BD55DD88C7}" dateTime="2020-05-22T10:06:04" maxSheetId="11" userName="EXTERNAL Nguyen Trung Hieu (Ban Vien, RBVH/EPS45)" r:id="rId28">
    <sheetIdMap count="10">
      <sheetId val="1"/>
      <sheetId val="2"/>
      <sheetId val="3"/>
      <sheetId val="4"/>
      <sheetId val="5"/>
      <sheetId val="6"/>
      <sheetId val="7"/>
      <sheetId val="8"/>
      <sheetId val="9"/>
      <sheetId val="10"/>
    </sheetIdMap>
  </header>
  <header guid="{0FFAF7CA-3EFA-4B62-A7A0-717E9D26CC08}" dateTime="2020-05-22T10:06:41" maxSheetId="11" userName="EXTERNAL Nguyen Tuan Duong (Ban Vien, RBVH/EPS45)" r:id="rId29" minRId="169" maxRId="207">
    <sheetIdMap count="10">
      <sheetId val="1"/>
      <sheetId val="2"/>
      <sheetId val="3"/>
      <sheetId val="4"/>
      <sheetId val="5"/>
      <sheetId val="6"/>
      <sheetId val="7"/>
      <sheetId val="8"/>
      <sheetId val="9"/>
      <sheetId val="10"/>
    </sheetIdMap>
  </header>
  <header guid="{30E83357-66A6-4055-BBB5-D223F066CBAB}" dateTime="2020-05-22T10:07:35" maxSheetId="11" userName="EXTERNAL Nguyen Tuan Duong (Ban Vien, RBVH/EPS45)" r:id="rId30" minRId="210" maxRId="213">
    <sheetIdMap count="10">
      <sheetId val="1"/>
      <sheetId val="2"/>
      <sheetId val="3"/>
      <sheetId val="4"/>
      <sheetId val="5"/>
      <sheetId val="6"/>
      <sheetId val="7"/>
      <sheetId val="8"/>
      <sheetId val="9"/>
      <sheetId val="10"/>
    </sheetIdMap>
  </header>
  <header guid="{66890A60-B72B-4D0F-A060-7B87F8D23F04}" dateTime="2020-05-22T10:07:44" maxSheetId="11" userName="EXTERNAL Nguyen Tuan Duong (Ban Vien, RBVH/EPS45)" r:id="rId31" minRId="216" maxRId="218">
    <sheetIdMap count="10">
      <sheetId val="1"/>
      <sheetId val="2"/>
      <sheetId val="3"/>
      <sheetId val="4"/>
      <sheetId val="5"/>
      <sheetId val="6"/>
      <sheetId val="7"/>
      <sheetId val="8"/>
      <sheetId val="9"/>
      <sheetId val="10"/>
    </sheetIdMap>
  </header>
  <header guid="{A6F23669-BB7B-496C-8435-FF430CFDB7E1}" dateTime="2020-05-22T10:07:49" maxSheetId="11" userName="EXTERNAL Nguyen Tuan Duong (Ban Vien, RBVH/EPS45)" r:id="rId32" minRId="221" maxRId="222">
    <sheetIdMap count="10">
      <sheetId val="1"/>
      <sheetId val="2"/>
      <sheetId val="3"/>
      <sheetId val="4"/>
      <sheetId val="5"/>
      <sheetId val="6"/>
      <sheetId val="7"/>
      <sheetId val="8"/>
      <sheetId val="9"/>
      <sheetId val="10"/>
    </sheetIdMap>
  </header>
  <header guid="{CAA2F42F-1AE6-40A1-BB49-70AF8093AE79}" dateTime="2020-05-22T10:08:31" maxSheetId="11" userName="EXTERNAL Nguyen Tuan Duong (Ban Vien, RBVH/EPS45)" r:id="rId33" minRId="223" maxRId="229">
    <sheetIdMap count="10">
      <sheetId val="1"/>
      <sheetId val="2"/>
      <sheetId val="3"/>
      <sheetId val="4"/>
      <sheetId val="5"/>
      <sheetId val="6"/>
      <sheetId val="7"/>
      <sheetId val="8"/>
      <sheetId val="9"/>
      <sheetId val="10"/>
    </sheetIdMap>
  </header>
  <header guid="{94EB1FC9-1DD0-4914-BFBB-0583808FD1CD}" dateTime="2020-05-22T10:08:44" maxSheetId="11" userName="EXTERNAL Nguyen Tuan Duong (Ban Vien, RBVH/EPS45)" r:id="rId34" minRId="232" maxRId="235">
    <sheetIdMap count="10">
      <sheetId val="1"/>
      <sheetId val="2"/>
      <sheetId val="3"/>
      <sheetId val="4"/>
      <sheetId val="5"/>
      <sheetId val="6"/>
      <sheetId val="7"/>
      <sheetId val="8"/>
      <sheetId val="9"/>
      <sheetId val="10"/>
    </sheetIdMap>
  </header>
  <header guid="{7DD86F93-FCFB-487F-9A7B-6B4258E40096}" dateTime="2020-05-22T10:08:57" maxSheetId="11" userName="EXTERNAL Nguyen Tuan Duong (Ban Vien, RBVH/EPS45)" r:id="rId35" minRId="238" maxRId="239">
    <sheetIdMap count="10">
      <sheetId val="1"/>
      <sheetId val="2"/>
      <sheetId val="3"/>
      <sheetId val="4"/>
      <sheetId val="5"/>
      <sheetId val="6"/>
      <sheetId val="7"/>
      <sheetId val="8"/>
      <sheetId val="9"/>
      <sheetId val="10"/>
    </sheetIdMap>
  </header>
  <header guid="{BB728E2C-48AE-47DE-96BF-5D9617474E6F}" dateTime="2020-05-22T10:09:14" maxSheetId="11" userName="EXTERNAL Nguyen Tuan Duong (Ban Vien, RBVH/EPS45)" r:id="rId36">
    <sheetIdMap count="10">
      <sheetId val="1"/>
      <sheetId val="2"/>
      <sheetId val="3"/>
      <sheetId val="4"/>
      <sheetId val="5"/>
      <sheetId val="6"/>
      <sheetId val="7"/>
      <sheetId val="8"/>
      <sheetId val="9"/>
      <sheetId val="10"/>
    </sheetIdMap>
  </header>
  <header guid="{4B852F0C-7198-4341-ACCC-90188F95078C}" dateTime="2020-05-22T10:09:21" maxSheetId="11" userName="EXTERNAL Nguyen Tuan Duong (Ban Vien, RBVH/EPS45)" r:id="rId37">
    <sheetIdMap count="10">
      <sheetId val="1"/>
      <sheetId val="2"/>
      <sheetId val="3"/>
      <sheetId val="4"/>
      <sheetId val="5"/>
      <sheetId val="6"/>
      <sheetId val="7"/>
      <sheetId val="8"/>
      <sheetId val="9"/>
      <sheetId val="10"/>
    </sheetIdMap>
  </header>
  <header guid="{E6E1DDB5-F2E2-4ABD-B58A-7481A1956CDB}" dateTime="2020-05-22T10:09:32" maxSheetId="11" userName="EXTERNAL Nguyen Tuan Duong (Ban Vien, RBVH/EPS45)" r:id="rId38" minRId="246" maxRId="283">
    <sheetIdMap count="10">
      <sheetId val="1"/>
      <sheetId val="2"/>
      <sheetId val="3"/>
      <sheetId val="4"/>
      <sheetId val="5"/>
      <sheetId val="6"/>
      <sheetId val="7"/>
      <sheetId val="8"/>
      <sheetId val="9"/>
      <sheetId val="10"/>
    </sheetIdMap>
  </header>
  <header guid="{1778C27C-C7A5-40B9-9443-585E83B3342E}" dateTime="2020-05-22T10:11:10" maxSheetId="11" userName="EXTERNAL Nguyen Tuan Duong (Ban Vien, RBVH/EPS45)" r:id="rId39" minRId="286" maxRId="288">
    <sheetIdMap count="10">
      <sheetId val="1"/>
      <sheetId val="2"/>
      <sheetId val="3"/>
      <sheetId val="4"/>
      <sheetId val="5"/>
      <sheetId val="6"/>
      <sheetId val="7"/>
      <sheetId val="8"/>
      <sheetId val="9"/>
      <sheetId val="10"/>
    </sheetIdMap>
  </header>
  <header guid="{E670DCE1-6C88-43D1-ACDA-C53507EE13DF}" dateTime="2020-05-22T10:51:17" maxSheetId="11" userName="EXTERNAL Nguyen Trung Hieu (Ban Vien, RBVH/EPS45)" r:id="rId40">
    <sheetIdMap count="10">
      <sheetId val="1"/>
      <sheetId val="2"/>
      <sheetId val="3"/>
      <sheetId val="4"/>
      <sheetId val="5"/>
      <sheetId val="6"/>
      <sheetId val="7"/>
      <sheetId val="8"/>
      <sheetId val="9"/>
      <sheetId val="10"/>
    </sheetIdMap>
  </header>
  <header guid="{C1F8361B-D84E-40C1-AE45-789DDEFC3299}" dateTime="2020-05-22T10:52:43" maxSheetId="11" userName="EXTERNAL Nguyen Trung Hieu (Ban Vien, RBVH/EPS45)" r:id="rId41">
    <sheetIdMap count="10">
      <sheetId val="1"/>
      <sheetId val="2"/>
      <sheetId val="3"/>
      <sheetId val="4"/>
      <sheetId val="5"/>
      <sheetId val="6"/>
      <sheetId val="7"/>
      <sheetId val="8"/>
      <sheetId val="9"/>
      <sheetId val="10"/>
    </sheetIdMap>
  </header>
  <header guid="{54DF11AC-322D-4EBE-A067-362318B594BE}" dateTime="2020-05-22T10:52:50" maxSheetId="11" userName="EXTERNAL Nguyen Trung Hieu (Ban Vien, RBVH/EPS45)" r:id="rId42">
    <sheetIdMap count="10">
      <sheetId val="1"/>
      <sheetId val="2"/>
      <sheetId val="3"/>
      <sheetId val="4"/>
      <sheetId val="5"/>
      <sheetId val="6"/>
      <sheetId val="7"/>
      <sheetId val="8"/>
      <sheetId val="9"/>
      <sheetId val="10"/>
    </sheetIdMap>
  </header>
  <header guid="{5C20302E-D29A-42BD-AB66-D7FBB48FFD0F}" dateTime="2020-05-22T11:01:17" maxSheetId="11" userName="EXTERNAL Nguyen Trung Hieu (Ban Vien, RBVH/EPS45)" r:id="rId43">
    <sheetIdMap count="10">
      <sheetId val="1"/>
      <sheetId val="2"/>
      <sheetId val="3"/>
      <sheetId val="4"/>
      <sheetId val="5"/>
      <sheetId val="6"/>
      <sheetId val="7"/>
      <sheetId val="8"/>
      <sheetId val="9"/>
      <sheetId val="10"/>
    </sheetIdMap>
  </header>
  <header guid="{018D4452-B7E7-4BAC-97AC-DF1C34E59996}" dateTime="2020-05-22T11:02:55" maxSheetId="11" userName="EXTERNAL Nguyen Trung Hieu (Ban Vien, RBVH/EPS45)" r:id="rId44">
    <sheetIdMap count="10">
      <sheetId val="1"/>
      <sheetId val="2"/>
      <sheetId val="3"/>
      <sheetId val="4"/>
      <sheetId val="5"/>
      <sheetId val="6"/>
      <sheetId val="7"/>
      <sheetId val="8"/>
      <sheetId val="9"/>
      <sheetId val="10"/>
    </sheetIdMap>
  </header>
  <header guid="{01020309-C11F-4084-9CD6-51A52EACD40C}" dateTime="2020-05-22T11:04:09" maxSheetId="11" userName="EXTERNAL Nguyen Trung Hieu (Ban Vien, RBVH/EPS45)" r:id="rId45">
    <sheetIdMap count="10">
      <sheetId val="1"/>
      <sheetId val="2"/>
      <sheetId val="3"/>
      <sheetId val="4"/>
      <sheetId val="5"/>
      <sheetId val="6"/>
      <sheetId val="7"/>
      <sheetId val="8"/>
      <sheetId val="9"/>
      <sheetId val="10"/>
    </sheetIdMap>
  </header>
  <header guid="{4F0FAA8C-5F82-4495-B471-C7882EB39E3C}" dateTime="2020-05-22T11:06:58" maxSheetId="11" userName="EXTERNAL Nguyen Tuan Duong (Ban Vien, RBVH/EPS45)" r:id="rId46" minRId="303" maxRId="312">
    <sheetIdMap count="10">
      <sheetId val="1"/>
      <sheetId val="2"/>
      <sheetId val="3"/>
      <sheetId val="4"/>
      <sheetId val="5"/>
      <sheetId val="6"/>
      <sheetId val="7"/>
      <sheetId val="8"/>
      <sheetId val="9"/>
      <sheetId val="10"/>
    </sheetIdMap>
  </header>
  <header guid="{938B1DA7-1FCB-4000-9E6B-BB9E0A7C10E3}" dateTime="2020-05-22T11:07:19" maxSheetId="11" userName="EXTERNAL Nguyen Trung Hieu (Ban Vien, RBVH/EPS45)" r:id="rId47" minRId="315" maxRId="316">
    <sheetIdMap count="10">
      <sheetId val="1"/>
      <sheetId val="2"/>
      <sheetId val="3"/>
      <sheetId val="4"/>
      <sheetId val="5"/>
      <sheetId val="6"/>
      <sheetId val="7"/>
      <sheetId val="8"/>
      <sheetId val="9"/>
      <sheetId val="10"/>
    </sheetIdMap>
  </header>
  <header guid="{B8BA5D25-82AA-4DFA-A961-5F121131F25D}" dateTime="2020-05-22T11:58:48" maxSheetId="11" userName="EXTERNAL Nguyen Tuan Duong (Ban Vien, RBVH/EPS45)" r:id="rId48" minRId="319" maxRId="328">
    <sheetIdMap count="10">
      <sheetId val="1"/>
      <sheetId val="2"/>
      <sheetId val="3"/>
      <sheetId val="4"/>
      <sheetId val="5"/>
      <sheetId val="6"/>
      <sheetId val="7"/>
      <sheetId val="8"/>
      <sheetId val="9"/>
      <sheetId val="10"/>
    </sheetIdMap>
  </header>
  <header guid="{EB0F4D92-9092-4E44-984B-5B56F6C57B13}" dateTime="2020-05-22T11:58:55" maxSheetId="11" userName="EXTERNAL Nguyen Tuan Duong (Ban Vien, RBVH/EPS45)" r:id="rId49" minRId="331" maxRId="332">
    <sheetIdMap count="10">
      <sheetId val="1"/>
      <sheetId val="2"/>
      <sheetId val="3"/>
      <sheetId val="4"/>
      <sheetId val="5"/>
      <sheetId val="6"/>
      <sheetId val="7"/>
      <sheetId val="8"/>
      <sheetId val="9"/>
      <sheetId val="10"/>
    </sheetIdMap>
  </header>
  <header guid="{0DCDBE73-CAC7-48CF-B5B7-97B6859C0781}" dateTime="2020-05-22T13:36:54" maxSheetId="11" userName="EXTERNAL Do Phu Loc (Ban Vien, RBVH/EPS45)" r:id="rId50">
    <sheetIdMap count="10">
      <sheetId val="1"/>
      <sheetId val="2"/>
      <sheetId val="3"/>
      <sheetId val="4"/>
      <sheetId val="5"/>
      <sheetId val="6"/>
      <sheetId val="7"/>
      <sheetId val="8"/>
      <sheetId val="9"/>
      <sheetId val="10"/>
    </sheetIdMap>
  </header>
  <header guid="{61B8A4D6-4943-4F10-AE29-BCC311D0BD63}" dateTime="2020-05-22T13:43:10" maxSheetId="11" userName="EXTERNAL Do Phu Loc (Ban Vien, RBVH/EPS45)" r:id="rId51" minRId="337" maxRId="338">
    <sheetIdMap count="10">
      <sheetId val="1"/>
      <sheetId val="2"/>
      <sheetId val="3"/>
      <sheetId val="4"/>
      <sheetId val="5"/>
      <sheetId val="6"/>
      <sheetId val="7"/>
      <sheetId val="8"/>
      <sheetId val="9"/>
      <sheetId val="10"/>
    </sheetIdMap>
  </header>
  <header guid="{5E80B5EA-FBFB-47D0-8DCC-E01F635CF587}" dateTime="2020-05-22T13:43:30" maxSheetId="11" userName="EXTERNAL Nguyen Duy Bang (Ban Vien, RBVH/EPS45)" r:id="rId52" minRId="341" maxRId="380">
    <sheetIdMap count="10">
      <sheetId val="1"/>
      <sheetId val="2"/>
      <sheetId val="3"/>
      <sheetId val="4"/>
      <sheetId val="5"/>
      <sheetId val="6"/>
      <sheetId val="7"/>
      <sheetId val="8"/>
      <sheetId val="9"/>
      <sheetId val="10"/>
    </sheetIdMap>
  </header>
  <header guid="{C0D94039-DAD5-474A-9334-9150B00796EE}" dateTime="2020-05-22T13:44:02" maxSheetId="11" userName="EXTERNAL Nguyen Duy Bang (Ban Vien, RBVH/EPS45)" r:id="rId53" minRId="383">
    <sheetIdMap count="10">
      <sheetId val="1"/>
      <sheetId val="2"/>
      <sheetId val="3"/>
      <sheetId val="4"/>
      <sheetId val="5"/>
      <sheetId val="6"/>
      <sheetId val="7"/>
      <sheetId val="8"/>
      <sheetId val="9"/>
      <sheetId val="10"/>
    </sheetIdMap>
  </header>
  <header guid="{4DA2A73A-4CF4-46B6-8294-5C02F6711140}" dateTime="2020-05-22T13:54:04" maxSheetId="11" userName="EXTERNAL Nguyen Trung Hieu (Ban Vien, RBVH/EPS45)" r:id="rId54">
    <sheetIdMap count="10">
      <sheetId val="1"/>
      <sheetId val="2"/>
      <sheetId val="3"/>
      <sheetId val="4"/>
      <sheetId val="5"/>
      <sheetId val="6"/>
      <sheetId val="7"/>
      <sheetId val="8"/>
      <sheetId val="9"/>
      <sheetId val="10"/>
    </sheetIdMap>
  </header>
  <header guid="{9442ECA3-B8F0-477F-B9EE-34AADCF8F61B}" dateTime="2020-05-22T14:07:33" maxSheetId="11" userName="EXTERNAL Nguyen Trung Hieu (Ban Vien, RBVH/EPS45)" r:id="rId55">
    <sheetIdMap count="10">
      <sheetId val="1"/>
      <sheetId val="2"/>
      <sheetId val="3"/>
      <sheetId val="4"/>
      <sheetId val="5"/>
      <sheetId val="6"/>
      <sheetId val="7"/>
      <sheetId val="8"/>
      <sheetId val="9"/>
      <sheetId val="10"/>
    </sheetIdMap>
  </header>
  <header guid="{630F0337-0A25-46E6-9B5A-CAE7DBC662E2}" dateTime="2020-05-22T14:29:16" maxSheetId="11" userName="EXTERNAL Nguyen Tuan Duong (Ban Vien, RBVH/EPS45)" r:id="rId56" minRId="388" maxRId="390">
    <sheetIdMap count="10">
      <sheetId val="1"/>
      <sheetId val="2"/>
      <sheetId val="3"/>
      <sheetId val="4"/>
      <sheetId val="5"/>
      <sheetId val="6"/>
      <sheetId val="7"/>
      <sheetId val="8"/>
      <sheetId val="9"/>
      <sheetId val="10"/>
    </sheetIdMap>
  </header>
  <header guid="{5A2951F8-E356-441D-835E-81E5523D6F80}" dateTime="2020-05-22T14:38:25" maxSheetId="11" userName="EXTERNAL Nguyen Tuan Duong (Ban Vien, RBVH/EPS45)" r:id="rId57" minRId="393">
    <sheetIdMap count="10">
      <sheetId val="1"/>
      <sheetId val="2"/>
      <sheetId val="3"/>
      <sheetId val="4"/>
      <sheetId val="5"/>
      <sheetId val="6"/>
      <sheetId val="7"/>
      <sheetId val="8"/>
      <sheetId val="9"/>
      <sheetId val="10"/>
    </sheetIdMap>
  </header>
  <header guid="{D12FF795-F8BF-4248-8493-6512D3BA5525}" dateTime="2020-05-22T14:40:09" maxSheetId="11" userName="EXTERNAL Nguyen Tuan Duong (Ban Vien, RBVH/EPS45)" r:id="rId58">
    <sheetIdMap count="10">
      <sheetId val="1"/>
      <sheetId val="2"/>
      <sheetId val="3"/>
      <sheetId val="4"/>
      <sheetId val="5"/>
      <sheetId val="6"/>
      <sheetId val="7"/>
      <sheetId val="8"/>
      <sheetId val="9"/>
      <sheetId val="10"/>
    </sheetIdMap>
  </header>
  <header guid="{ED7B364A-8809-42C8-BB2B-73D3BADF2A39}" dateTime="2020-05-22T14:47:40" maxSheetId="11" userName="EXTERNAL Nguyen Kim Thanh (Ban Vien, RBVH/EPS45)" r:id="rId59" minRId="398" maxRId="400">
    <sheetIdMap count="10">
      <sheetId val="1"/>
      <sheetId val="2"/>
      <sheetId val="3"/>
      <sheetId val="4"/>
      <sheetId val="5"/>
      <sheetId val="6"/>
      <sheetId val="7"/>
      <sheetId val="8"/>
      <sheetId val="9"/>
      <sheetId val="10"/>
    </sheetIdMap>
  </header>
  <header guid="{FA9B034B-CF50-4755-B487-FB1E9E75D268}" dateTime="2020-05-22T14:47:56" maxSheetId="11" userName="EXTERNAL Nguyen Kim Thanh (Ban Vien, RBVH/EPS45)" r:id="rId60" minRId="403" maxRId="409">
    <sheetIdMap count="10">
      <sheetId val="1"/>
      <sheetId val="2"/>
      <sheetId val="3"/>
      <sheetId val="4"/>
      <sheetId val="5"/>
      <sheetId val="6"/>
      <sheetId val="7"/>
      <sheetId val="8"/>
      <sheetId val="9"/>
      <sheetId val="10"/>
    </sheetIdMap>
  </header>
  <header guid="{9D330884-605D-4DB9-B589-7FAC77ADCA5D}" dateTime="2020-05-22T15:04:31" maxSheetId="11" userName="EXTERNAL Do Phu Loc (Ban Vien, RBVH/EPS45)" r:id="rId61" minRId="412" maxRId="414">
    <sheetIdMap count="10">
      <sheetId val="1"/>
      <sheetId val="2"/>
      <sheetId val="3"/>
      <sheetId val="4"/>
      <sheetId val="5"/>
      <sheetId val="6"/>
      <sheetId val="7"/>
      <sheetId val="8"/>
      <sheetId val="9"/>
      <sheetId val="10"/>
    </sheetIdMap>
  </header>
  <header guid="{2461A836-0E47-4CFF-8995-192622F12716}" dateTime="2020-05-22T15:42:26" maxSheetId="11" userName="EXTERNAL Nguyen Tuan Duong (Ban Vien, RBVH/EPS45)" r:id="rId62" minRId="417" maxRId="425">
    <sheetIdMap count="10">
      <sheetId val="1"/>
      <sheetId val="2"/>
      <sheetId val="3"/>
      <sheetId val="4"/>
      <sheetId val="5"/>
      <sheetId val="6"/>
      <sheetId val="7"/>
      <sheetId val="8"/>
      <sheetId val="9"/>
      <sheetId val="10"/>
    </sheetIdMap>
  </header>
  <header guid="{B91203E7-B849-4568-938C-AEE3D768C157}" dateTime="2020-05-22T15:42:28" maxSheetId="11" userName="EXTERNAL Nguyen Tuan Duong (Ban Vien, RBVH/EPS45)" r:id="rId63">
    <sheetIdMap count="10">
      <sheetId val="1"/>
      <sheetId val="2"/>
      <sheetId val="3"/>
      <sheetId val="4"/>
      <sheetId val="5"/>
      <sheetId val="6"/>
      <sheetId val="7"/>
      <sheetId val="8"/>
      <sheetId val="9"/>
      <sheetId val="10"/>
    </sheetIdMap>
  </header>
  <header guid="{3D9B07B5-F747-4BD4-A9A5-656F82E0B256}" dateTime="2020-05-22T15:45:18" maxSheetId="11" userName="EXTERNAL Nguyen Trung Hieu (Ban Vien, RBVH/EPS45)" r:id="rId64" minRId="430" maxRId="433">
    <sheetIdMap count="10">
      <sheetId val="1"/>
      <sheetId val="2"/>
      <sheetId val="3"/>
      <sheetId val="4"/>
      <sheetId val="5"/>
      <sheetId val="6"/>
      <sheetId val="7"/>
      <sheetId val="8"/>
      <sheetId val="9"/>
      <sheetId val="10"/>
    </sheetIdMap>
  </header>
  <header guid="{BF78034F-A1BC-4E76-B930-356A2964FB27}" dateTime="2020-05-22T15:54:18" maxSheetId="11" userName="EXTERNAL Nguyen Trung Hieu (Ban Vien, RBVH/EPS45)" r:id="rId65">
    <sheetIdMap count="10">
      <sheetId val="1"/>
      <sheetId val="2"/>
      <sheetId val="3"/>
      <sheetId val="4"/>
      <sheetId val="5"/>
      <sheetId val="6"/>
      <sheetId val="7"/>
      <sheetId val="8"/>
      <sheetId val="9"/>
      <sheetId val="10"/>
    </sheetIdMap>
  </header>
  <header guid="{7B9BF19F-0C0D-4096-8CCD-9AED69B7D9EF}" dateTime="2020-05-22T15:55:43" maxSheetId="11" userName="EXTERNAL Nguyen Trung Hieu (Ban Vien, RBVH/EPS45)" r:id="rId66" minRId="438" maxRId="455">
    <sheetIdMap count="10">
      <sheetId val="1"/>
      <sheetId val="2"/>
      <sheetId val="3"/>
      <sheetId val="4"/>
      <sheetId val="5"/>
      <sheetId val="6"/>
      <sheetId val="7"/>
      <sheetId val="8"/>
      <sheetId val="9"/>
      <sheetId val="10"/>
    </sheetIdMap>
  </header>
  <header guid="{FDE8B918-D418-41DE-9947-771AE982DECB}" dateTime="2020-05-22T15:57:08" maxSheetId="11" userName="EXTERNAL Nguyen Trung Hieu (Ban Vien, RBVH/EPS45)" r:id="rId67" minRId="458" maxRId="583">
    <sheetIdMap count="10">
      <sheetId val="1"/>
      <sheetId val="2"/>
      <sheetId val="3"/>
      <sheetId val="4"/>
      <sheetId val="5"/>
      <sheetId val="6"/>
      <sheetId val="7"/>
      <sheetId val="8"/>
      <sheetId val="9"/>
      <sheetId val="10"/>
    </sheetIdMap>
  </header>
  <header guid="{C47F1723-63F2-48D1-A370-2D95FF51B295}" dateTime="2020-05-22T15:57:22" maxSheetId="11" userName="EXTERNAL Nguyen Trung Hieu (Ban Vien, RBVH/EPS45)" r:id="rId68" minRId="586" maxRId="587">
    <sheetIdMap count="10">
      <sheetId val="1"/>
      <sheetId val="2"/>
      <sheetId val="3"/>
      <sheetId val="4"/>
      <sheetId val="5"/>
      <sheetId val="6"/>
      <sheetId val="7"/>
      <sheetId val="8"/>
      <sheetId val="9"/>
      <sheetId val="10"/>
    </sheetIdMap>
  </header>
  <header guid="{7B1D55C6-5989-4A46-833C-FE6FA2E11BD1}" dateTime="2020-05-22T15:57:31" maxSheetId="11" userName="EXTERNAL Nguyen Trung Hieu (Ban Vien, RBVH/EPS45)" r:id="rId69" minRId="588" maxRId="591">
    <sheetIdMap count="10">
      <sheetId val="1"/>
      <sheetId val="2"/>
      <sheetId val="3"/>
      <sheetId val="4"/>
      <sheetId val="5"/>
      <sheetId val="6"/>
      <sheetId val="7"/>
      <sheetId val="8"/>
      <sheetId val="9"/>
      <sheetId val="10"/>
    </sheetIdMap>
  </header>
  <header guid="{BECCA795-F79F-42AA-969F-3538D9F5BCE4}" dateTime="2020-05-22T15:57:38" maxSheetId="11" userName="EXTERNAL Nguyen Trung Hieu (Ban Vien, RBVH/EPS45)" r:id="rId70" minRId="592" maxRId="609">
    <sheetIdMap count="10">
      <sheetId val="1"/>
      <sheetId val="2"/>
      <sheetId val="3"/>
      <sheetId val="4"/>
      <sheetId val="5"/>
      <sheetId val="6"/>
      <sheetId val="7"/>
      <sheetId val="8"/>
      <sheetId val="9"/>
      <sheetId val="10"/>
    </sheetIdMap>
  </header>
  <header guid="{3A0B7C95-2388-4A1C-BDBB-E38A81501712}" dateTime="2020-05-22T15:57:45" maxSheetId="11" userName="EXTERNAL Nguyen Trung Hieu (Ban Vien, RBVH/EPS45)" r:id="rId71" minRId="612" maxRId="613">
    <sheetIdMap count="10">
      <sheetId val="1"/>
      <sheetId val="2"/>
      <sheetId val="3"/>
      <sheetId val="4"/>
      <sheetId val="5"/>
      <sheetId val="6"/>
      <sheetId val="7"/>
      <sheetId val="8"/>
      <sheetId val="9"/>
      <sheetId val="10"/>
    </sheetIdMap>
  </header>
  <header guid="{D8B012B6-408A-4A5E-8941-C400C8B650B3}" dateTime="2020-05-22T15:58:19" maxSheetId="11" userName="EXTERNAL Nguyen Trung Hieu (Ban Vien, RBVH/EPS45)" r:id="rId72" minRId="616" maxRId="669">
    <sheetIdMap count="10">
      <sheetId val="1"/>
      <sheetId val="2"/>
      <sheetId val="3"/>
      <sheetId val="4"/>
      <sheetId val="5"/>
      <sheetId val="6"/>
      <sheetId val="7"/>
      <sheetId val="8"/>
      <sheetId val="9"/>
      <sheetId val="10"/>
    </sheetIdMap>
  </header>
  <header guid="{1152B427-FA9E-424B-BB9F-E7B2610D263C}" dateTime="2020-05-22T15:58:45" maxSheetId="11" userName="EXTERNAL Nguyen Trung Hieu (Ban Vien, RBVH/EPS45)" r:id="rId73" minRId="670" maxRId="686">
    <sheetIdMap count="10">
      <sheetId val="1"/>
      <sheetId val="2"/>
      <sheetId val="3"/>
      <sheetId val="4"/>
      <sheetId val="5"/>
      <sheetId val="6"/>
      <sheetId val="7"/>
      <sheetId val="8"/>
      <sheetId val="9"/>
      <sheetId val="10"/>
    </sheetIdMap>
  </header>
  <header guid="{7FFB409E-B8B1-4F66-8069-810551EB2877}" dateTime="2020-05-22T15:58:55" maxSheetId="11" userName="EXTERNAL Nguyen Trung Hieu (Ban Vien, RBVH/EPS45)" r:id="rId74" minRId="687" maxRId="704">
    <sheetIdMap count="10">
      <sheetId val="1"/>
      <sheetId val="2"/>
      <sheetId val="3"/>
      <sheetId val="4"/>
      <sheetId val="5"/>
      <sheetId val="6"/>
      <sheetId val="7"/>
      <sheetId val="8"/>
      <sheetId val="9"/>
      <sheetId val="10"/>
    </sheetIdMap>
  </header>
  <header guid="{51ECDF7F-95AE-4931-A5F4-F76CA66D199E}" dateTime="2020-05-22T15:59:29" maxSheetId="11" userName="EXTERNAL Nguyen Trung Hieu (Ban Vien, RBVH/EPS45)" r:id="rId75" minRId="707" maxRId="760">
    <sheetIdMap count="10">
      <sheetId val="1"/>
      <sheetId val="2"/>
      <sheetId val="3"/>
      <sheetId val="4"/>
      <sheetId val="5"/>
      <sheetId val="6"/>
      <sheetId val="7"/>
      <sheetId val="8"/>
      <sheetId val="9"/>
      <sheetId val="10"/>
    </sheetIdMap>
  </header>
  <header guid="{81CBB199-EA1C-477F-92A0-22E00EF688AE}" dateTime="2020-05-22T16:00:38" maxSheetId="11" userName="EXTERNAL Nguyen Trung Hieu (Ban Vien, RBVH/EPS45)" r:id="rId76" minRId="763" maxRId="778">
    <sheetIdMap count="10">
      <sheetId val="1"/>
      <sheetId val="2"/>
      <sheetId val="3"/>
      <sheetId val="4"/>
      <sheetId val="5"/>
      <sheetId val="6"/>
      <sheetId val="7"/>
      <sheetId val="8"/>
      <sheetId val="9"/>
      <sheetId val="10"/>
    </sheetIdMap>
  </header>
  <header guid="{68A043FB-7A56-4F9F-9579-36E06FC5445F}" dateTime="2020-05-22T16:00:56" maxSheetId="11" userName="EXTERNAL Do Phu Loc (Ban Vien, RBVH/EPS45)" r:id="rId77" minRId="779" maxRId="791">
    <sheetIdMap count="10">
      <sheetId val="1"/>
      <sheetId val="2"/>
      <sheetId val="3"/>
      <sheetId val="4"/>
      <sheetId val="5"/>
      <sheetId val="6"/>
      <sheetId val="7"/>
      <sheetId val="8"/>
      <sheetId val="9"/>
      <sheetId val="10"/>
    </sheetIdMap>
  </header>
  <header guid="{CD75B3D9-06A7-4483-B15B-D95E3DCA354B}" dateTime="2020-05-22T16:01:18" maxSheetId="11" userName="EXTERNAL Nguyen Trung Hieu (Ban Vien, RBVH/EPS45)" r:id="rId78">
    <sheetIdMap count="10">
      <sheetId val="1"/>
      <sheetId val="2"/>
      <sheetId val="3"/>
      <sheetId val="4"/>
      <sheetId val="5"/>
      <sheetId val="6"/>
      <sheetId val="7"/>
      <sheetId val="8"/>
      <sheetId val="9"/>
      <sheetId val="10"/>
    </sheetIdMap>
  </header>
  <header guid="{70CE37EE-F914-4F66-89BB-33812E163E27}" dateTime="2020-05-22T16:02:13" maxSheetId="11" userName="EXTERNAL Nguyen Trung Hieu (Ban Vien, RBVH/EPS45)" r:id="rId79" minRId="796">
    <sheetIdMap count="10">
      <sheetId val="1"/>
      <sheetId val="2"/>
      <sheetId val="3"/>
      <sheetId val="4"/>
      <sheetId val="5"/>
      <sheetId val="6"/>
      <sheetId val="7"/>
      <sheetId val="8"/>
      <sheetId val="9"/>
      <sheetId val="10"/>
    </sheetIdMap>
  </header>
  <header guid="{81FD8E89-1057-491B-86CA-55C254930CAA}" dateTime="2020-05-22T16:03:01" maxSheetId="11" userName="EXTERNAL Nguyen Trung Hieu (Ban Vien, RBVH/EPS45)" r:id="rId80">
    <sheetIdMap count="10">
      <sheetId val="1"/>
      <sheetId val="2"/>
      <sheetId val="3"/>
      <sheetId val="4"/>
      <sheetId val="5"/>
      <sheetId val="6"/>
      <sheetId val="7"/>
      <sheetId val="8"/>
      <sheetId val="9"/>
      <sheetId val="10"/>
    </sheetIdMap>
  </header>
  <header guid="{3EA05AB2-FEDD-4F7D-AA23-468C2C9132A3}" dateTime="2020-05-22T16:03:59" maxSheetId="11" userName="EXTERNAL Nguyen Trung Hieu (Ban Vien, RBVH/EPS45)" r:id="rId81" minRId="801" maxRId="818">
    <sheetIdMap count="10">
      <sheetId val="1"/>
      <sheetId val="2"/>
      <sheetId val="3"/>
      <sheetId val="4"/>
      <sheetId val="5"/>
      <sheetId val="6"/>
      <sheetId val="7"/>
      <sheetId val="8"/>
      <sheetId val="9"/>
      <sheetId val="10"/>
    </sheetIdMap>
  </header>
  <header guid="{539A9A4E-C26E-4B67-B783-F3C74377128D}" dateTime="2020-05-22T16:04:11" maxSheetId="11" userName="EXTERNAL Nguyen Trung Hieu (Ban Vien, RBVH/EPS45)" r:id="rId82">
    <sheetIdMap count="10">
      <sheetId val="1"/>
      <sheetId val="2"/>
      <sheetId val="3"/>
      <sheetId val="4"/>
      <sheetId val="5"/>
      <sheetId val="6"/>
      <sheetId val="7"/>
      <sheetId val="8"/>
      <sheetId val="9"/>
      <sheetId val="10"/>
    </sheetIdMap>
  </header>
  <header guid="{890F9275-30FE-473D-94A9-0B0FFE757C57}" dateTime="2020-05-22T16:04:43" maxSheetId="11" userName="EXTERNAL Nguyen Trung Hieu (Ban Vien, RBVH/EPS45)" r:id="rId83" minRId="823" maxRId="916">
    <sheetIdMap count="10">
      <sheetId val="1"/>
      <sheetId val="2"/>
      <sheetId val="3"/>
      <sheetId val="4"/>
      <sheetId val="5"/>
      <sheetId val="6"/>
      <sheetId val="7"/>
      <sheetId val="8"/>
      <sheetId val="9"/>
      <sheetId val="10"/>
    </sheetIdMap>
  </header>
  <header guid="{718F2F46-EA15-41BA-A435-418FA57A2EFB}" dateTime="2020-05-22T16:05:48" maxSheetId="11" userName="EXTERNAL Nguyen Trung Hieu (Ban Vien, RBVH/EPS45)" r:id="rId84">
    <sheetIdMap count="10">
      <sheetId val="1"/>
      <sheetId val="2"/>
      <sheetId val="3"/>
      <sheetId val="4"/>
      <sheetId val="5"/>
      <sheetId val="6"/>
      <sheetId val="7"/>
      <sheetId val="8"/>
      <sheetId val="9"/>
      <sheetId val="10"/>
    </sheetIdMap>
  </header>
  <header guid="{005C8B3A-60A4-4759-9F7D-90392CE11F49}" dateTime="2020-05-22T16:06:00" maxSheetId="11" userName="EXTERNAL Nguyen Trung Hieu (Ban Vien, RBVH/EPS45)" r:id="rId85">
    <sheetIdMap count="10">
      <sheetId val="1"/>
      <sheetId val="2"/>
      <sheetId val="3"/>
      <sheetId val="4"/>
      <sheetId val="5"/>
      <sheetId val="6"/>
      <sheetId val="7"/>
      <sheetId val="8"/>
      <sheetId val="9"/>
      <sheetId val="10"/>
    </sheetIdMap>
  </header>
  <header guid="{817AE34B-D265-4D7F-B92A-F8F7DBB18312}" dateTime="2020-05-22T16:55:08" maxSheetId="11" userName="EXTERNAL Nguyen Trung Hieu (Ban Vien, RBVH/EPS45)" r:id="rId86" minRId="921" maxRId="926">
    <sheetIdMap count="10">
      <sheetId val="1"/>
      <sheetId val="2"/>
      <sheetId val="3"/>
      <sheetId val="4"/>
      <sheetId val="5"/>
      <sheetId val="6"/>
      <sheetId val="7"/>
      <sheetId val="8"/>
      <sheetId val="9"/>
      <sheetId val="10"/>
    </sheetIdMap>
  </header>
  <header guid="{2AA1F46C-5C57-401D-BD2F-AE956BC99E44}" dateTime="2020-05-22T17:05:21" maxSheetId="11" userName="gup7hc" r:id="rId87">
    <sheetIdMap count="10">
      <sheetId val="1"/>
      <sheetId val="2"/>
      <sheetId val="3"/>
      <sheetId val="4"/>
      <sheetId val="5"/>
      <sheetId val="6"/>
      <sheetId val="7"/>
      <sheetId val="8"/>
      <sheetId val="9"/>
      <sheetId val="10"/>
    </sheetIdMap>
  </header>
  <header guid="{85920D77-381F-4626-A8FB-76C3D7C00F4B}" dateTime="2020-05-22T17:05:30" maxSheetId="11" userName="gup7hc" r:id="rId88" minRId="931">
    <sheetIdMap count="10">
      <sheetId val="1"/>
      <sheetId val="2"/>
      <sheetId val="3"/>
      <sheetId val="4"/>
      <sheetId val="5"/>
      <sheetId val="6"/>
      <sheetId val="7"/>
      <sheetId val="8"/>
      <sheetId val="9"/>
      <sheetId val="10"/>
    </sheetIdMap>
  </header>
  <header guid="{32BC67F0-060E-47A5-AF9A-E3F9A14519FF}" dateTime="2020-05-22T17:25:09" maxSheetId="11" userName="EXTERNAL Nguyen Trung Hieu (Ban Vien, RBVH/EPS45)" r:id="rId89">
    <sheetIdMap count="10">
      <sheetId val="1"/>
      <sheetId val="2"/>
      <sheetId val="3"/>
      <sheetId val="4"/>
      <sheetId val="5"/>
      <sheetId val="6"/>
      <sheetId val="7"/>
      <sheetId val="8"/>
      <sheetId val="9"/>
      <sheetId val="10"/>
    </sheetIdMap>
  </header>
  <header guid="{23686794-1250-4C11-AF27-386AFCB962F5}" dateTime="2020-05-22T17:27:19" maxSheetId="11" userName="EXTERNAL Nguyen Trung Hieu (Ban Vien, RBVH/EPS45)" r:id="rId90">
    <sheetIdMap count="10">
      <sheetId val="1"/>
      <sheetId val="2"/>
      <sheetId val="3"/>
      <sheetId val="4"/>
      <sheetId val="5"/>
      <sheetId val="6"/>
      <sheetId val="7"/>
      <sheetId val="8"/>
      <sheetId val="9"/>
      <sheetId val="10"/>
    </sheetIdMap>
  </header>
  <header guid="{57C608E4-C0F3-4842-881D-A98D0CAB3BDD}" dateTime="2020-05-22T17:28:08" maxSheetId="11" userName="EXTERNAL Nguyen Trung Hieu (Ban Vien, RBVH/EPS45)" r:id="rId91">
    <sheetIdMap count="10">
      <sheetId val="1"/>
      <sheetId val="2"/>
      <sheetId val="3"/>
      <sheetId val="4"/>
      <sheetId val="5"/>
      <sheetId val="6"/>
      <sheetId val="7"/>
      <sheetId val="8"/>
      <sheetId val="9"/>
      <sheetId val="10"/>
    </sheetIdMap>
  </header>
  <header guid="{6FF2272D-8D1B-48D6-A3C4-EA0AFC59EA81}" dateTime="2020-05-22T17:41:38" maxSheetId="11" userName="EXTERNAL Nguyen Trung Hieu (Ban Vien, RBVH/EPS45)" r:id="rId92" minRId="938" maxRId="941">
    <sheetIdMap count="10">
      <sheetId val="1"/>
      <sheetId val="2"/>
      <sheetId val="3"/>
      <sheetId val="4"/>
      <sheetId val="5"/>
      <sheetId val="6"/>
      <sheetId val="7"/>
      <sheetId val="8"/>
      <sheetId val="9"/>
      <sheetId val="10"/>
    </sheetIdMap>
  </header>
  <header guid="{EC9E438E-D228-43CC-9E35-4593595B98C7}" dateTime="2020-05-22T17:41:51" maxSheetId="11" userName="EXTERNAL Nguyen Trung Hieu (Ban Vien, RBVH/EPS45)" r:id="rId93" minRId="944" maxRId="947">
    <sheetIdMap count="10">
      <sheetId val="1"/>
      <sheetId val="2"/>
      <sheetId val="3"/>
      <sheetId val="4"/>
      <sheetId val="5"/>
      <sheetId val="6"/>
      <sheetId val="7"/>
      <sheetId val="8"/>
      <sheetId val="9"/>
      <sheetId val="10"/>
    </sheetIdMap>
  </header>
  <header guid="{2305E7F3-C6A9-426F-821C-7EAF03BB897D}" dateTime="2020-05-22T17:41:54" maxSheetId="11" userName="EXTERNAL Nguyen Trung Hieu (Ban Vien, RBVH/EPS45)" r:id="rId94">
    <sheetIdMap count="10">
      <sheetId val="1"/>
      <sheetId val="2"/>
      <sheetId val="3"/>
      <sheetId val="4"/>
      <sheetId val="5"/>
      <sheetId val="6"/>
      <sheetId val="7"/>
      <sheetId val="8"/>
      <sheetId val="9"/>
      <sheetId val="10"/>
    </sheetIdMap>
  </header>
  <header guid="{F599FA38-D022-490E-AD3D-A408B66C83D1}" dateTime="2020-05-22T17:48:05" maxSheetId="11" userName="EXTERNAL Nguyen Trung Hieu (Ban Vien, RBVH/EPS45)" r:id="rId95" minRId="950">
    <sheetIdMap count="10">
      <sheetId val="1"/>
      <sheetId val="2"/>
      <sheetId val="3"/>
      <sheetId val="4"/>
      <sheetId val="5"/>
      <sheetId val="6"/>
      <sheetId val="7"/>
      <sheetId val="8"/>
      <sheetId val="9"/>
      <sheetId val="10"/>
    </sheetIdMap>
  </header>
  <header guid="{33AE7C24-7B51-47BD-A7E4-79EAC1316214}" dateTime="2020-05-22T17:54:58" maxSheetId="11" userName="EXTERNAL Nguyen Trung Hieu (Ban Vien, RBVH/EPS45)" r:id="rId96">
    <sheetIdMap count="10">
      <sheetId val="1"/>
      <sheetId val="2"/>
      <sheetId val="3"/>
      <sheetId val="4"/>
      <sheetId val="5"/>
      <sheetId val="6"/>
      <sheetId val="7"/>
      <sheetId val="8"/>
      <sheetId val="9"/>
      <sheetId val="10"/>
    </sheetIdMap>
  </header>
  <header guid="{CE969FD7-14DD-41D3-AD23-1977830D65F4}" dateTime="2020-05-22T18:18:08" maxSheetId="11" userName="EXTERNAL Nguyen Trung Hieu (Ban Vien, RBVH/EPS45)" r:id="rId97" minRId="955" maxRId="1069">
    <sheetIdMap count="10">
      <sheetId val="1"/>
      <sheetId val="2"/>
      <sheetId val="3"/>
      <sheetId val="4"/>
      <sheetId val="5"/>
      <sheetId val="6"/>
      <sheetId val="7"/>
      <sheetId val="8"/>
      <sheetId val="9"/>
      <sheetId val="10"/>
    </sheetIdMap>
  </header>
  <header guid="{89C87F89-A04A-40E3-B771-0655365EA6FD}" dateTime="2020-05-22T18:18:36" maxSheetId="11" userName="EXTERNAL Nguyen Trung Hieu (Ban Vien, RBVH/EPS45)" r:id="rId98" minRId="1072" maxRId="1290">
    <sheetIdMap count="10">
      <sheetId val="1"/>
      <sheetId val="2"/>
      <sheetId val="3"/>
      <sheetId val="4"/>
      <sheetId val="5"/>
      <sheetId val="6"/>
      <sheetId val="7"/>
      <sheetId val="8"/>
      <sheetId val="9"/>
      <sheetId val="10"/>
    </sheetIdMap>
  </header>
  <header guid="{04EEBBCB-6E47-4801-AD77-8C07C29BC1BC}" dateTime="2020-05-22T18:19:35" maxSheetId="11" userName="EXTERNAL Nguyen Trung Hieu (Ban Vien, RBVH/EPS45)" r:id="rId99" minRId="1291" maxRId="1302">
    <sheetIdMap count="10">
      <sheetId val="1"/>
      <sheetId val="2"/>
      <sheetId val="3"/>
      <sheetId val="4"/>
      <sheetId val="5"/>
      <sheetId val="6"/>
      <sheetId val="7"/>
      <sheetId val="8"/>
      <sheetId val="9"/>
      <sheetId val="10"/>
    </sheetIdMap>
  </header>
  <header guid="{770D3E9E-EB60-4404-926F-24B432164DE9}" dateTime="2020-05-22T18:20:17" maxSheetId="11" userName="EXTERNAL Nguyen Trung Hieu (Ban Vien, RBVH/EPS45)" r:id="rId100">
    <sheetIdMap count="10">
      <sheetId val="1"/>
      <sheetId val="2"/>
      <sheetId val="3"/>
      <sheetId val="4"/>
      <sheetId val="5"/>
      <sheetId val="6"/>
      <sheetId val="7"/>
      <sheetId val="8"/>
      <sheetId val="9"/>
      <sheetId val="10"/>
    </sheetIdMap>
  </header>
  <header guid="{9D2F890B-6AF8-4838-BA4D-8BA7FECA33C8}" dateTime="2020-05-22T18:21:22" maxSheetId="11" userName="EXTERNAL Nguyen Trung Hieu (Ban Vien, RBVH/EPS45)" r:id="rId101" minRId="1307" maxRId="1316">
    <sheetIdMap count="10">
      <sheetId val="1"/>
      <sheetId val="2"/>
      <sheetId val="3"/>
      <sheetId val="4"/>
      <sheetId val="5"/>
      <sheetId val="6"/>
      <sheetId val="7"/>
      <sheetId val="8"/>
      <sheetId val="9"/>
      <sheetId val="10"/>
    </sheetIdMap>
  </header>
  <header guid="{12B8E5A0-379E-4587-9DCD-B485C419F414}" dateTime="2020-05-22T18:22:23" maxSheetId="11" userName="EXTERNAL Nguyen Trung Hieu (Ban Vien, RBVH/EPS45)" r:id="rId102" minRId="1317" maxRId="1336">
    <sheetIdMap count="10">
      <sheetId val="1"/>
      <sheetId val="2"/>
      <sheetId val="3"/>
      <sheetId val="4"/>
      <sheetId val="5"/>
      <sheetId val="6"/>
      <sheetId val="7"/>
      <sheetId val="8"/>
      <sheetId val="9"/>
      <sheetId val="10"/>
    </sheetIdMap>
  </header>
  <header guid="{442A404D-A0C7-485A-AC45-190ABF92E8A7}" dateTime="2020-05-22T18:23:14" maxSheetId="11" userName="EXTERNAL Nguyen Trung Hieu (Ban Vien, RBVH/EPS45)" r:id="rId103" minRId="1337">
    <sheetIdMap count="10">
      <sheetId val="1"/>
      <sheetId val="2"/>
      <sheetId val="3"/>
      <sheetId val="4"/>
      <sheetId val="5"/>
      <sheetId val="6"/>
      <sheetId val="7"/>
      <sheetId val="8"/>
      <sheetId val="9"/>
      <sheetId val="10"/>
    </sheetIdMap>
  </header>
  <header guid="{2FF196BC-AF18-442C-868E-766F40743FC5}" dateTime="2020-05-22T18:23:24" maxSheetId="11" userName="EXTERNAL Nguyen Trung Hieu (Ban Vien, RBVH/EPS45)" r:id="rId104" minRId="1338">
    <sheetIdMap count="10">
      <sheetId val="1"/>
      <sheetId val="2"/>
      <sheetId val="3"/>
      <sheetId val="4"/>
      <sheetId val="5"/>
      <sheetId val="6"/>
      <sheetId val="7"/>
      <sheetId val="8"/>
      <sheetId val="9"/>
      <sheetId val="10"/>
    </sheetIdMap>
  </header>
  <header guid="{EA30197A-C3CB-4F4E-97BB-700CE1892353}" dateTime="2020-05-22T18:23:28" maxSheetId="11" userName="EXTERNAL Nguyen Trung Hieu (Ban Vien, RBVH/EPS45)" r:id="rId105" minRId="1339">
    <sheetIdMap count="10">
      <sheetId val="1"/>
      <sheetId val="2"/>
      <sheetId val="3"/>
      <sheetId val="4"/>
      <sheetId val="5"/>
      <sheetId val="6"/>
      <sheetId val="7"/>
      <sheetId val="8"/>
      <sheetId val="9"/>
      <sheetId val="10"/>
    </sheetIdMap>
  </header>
  <header guid="{75CA3313-B6DF-485A-BDEC-0B61330DF929}" dateTime="2020-05-22T18:23:33" maxSheetId="11" userName="EXTERNAL Nguyen Trung Hieu (Ban Vien, RBVH/EPS45)" r:id="rId106" minRId="1340" maxRId="1341">
    <sheetIdMap count="10">
      <sheetId val="1"/>
      <sheetId val="2"/>
      <sheetId val="3"/>
      <sheetId val="4"/>
      <sheetId val="5"/>
      <sheetId val="6"/>
      <sheetId val="7"/>
      <sheetId val="8"/>
      <sheetId val="9"/>
      <sheetId val="10"/>
    </sheetIdMap>
  </header>
  <header guid="{3DA7A441-8C97-4627-9E36-8F33B7DE7D9F}" dateTime="2020-05-25T09:17:14" maxSheetId="11" userName="EXTERNAL Nguyen Tuan Duong (Ban Vien, RBVH/EPS45)" r:id="rId107" minRId="1342" maxRId="1354">
    <sheetIdMap count="10">
      <sheetId val="1"/>
      <sheetId val="2"/>
      <sheetId val="3"/>
      <sheetId val="4"/>
      <sheetId val="5"/>
      <sheetId val="6"/>
      <sheetId val="7"/>
      <sheetId val="8"/>
      <sheetId val="9"/>
      <sheetId val="10"/>
    </sheetIdMap>
  </header>
  <header guid="{BF62CB1B-14A3-414A-BCFB-913C40303D45}" dateTime="2020-05-25T09:17:17" maxSheetId="11" userName="EXTERNAL Nguyen Tuan Duong (Ban Vien, RBVH/EPS45)" r:id="rId108">
    <sheetIdMap count="10">
      <sheetId val="1"/>
      <sheetId val="2"/>
      <sheetId val="3"/>
      <sheetId val="4"/>
      <sheetId val="5"/>
      <sheetId val="6"/>
      <sheetId val="7"/>
      <sheetId val="8"/>
      <sheetId val="9"/>
      <sheetId val="10"/>
    </sheetIdMap>
  </header>
  <header guid="{939960FF-B72C-4E55-93CF-219D9EB0B5FD}" dateTime="2020-05-25T09:29:26" maxSheetId="11" userName="gup7hc" r:id="rId109">
    <sheetIdMap count="10">
      <sheetId val="1"/>
      <sheetId val="2"/>
      <sheetId val="3"/>
      <sheetId val="4"/>
      <sheetId val="5"/>
      <sheetId val="6"/>
      <sheetId val="7"/>
      <sheetId val="8"/>
      <sheetId val="9"/>
      <sheetId val="10"/>
    </sheetIdMap>
  </header>
  <header guid="{44BCB205-AEA3-438B-9C52-C862D2FA937C}" dateTime="2020-05-25T09:34:22" maxSheetId="11" userName="EXTERNAL Nguyen Trung Hieu (Ban Vien, RBVH/EPS45)" r:id="rId110" minRId="1361" maxRId="1393">
    <sheetIdMap count="10">
      <sheetId val="1"/>
      <sheetId val="2"/>
      <sheetId val="3"/>
      <sheetId val="4"/>
      <sheetId val="5"/>
      <sheetId val="6"/>
      <sheetId val="7"/>
      <sheetId val="8"/>
      <sheetId val="9"/>
      <sheetId val="10"/>
    </sheetIdMap>
  </header>
  <header guid="{B310C471-093A-4C48-8C5D-F06140BA71E4}" dateTime="2020-05-25T09:35:05" maxSheetId="11" userName="EXTERNAL Nguyen Trung Hieu (Ban Vien, RBVH/EPS45)" r:id="rId111" minRId="1396" maxRId="1402">
    <sheetIdMap count="10">
      <sheetId val="1"/>
      <sheetId val="2"/>
      <sheetId val="3"/>
      <sheetId val="4"/>
      <sheetId val="5"/>
      <sheetId val="6"/>
      <sheetId val="7"/>
      <sheetId val="8"/>
      <sheetId val="9"/>
      <sheetId val="10"/>
    </sheetIdMap>
  </header>
  <header guid="{E9D250B7-6D2F-47A7-B93C-6E390B89C9D0}" dateTime="2020-05-25T09:35:39" maxSheetId="11" userName="EXTERNAL Nguyen Trung Hieu (Ban Vien, RBVH/EPS45)" r:id="rId112">
    <sheetIdMap count="10">
      <sheetId val="1"/>
      <sheetId val="2"/>
      <sheetId val="3"/>
      <sheetId val="4"/>
      <sheetId val="5"/>
      <sheetId val="6"/>
      <sheetId val="7"/>
      <sheetId val="8"/>
      <sheetId val="9"/>
      <sheetId val="10"/>
    </sheetIdMap>
  </header>
  <header guid="{33533498-A162-4EAF-9A05-1C3C38EBA233}" dateTime="2020-05-25T09:36:11" maxSheetId="11" userName="EXTERNAL Nguyen Trung Hieu (Ban Vien, RBVH/EPS45)" r:id="rId113" minRId="1407">
    <sheetIdMap count="10">
      <sheetId val="1"/>
      <sheetId val="2"/>
      <sheetId val="3"/>
      <sheetId val="4"/>
      <sheetId val="5"/>
      <sheetId val="6"/>
      <sheetId val="7"/>
      <sheetId val="8"/>
      <sheetId val="9"/>
      <sheetId val="10"/>
    </sheetIdMap>
  </header>
  <header guid="{44910A2A-5A6B-4D13-991B-F7EB9250CF8D}" dateTime="2020-05-25T09:36:26" maxSheetId="11" userName="EXTERNAL Nguyen Trung Hieu (Ban Vien, RBVH/EPS45)" r:id="rId114" minRId="1410">
    <sheetIdMap count="10">
      <sheetId val="1"/>
      <sheetId val="2"/>
      <sheetId val="3"/>
      <sheetId val="4"/>
      <sheetId val="5"/>
      <sheetId val="6"/>
      <sheetId val="7"/>
      <sheetId val="8"/>
      <sheetId val="9"/>
      <sheetId val="10"/>
    </sheetIdMap>
  </header>
  <header guid="{929A08E3-83C2-4CD4-8272-8B0035F57E22}" dateTime="2020-05-26T15:10:57" maxSheetId="11" userName="EXTERNAL Nguyen Trung Hieu (Ban Vien, RBVH/EPS45)" r:id="rId115" minRId="1411" maxRId="1425">
    <sheetIdMap count="10">
      <sheetId val="1"/>
      <sheetId val="2"/>
      <sheetId val="3"/>
      <sheetId val="4"/>
      <sheetId val="5"/>
      <sheetId val="6"/>
      <sheetId val="7"/>
      <sheetId val="8"/>
      <sheetId val="9"/>
      <sheetId val="10"/>
    </sheetIdMap>
  </header>
  <header guid="{E1698670-BE4C-4504-94B8-E3B55522BAF7}" dateTime="2020-05-26T15:36:25" maxSheetId="11" userName="EXTERNAL Nguyen Trung Hieu (Ban Vien, RBVH/EPS45)" r:id="rId116" minRId="1428" maxRId="1451">
    <sheetIdMap count="10">
      <sheetId val="1"/>
      <sheetId val="2"/>
      <sheetId val="3"/>
      <sheetId val="4"/>
      <sheetId val="5"/>
      <sheetId val="6"/>
      <sheetId val="7"/>
      <sheetId val="8"/>
      <sheetId val="9"/>
      <sheetId val="10"/>
    </sheetIdMap>
  </header>
  <header guid="{C5EE895C-9F3B-4F80-9198-B35059DDBD15}" dateTime="2020-05-26T15:44:25" maxSheetId="11" userName="EXTERNAL Nguyen Trung Hieu (Ban Vien, RBVH/EPS45)" r:id="rId117">
    <sheetIdMap count="10">
      <sheetId val="1"/>
      <sheetId val="2"/>
      <sheetId val="3"/>
      <sheetId val="4"/>
      <sheetId val="5"/>
      <sheetId val="6"/>
      <sheetId val="7"/>
      <sheetId val="8"/>
      <sheetId val="9"/>
      <sheetId val="10"/>
    </sheetIdMap>
  </header>
  <header guid="{F44792B5-9259-4E9C-A56D-58D542D2C9B9}" dateTime="2020-05-26T16:05:10" maxSheetId="11" userName="EXTERNAL Nguyen Trung Hieu (Ban Vien, RBVH/EPS45)" r:id="rId118" minRId="1454" maxRId="1807">
    <sheetIdMap count="10">
      <sheetId val="1"/>
      <sheetId val="2"/>
      <sheetId val="3"/>
      <sheetId val="4"/>
      <sheetId val="5"/>
      <sheetId val="6"/>
      <sheetId val="7"/>
      <sheetId val="8"/>
      <sheetId val="9"/>
      <sheetId val="10"/>
    </sheetIdMap>
  </header>
  <header guid="{AC5831F5-A1D6-4BC0-BE7F-D3B7A4DA67F6}" dateTime="2020-05-26T16:06:01" maxSheetId="11" userName="EXTERNAL Nguyen Trung Hieu (Ban Vien, RBVH/EPS45)" r:id="rId119" minRId="1810" maxRId="1820">
    <sheetIdMap count="10">
      <sheetId val="1"/>
      <sheetId val="2"/>
      <sheetId val="3"/>
      <sheetId val="4"/>
      <sheetId val="5"/>
      <sheetId val="6"/>
      <sheetId val="7"/>
      <sheetId val="8"/>
      <sheetId val="9"/>
      <sheetId val="10"/>
    </sheetIdMap>
  </header>
  <header guid="{8131DDC2-F2FC-4AA2-A66A-5A12F6C5453F}" dateTime="2020-05-26T16:52:55" maxSheetId="11" userName="EXTERNAL Nguyen Trung Hieu (Ban Vien, RBVH/EPS45)" r:id="rId120" minRId="1823">
    <sheetIdMap count="10">
      <sheetId val="1"/>
      <sheetId val="2"/>
      <sheetId val="3"/>
      <sheetId val="4"/>
      <sheetId val="5"/>
      <sheetId val="6"/>
      <sheetId val="7"/>
      <sheetId val="8"/>
      <sheetId val="9"/>
      <sheetId val="10"/>
    </sheetIdMap>
  </header>
  <header guid="{6815ED09-2304-466D-AD55-B2DD3D2030D4}" dateTime="2020-05-27T09:08:06" maxSheetId="11" userName="EXTERNAL Nguyen Trung Hieu (Ban Vien, RBVH/EPS45)" r:id="rId121">
    <sheetIdMap count="10">
      <sheetId val="1"/>
      <sheetId val="2"/>
      <sheetId val="3"/>
      <sheetId val="4"/>
      <sheetId val="5"/>
      <sheetId val="6"/>
      <sheetId val="7"/>
      <sheetId val="8"/>
      <sheetId val="9"/>
      <sheetId val="10"/>
    </sheetIdMap>
  </header>
  <header guid="{7AA0841B-0EF3-4075-83FA-5B08EA51E4E7}" dateTime="2020-06-09T14:46:36" maxSheetId="11" userName="EXTERNAL Do Anh Huy (Ban Vien Company, RBVH/EPS45)" r:id="rId122" minRId="1828" maxRId="1829">
    <sheetIdMap count="10">
      <sheetId val="1"/>
      <sheetId val="2"/>
      <sheetId val="3"/>
      <sheetId val="4"/>
      <sheetId val="5"/>
      <sheetId val="6"/>
      <sheetId val="7"/>
      <sheetId val="8"/>
      <sheetId val="9"/>
      <sheetId val="10"/>
    </sheetIdMap>
  </header>
  <header guid="{085C1175-76AA-4416-AEF9-72E73FD621F3}" dateTime="2020-06-09T14:49:36" maxSheetId="11" userName="EXTERNAL Do Anh Huy (Ban Vien Company, RBVH/EPS45)" r:id="rId123">
    <sheetIdMap count="10">
      <sheetId val="1"/>
      <sheetId val="2"/>
      <sheetId val="3"/>
      <sheetId val="4"/>
      <sheetId val="5"/>
      <sheetId val="6"/>
      <sheetId val="7"/>
      <sheetId val="8"/>
      <sheetId val="9"/>
      <sheetId val="10"/>
    </sheetIdMap>
  </header>
  <header guid="{557E0CE2-5220-4625-A5AD-A26269335580}" dateTime="2020-06-09T14:54:56" maxSheetId="11" userName="EXTERNAL Do Anh Huy (Ban Vien Company, RBVH/EPS45)" r:id="rId124" minRId="1834">
    <sheetIdMap count="10">
      <sheetId val="1"/>
      <sheetId val="2"/>
      <sheetId val="3"/>
      <sheetId val="4"/>
      <sheetId val="5"/>
      <sheetId val="6"/>
      <sheetId val="7"/>
      <sheetId val="8"/>
      <sheetId val="9"/>
      <sheetId val="10"/>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 sId="1" numFmtId="19">
    <oc r="AB358">
      <v>43971</v>
    </oc>
    <nc r="AB358">
      <v>43972</v>
    </nc>
  </rcc>
  <rcc rId="2" sId="1" numFmtId="19">
    <nc r="AB359">
      <v>43972</v>
    </nc>
  </rcc>
  <rcc rId="3" sId="1" numFmtId="19">
    <nc r="AB360">
      <v>43972</v>
    </nc>
  </rcc>
  <rcc rId="4" sId="1">
    <oc r="AA358" t="inlineStr">
      <is>
        <t>Ready for review</t>
      </is>
    </oc>
    <nc r="AA358" t="inlineStr">
      <is>
        <t>Ready for PLC</t>
      </is>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 sId="1">
    <oc r="AA359" t="inlineStr">
      <is>
        <t>Ready for review</t>
      </is>
    </oc>
    <nc r="AA359" t="inlineStr">
      <is>
        <t>Ready for PLC</t>
      </is>
    </nc>
  </rcc>
  <rcc rId="10" sId="1">
    <oc r="AA360" t="inlineStr">
      <is>
        <t>Ready for review</t>
      </is>
    </oc>
    <nc r="AA360" t="inlineStr">
      <is>
        <t>Ready for PLC</t>
      </is>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 sId="1" numFmtId="19">
    <oc r="AB358">
      <v>43972</v>
    </oc>
    <nc r="AB358"/>
  </rcc>
  <rcc rId="14" sId="1" numFmtId="19">
    <oc r="AB359">
      <v>43972</v>
    </oc>
    <nc r="AB359"/>
  </rcc>
  <rcc rId="15" sId="1" numFmtId="19">
    <oc r="AB360">
      <v>43972</v>
    </oc>
    <nc r="AB360"/>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58" start="0" length="0">
    <dxf>
      <fill>
        <patternFill patternType="none">
          <bgColor indexed="65"/>
        </patternFill>
      </fill>
    </dxf>
  </rfmt>
  <rfmt sheetId="1" sqref="AD359" start="0" length="0">
    <dxf>
      <fill>
        <patternFill patternType="none">
          <bgColor indexed="65"/>
        </patternFill>
      </fill>
    </dxf>
  </rfmt>
  <rfmt sheetId="1" sqref="AD360" start="0" length="0">
    <dxf>
      <fill>
        <patternFill patternType="none">
          <bgColor indexed="65"/>
        </patternFill>
      </fill>
    </dxf>
  </rfmt>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55:AD356 AD361:AD364">
    <dxf>
      <fill>
        <patternFill patternType="solid">
          <bgColor rgb="FFFF0000"/>
        </patternFill>
      </fill>
    </dxf>
  </rfmt>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 sId="1">
    <nc r="X357">
      <f>W357</f>
    </nc>
  </rcc>
  <rcc rId="29" sId="1">
    <nc r="Z357">
      <v>1</v>
    </nc>
  </rcc>
  <rcc rId="30" sId="1">
    <nc r="AA357" t="inlineStr">
      <is>
        <t>Ready for review</t>
      </is>
    </nc>
  </rcc>
  <rcc rId="31" sId="1" numFmtId="19">
    <nc r="AE357">
      <v>43972</v>
    </nc>
  </rcc>
  <rcc rId="32" sId="1" numFmtId="19">
    <nc r="AF357">
      <v>43972</v>
    </nc>
  </rcc>
  <rcc rId="33" sId="1">
    <nc r="AG357" t="inlineStr">
      <is>
        <t>OK</t>
      </is>
    </nc>
  </rcc>
  <rcc rId="34" sId="1" numFmtId="14">
    <nc r="AH357">
      <v>1</v>
    </nc>
  </rcc>
  <rcc rId="35" sId="1" numFmtId="14">
    <nc r="AI357">
      <v>1</v>
    </nc>
  </rcc>
  <rcc rId="36" sId="1" numFmtId="14">
    <nc r="AJ357">
      <v>1</v>
    </nc>
  </rcc>
  <rcc rId="37" sId="1">
    <nc r="AK357" t="inlineStr">
      <is>
        <t>None</t>
      </is>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W357">
    <dxf>
      <fill>
        <patternFill patternType="solid">
          <bgColor rgb="FFFF0000"/>
        </patternFill>
      </fill>
    </dxf>
  </rfmt>
  <rcc rId="42" sId="1">
    <oc r="W357">
      <f>V357</f>
    </oc>
    <nc r="W357">
      <v>50</v>
    </nc>
  </rcc>
  <rcc rId="43" sId="1">
    <nc r="AN357" t="inlineStr">
      <is>
        <t>Actual LOC: 50</t>
      </is>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Q252" start="0" length="0">
    <dxf>
      <font>
        <sz val="11"/>
        <color theme="1"/>
        <name val="Calibri"/>
        <scheme val="minor"/>
      </font>
      <fill>
        <patternFill patternType="solid">
          <bgColor rgb="FFFFFF00"/>
        </patternFill>
      </fill>
    </dxf>
  </rfmt>
  <rfmt sheetId="1" sqref="R252" start="0" length="0">
    <dxf>
      <font>
        <sz val="11"/>
        <color theme="1"/>
        <name val="Calibri"/>
        <scheme val="minor"/>
      </font>
      <fill>
        <patternFill patternType="solid">
          <bgColor theme="0" tint="-0.499984740745262"/>
        </patternFill>
      </fill>
    </dxf>
  </rfmt>
  <rfmt sheetId="1" sqref="Q254" start="0" length="0">
    <dxf>
      <font>
        <sz val="11"/>
        <color theme="1"/>
        <name val="Calibri"/>
        <scheme val="minor"/>
      </font>
      <fill>
        <patternFill patternType="solid">
          <bgColor rgb="FFFFFF00"/>
        </patternFill>
      </fill>
    </dxf>
  </rfmt>
  <rfmt sheetId="1" sqref="R254" start="0" length="0">
    <dxf>
      <font>
        <sz val="11"/>
        <color theme="1"/>
        <name val="Calibri"/>
        <scheme val="minor"/>
      </font>
      <fill>
        <patternFill patternType="solid">
          <bgColor theme="0" tint="-0.499984740745262"/>
        </patternFill>
      </fill>
    </dxf>
  </rfmt>
  <rfmt sheetId="1" sqref="Q256" start="0" length="0">
    <dxf>
      <fill>
        <patternFill patternType="solid">
          <bgColor rgb="FFFFFF00"/>
        </patternFill>
      </fill>
    </dxf>
  </rfmt>
  <rfmt sheetId="1" sqref="R256" start="0" length="0">
    <dxf>
      <fill>
        <patternFill patternType="solid">
          <bgColor theme="0" tint="-0.499984740745262"/>
        </patternFill>
      </fill>
    </dxf>
  </rfmt>
  <rfmt sheetId="1" sqref="Q345" start="0" length="0">
    <dxf>
      <font>
        <sz val="11"/>
        <color theme="1"/>
        <name val="Calibri"/>
        <scheme val="minor"/>
      </font>
      <fill>
        <patternFill patternType="solid">
          <bgColor rgb="FFFFFF00"/>
        </patternFill>
      </fill>
    </dxf>
  </rfmt>
</revisions>
</file>

<file path=xl/revisions/revisionLog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 sId="1">
    <oc r="W357">
      <v>50</v>
    </oc>
    <nc r="W357">
      <v>60</v>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 sId="1">
    <oc r="AN357" t="inlineStr">
      <is>
        <t>Actual LOC: 50</t>
      </is>
    </oc>
    <nc r="AN357" t="inlineStr">
      <is>
        <t>Actual LOC: 60</t>
      </is>
    </nc>
  </rcc>
</revisions>
</file>

<file path=xl/revisions/revisionLog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345" start="0" length="0">
    <dxf>
      <font>
        <sz val="11"/>
        <color theme="1"/>
        <name val="Calibri"/>
        <scheme val="minor"/>
      </font>
      <fill>
        <patternFill patternType="solid">
          <bgColor rgb="FFFF0000"/>
        </patternFill>
      </fill>
    </dxf>
  </rfmt>
</revisions>
</file>

<file path=xl/revisions/revisionLog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 sId="6" odxf="1" dxf="1">
    <oc r="E71" t="inlineStr">
      <is>
        <t>-</t>
      </is>
    </oc>
    <nc r="E71">
      <v>2</v>
    </nc>
    <ndxf>
      <fill>
        <patternFill patternType="none">
          <bgColor indexed="65"/>
        </patternFill>
      </fill>
    </ndxf>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J9:K10">
    <dxf>
      <border>
        <left style="thin">
          <color indexed="64"/>
        </left>
        <right style="thin">
          <color indexed="64"/>
        </right>
        <vertical style="thin">
          <color indexed="64"/>
        </vertical>
      </border>
    </dxf>
  </rfmt>
</revisions>
</file>

<file path=xl/revisions/revisionLog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 sId="1">
    <nc r="X358">
      <f>W358</f>
    </nc>
  </rcc>
  <rcc rId="54" sId="1">
    <nc r="X359">
      <f>W359</f>
    </nc>
  </rcc>
  <rcc rId="55" sId="1">
    <nc r="X360">
      <f>W360</f>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 sId="1" numFmtId="19">
    <nc r="AB358">
      <v>43972</v>
    </nc>
  </rcc>
  <rcc rId="59" sId="1" numFmtId="19">
    <nc r="AB359">
      <v>43972</v>
    </nc>
  </rcc>
  <rcc rId="60" sId="1" numFmtId="19">
    <nc r="AB360">
      <v>43972</v>
    </nc>
  </rcc>
</revisions>
</file>

<file path=xl/revisions/revisionLog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Merged_COEM!$B$47:$AN$422</formula>
    <oldFormula>Merged_COEM!$B$47:$AN$422</oldFormula>
  </rdn>
  <rdn rId="0" localSheetId="2" customView="1" name="Z_3B3E6719_EACB_4D2C_89C1_05FFAB6020FD_.wvu.FilterData" hidden="1" oldHidden="1">
    <formula>Merged_JOEM!$B$47:$AN$187</formula>
    <oldFormula>Merged_JOEM!$B$47:$AN$187</oldFormula>
  </rdn>
  <rcv guid="{3B3E6719-EACB-4D2C-89C1-05FFAB6020FD}" action="add"/>
</revisions>
</file>

<file path=xl/revisions/revisionLog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1" sqref="AH189" start="0" length="0">
    <dxf>
      <font>
        <sz val="10"/>
        <color auto="1"/>
        <name val="Arial"/>
        <scheme val="none"/>
      </font>
      <numFmt numFmtId="165" formatCode="0.0%"/>
      <border outline="0">
        <left style="thin">
          <color indexed="64"/>
        </left>
        <right style="thin">
          <color indexed="64"/>
        </right>
        <top style="thin">
          <color indexed="64"/>
        </top>
        <bottom style="thin">
          <color indexed="64"/>
        </bottom>
      </border>
    </dxf>
  </rfmt>
  <rfmt sheetId="2" s="1" sqref="AI189" start="0" length="0">
    <dxf>
      <font>
        <sz val="10"/>
        <color auto="1"/>
        <name val="Arial"/>
        <scheme val="none"/>
      </font>
      <numFmt numFmtId="165" formatCode="0.0%"/>
      <border outline="0">
        <left style="thin">
          <color indexed="64"/>
        </left>
        <right style="thin">
          <color indexed="64"/>
        </right>
        <top style="thin">
          <color indexed="64"/>
        </top>
        <bottom style="thin">
          <color indexed="64"/>
        </bottom>
      </border>
    </dxf>
  </rfmt>
  <rfmt sheetId="2" s="1" sqref="AJ189" start="0" length="0">
    <dxf>
      <font>
        <sz val="10"/>
        <color auto="1"/>
        <name val="Arial"/>
        <scheme val="none"/>
      </font>
      <alignment wrapText="1" readingOrder="0"/>
      <border outline="0">
        <left style="thin">
          <color indexed="64"/>
        </left>
        <right style="thin">
          <color indexed="64"/>
        </right>
        <top style="thin">
          <color indexed="64"/>
        </top>
        <bottom style="thin">
          <color indexed="64"/>
        </bottom>
      </border>
    </dxf>
  </rfmt>
  <rcc rId="63" sId="2" odxf="1" s="1" dxf="1">
    <oc r="AL146" t="inlineStr">
      <is>
        <t>cannot cover full C0/C1 because of param1D</t>
      </is>
    </oc>
    <nc r="AL146" t="inlineStr">
      <is>
        <t>[No1]: cannot cover full C0/C1 because of param1D
[No2]: cannot cover MCDC case F-X at line 43 because of previous condtion at line 36 true =&gt; line 43 never reach
=&gt;similar case for cover MCDC case F-X at:   Line 54 , Line 65 , Line 76 , Line 87 , Line 98 , Line 109, Line 120, Line 131, Line 142, Line 153, Line 164, Line 175, Line 186, Line 197, Line 208, Line 219, Line 230, Line 241, Line 252, Line 263, Line 274, Line 285, Line 296, Line 307, Line 318, Line 329, Line 340, Line 351, Line 362, Line 373, Line 384, Line 395, Line 406, Line 417, Line 428, Line 439, Line 450, Line 461, Line 472, Line 483, Line 494, Line 505, Line 516, Line 527, Line 538, Line 549, Line 560, Line 571, Line 582, Line 593, Line 604, Line 615, Line 626, Line 637, Line 648, Line 659, Line 670, Line 681, Line 692, Line 703, Line 714, Line 725, Line 736, Line 747, Line 758, Line 769, Line 780, Line 791, Line 878, Line 883, Line 888, Line 893, Line 898, Line 903, Line 908, Line 913, Line 918, Line 923, Line 928, Line 933, Line 938, Line 943, Line 948, Line 953, Line 958, Line 963, Line 968, Line 973, Line 978, Line 983, Line 988, Line 993.</t>
      </is>
    </nc>
    <ndxf>
      <font>
        <sz val="10"/>
        <color auto="1"/>
        <name val="Arial"/>
        <scheme val="none"/>
      </font>
      <alignment wrapText="1" readingOrder="0"/>
      <border outline="0">
        <left style="thin">
          <color indexed="64"/>
        </left>
        <right style="thin">
          <color indexed="64"/>
        </right>
        <top style="thin">
          <color indexed="64"/>
        </top>
        <bottom style="thin">
          <color indexed="64"/>
        </bottom>
      </border>
    </ndxf>
  </rcc>
  <rfmt sheetId="2" sqref="AL146">
    <dxf>
      <alignment wrapText="0" readingOrder="0"/>
    </dxf>
  </rfmt>
  <rcc rId="64" sId="2" odxf="1" s="1" dxf="1">
    <nc r="AL152" t="inlineStr">
      <is>
        <t>[No1]: cannot cover full C0/C1 because of param1D
[No2]: cannot cover MCDC case F-X at line 43 because of previous condtion at line 36 true =&gt; line 43 never reach
=&gt;similar case for cover MCDC case F-X at:   Line 54 , Line 65 , Line 76 , Line 87 , Line 98 , Line 109, Line 120, Line 131, Line 142, Line 153, Line 164, Line 175, Line 186, Line 197, Line 208, Line 219, Line 230, Line 241, Line 252, Line 263, Line 274, Line 285, Line 296, Line 307, Line 318, Line 329, Line 340, Line 351, Line 362, Line 373, Line 384, Line 395, Line 406, Line 417, Line 428, Line 439, Line 450, Line 461, Line 472, Line 483, Line 494, Line 505, Line 516, Line 527, Line 538, Line 549, Line 560, Line 571, Line 582, Line 593, Line 604, Line 615, Line 626, Line 637, Line 648, Line 659, Line 670, Line 681, Line 692, Line 703, Line 714, Line 725, Line 736, Line 747, Line 758, Line 769, Line 780, Line 791, Line 878, Line 883, Line 888, Line 893, Line 898, Line 903, Line 908, Line 913, Line 918, Line 923, Line 928, Line 933, Line 938, Line 943, Line 948, Line 953, Line 958, Line 963, Line 968, Line 973, Line 978, Line 983, Line 988, Line 993.</t>
      </is>
    </nc>
    <o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auto="1"/>
        <name val="Arial"/>
        <scheme val="none"/>
      </font>
      <alignment horizontal="general" vertical="bottom" wrapText="1" readingOrder="0"/>
    </ndxf>
  </rcc>
  <rfmt sheetId="2" sqref="AL152">
    <dxf>
      <alignment wrapText="0" readingOrder="0"/>
    </dxf>
  </rfmt>
  <rcc rId="65" sId="2" numFmtId="14">
    <oc r="AH152">
      <v>0.99</v>
    </oc>
    <nc r="AH152">
      <v>0.98899999999999999</v>
    </nc>
  </rcc>
  <rcc rId="66" sId="2" numFmtId="14">
    <oc r="AI152">
      <v>0.99</v>
    </oc>
    <nc r="AI152">
      <v>0.98699999999999999</v>
    </nc>
  </rcc>
  <rcc rId="67" sId="2" numFmtId="14">
    <oc r="AJ152">
      <v>0.99</v>
    </oc>
    <nc r="AJ152">
      <v>0.52600000000000002</v>
    </nc>
  </rcc>
  <rfmt sheetId="2" s="1" sqref="AH189" start="0" length="0">
    <dxf>
      <font>
        <sz val="11"/>
        <color theme="1"/>
        <name val="Calibri"/>
        <scheme val="minor"/>
      </font>
      <numFmt numFmtId="0" formatCode="General"/>
      <border outline="0">
        <left/>
        <right/>
        <top/>
        <bottom/>
      </border>
    </dxf>
  </rfmt>
  <rfmt sheetId="2" s="1" sqref="AI189" start="0" length="0">
    <dxf>
      <font>
        <sz val="11"/>
        <color theme="1"/>
        <name val="Calibri"/>
        <scheme val="minor"/>
      </font>
      <numFmt numFmtId="0" formatCode="General"/>
      <border outline="0">
        <left/>
        <right/>
        <top/>
        <bottom/>
      </border>
    </dxf>
  </rfmt>
  <rfmt sheetId="2" s="1" sqref="AJ189" start="0" length="0">
    <dxf>
      <font>
        <sz val="11"/>
        <color theme="1"/>
        <name val="Calibri"/>
        <scheme val="minor"/>
      </font>
      <alignment wrapText="0" readingOrder="0"/>
      <border outline="0">
        <left/>
        <right/>
        <top/>
        <bottom/>
      </border>
    </dxf>
  </rfmt>
  <rcv guid="{336B6883-2145-4B58-921E-CEC7185A847E}" action="delete"/>
  <rdn rId="0" localSheetId="1" customView="1" name="Z_336B6883_2145_4B58_921E_CEC7185A847E_.wvu.FilterData" hidden="1" oldHidden="1">
    <formula>Merged_COEM!$P$47:$P$423</formula>
    <oldFormula>Merged_COEM!$P$47:$P$423</oldFormula>
  </rdn>
  <rdn rId="0" localSheetId="2" customView="1" name="Z_336B6883_2145_4B58_921E_CEC7185A847E_.wvu.FilterData" hidden="1" oldHidden="1">
    <formula>Merged_JOEM!$B$47:$AN$187</formula>
    <oldFormula>Merged_JOEM!$B$47:$AN$187</oldFormula>
  </rdn>
  <rcv guid="{336B6883-2145-4B58-921E-CEC7185A847E}" action="add"/>
</revisions>
</file>

<file path=xl/revisions/revisionLog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0" sId="2" odxf="1" dxf="1">
    <oc r="AL146" t="inlineStr">
      <is>
        <t>[No1]: cannot cover full C0/C1 because of param1D
[No2]: cannot cover MCDC case F-X at line 43 because of previous condtion at line 36 true =&gt; line 43 never reach
=&gt;similar case for cover MCDC case F-X at:   Line 54 , Line 65 , Line 76 , Line 87 , Line 98 , Line 109, Line 120, Line 131, Line 142, Line 153, Line 164, Line 175, Line 186, Line 197, Line 208, Line 219, Line 230, Line 241, Line 252, Line 263, Line 274, Line 285, Line 296, Line 307, Line 318, Line 329, Line 340, Line 351, Line 362, Line 373, Line 384, Line 395, Line 406, Line 417, Line 428, Line 439, Line 450, Line 461, Line 472, Line 483, Line 494, Line 505, Line 516, Line 527, Line 538, Line 549, Line 560, Line 571, Line 582, Line 593, Line 604, Line 615, Line 626, Line 637, Line 648, Line 659, Line 670, Line 681, Line 692, Line 703, Line 714, Line 725, Line 736, Line 747, Line 758, Line 769, Line 780, Line 791, Line 878, Line 883, Line 888, Line 893, Line 898, Line 903, Line 908, Line 913, Line 918, Line 923, Line 928, Line 933, Line 938, Line 943, Line 948, Line 953, Line 958, Line 963, Line 968, Line 973, Line 978, Line 983, Line 988, Line 993.</t>
      </is>
    </oc>
    <nc r="AL146" t="inlineStr">
      <is>
        <t>cannot cover full C0/C1 because of param1D</t>
      </is>
    </nc>
    <odxf>
      <alignment wrapText="0" readingOrder="0"/>
    </odxf>
    <ndxf>
      <alignment wrapText="1" readingOrder="0"/>
    </ndxf>
  </rcc>
  <rfmt sheetId="2" sqref="AL146">
    <dxf>
      <alignment wrapText="0" readingOrder="0"/>
    </dxf>
  </rfmt>
  <rcv guid="{336B6883-2145-4B58-921E-CEC7185A847E}" action="delete"/>
  <rdn rId="0" localSheetId="1" customView="1" name="Z_336B6883_2145_4B58_921E_CEC7185A847E_.wvu.FilterData" hidden="1" oldHidden="1">
    <formula>Merged_COEM!$P$47:$P$423</formula>
    <oldFormula>Merged_COEM!$P$47:$P$423</oldFormula>
  </rdn>
  <rdn rId="0" localSheetId="2" customView="1" name="Z_336B6883_2145_4B58_921E_CEC7185A847E_.wvu.FilterData" hidden="1" oldHidden="1">
    <formula>Merged_JOEM!$B$47:$AN$187</formula>
    <oldFormula>Merged_JOEM!$B$47:$AN$187</oldFormula>
  </rdn>
  <rcv guid="{336B6883-2145-4B58-921E-CEC7185A847E}" action="add"/>
</revision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5" sId="1" numFmtId="19">
    <nc r="AB249">
      <v>43973</v>
    </nc>
  </rcc>
  <rcc rId="76" sId="1" numFmtId="19">
    <nc r="AB250">
      <v>43973</v>
    </nc>
  </rcc>
  <rcc rId="77" sId="1" numFmtId="19">
    <nc r="AB251">
      <v>43973</v>
    </nc>
  </rcc>
  <rcc rId="78" sId="1" odxf="1" dxf="1" numFmtId="19">
    <nc r="AB252">
      <v>43973</v>
    </nc>
    <odxf>
      <font/>
    </odxf>
    <ndxf>
      <font>
        <sz val="11"/>
        <color theme="1"/>
        <name val="Calibri"/>
        <scheme val="minor"/>
      </font>
    </ndxf>
  </rcc>
  <rcc rId="79" sId="1" numFmtId="19">
    <nc r="AB253">
      <v>43973</v>
    </nc>
  </rcc>
  <rcc rId="80" sId="1" odxf="1" dxf="1" numFmtId="19">
    <nc r="AB254">
      <v>43973</v>
    </nc>
    <odxf>
      <font/>
    </odxf>
    <ndxf>
      <font>
        <sz val="11"/>
        <color theme="1"/>
        <name val="Calibri"/>
        <scheme val="minor"/>
      </font>
    </ndxf>
  </rcc>
  <rcc rId="81" sId="1" numFmtId="19">
    <nc r="AB255">
      <v>43973</v>
    </nc>
  </rcc>
  <rcc rId="82" sId="1" odxf="1" dxf="1" numFmtId="19">
    <nc r="AB256">
      <v>43973</v>
    </nc>
    <odxf/>
    <ndxf/>
  </rcc>
  <rcc rId="83" sId="1" numFmtId="19">
    <nc r="AB257">
      <v>43973</v>
    </nc>
  </rcc>
  <rcc rId="84" sId="1" numFmtId="19">
    <nc r="AB258">
      <v>43973</v>
    </nc>
  </rcc>
  <rcc rId="85" sId="1" numFmtId="19">
    <nc r="AB259">
      <v>43973</v>
    </nc>
  </rcc>
  <rcc rId="86" sId="1" numFmtId="19">
    <nc r="AB260">
      <v>43973</v>
    </nc>
  </rcc>
  <rcc rId="87" sId="1" numFmtId="19">
    <nc r="AB261">
      <v>43973</v>
    </nc>
  </rcc>
  <rcc rId="88" sId="1" odxf="1" dxf="1" numFmtId="19">
    <nc r="AB262">
      <v>43973</v>
    </nc>
    <odxf/>
    <ndxf/>
  </rcc>
  <rcc rId="89" sId="1" numFmtId="19">
    <nc r="AB263">
      <v>43973</v>
    </nc>
  </rcc>
  <rcc rId="90" sId="1" numFmtId="19">
    <nc r="AB264">
      <v>43973</v>
    </nc>
  </rcc>
  <rcc rId="91" sId="1" numFmtId="19">
    <nc r="AB265">
      <v>43973</v>
    </nc>
  </rcc>
  <rcc rId="92" sId="1" numFmtId="19">
    <nc r="AB266">
      <v>43973</v>
    </nc>
  </rcc>
  <rcc rId="93" sId="1" numFmtId="19">
    <nc r="AB267">
      <v>43973</v>
    </nc>
  </rcc>
  <rcc rId="94" sId="1" numFmtId="19">
    <nc r="AB268">
      <v>43973</v>
    </nc>
  </rcc>
  <rcc rId="95" sId="1" numFmtId="19">
    <nc r="AB269">
      <v>43973</v>
    </nc>
  </rcc>
  <rcc rId="96" sId="1" odxf="1" dxf="1" numFmtId="19">
    <nc r="AB270">
      <v>43973</v>
    </nc>
    <odxf/>
    <ndxf/>
  </rcc>
  <rcc rId="97" sId="1" numFmtId="19">
    <nc r="AB271">
      <v>43973</v>
    </nc>
  </rcc>
  <rcc rId="98" sId="1" numFmtId="19">
    <nc r="AB272">
      <v>43973</v>
    </nc>
  </rcc>
  <rcc rId="99" sId="1" numFmtId="19">
    <nc r="AB273">
      <v>43973</v>
    </nc>
  </rcc>
  <rcc rId="100" sId="1" numFmtId="19">
    <nc r="AB274">
      <v>43973</v>
    </nc>
  </rcc>
  <rcc rId="101" sId="1" numFmtId="19">
    <nc r="AB275">
      <v>43973</v>
    </nc>
  </rcc>
  <rcc rId="102" sId="1" numFmtId="19">
    <nc r="AB276">
      <v>43973</v>
    </nc>
  </rcc>
  <rcc rId="103" sId="1" numFmtId="19">
    <nc r="AB277">
      <v>43973</v>
    </nc>
  </rcc>
  <rcc rId="104" sId="1" numFmtId="19">
    <nc r="AB278">
      <v>43973</v>
    </nc>
  </rcc>
  <rcc rId="105" sId="1" numFmtId="19">
    <nc r="AB279">
      <v>43973</v>
    </nc>
  </rcc>
  <rcc rId="106" sId="1" numFmtId="19">
    <nc r="AB288">
      <v>43973</v>
    </nc>
  </rcc>
  <rcc rId="107" sId="1" numFmtId="19">
    <nc r="AB289">
      <v>43973</v>
    </nc>
  </rcc>
  <rcc rId="108" sId="1" numFmtId="19">
    <nc r="AB290">
      <v>43973</v>
    </nc>
  </rcc>
  <rcc rId="109" sId="1" numFmtId="19">
    <nc r="AB291">
      <v>43973</v>
    </nc>
  </rcc>
  <rcc rId="110" sId="1" numFmtId="19">
    <nc r="AB292">
      <v>43973</v>
    </nc>
  </rcc>
  <rcc rId="111" sId="1" numFmtId="19">
    <nc r="AB293">
      <v>43973</v>
    </nc>
  </rcc>
  <rcc rId="112" sId="1" numFmtId="19">
    <nc r="AB308">
      <v>43973</v>
    </nc>
  </rcc>
  <rcc rId="113" sId="1" numFmtId="19">
    <nc r="AB310">
      <v>43973</v>
    </nc>
  </rcc>
  <rcc rId="114" sId="1" numFmtId="19">
    <nc r="AB314">
      <v>43973</v>
    </nc>
  </rcc>
  <rcc rId="115" sId="1" numFmtId="19">
    <nc r="AB315">
      <v>43973</v>
    </nc>
  </rcc>
  <rcc rId="116" sId="1" numFmtId="19">
    <nc r="AB316">
      <v>43973</v>
    </nc>
  </rcc>
  <rcc rId="117" sId="1">
    <oc r="AA249" t="inlineStr">
      <is>
        <t>Ready for review</t>
      </is>
    </oc>
    <nc r="AA249" t="inlineStr">
      <is>
        <t>Ready for PLC</t>
      </is>
    </nc>
  </rcc>
  <rcc rId="118" sId="1">
    <oc r="AA250" t="inlineStr">
      <is>
        <t>Ready for review</t>
      </is>
    </oc>
    <nc r="AA250" t="inlineStr">
      <is>
        <t>Ready for PLC</t>
      </is>
    </nc>
  </rcc>
  <rcc rId="119" sId="1">
    <oc r="AA251" t="inlineStr">
      <is>
        <t>Ready for review</t>
      </is>
    </oc>
    <nc r="AA251" t="inlineStr">
      <is>
        <t>Ready for PLC</t>
      </is>
    </nc>
  </rcc>
  <rcc rId="120" sId="1" odxf="1" dxf="1">
    <oc r="AA252" t="inlineStr">
      <is>
        <t>Ready for review</t>
      </is>
    </oc>
    <nc r="AA252" t="inlineStr">
      <is>
        <t>Ready for PLC</t>
      </is>
    </nc>
    <odxf>
      <font/>
    </odxf>
    <ndxf>
      <font>
        <sz val="11"/>
        <color theme="1"/>
        <name val="Calibri"/>
        <scheme val="minor"/>
      </font>
    </ndxf>
  </rcc>
  <rcc rId="121" sId="1">
    <oc r="AA253" t="inlineStr">
      <is>
        <t>Ready for review</t>
      </is>
    </oc>
    <nc r="AA253" t="inlineStr">
      <is>
        <t>Ready for PLC</t>
      </is>
    </nc>
  </rcc>
  <rcc rId="122" sId="1" odxf="1" dxf="1">
    <oc r="AA254" t="inlineStr">
      <is>
        <t>Ready for review</t>
      </is>
    </oc>
    <nc r="AA254" t="inlineStr">
      <is>
        <t>Ready for PLC</t>
      </is>
    </nc>
    <odxf>
      <font/>
    </odxf>
    <ndxf>
      <font>
        <sz val="11"/>
        <color theme="1"/>
        <name val="Calibri"/>
        <scheme val="minor"/>
      </font>
    </ndxf>
  </rcc>
  <rcc rId="123" sId="1">
    <oc r="AA255" t="inlineStr">
      <is>
        <t>Ready for review</t>
      </is>
    </oc>
    <nc r="AA255" t="inlineStr">
      <is>
        <t>Ready for PLC</t>
      </is>
    </nc>
  </rcc>
  <rcc rId="124" sId="1" odxf="1" dxf="1">
    <oc r="AA256" t="inlineStr">
      <is>
        <t>Ready for review</t>
      </is>
    </oc>
    <nc r="AA256" t="inlineStr">
      <is>
        <t>Ready for PLC</t>
      </is>
    </nc>
    <odxf/>
    <ndxf/>
  </rcc>
  <rcc rId="125" sId="1">
    <oc r="AA257" t="inlineStr">
      <is>
        <t>Ready for review</t>
      </is>
    </oc>
    <nc r="AA257" t="inlineStr">
      <is>
        <t>Ready for PLC</t>
      </is>
    </nc>
  </rcc>
  <rcc rId="126" sId="1">
    <oc r="AA258" t="inlineStr">
      <is>
        <t>Ready for review</t>
      </is>
    </oc>
    <nc r="AA258" t="inlineStr">
      <is>
        <t>Ready for PLC</t>
      </is>
    </nc>
  </rcc>
  <rcc rId="127" sId="1">
    <oc r="AA259" t="inlineStr">
      <is>
        <t>Ready for review</t>
      </is>
    </oc>
    <nc r="AA259" t="inlineStr">
      <is>
        <t>Ready for PLC</t>
      </is>
    </nc>
  </rcc>
  <rcc rId="128" sId="1">
    <oc r="AA260" t="inlineStr">
      <is>
        <t>Ready for review</t>
      </is>
    </oc>
    <nc r="AA260" t="inlineStr">
      <is>
        <t>Ready for PLC</t>
      </is>
    </nc>
  </rcc>
  <rcc rId="129" sId="1">
    <oc r="AA261" t="inlineStr">
      <is>
        <t>Ready for review</t>
      </is>
    </oc>
    <nc r="AA261" t="inlineStr">
      <is>
        <t>Ready for PLC</t>
      </is>
    </nc>
  </rcc>
  <rcc rId="130" sId="1" odxf="1" dxf="1">
    <oc r="AA262" t="inlineStr">
      <is>
        <t>Ready for review</t>
      </is>
    </oc>
    <nc r="AA262" t="inlineStr">
      <is>
        <t>Ready for PLC</t>
      </is>
    </nc>
    <odxf/>
    <ndxf/>
  </rcc>
  <rcc rId="131" sId="1">
    <oc r="AA263" t="inlineStr">
      <is>
        <t>Ready for review</t>
      </is>
    </oc>
    <nc r="AA263" t="inlineStr">
      <is>
        <t>Ready for PLC</t>
      </is>
    </nc>
  </rcc>
  <rcc rId="132" sId="1">
    <oc r="AA264" t="inlineStr">
      <is>
        <t>Ready for review</t>
      </is>
    </oc>
    <nc r="AA264" t="inlineStr">
      <is>
        <t>Ready for PLC</t>
      </is>
    </nc>
  </rcc>
  <rcc rId="133" sId="1">
    <oc r="AA265" t="inlineStr">
      <is>
        <t>Ready for review</t>
      </is>
    </oc>
    <nc r="AA265" t="inlineStr">
      <is>
        <t>Ready for PLC</t>
      </is>
    </nc>
  </rcc>
  <rcc rId="134" sId="1">
    <oc r="AA266" t="inlineStr">
      <is>
        <t>Ready for review</t>
      </is>
    </oc>
    <nc r="AA266" t="inlineStr">
      <is>
        <t>Ready for PLC</t>
      </is>
    </nc>
  </rcc>
  <rcc rId="135" sId="1">
    <oc r="AA267" t="inlineStr">
      <is>
        <t>Ready for review</t>
      </is>
    </oc>
    <nc r="AA267" t="inlineStr">
      <is>
        <t>Ready for PLC</t>
      </is>
    </nc>
  </rcc>
  <rcc rId="136" sId="1">
    <oc r="AA268" t="inlineStr">
      <is>
        <t>Ready for review</t>
      </is>
    </oc>
    <nc r="AA268" t="inlineStr">
      <is>
        <t>Ready for PLC</t>
      </is>
    </nc>
  </rcc>
  <rcc rId="137" sId="1">
    <oc r="AA269" t="inlineStr">
      <is>
        <t>Ready for review</t>
      </is>
    </oc>
    <nc r="AA269" t="inlineStr">
      <is>
        <t>Ready for PLC</t>
      </is>
    </nc>
  </rcc>
  <rcc rId="138" sId="1" odxf="1" dxf="1">
    <oc r="AA270" t="inlineStr">
      <is>
        <t>Ready for review</t>
      </is>
    </oc>
    <nc r="AA270" t="inlineStr">
      <is>
        <t>Ready for PLC</t>
      </is>
    </nc>
    <odxf/>
    <ndxf/>
  </rcc>
  <rcc rId="139" sId="1">
    <oc r="AA271" t="inlineStr">
      <is>
        <t>Ready for review</t>
      </is>
    </oc>
    <nc r="AA271" t="inlineStr">
      <is>
        <t>Ready for PLC</t>
      </is>
    </nc>
  </rcc>
  <rcc rId="140" sId="1">
    <oc r="AA272" t="inlineStr">
      <is>
        <t>Ready for review</t>
      </is>
    </oc>
    <nc r="AA272" t="inlineStr">
      <is>
        <t>Ready for PLC</t>
      </is>
    </nc>
  </rcc>
  <rcc rId="141" sId="1">
    <oc r="AA273" t="inlineStr">
      <is>
        <t>Ready for review</t>
      </is>
    </oc>
    <nc r="AA273" t="inlineStr">
      <is>
        <t>Ready for PLC</t>
      </is>
    </nc>
  </rcc>
  <rcc rId="142" sId="1">
    <oc r="AA274" t="inlineStr">
      <is>
        <t>Ready for review</t>
      </is>
    </oc>
    <nc r="AA274" t="inlineStr">
      <is>
        <t>Ready for PLC</t>
      </is>
    </nc>
  </rcc>
  <rcc rId="143" sId="1">
    <oc r="AA275" t="inlineStr">
      <is>
        <t>Ready for review</t>
      </is>
    </oc>
    <nc r="AA275" t="inlineStr">
      <is>
        <t>Ready for PLC</t>
      </is>
    </nc>
  </rcc>
  <rcc rId="144" sId="1">
    <oc r="AA276" t="inlineStr">
      <is>
        <t>Ready for review</t>
      </is>
    </oc>
    <nc r="AA276" t="inlineStr">
      <is>
        <t>Ready for PLC</t>
      </is>
    </nc>
  </rcc>
  <rcc rId="145" sId="1">
    <oc r="AA277" t="inlineStr">
      <is>
        <t>Ready for review</t>
      </is>
    </oc>
    <nc r="AA277" t="inlineStr">
      <is>
        <t>Ready for PLC</t>
      </is>
    </nc>
  </rcc>
  <rcc rId="146" sId="1">
    <oc r="AA278" t="inlineStr">
      <is>
        <t>Ready for review</t>
      </is>
    </oc>
    <nc r="AA278" t="inlineStr">
      <is>
        <t>Ready for PLC</t>
      </is>
    </nc>
  </rcc>
  <rcc rId="147" sId="1">
    <oc r="AA279" t="inlineStr">
      <is>
        <t>Ready for review</t>
      </is>
    </oc>
    <nc r="AA279" t="inlineStr">
      <is>
        <t>Ready for PLC</t>
      </is>
    </nc>
  </rcc>
  <rcc rId="148" sId="1">
    <oc r="AA288" t="inlineStr">
      <is>
        <t>Ready for review</t>
      </is>
    </oc>
    <nc r="AA288" t="inlineStr">
      <is>
        <t>Ready for PLC</t>
      </is>
    </nc>
  </rcc>
  <rcc rId="149" sId="1">
    <oc r="AA289" t="inlineStr">
      <is>
        <t>Ready for review</t>
      </is>
    </oc>
    <nc r="AA289" t="inlineStr">
      <is>
        <t>Ready for PLC</t>
      </is>
    </nc>
  </rcc>
  <rcc rId="150" sId="1">
    <oc r="AA290" t="inlineStr">
      <is>
        <t>Ready for review</t>
      </is>
    </oc>
    <nc r="AA290" t="inlineStr">
      <is>
        <t>Ready for PLC</t>
      </is>
    </nc>
  </rcc>
  <rcc rId="151" sId="1">
    <oc r="AA291" t="inlineStr">
      <is>
        <t>Ready for review</t>
      </is>
    </oc>
    <nc r="AA291" t="inlineStr">
      <is>
        <t>Ready for PLC</t>
      </is>
    </nc>
  </rcc>
  <rcc rId="152" sId="1">
    <oc r="AA292" t="inlineStr">
      <is>
        <t>Ready for review</t>
      </is>
    </oc>
    <nc r="AA292" t="inlineStr">
      <is>
        <t>Ready for PLC</t>
      </is>
    </nc>
  </rcc>
  <rcc rId="153" sId="1">
    <oc r="AA293" t="inlineStr">
      <is>
        <t>Ready for review</t>
      </is>
    </oc>
    <nc r="AA293" t="inlineStr">
      <is>
        <t>Ready for PLC</t>
      </is>
    </nc>
  </rcc>
  <rcc rId="154" sId="1">
    <oc r="AA308" t="inlineStr">
      <is>
        <t>Ready for review</t>
      </is>
    </oc>
    <nc r="AA308" t="inlineStr">
      <is>
        <t>Ready for PLC</t>
      </is>
    </nc>
  </rcc>
  <rcc rId="155" sId="1">
    <oc r="AA310" t="inlineStr">
      <is>
        <t>Ready for review</t>
      </is>
    </oc>
    <nc r="AA310" t="inlineStr">
      <is>
        <t>Ready for PLC</t>
      </is>
    </nc>
  </rcc>
  <rcc rId="156" sId="1">
    <oc r="AA314" t="inlineStr">
      <is>
        <t>Ready for review</t>
      </is>
    </oc>
    <nc r="AA314" t="inlineStr">
      <is>
        <t>Ready for PLC</t>
      </is>
    </nc>
  </rcc>
  <rcc rId="157" sId="1">
    <oc r="AA315" t="inlineStr">
      <is>
        <t>Ready for review</t>
      </is>
    </oc>
    <nc r="AA315" t="inlineStr">
      <is>
        <t>Ready for PLC</t>
      </is>
    </nc>
  </rcc>
  <rcc rId="158" sId="1">
    <oc r="AA316" t="inlineStr">
      <is>
        <t>Ready for review</t>
      </is>
    </oc>
    <nc r="AA316" t="inlineStr">
      <is>
        <t>Ready for PLC</t>
      </is>
    </nc>
  </rcc>
  <rcv guid="{7E0EA425-A420-4443-B9E0-CDF0AA9E5D09}" action="delete"/>
  <rdn rId="0" localSheetId="1" customView="1" name="Z_7E0EA425_A420_4443_B9E0_CDF0AA9E5D09_.wvu.FilterData" hidden="1" oldHidden="1">
    <formula>Merged_COEM!$B$47:$AN$422</formula>
    <oldFormula>Merged_COEM!$B$47:$AN$422</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1" sId="1">
    <nc r="X331">
      <f>W331</f>
    </nc>
  </rcc>
  <rcc rId="162" sId="1">
    <nc r="X332">
      <f>W332</f>
    </nc>
  </rcc>
  <rcc rId="163" sId="1">
    <nc r="X333">
      <f>W333</f>
    </nc>
  </rcc>
  <rcc rId="164" sId="1">
    <nc r="X334">
      <f>W334</f>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69" sId="1" ref="A328:XFD328" action="insertRow"/>
  <rcc rId="170" sId="1">
    <nc r="B328">
      <f>B327+1</f>
    </nc>
  </rcc>
  <rcc rId="171" sId="1">
    <oc r="B329">
      <f>B327+1</f>
    </oc>
    <nc r="B329">
      <f>B328+1</f>
    </nc>
  </rcc>
  <rcc rId="172" sId="1">
    <oc r="B330">
      <f>B329+1</f>
    </oc>
    <nc r="B330">
      <f>B329+1</f>
    </nc>
  </rcc>
  <rcc rId="173" sId="1">
    <oc r="B331">
      <f>B330+1</f>
    </oc>
    <nc r="B331">
      <f>B330+1</f>
    </nc>
  </rcc>
  <rcc rId="174" sId="1">
    <oc r="B332">
      <f>B331+1</f>
    </oc>
    <nc r="B332">
      <f>B331+1</f>
    </nc>
  </rcc>
  <rcc rId="175" sId="1">
    <oc r="B333">
      <f>B332+1</f>
    </oc>
    <nc r="B333">
      <f>B332+1</f>
    </nc>
  </rcc>
  <rcc rId="176" sId="1">
    <oc r="B334">
      <f>B333+1</f>
    </oc>
    <nc r="B334">
      <f>B333+1</f>
    </nc>
  </rcc>
  <rcc rId="177" sId="1">
    <oc r="B335">
      <f>B334+1</f>
    </oc>
    <nc r="B335">
      <f>B334+1</f>
    </nc>
  </rcc>
  <rcc rId="178" sId="1">
    <oc r="B336">
      <f>B335+1</f>
    </oc>
    <nc r="B336">
      <f>B335+1</f>
    </nc>
  </rcc>
  <rcc rId="179" sId="1">
    <oc r="B337">
      <f>B336+1</f>
    </oc>
    <nc r="B337">
      <f>B336+1</f>
    </nc>
  </rcc>
  <rcc rId="180" sId="1">
    <oc r="B338">
      <f>B337+1</f>
    </oc>
    <nc r="B338">
      <f>B337+1</f>
    </nc>
  </rcc>
  <rcc rId="181" sId="1">
    <oc r="B339">
      <f>B338+1</f>
    </oc>
    <nc r="B339">
      <f>B338+1</f>
    </nc>
  </rcc>
  <rcc rId="182" sId="1">
    <oc r="B340">
      <f>B339+1</f>
    </oc>
    <nc r="B340">
      <f>B339+1</f>
    </nc>
  </rcc>
  <rcc rId="183" sId="1">
    <oc r="B341">
      <f>B340+1</f>
    </oc>
    <nc r="B341">
      <f>B340+1</f>
    </nc>
  </rcc>
  <rcc rId="184" sId="1">
    <oc r="B342">
      <f>B341+1</f>
    </oc>
    <nc r="B342">
      <f>B341+1</f>
    </nc>
  </rcc>
  <rcc rId="185" sId="1">
    <oc r="B343">
      <f>B342+1</f>
    </oc>
    <nc r="B343">
      <f>B342+1</f>
    </nc>
  </rcc>
  <rcc rId="186" sId="1">
    <oc r="B344">
      <f>B343+1</f>
    </oc>
    <nc r="B344">
      <f>B343+1</f>
    </nc>
  </rcc>
  <rcc rId="187" sId="1">
    <oc r="B345">
      <f>B344+1</f>
    </oc>
    <nc r="B345">
      <f>B344+1</f>
    </nc>
  </rcc>
  <rcc rId="188" sId="1">
    <oc r="B346">
      <f>B345+1</f>
    </oc>
    <nc r="B346">
      <f>B345+1</f>
    </nc>
  </rcc>
  <rcc rId="189" sId="1">
    <oc r="B347">
      <f>B346+1</f>
    </oc>
    <nc r="B347">
      <f>B346+1</f>
    </nc>
  </rcc>
  <rcc rId="190" sId="1">
    <oc r="B348">
      <f>B347+1</f>
    </oc>
    <nc r="B348">
      <f>B347+1</f>
    </nc>
  </rcc>
  <rcc rId="191" sId="1">
    <oc r="B349">
      <f>B348+1</f>
    </oc>
    <nc r="B349">
      <f>B348+1</f>
    </nc>
  </rcc>
  <rcc rId="192" sId="1">
    <oc r="B350">
      <f>B349+1</f>
    </oc>
    <nc r="B350">
      <f>B349+1</f>
    </nc>
  </rcc>
  <rcc rId="193" sId="1">
    <oc r="B351">
      <f>B350+1</f>
    </oc>
    <nc r="B351">
      <f>B350+1</f>
    </nc>
  </rcc>
  <rcc rId="194" sId="1">
    <oc r="B352">
      <f>B351+1</f>
    </oc>
    <nc r="B352">
      <f>B351+1</f>
    </nc>
  </rcc>
  <rcc rId="195" sId="1">
    <oc r="B353">
      <f>B352+1</f>
    </oc>
    <nc r="B353">
      <f>B352+1</f>
    </nc>
  </rcc>
  <rcc rId="196" sId="1">
    <oc r="B354">
      <f>B353+1</f>
    </oc>
    <nc r="B354">
      <f>B353+1</f>
    </nc>
  </rcc>
  <rcc rId="197" sId="1">
    <oc r="B355">
      <f>B354+1</f>
    </oc>
    <nc r="B355">
      <f>B354+1</f>
    </nc>
  </rcc>
  <rcc rId="198" sId="1">
    <oc r="B356">
      <f>B355+1</f>
    </oc>
    <nc r="B356">
      <f>B355+1</f>
    </nc>
  </rcc>
  <rcc rId="199" sId="1">
    <oc r="B357">
      <f>B356+1</f>
    </oc>
    <nc r="B357">
      <f>B356+1</f>
    </nc>
  </rcc>
  <rcc rId="200" sId="1">
    <oc r="B358">
      <f>B357+1</f>
    </oc>
    <nc r="B358">
      <f>B357+1</f>
    </nc>
  </rcc>
  <rcc rId="201" sId="1">
    <oc r="B359">
      <f>B358+1</f>
    </oc>
    <nc r="B359">
      <f>B358+1</f>
    </nc>
  </rcc>
  <rcc rId="202" sId="1">
    <oc r="B360">
      <f>B359+1</f>
    </oc>
    <nc r="B360">
      <f>B359+1</f>
    </nc>
  </rcc>
  <rcc rId="203" sId="1">
    <oc r="B361">
      <f>B360+1</f>
    </oc>
    <nc r="B361">
      <f>B360+1</f>
    </nc>
  </rcc>
  <rcc rId="204" sId="1">
    <oc r="B362">
      <f>B361+1</f>
    </oc>
    <nc r="B362">
      <f>B361+1</f>
    </nc>
  </rcc>
  <rcc rId="205" sId="1">
    <oc r="B363">
      <f>B362+1</f>
    </oc>
    <nc r="B363">
      <f>B362+1</f>
    </nc>
  </rcc>
  <rcc rId="206" sId="1">
    <oc r="B364">
      <f>B363+1</f>
    </oc>
    <nc r="B364">
      <f>B363+1</f>
    </nc>
  </rcc>
  <rcc rId="207" sId="1">
    <oc r="B365">
      <f>B364+1</f>
    </oc>
    <nc r="B365">
      <f>B364+1</f>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0" sId="1">
    <nc r="D328" t="inlineStr">
      <is>
        <t>ASW</t>
      </is>
    </nc>
  </rcc>
  <rcc rId="211" sId="1">
    <nc r="C328">
      <v>20200519</v>
    </nc>
  </rcc>
  <rcc rId="212" sId="1" xfDxf="1" dxf="1">
    <nc r="I328" t="inlineStr">
      <is>
        <t>RDA_VlcTarAx</t>
      </is>
    </nc>
    <ndxf>
      <alignment horizontal="left" vertical="top" readingOrder="0"/>
      <border outline="0">
        <left style="thin">
          <color indexed="64"/>
        </left>
        <right style="thin">
          <color indexed="64"/>
        </right>
        <top style="thin">
          <color indexed="64"/>
        </top>
        <bottom style="thin">
          <color indexed="64"/>
        </bottom>
      </border>
    </ndxf>
  </rcc>
  <rcc rId="213" sId="1" xfDxf="1" dxf="1">
    <nc r="G328">
      <v>1475589</v>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16" sId="1" ref="A330:XFD330" action="insertRow"/>
  <rm rId="217" sheetId="1" source="A328:XFD328" destination="A330:XFD330" sourceSheetId="1">
    <rfmt sheetId="1" xfDxf="1" sqref="A330:XFD330" start="0" length="0"/>
    <rfmt sheetId="1" sqref="B330" start="0" length="0">
      <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C330" start="0" length="0">
      <dxf>
        <alignment horizontal="left" vertical="top" readingOrder="0"/>
        <border outline="0">
          <left style="thin">
            <color indexed="64"/>
          </left>
          <right style="thin">
            <color indexed="64"/>
          </right>
          <top style="thin">
            <color indexed="64"/>
          </top>
          <bottom style="thin">
            <color indexed="64"/>
          </bottom>
        </border>
      </dxf>
    </rfmt>
    <rfmt sheetId="1" sqref="D330" start="0" length="0">
      <dxf>
        <alignment horizontal="left" vertical="top" readingOrder="0"/>
        <border outline="0">
          <left style="thin">
            <color indexed="64"/>
          </left>
          <right style="thin">
            <color indexed="64"/>
          </right>
          <top style="thin">
            <color indexed="64"/>
          </top>
          <bottom style="thin">
            <color indexed="64"/>
          </bottom>
        </border>
      </dxf>
    </rfmt>
    <rfmt sheetId="1" sqref="E330" start="0" length="0">
      <dxf>
        <alignment horizontal="left" vertical="top" readingOrder="0"/>
        <border outline="0">
          <left style="thin">
            <color indexed="64"/>
          </left>
          <right style="thin">
            <color indexed="64"/>
          </right>
          <top style="thin">
            <color indexed="64"/>
          </top>
          <bottom style="thin">
            <color indexed="64"/>
          </bottom>
        </border>
      </dxf>
    </rfmt>
    <rfmt sheetId="1" sqref="F330" start="0" length="0">
      <dxf>
        <alignment horizontal="left" vertical="top" readingOrder="0"/>
        <border outline="0">
          <left style="thin">
            <color indexed="64"/>
          </left>
          <right style="thin">
            <color indexed="64"/>
          </right>
          <top style="thin">
            <color indexed="64"/>
          </top>
          <bottom style="thin">
            <color indexed="64"/>
          </bottom>
        </border>
      </dxf>
    </rfmt>
    <rfmt sheetId="1" sqref="G330" start="0" length="0">
      <dxf>
        <alignment horizontal="left" vertical="top" readingOrder="0"/>
        <border outline="0">
          <left style="thin">
            <color indexed="64"/>
          </left>
          <right style="thin">
            <color indexed="64"/>
          </right>
          <top style="thin">
            <color indexed="64"/>
          </top>
          <bottom style="thin">
            <color indexed="64"/>
          </bottom>
        </border>
      </dxf>
    </rfmt>
    <rfmt sheetId="1" sqref="H330"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I330" start="0" length="0">
      <dxf>
        <alignment horizontal="left" vertical="top" readingOrder="0"/>
        <border outline="0">
          <left style="thin">
            <color indexed="64"/>
          </left>
          <right style="thin">
            <color indexed="64"/>
          </right>
          <top style="thin">
            <color indexed="64"/>
          </top>
          <bottom style="thin">
            <color indexed="64"/>
          </bottom>
        </border>
      </dxf>
    </rfmt>
    <rfmt sheetId="1" sqref="J330"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330" start="0" length="0">
      <dxf>
        <alignment horizontal="left" vertical="top" readingOrder="0"/>
        <border outline="0">
          <left style="thin">
            <color indexed="64"/>
          </left>
          <right style="thin">
            <color indexed="64"/>
          </right>
          <top style="thin">
            <color indexed="64"/>
          </top>
          <bottom style="thin">
            <color indexed="64"/>
          </bottom>
        </border>
      </dxf>
    </rfmt>
    <rfmt sheetId="1" sqref="L330" start="0" length="0">
      <dxf>
        <alignment horizontal="left" vertical="top" readingOrder="0"/>
        <border outline="0">
          <left style="thin">
            <color indexed="64"/>
          </left>
          <right style="thin">
            <color indexed="64"/>
          </right>
          <top style="thin">
            <color indexed="64"/>
          </top>
          <bottom style="thin">
            <color indexed="64"/>
          </bottom>
        </border>
      </dxf>
    </rfmt>
    <rfmt sheetId="1" sqref="M330" start="0" length="0">
      <dxf>
        <alignment horizontal="left" vertical="top" readingOrder="0"/>
        <border outline="0">
          <left style="thin">
            <color indexed="64"/>
          </left>
          <right style="thin">
            <color indexed="64"/>
          </right>
          <top style="thin">
            <color indexed="64"/>
          </top>
          <bottom style="thin">
            <color indexed="64"/>
          </bottom>
        </border>
      </dxf>
    </rfmt>
    <rfmt sheetId="1" sqref="N330" start="0" length="0">
      <dxf>
        <alignment horizontal="left" vertical="top" readingOrder="0"/>
        <border outline="0">
          <left style="thin">
            <color indexed="64"/>
          </left>
          <right style="thin">
            <color indexed="64"/>
          </right>
          <top style="thin">
            <color indexed="64"/>
          </top>
          <bottom style="thin">
            <color indexed="64"/>
          </bottom>
        </border>
      </dxf>
    </rfmt>
    <rfmt sheetId="1" sqref="O330" start="0" length="0">
      <dxf>
        <alignment horizontal="left" vertical="top" readingOrder="0"/>
        <border outline="0">
          <left style="thin">
            <color indexed="64"/>
          </left>
          <right style="thin">
            <color indexed="64"/>
          </right>
          <top style="thin">
            <color indexed="64"/>
          </top>
          <bottom style="thin">
            <color indexed="64"/>
          </bottom>
        </border>
      </dxf>
    </rfmt>
    <rfmt sheetId="1" sqref="P330" start="0" length="0">
      <dxf>
        <alignment horizontal="left" vertical="top" readingOrder="0"/>
        <border outline="0">
          <left style="thin">
            <color indexed="64"/>
          </left>
          <right style="thin">
            <color indexed="64"/>
          </right>
          <top style="thin">
            <color indexed="64"/>
          </top>
          <bottom style="thin">
            <color indexed="64"/>
          </bottom>
        </border>
      </dxf>
    </rfmt>
    <rfmt sheetId="1" sqref="Q330"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330"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330" start="0" length="0">
      <dxf>
        <alignment horizontal="left" vertical="top" readingOrder="0"/>
        <border outline="0">
          <left style="thin">
            <color indexed="64"/>
          </left>
          <right style="thin">
            <color indexed="64"/>
          </right>
          <top style="thin">
            <color indexed="64"/>
          </top>
          <bottom style="thin">
            <color indexed="64"/>
          </bottom>
        </border>
      </dxf>
    </rfmt>
    <rfmt sheetId="1" sqref="T330" start="0" length="0">
      <dxf>
        <alignment horizontal="left" vertical="top" readingOrder="0"/>
        <border outline="0">
          <left style="thin">
            <color indexed="64"/>
          </left>
          <right style="thin">
            <color indexed="64"/>
          </right>
          <top style="thin">
            <color indexed="64"/>
          </top>
          <bottom style="thin">
            <color indexed="64"/>
          </bottom>
        </border>
      </dxf>
    </rfmt>
    <rfmt sheetId="1" sqref="U330" start="0" length="0">
      <dxf>
        <alignment horizontal="left" vertical="top" readingOrder="0"/>
        <border outline="0">
          <left style="thin">
            <color indexed="64"/>
          </left>
          <right style="thin">
            <color indexed="64"/>
          </right>
          <top style="thin">
            <color indexed="64"/>
          </top>
          <bottom style="thin">
            <color indexed="64"/>
          </bottom>
        </border>
      </dxf>
    </rfmt>
    <rfmt sheetId="1" sqref="V330" start="0" length="0">
      <dxf>
        <alignment horizontal="left" vertical="top" readingOrder="0"/>
        <border outline="0">
          <left style="thin">
            <color indexed="64"/>
          </left>
          <right style="thin">
            <color indexed="64"/>
          </right>
          <top style="thin">
            <color indexed="64"/>
          </top>
          <bottom style="thin">
            <color indexed="64"/>
          </bottom>
        </border>
      </dxf>
    </rfmt>
    <rfmt sheetId="1" sqref="W330" start="0" length="0">
      <dxf>
        <alignment horizontal="left" vertical="top" readingOrder="0"/>
        <border outline="0">
          <left style="thin">
            <color indexed="64"/>
          </left>
          <right style="thin">
            <color indexed="64"/>
          </right>
          <top style="thin">
            <color indexed="64"/>
          </top>
          <bottom style="thin">
            <color indexed="64"/>
          </bottom>
        </border>
      </dxf>
    </rfmt>
    <rfmt sheetId="1" sqref="X330" start="0" length="0">
      <dxf>
        <alignment horizontal="left" vertical="top" readingOrder="0"/>
        <border outline="0">
          <left style="thin">
            <color indexed="64"/>
          </left>
          <right style="thin">
            <color indexed="64"/>
          </right>
          <top style="thin">
            <color indexed="64"/>
          </top>
          <bottom style="thin">
            <color indexed="64"/>
          </bottom>
        </border>
      </dxf>
    </rfmt>
    <rfmt sheetId="1" sqref="Y330" start="0" length="0">
      <dxf>
        <alignment horizontal="left" vertical="top" readingOrder="0"/>
        <border outline="0">
          <left style="thin">
            <color indexed="64"/>
          </left>
          <right style="thin">
            <color indexed="64"/>
          </right>
          <top style="thin">
            <color indexed="64"/>
          </top>
          <bottom style="thin">
            <color indexed="64"/>
          </bottom>
        </border>
      </dxf>
    </rfmt>
    <rfmt sheetId="1" sqref="Z330" start="0" length="0">
      <dxf>
        <alignment horizontal="left" vertical="top" readingOrder="0"/>
        <border outline="0">
          <left style="thin">
            <color indexed="64"/>
          </left>
          <right style="thin">
            <color indexed="64"/>
          </right>
          <top style="thin">
            <color indexed="64"/>
          </top>
          <bottom style="thin">
            <color indexed="64"/>
          </bottom>
        </border>
      </dxf>
    </rfmt>
    <rfmt sheetId="1" sqref="AA330" start="0" length="0">
      <dxf>
        <alignment horizontal="left" vertical="top" readingOrder="0"/>
        <border outline="0">
          <left style="thin">
            <color indexed="64"/>
          </left>
          <right style="thin">
            <color indexed="64"/>
          </right>
          <top style="thin">
            <color indexed="64"/>
          </top>
          <bottom style="thin">
            <color indexed="64"/>
          </bottom>
        </border>
      </dxf>
    </rfmt>
    <rfmt sheetId="1" sqref="AB330"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30"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30"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30"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0"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0"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0"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0"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M330"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N330"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m>
  <rrc rId="218" sId="1" ref="A328:XFD328" action="deleteRow">
    <rfmt sheetId="1" xfDxf="1" sqref="A328:XFD328" start="0" length="0"/>
  </rr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1" sId="1">
    <nc r="E329" t="inlineStr">
      <is>
        <t>BJEV_N60_2WD_4WD</t>
      </is>
    </nc>
  </rcc>
  <rcc rId="222" sId="1" odxf="1" dxf="1" quotePrefix="1">
    <nc r="F329" t="inlineStr">
      <is>
        <t>-</t>
      </is>
    </nc>
    <odxf>
      <font>
        <b/>
      </font>
    </odxf>
    <ndxf>
      <font>
        <b val="0"/>
        <sz val="11"/>
        <color theme="1"/>
        <name val="Calibri"/>
        <scheme val="minor"/>
      </font>
    </ndxf>
  </rcc>
</revisions>
</file>

<file path=xl/revisions/revisionLog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3" sId="1">
    <nc r="K329" t="inlineStr">
      <is>
        <t>Auto</t>
      </is>
    </nc>
  </rcc>
  <rcc rId="224" sId="1">
    <nc r="L329" t="inlineStr">
      <is>
        <t>None</t>
      </is>
    </nc>
  </rcc>
  <rcc rId="225" sId="1">
    <nc r="M329" t="inlineStr">
      <is>
        <t>BL73_SP02</t>
      </is>
    </nc>
  </rcc>
  <rcc rId="226" sId="1">
    <nc r="N329" t="inlineStr">
      <is>
        <t>RPAESPHevXEncapSWCust_ECU_CSW_BB99704(1).axl</t>
      </is>
    </nc>
  </rcc>
  <rcc rId="227" sId="1">
    <nc r="O329">
      <v>1.1000000000000001</v>
    </nc>
  </rcc>
  <rcc rId="228" sId="1" odxf="1" dxf="1" quotePrefix="1">
    <nc r="P329" t="inlineStr">
      <is>
        <t>ZHONG Yan (CC-AS/EVA-SW2-CN)</t>
      </is>
    </nc>
    <odxf/>
    <ndxf/>
  </rcc>
  <rcc rId="229" sId="1" quotePrefix="1">
    <nc r="R329" t="inlineStr">
      <is>
        <t>-</t>
      </is>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2" sId="1">
    <nc r="S329" t="inlineStr">
      <is>
        <t>duong.nguyen</t>
      </is>
    </nc>
  </rcc>
  <rcc rId="233" sId="1">
    <nc r="V329">
      <v>16</v>
    </nc>
  </rcc>
  <rcc rId="234" sId="1">
    <nc r="W329">
      <f>V329</f>
    </nc>
  </rcc>
  <rcc rId="235" sId="1">
    <nc r="Y329">
      <f>ROUNDDOWN(W329/HLOOKUP(D329,Table!$C$3:$D$4,2,0)*8,2)</f>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8" sId="1" numFmtId="19">
    <nc r="AC329">
      <v>43970</v>
    </nc>
  </rcc>
  <rcc rId="239" sId="1" numFmtId="19">
    <nc r="AD329">
      <v>43977</v>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6" sId="1">
    <oc r="B328">
      <f>B329+1</f>
    </oc>
    <nc r="B328">
      <f>B327+1</f>
    </nc>
  </rcc>
  <rcc rId="247" sId="1">
    <oc r="B329">
      <f>B327+1</f>
    </oc>
    <nc r="B329">
      <f>B328+1</f>
    </nc>
  </rcc>
  <rcc rId="248" sId="1">
    <oc r="B330">
      <f>B328+1</f>
    </oc>
    <nc r="B330">
      <f>B329+1</f>
    </nc>
  </rcc>
  <rcc rId="249" sId="1">
    <oc r="B331">
      <f>B330+1</f>
    </oc>
    <nc r="B331">
      <f>B330+1</f>
    </nc>
  </rcc>
  <rcc rId="250" sId="1">
    <oc r="B332">
      <f>B331+1</f>
    </oc>
    <nc r="B332">
      <f>B331+1</f>
    </nc>
  </rcc>
  <rcc rId="251" sId="1">
    <oc r="B333">
      <f>B332+1</f>
    </oc>
    <nc r="B333">
      <f>B332+1</f>
    </nc>
  </rcc>
  <rcc rId="252" sId="1">
    <oc r="B334">
      <f>B333+1</f>
    </oc>
    <nc r="B334">
      <f>B333+1</f>
    </nc>
  </rcc>
  <rcc rId="253" sId="1">
    <oc r="B335">
      <f>B334+1</f>
    </oc>
    <nc r="B335">
      <f>B334+1</f>
    </nc>
  </rcc>
  <rcc rId="254" sId="1">
    <oc r="B336">
      <f>B335+1</f>
    </oc>
    <nc r="B336">
      <f>B335+1</f>
    </nc>
  </rcc>
  <rcc rId="255" sId="1">
    <oc r="B337">
      <f>B336+1</f>
    </oc>
    <nc r="B337">
      <f>B336+1</f>
    </nc>
  </rcc>
  <rcc rId="256" sId="1">
    <oc r="B338">
      <f>B337+1</f>
    </oc>
    <nc r="B338">
      <f>B337+1</f>
    </nc>
  </rcc>
  <rcc rId="257" sId="1">
    <oc r="B339">
      <f>B338+1</f>
    </oc>
    <nc r="B339">
      <f>B338+1</f>
    </nc>
  </rcc>
  <rcc rId="258" sId="1">
    <oc r="B340">
      <f>B339+1</f>
    </oc>
    <nc r="B340">
      <f>B339+1</f>
    </nc>
  </rcc>
  <rcc rId="259" sId="1">
    <oc r="B341">
      <f>B340+1</f>
    </oc>
    <nc r="B341">
      <f>B340+1</f>
    </nc>
  </rcc>
  <rcc rId="260" sId="1">
    <oc r="B342">
      <f>B341+1</f>
    </oc>
    <nc r="B342">
      <f>B341+1</f>
    </nc>
  </rcc>
  <rcc rId="261" sId="1">
    <oc r="B343">
      <f>B342+1</f>
    </oc>
    <nc r="B343">
      <f>B342+1</f>
    </nc>
  </rcc>
  <rcc rId="262" sId="1">
    <oc r="B344">
      <f>B343+1</f>
    </oc>
    <nc r="B344">
      <f>B343+1</f>
    </nc>
  </rcc>
  <rcc rId="263" sId="1">
    <oc r="B345">
      <f>B344+1</f>
    </oc>
    <nc r="B345">
      <f>B344+1</f>
    </nc>
  </rcc>
  <rcc rId="264" sId="1">
    <oc r="B346">
      <f>B345+1</f>
    </oc>
    <nc r="B346">
      <f>B345+1</f>
    </nc>
  </rcc>
  <rcc rId="265" sId="1">
    <oc r="B347">
      <f>B346+1</f>
    </oc>
    <nc r="B347">
      <f>B346+1</f>
    </nc>
  </rcc>
  <rcc rId="266" sId="1">
    <oc r="B348">
      <f>B347+1</f>
    </oc>
    <nc r="B348">
      <f>B347+1</f>
    </nc>
  </rcc>
  <rcc rId="267" sId="1">
    <oc r="B349">
      <f>B348+1</f>
    </oc>
    <nc r="B349">
      <f>B348+1</f>
    </nc>
  </rcc>
  <rcc rId="268" sId="1">
    <oc r="B350">
      <f>B349+1</f>
    </oc>
    <nc r="B350">
      <f>B349+1</f>
    </nc>
  </rcc>
  <rcc rId="269" sId="1">
    <oc r="B351">
      <f>B350+1</f>
    </oc>
    <nc r="B351">
      <f>B350+1</f>
    </nc>
  </rcc>
  <rcc rId="270" sId="1">
    <oc r="B352">
      <f>B351+1</f>
    </oc>
    <nc r="B352">
      <f>B351+1</f>
    </nc>
  </rcc>
  <rcc rId="271" sId="1">
    <oc r="B353">
      <f>B352+1</f>
    </oc>
    <nc r="B353">
      <f>B352+1</f>
    </nc>
  </rcc>
  <rcc rId="272" sId="1">
    <oc r="B354">
      <f>B353+1</f>
    </oc>
    <nc r="B354">
      <f>B353+1</f>
    </nc>
  </rcc>
  <rcc rId="273" sId="1">
    <oc r="B355">
      <f>B354+1</f>
    </oc>
    <nc r="B355">
      <f>B354+1</f>
    </nc>
  </rcc>
  <rcc rId="274" sId="1">
    <oc r="B356">
      <f>B355+1</f>
    </oc>
    <nc r="B356">
      <f>B355+1</f>
    </nc>
  </rcc>
  <rcc rId="275" sId="1">
    <oc r="B357">
      <f>B356+1</f>
    </oc>
    <nc r="B357">
      <f>B356+1</f>
    </nc>
  </rcc>
  <rcc rId="276" sId="1">
    <oc r="B358">
      <f>B357+1</f>
    </oc>
    <nc r="B358">
      <f>B357+1</f>
    </nc>
  </rcc>
  <rcc rId="277" sId="1">
    <oc r="B359">
      <f>B358+1</f>
    </oc>
    <nc r="B359">
      <f>B358+1</f>
    </nc>
  </rcc>
  <rcc rId="278" sId="1">
    <oc r="B360">
      <f>B359+1</f>
    </oc>
    <nc r="B360">
      <f>B359+1</f>
    </nc>
  </rcc>
  <rcc rId="279" sId="1">
    <oc r="B361">
      <f>B360+1</f>
    </oc>
    <nc r="B361">
      <f>B360+1</f>
    </nc>
  </rcc>
  <rcc rId="280" sId="1">
    <oc r="B362">
      <f>B361+1</f>
    </oc>
    <nc r="B362">
      <f>B361+1</f>
    </nc>
  </rcc>
  <rcc rId="281" sId="1">
    <oc r="B363">
      <f>B362+1</f>
    </oc>
    <nc r="B363">
      <f>B362+1</f>
    </nc>
  </rcc>
  <rcc rId="282" sId="1">
    <oc r="B364">
      <f>B363+1</f>
    </oc>
    <nc r="B364">
      <f>B363+1</f>
    </nc>
  </rcc>
  <rcc rId="283" sId="1">
    <oc r="B365">
      <f>B364+1</f>
    </oc>
    <nc r="B365">
      <f>B364+1</f>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6" sId="1" odxf="1" dxf="1" quotePrefix="1">
    <nc r="AL329" t="inlineStr">
      <is>
        <t>-</t>
      </is>
    </nc>
    <odxf/>
    <ndxf/>
  </rcc>
  <rcc rId="287" sId="1" odxf="1" dxf="1" quotePrefix="1">
    <nc r="AM329" t="inlineStr">
      <is>
        <t>-</t>
      </is>
    </nc>
    <odxf/>
    <ndxf/>
  </rcc>
  <rcc rId="288" sId="1" odxf="1" dxf="1" quotePrefix="1">
    <nc r="AN329" t="inlineStr">
      <is>
        <t>-</t>
      </is>
    </nc>
    <odxf/>
    <ndxf/>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58" start="0" length="0">
    <dxf>
      <fill>
        <patternFill patternType="solid">
          <bgColor rgb="FFFF0000"/>
        </patternFill>
      </fill>
    </dxf>
  </rfmt>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V73">
    <dxf>
      <alignment vertical="center" readingOrder="0"/>
    </dxf>
  </rfmt>
  <rfmt sheetId="1" sqref="V73:Z73">
    <dxf>
      <alignment vertical="bottom" readingOrder="0"/>
    </dxf>
  </rfmt>
  <rfmt sheetId="1" sqref="V73:Z73">
    <dxf>
      <alignment vertical="center" readingOrder="0"/>
    </dxf>
  </rfmt>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3" sId="1">
    <nc r="X311">
      <f>W311</f>
    </nc>
  </rcc>
  <rcc rId="304" sId="1">
    <nc r="Z311">
      <v>2.5</v>
    </nc>
  </rcc>
  <rcc rId="305" sId="1">
    <nc r="AA311" t="inlineStr">
      <is>
        <t>Ready for review</t>
      </is>
    </nc>
  </rcc>
  <rcc rId="306" sId="1" numFmtId="19">
    <nc r="AE311">
      <v>43973</v>
    </nc>
  </rcc>
  <rcc rId="307" sId="1" numFmtId="19">
    <nc r="AF311">
      <v>43973</v>
    </nc>
  </rcc>
  <rcc rId="308" sId="1">
    <nc r="AG311" t="inlineStr">
      <is>
        <t>OK</t>
      </is>
    </nc>
  </rcc>
  <rcc rId="309" sId="1" numFmtId="14">
    <nc r="AH311">
      <v>1</v>
    </nc>
  </rcc>
  <rcc rId="310" sId="1" numFmtId="14">
    <nc r="AI311">
      <v>1</v>
    </nc>
  </rcc>
  <rcc rId="311" sId="1" numFmtId="14">
    <nc r="AJ311">
      <v>1</v>
    </nc>
  </rcc>
  <rcc rId="312" sId="1">
    <nc r="AK311" t="inlineStr">
      <is>
        <t>None</t>
      </is>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6" sqref="F67" start="0" length="0">
    <dxf>
      <numFmt numFmtId="21" formatCode="d\-mmm"/>
    </dxf>
  </rfmt>
  <rcc rId="315" sId="6">
    <oc r="E72" t="inlineStr">
      <is>
        <t>-</t>
      </is>
    </oc>
    <nc r="E72">
      <v>1</v>
    </nc>
  </rcc>
  <rcc rId="316" sId="6" odxf="1" dxf="1" numFmtId="21">
    <oc r="F72" t="inlineStr">
      <is>
        <t>-</t>
      </is>
    </oc>
    <nc r="F72">
      <v>43973</v>
    </nc>
    <ndxf>
      <numFmt numFmtId="21" formatCode="d\-mmm"/>
    </ndxf>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9" sId="1">
    <nc r="X329">
      <f>W329</f>
    </nc>
  </rcc>
  <rcc rId="320" sId="1">
    <nc r="Z329">
      <v>1</v>
    </nc>
  </rcc>
  <rcc rId="321" sId="1">
    <nc r="AA329" t="inlineStr">
      <is>
        <t>Ready for review</t>
      </is>
    </nc>
  </rcc>
  <rcc rId="322" sId="1" numFmtId="19">
    <nc r="AE329">
      <v>43973</v>
    </nc>
  </rcc>
  <rcc rId="323" sId="1" numFmtId="19">
    <nc r="AF329">
      <v>43973</v>
    </nc>
  </rcc>
  <rcc rId="324" sId="1">
    <nc r="AG329" t="inlineStr">
      <is>
        <t>OK</t>
      </is>
    </nc>
  </rcc>
  <rcc rId="325" sId="1" numFmtId="14">
    <nc r="AH329">
      <v>1</v>
    </nc>
  </rcc>
  <rcc rId="326" sId="1" numFmtId="14">
    <nc r="AI329">
      <v>1</v>
    </nc>
  </rcc>
  <rcc rId="327" sId="1" numFmtId="14">
    <nc r="AJ329">
      <v>1</v>
    </nc>
  </rcc>
  <rcc rId="328" sId="1">
    <nc r="AK329" t="inlineStr">
      <is>
        <t>None</t>
      </is>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1" sId="1" odxf="1" dxf="1" quotePrefix="1">
    <nc r="AL354" t="inlineStr">
      <is>
        <t>-</t>
      </is>
    </nc>
    <odxf>
      <font>
        <sz val="11"/>
        <color theme="1"/>
        <name val="Calibri"/>
        <scheme val="minor"/>
      </font>
    </odxf>
    <ndxf>
      <font>
        <sz val="11"/>
        <color theme="1"/>
        <name val="Calibri"/>
        <scheme val="minor"/>
      </font>
    </ndxf>
  </rcc>
  <rcc rId="332" sId="1" odxf="1" dxf="1" quotePrefix="1">
    <nc r="AM354" t="inlineStr">
      <is>
        <t>-</t>
      </is>
    </nc>
    <odxf>
      <font>
        <sz val="11"/>
        <color theme="1"/>
        <name val="Calibri"/>
        <scheme val="minor"/>
      </font>
    </odxf>
    <ndxf>
      <font>
        <sz val="11"/>
        <color theme="1"/>
        <name val="Calibri"/>
        <scheme val="minor"/>
      </font>
    </ndxf>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46">
    <dxf>
      <fill>
        <patternFill patternType="solid">
          <bgColor rgb="FFFF0000"/>
        </patternFill>
      </fill>
    </dxf>
  </rfmt>
  <rcv guid="{72A6EB0A-84D5-4B8A-AC51-54CCD061630B}" action="delete"/>
  <rdn rId="0" localSheetId="1" customView="1" name="Z_72A6EB0A_84D5_4B8A_AC51_54CCD061630B_.wvu.FilterData" hidden="1" oldHidden="1">
    <formula>Merged_COEM!$B$47:$AN$423</formula>
    <oldFormula>Merged_COEM!$B$47:$AN$423</oldFormula>
  </rdn>
  <rdn rId="0" localSheetId="2" customView="1" name="Z_72A6EB0A_84D5_4B8A_AC51_54CCD061630B_.wvu.FilterData" hidden="1" oldHidden="1">
    <formula>Merged_JOEM!$B$47:$AN$187</formula>
    <oldFormula>Merged_JOEM!$B$47:$AN$187</oldFormula>
  </rdn>
  <rcv guid="{72A6EB0A-84D5-4B8A-AC51-54CCD061630B}" action="add"/>
</revisions>
</file>

<file path=xl/revisions/revisionLog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345:XFD345">
    <dxf>
      <font>
        <b val="0"/>
        <i val="0"/>
        <strike val="0"/>
        <condense val="0"/>
        <extend val="0"/>
        <outline val="0"/>
        <shadow val="0"/>
        <u val="none"/>
        <vertAlign val="baseline"/>
        <sz val="10"/>
        <color rgb="FF9C6500"/>
        <name val="Arial"/>
        <scheme val="none"/>
      </font>
      <fill>
        <patternFill patternType="solid">
          <fgColor indexed="65"/>
          <bgColor rgb="FFFFEB9C"/>
        </patternFill>
      </fill>
    </dxf>
  </rfmt>
  <rcc rId="337" sId="1">
    <oc r="AK254" t="inlineStr">
      <is>
        <t>OPL</t>
      </is>
    </oc>
    <nc r="AK254" t="inlineStr">
      <is>
        <t>None</t>
      </is>
    </nc>
  </rcc>
  <rcc rId="338" sId="1">
    <oc r="AN254" t="inlineStr">
      <is>
        <t xml:space="preserve">1. ls_FrontWiperSpeed_UB may be used uninitialized in this function.
2. ls_BdwWiperState_UB may be used uninitialized in this function.
</t>
      </is>
    </oc>
    <nc r="AN254"/>
  </rcc>
  <rcv guid="{72A6EB0A-84D5-4B8A-AC51-54CCD061630B}" action="delete"/>
  <rdn rId="0" localSheetId="1" customView="1" name="Z_72A6EB0A_84D5_4B8A_AC51_54CCD061630B_.wvu.FilterData" hidden="1" oldHidden="1">
    <formula>Merged_COEM!$B$47:$AN$423</formula>
    <oldFormula>Merged_COEM!$B$47:$AN$423</oldFormula>
  </rdn>
  <rdn rId="0" localSheetId="2" customView="1" name="Z_72A6EB0A_84D5_4B8A_AC51_54CCD061630B_.wvu.FilterData" hidden="1" oldHidden="1">
    <formula>Merged_JOEM!$B$47:$AN$187</formula>
    <oldFormula>Merged_JOEM!$B$47:$AN$187</oldFormula>
  </rdn>
  <rcv guid="{72A6EB0A-84D5-4B8A-AC51-54CCD061630B}" action="add"/>
</revisions>
</file>

<file path=xl/revisions/revisionLog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41" sId="1">
    <nc r="X362">
      <f>W362</f>
    </nc>
  </rcc>
  <rcc rId="342" sId="1">
    <nc r="X363">
      <f>W363</f>
    </nc>
  </rcc>
  <rcc rId="343" sId="1">
    <nc r="X364">
      <f>W364</f>
    </nc>
  </rcc>
  <rcc rId="344" sId="1">
    <nc r="X365">
      <f>W365</f>
    </nc>
  </rcc>
  <rcc rId="345" sId="1">
    <nc r="Z362">
      <v>1</v>
    </nc>
  </rcc>
  <rcc rId="346" sId="1">
    <nc r="Z363">
      <v>1</v>
    </nc>
  </rcc>
  <rcc rId="347" sId="1">
    <nc r="Z364">
      <v>0</v>
    </nc>
  </rcc>
  <rcc rId="348" sId="1">
    <nc r="Z365">
      <v>5</v>
    </nc>
  </rcc>
  <rcc rId="349" sId="1">
    <nc r="AA362" t="inlineStr">
      <is>
        <t>Ready for review</t>
      </is>
    </nc>
  </rcc>
  <rcc rId="350" sId="1">
    <nc r="AA363" t="inlineStr">
      <is>
        <t>Ready for review</t>
      </is>
    </nc>
  </rcc>
  <rcc rId="351" sId="1">
    <nc r="AA364" t="inlineStr">
      <is>
        <t>Ready for review</t>
      </is>
    </nc>
  </rcc>
  <rcc rId="352" sId="1">
    <nc r="AA365" t="inlineStr">
      <is>
        <t>Ready for review</t>
      </is>
    </nc>
  </rcc>
  <rcc rId="353" sId="1" numFmtId="19">
    <nc r="AE362">
      <v>43971</v>
    </nc>
  </rcc>
  <rcc rId="354" sId="1" numFmtId="19">
    <nc r="AF362">
      <v>43971</v>
    </nc>
  </rcc>
  <rcc rId="355" sId="1">
    <nc r="AG362" t="inlineStr">
      <is>
        <t>OK</t>
      </is>
    </nc>
  </rcc>
  <rcc rId="356" sId="1" numFmtId="14">
    <nc r="AH362">
      <v>1</v>
    </nc>
  </rcc>
  <rcc rId="357" sId="1" numFmtId="14">
    <nc r="AI362">
      <v>1</v>
    </nc>
  </rcc>
  <rcc rId="358" sId="1" numFmtId="14">
    <nc r="AJ362">
      <v>1</v>
    </nc>
  </rcc>
  <rcc rId="359" sId="1">
    <nc r="AK362" t="inlineStr">
      <is>
        <t>None</t>
      </is>
    </nc>
  </rcc>
  <rcc rId="360" sId="1" numFmtId="19">
    <nc r="AE363">
      <v>43971</v>
    </nc>
  </rcc>
  <rcc rId="361" sId="1" numFmtId="19">
    <nc r="AF363">
      <v>43971</v>
    </nc>
  </rcc>
  <rcc rId="362" sId="1">
    <nc r="AG363" t="inlineStr">
      <is>
        <t>OK</t>
      </is>
    </nc>
  </rcc>
  <rcc rId="363" sId="1" numFmtId="14">
    <nc r="AH363">
      <v>1</v>
    </nc>
  </rcc>
  <rcc rId="364" sId="1" numFmtId="14">
    <nc r="AI363">
      <v>1</v>
    </nc>
  </rcc>
  <rcc rId="365" sId="1" numFmtId="14">
    <nc r="AJ363">
      <v>1</v>
    </nc>
  </rcc>
  <rcc rId="366" sId="1">
    <nc r="AK363" t="inlineStr">
      <is>
        <t>None</t>
      </is>
    </nc>
  </rcc>
  <rcc rId="367" sId="1" numFmtId="19">
    <nc r="AE364">
      <v>43971</v>
    </nc>
  </rcc>
  <rcc rId="368" sId="1" numFmtId="19">
    <nc r="AF364">
      <v>43971</v>
    </nc>
  </rcc>
  <rcc rId="369" sId="1">
    <nc r="AG364" t="inlineStr">
      <is>
        <t>OK</t>
      </is>
    </nc>
  </rcc>
  <rcc rId="370" sId="1" numFmtId="14">
    <nc r="AH364">
      <v>1</v>
    </nc>
  </rcc>
  <rcc rId="371" sId="1" numFmtId="14">
    <nc r="AI364">
      <v>1</v>
    </nc>
  </rcc>
  <rcc rId="372" sId="1" numFmtId="14">
    <nc r="AJ364">
      <v>1</v>
    </nc>
  </rcc>
  <rcc rId="373" sId="1">
    <nc r="AK364" t="inlineStr">
      <is>
        <t>None</t>
      </is>
    </nc>
  </rcc>
  <rcc rId="374" sId="1" numFmtId="19">
    <nc r="AE365">
      <v>43971</v>
    </nc>
  </rcc>
  <rcc rId="375" sId="1" numFmtId="19">
    <nc r="AF365">
      <v>43971</v>
    </nc>
  </rcc>
  <rcc rId="376" sId="1">
    <nc r="AG365" t="inlineStr">
      <is>
        <t>OK</t>
      </is>
    </nc>
  </rcc>
  <rcc rId="377" sId="1" numFmtId="14">
    <nc r="AH365">
      <v>1</v>
    </nc>
  </rcc>
  <rcc rId="378" sId="1" numFmtId="14">
    <nc r="AI365">
      <v>1</v>
    </nc>
  </rcc>
  <rcc rId="379" sId="1" numFmtId="14">
    <nc r="AJ365">
      <v>1</v>
    </nc>
  </rcc>
  <rcc rId="380" sId="1">
    <nc r="AK365" t="inlineStr">
      <is>
        <t>None</t>
      </is>
    </nc>
  </rcc>
  <rcv guid="{A2C66332-A809-458E-971B-FDB6D62C74C3}" action="delete"/>
  <rdn rId="0" localSheetId="1" customView="1" name="Z_A2C66332_A809_458E_971B_FDB6D62C74C3_.wvu.FilterData" hidden="1" oldHidden="1">
    <formula>Merged_COEM!$B$47:$AN$423</formula>
    <oldFormula>Merged_COEM!$B$47:$AN$423</oldFormula>
  </rdn>
  <rdn rId="0" localSheetId="2" customView="1" name="Z_A2C66332_A809_458E_971B_FDB6D62C74C3_.wvu.FilterData" hidden="1" oldHidden="1">
    <formula>Merged_JOEM!$B$47:$AN$187</formula>
    <oldFormula>Merged_JOEM!$B$47:$AN$187</oldFormula>
  </rdn>
  <rcv guid="{A2C66332-A809-458E-971B-FDB6D62C74C3}" action="add"/>
</revisions>
</file>

<file path=xl/revisions/revisionLog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3" sId="1">
    <oc r="Z365">
      <v>5</v>
    </oc>
    <nc r="Z365">
      <v>2</v>
    </nc>
  </rcc>
</revisions>
</file>

<file path=xl/revisions/revisionLog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8" sId="1">
    <oc r="W321">
      <f>V321</f>
    </oc>
    <nc r="W321">
      <v>355</v>
    </nc>
  </rcc>
  <rcc rId="389" sId="1">
    <oc r="W324">
      <f>V324</f>
    </oc>
    <nc r="W324">
      <v>210</v>
    </nc>
  </rcc>
  <rcc rId="390" sId="1">
    <oc r="W325">
      <f>V325</f>
    </oc>
    <nc r="W325">
      <v>146</v>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3" sId="1">
    <oc r="S321" t="inlineStr">
      <is>
        <t>duong.nguyen</t>
      </is>
    </oc>
    <nc r="S321" t="inlineStr">
      <is>
        <t>phuong.nguyen-thanh</t>
      </is>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8" sId="1">
    <nc r="X342">
      <f>W342</f>
    </nc>
  </rcc>
  <rcc rId="399" sId="1">
    <nc r="Z342">
      <v>8</v>
    </nc>
  </rcc>
  <rcc rId="400" sId="1">
    <nc r="AA342" t="inlineStr">
      <is>
        <t>Ready for review</t>
      </is>
    </nc>
  </rcc>
  <rcv guid="{4E06BDBF-2CED-473B-850B-2A6C7311FF41}" action="delete"/>
  <rdn rId="0" localSheetId="1" customView="1" name="Z_4E06BDBF_2CED_473B_850B_2A6C7311FF41_.wvu.FilterData" hidden="1" oldHidden="1">
    <formula>Merged_COEM!$A$47:$AN$423</formula>
    <oldFormula>Merged_COEM!$A$47:$AN$423</oldFormula>
  </rdn>
  <rdn rId="0" localSheetId="2" customView="1" name="Z_4E06BDBF_2CED_473B_850B_2A6C7311FF41_.wvu.FilterData" hidden="1" oldHidden="1">
    <formula>Merged_JOEM!$B$47:$AN$187</formula>
    <oldFormula>Merged_JOEM!$B$47:$AN$187</oldFormula>
  </rdn>
  <rcv guid="{4E06BDBF-2CED-473B-850B-2A6C7311FF41}" action="add"/>
</revisions>
</file>

<file path=xl/revisions/revisionLog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3" sId="1" numFmtId="19">
    <nc r="AE342">
      <v>43973</v>
    </nc>
  </rcc>
  <rcc rId="404" sId="1" numFmtId="19">
    <nc r="AF342">
      <v>43973</v>
    </nc>
  </rcc>
  <rcc rId="405" sId="1">
    <nc r="AG342" t="inlineStr">
      <is>
        <t>OK</t>
      </is>
    </nc>
  </rcc>
  <rcc rId="406" sId="1" numFmtId="14">
    <nc r="AH342">
      <v>1</v>
    </nc>
  </rcc>
  <rcc rId="407" sId="1" numFmtId="14">
    <nc r="AI342">
      <v>1</v>
    </nc>
  </rcc>
  <rcc rId="408" sId="1" numFmtId="14">
    <nc r="AJ342">
      <v>1</v>
    </nc>
  </rcc>
  <rcc rId="409" sId="1">
    <nc r="AK342" t="inlineStr">
      <is>
        <t>None</t>
      </is>
    </nc>
  </rcc>
  <rcv guid="{4E06BDBF-2CED-473B-850B-2A6C7311FF41}" action="delete"/>
  <rdn rId="0" localSheetId="1" customView="1" name="Z_4E06BDBF_2CED_473B_850B_2A6C7311FF41_.wvu.FilterData" hidden="1" oldHidden="1">
    <formula>Merged_COEM!$A$47:$AN$423</formula>
    <oldFormula>Merged_COEM!$A$47:$AN$423</oldFormula>
  </rdn>
  <rdn rId="0" localSheetId="2" customView="1" name="Z_4E06BDBF_2CED_473B_850B_2A6C7311FF41_.wvu.FilterData" hidden="1" oldHidden="1">
    <formula>Merged_JOEM!$B$47:$AN$187</formula>
    <oldFormula>Merged_JOEM!$B$47:$AN$187</oldFormula>
  </rdn>
  <rcv guid="{4E06BDBF-2CED-473B-850B-2A6C7311FF41}" action="add"/>
</revisions>
</file>

<file path=xl/revisions/revisionLog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345" start="0" length="0">
    <dxf>
      <font>
        <sz val="11"/>
        <color theme="1"/>
        <name val="Calibri"/>
        <scheme val="minor"/>
      </font>
      <fill>
        <patternFill patternType="none">
          <bgColor indexed="65"/>
        </patternFill>
      </fill>
    </dxf>
  </rfmt>
  <rcc rId="412" sId="1" odxf="1" dxf="1">
    <oc r="B345">
      <f>B344+1</f>
    </oc>
    <nc r="B345">
      <f>B344+1</f>
    </nc>
    <odxf>
      <font>
        <sz val="10"/>
        <color rgb="FF9C6500"/>
        <name val="Arial"/>
        <scheme val="none"/>
      </font>
      <fill>
        <patternFill>
          <bgColor rgb="FFFFEB9C"/>
        </patternFill>
      </fill>
    </odxf>
    <ndxf>
      <font>
        <sz val="10"/>
        <color auto="1"/>
        <name val="Arial"/>
        <scheme val="minor"/>
      </font>
      <fill>
        <patternFill>
          <bgColor theme="5" tint="0.59999389629810485"/>
        </patternFill>
      </fill>
    </ndxf>
  </rcc>
  <rfmt sheetId="1" sqref="C345" start="0" length="0">
    <dxf>
      <font>
        <sz val="11"/>
        <color theme="1"/>
        <name val="Calibri"/>
        <scheme val="minor"/>
      </font>
      <fill>
        <patternFill patternType="none">
          <bgColor indexed="65"/>
        </patternFill>
      </fill>
    </dxf>
  </rfmt>
  <rfmt sheetId="1" sqref="D345" start="0" length="0">
    <dxf>
      <font>
        <sz val="11"/>
        <color theme="1"/>
        <name val="Calibri"/>
        <scheme val="minor"/>
      </font>
      <fill>
        <patternFill patternType="none">
          <bgColor indexed="65"/>
        </patternFill>
      </fill>
    </dxf>
  </rfmt>
  <rfmt sheetId="1" sqref="E345" start="0" length="0">
    <dxf>
      <font>
        <sz val="11"/>
        <color theme="1"/>
        <name val="Calibri"/>
        <scheme val="minor"/>
      </font>
      <fill>
        <patternFill patternType="none">
          <bgColor indexed="65"/>
        </patternFill>
      </fill>
    </dxf>
  </rfmt>
  <rfmt sheetId="1" sqref="F345" start="0" length="0">
    <dxf>
      <font>
        <b/>
        <sz val="10"/>
        <color rgb="FF9C6500"/>
        <name val="Arial"/>
        <scheme val="minor"/>
      </font>
      <fill>
        <patternFill patternType="none">
          <bgColor indexed="65"/>
        </patternFill>
      </fill>
    </dxf>
  </rfmt>
  <rfmt sheetId="1" sqref="G345" start="0" length="0">
    <dxf>
      <font>
        <sz val="11"/>
        <color theme="1"/>
        <name val="Calibri"/>
        <scheme val="minor"/>
      </font>
      <fill>
        <patternFill patternType="none">
          <bgColor indexed="65"/>
        </patternFill>
      </fill>
    </dxf>
  </rfmt>
  <rfmt sheetId="1" sqref="H345" start="0" length="0">
    <dxf>
      <font>
        <sz val="11"/>
        <color theme="1"/>
        <name val="Calibri"/>
        <scheme val="minor"/>
      </font>
      <fill>
        <patternFill>
          <bgColor theme="0" tint="-0.499984740745262"/>
        </patternFill>
      </fill>
    </dxf>
  </rfmt>
  <rfmt sheetId="1" sqref="I345" start="0" length="0">
    <dxf>
      <font>
        <sz val="11"/>
        <color theme="1"/>
        <name val="Calibri"/>
        <scheme val="minor"/>
      </font>
      <fill>
        <patternFill patternType="none">
          <bgColor indexed="65"/>
        </patternFill>
      </fill>
    </dxf>
  </rfmt>
  <rfmt sheetId="1" sqref="J345" start="0" length="0">
    <dxf>
      <font>
        <sz val="11"/>
        <color theme="1"/>
        <name val="Calibri"/>
        <scheme val="minor"/>
      </font>
      <fill>
        <patternFill>
          <bgColor theme="0" tint="-0.499984740745262"/>
        </patternFill>
      </fill>
    </dxf>
  </rfmt>
  <rfmt sheetId="1" sqref="K345" start="0" length="0">
    <dxf>
      <font>
        <sz val="11"/>
        <color theme="1"/>
        <name val="Calibri"/>
        <scheme val="minor"/>
      </font>
      <fill>
        <patternFill patternType="none">
          <bgColor indexed="65"/>
        </patternFill>
      </fill>
    </dxf>
  </rfmt>
  <rfmt sheetId="1" sqref="L345" start="0" length="0">
    <dxf>
      <font>
        <sz val="11"/>
        <color theme="1"/>
        <name val="Calibri"/>
        <scheme val="minor"/>
      </font>
      <fill>
        <patternFill patternType="none">
          <bgColor indexed="65"/>
        </patternFill>
      </fill>
    </dxf>
  </rfmt>
  <rfmt sheetId="1" sqref="M345" start="0" length="0">
    <dxf>
      <font>
        <sz val="11"/>
        <color theme="1"/>
        <name val="Calibri"/>
        <scheme val="minor"/>
      </font>
      <fill>
        <patternFill patternType="none">
          <bgColor indexed="65"/>
        </patternFill>
      </fill>
    </dxf>
  </rfmt>
  <rfmt sheetId="1" sqref="N345" start="0" length="0">
    <dxf>
      <font>
        <sz val="11"/>
        <color theme="1"/>
        <name val="Calibri"/>
        <scheme val="minor"/>
      </font>
      <fill>
        <patternFill patternType="none">
          <bgColor indexed="65"/>
        </patternFill>
      </fill>
    </dxf>
  </rfmt>
  <rfmt sheetId="1" sqref="O345" start="0" length="0">
    <dxf>
      <font>
        <sz val="11"/>
        <color theme="1"/>
        <name val="Calibri"/>
        <scheme val="minor"/>
      </font>
      <fill>
        <patternFill patternType="none">
          <bgColor indexed="65"/>
        </patternFill>
      </fill>
    </dxf>
  </rfmt>
  <rfmt sheetId="1" sqref="P345" start="0" length="0">
    <dxf>
      <font>
        <sz val="11"/>
        <color theme="1"/>
        <name val="Calibri"/>
        <scheme val="minor"/>
      </font>
      <fill>
        <patternFill patternType="none">
          <bgColor indexed="65"/>
        </patternFill>
      </fill>
    </dxf>
  </rfmt>
  <rfmt sheetId="1" sqref="Q345" start="0" length="0">
    <dxf>
      <font>
        <sz val="11"/>
        <color theme="1"/>
        <name val="Calibri"/>
        <scheme val="minor"/>
      </font>
      <fill>
        <patternFill>
          <bgColor rgb="FFFFFF00"/>
        </patternFill>
      </fill>
    </dxf>
  </rfmt>
  <rfmt sheetId="1" sqref="R345" start="0" length="0">
    <dxf>
      <font>
        <sz val="11"/>
        <color theme="1"/>
        <name val="Calibri"/>
        <scheme val="minor"/>
      </font>
      <fill>
        <patternFill>
          <bgColor theme="0" tint="-0.499984740745262"/>
        </patternFill>
      </fill>
    </dxf>
  </rfmt>
  <rfmt sheetId="1" sqref="S345" start="0" length="0">
    <dxf>
      <font>
        <sz val="11"/>
        <color theme="1"/>
        <name val="Calibri"/>
        <scheme val="minor"/>
      </font>
      <fill>
        <patternFill patternType="none">
          <bgColor indexed="65"/>
        </patternFill>
      </fill>
    </dxf>
  </rfmt>
  <rfmt sheetId="1" sqref="T345" start="0" length="0">
    <dxf>
      <font>
        <sz val="11"/>
        <color theme="1"/>
        <name val="Calibri"/>
        <scheme val="minor"/>
      </font>
      <fill>
        <patternFill patternType="none">
          <bgColor indexed="65"/>
        </patternFill>
      </fill>
    </dxf>
  </rfmt>
  <rfmt sheetId="1" sqref="U345" start="0" length="0">
    <dxf>
      <font>
        <sz val="11"/>
        <color theme="1"/>
        <name val="Calibri"/>
        <scheme val="minor"/>
      </font>
      <fill>
        <patternFill patternType="none">
          <bgColor indexed="65"/>
        </patternFill>
      </fill>
    </dxf>
  </rfmt>
  <rfmt sheetId="1" sqref="V345" start="0" length="0">
    <dxf>
      <font>
        <sz val="11"/>
        <color theme="1"/>
        <name val="Calibri"/>
        <scheme val="minor"/>
      </font>
      <fill>
        <patternFill patternType="none">
          <bgColor indexed="65"/>
        </patternFill>
      </fill>
    </dxf>
  </rfmt>
  <rcc rId="413" sId="1" odxf="1" dxf="1">
    <oc r="W345">
      <f>V345</f>
    </oc>
    <nc r="W345">
      <f>V345</f>
    </nc>
    <odxf>
      <font>
        <sz val="10"/>
        <color rgb="FF9C6500"/>
        <name val="Arial"/>
        <scheme val="none"/>
      </font>
      <fill>
        <patternFill patternType="solid">
          <bgColor rgb="FFFFEB9C"/>
        </patternFill>
      </fill>
    </odxf>
    <ndxf>
      <font>
        <sz val="11"/>
        <color theme="1"/>
        <name val="Calibri"/>
        <scheme val="minor"/>
      </font>
      <fill>
        <patternFill patternType="none">
          <bgColor indexed="65"/>
        </patternFill>
      </fill>
    </ndxf>
  </rcc>
  <rfmt sheetId="1" sqref="X345" start="0" length="0">
    <dxf>
      <font>
        <sz val="11"/>
        <color theme="1"/>
        <name val="Calibri"/>
        <scheme val="minor"/>
      </font>
      <fill>
        <patternFill patternType="none">
          <bgColor indexed="65"/>
        </patternFill>
      </fill>
    </dxf>
  </rfmt>
  <rcc rId="414" sId="1" odxf="1" dxf="1">
    <oc r="Y345">
      <f>ROUNDDOWN(W345/HLOOKUP(D345,Table!$C$3:$D$4,2,0)*8,2)</f>
    </oc>
    <nc r="Y345">
      <f>ROUNDDOWN(W345/HLOOKUP(D345,Table!$C$3:$D$4,2,0)*8,2)</f>
    </nc>
    <odxf>
      <font>
        <sz val="10"/>
        <color rgb="FF9C6500"/>
        <name val="Arial"/>
        <scheme val="none"/>
      </font>
      <fill>
        <patternFill patternType="solid">
          <bgColor rgb="FFFFEB9C"/>
        </patternFill>
      </fill>
    </odxf>
    <ndxf>
      <font>
        <sz val="11"/>
        <color theme="1"/>
        <name val="Calibri"/>
        <scheme val="minor"/>
      </font>
      <fill>
        <patternFill patternType="none">
          <bgColor indexed="65"/>
        </patternFill>
      </fill>
    </ndxf>
  </rcc>
  <rfmt sheetId="1" sqref="Z345" start="0" length="0">
    <dxf>
      <font>
        <sz val="11"/>
        <color theme="1"/>
        <name val="Calibri"/>
        <scheme val="minor"/>
      </font>
      <fill>
        <patternFill patternType="none">
          <bgColor indexed="65"/>
        </patternFill>
      </fill>
    </dxf>
  </rfmt>
  <rfmt sheetId="1" sqref="AA345" start="0" length="0">
    <dxf>
      <font>
        <sz val="11"/>
        <color theme="1"/>
        <name val="Calibri"/>
        <scheme val="minor"/>
      </font>
      <fill>
        <patternFill patternType="none">
          <bgColor indexed="65"/>
        </patternFill>
      </fill>
    </dxf>
  </rfmt>
  <rfmt sheetId="1" sqref="AB345" start="0" length="0">
    <dxf>
      <font>
        <sz val="11"/>
        <color theme="1"/>
        <name val="Calibri"/>
        <scheme val="minor"/>
      </font>
      <fill>
        <patternFill patternType="none">
          <bgColor indexed="65"/>
        </patternFill>
      </fill>
    </dxf>
  </rfmt>
  <rfmt sheetId="1" sqref="AC345" start="0" length="0">
    <dxf>
      <font>
        <sz val="11"/>
        <color theme="1"/>
        <name val="Calibri"/>
        <scheme val="minor"/>
      </font>
      <fill>
        <patternFill patternType="none">
          <bgColor indexed="65"/>
        </patternFill>
      </fill>
    </dxf>
  </rfmt>
  <rfmt sheetId="1" sqref="AD345" start="0" length="0">
    <dxf>
      <font>
        <sz val="11"/>
        <color theme="1"/>
        <name val="Calibri"/>
        <scheme val="minor"/>
      </font>
      <fill>
        <patternFill patternType="none">
          <bgColor indexed="65"/>
        </patternFill>
      </fill>
    </dxf>
  </rfmt>
  <rfmt sheetId="1" sqref="AE345" start="0" length="0">
    <dxf>
      <font>
        <sz val="11"/>
        <color theme="1"/>
        <name val="Calibri"/>
        <scheme val="minor"/>
      </font>
      <fill>
        <patternFill patternType="none">
          <bgColor indexed="65"/>
        </patternFill>
      </fill>
    </dxf>
  </rfmt>
  <rfmt sheetId="1" sqref="AF345" start="0" length="0">
    <dxf>
      <font>
        <sz val="11"/>
        <color theme="1"/>
        <name val="Calibri"/>
        <scheme val="minor"/>
      </font>
      <fill>
        <patternFill patternType="none">
          <bgColor indexed="65"/>
        </patternFill>
      </fill>
    </dxf>
  </rfmt>
  <rfmt sheetId="1" sqref="AG345" start="0" length="0">
    <dxf>
      <font>
        <sz val="11"/>
        <color theme="1"/>
        <name val="Calibri"/>
        <scheme val="minor"/>
      </font>
      <fill>
        <patternFill patternType="none">
          <bgColor indexed="65"/>
        </patternFill>
      </fill>
    </dxf>
  </rfmt>
  <rfmt sheetId="1" sqref="AH345" start="0" length="0">
    <dxf>
      <font>
        <sz val="11"/>
        <color theme="1"/>
        <name val="Calibri"/>
        <scheme val="minor"/>
      </font>
      <fill>
        <patternFill patternType="none">
          <bgColor indexed="65"/>
        </patternFill>
      </fill>
    </dxf>
  </rfmt>
  <rfmt sheetId="1" sqref="AI345" start="0" length="0">
    <dxf>
      <font>
        <sz val="11"/>
        <color theme="1"/>
        <name val="Calibri"/>
        <scheme val="minor"/>
      </font>
      <fill>
        <patternFill patternType="none">
          <bgColor indexed="65"/>
        </patternFill>
      </fill>
    </dxf>
  </rfmt>
  <rfmt sheetId="1" sqref="AJ345" start="0" length="0">
    <dxf>
      <font>
        <sz val="11"/>
        <color theme="1"/>
        <name val="Calibri"/>
        <scheme val="minor"/>
      </font>
      <fill>
        <patternFill patternType="none">
          <bgColor indexed="65"/>
        </patternFill>
      </fill>
    </dxf>
  </rfmt>
  <rfmt sheetId="1" sqref="AK345" start="0" length="0">
    <dxf>
      <font>
        <sz val="11"/>
        <color theme="1"/>
        <name val="Calibri"/>
        <scheme val="minor"/>
      </font>
      <fill>
        <patternFill patternType="none">
          <bgColor indexed="65"/>
        </patternFill>
      </fill>
    </dxf>
  </rfmt>
  <rfmt sheetId="1" sqref="AL345" start="0" length="0">
    <dxf>
      <font>
        <sz val="11"/>
        <color theme="1"/>
        <name val="Calibri"/>
        <scheme val="minor"/>
      </font>
      <fill>
        <patternFill patternType="none">
          <bgColor indexed="65"/>
        </patternFill>
      </fill>
    </dxf>
  </rfmt>
  <rfmt sheetId="1" sqref="AM345" start="0" length="0">
    <dxf>
      <font>
        <sz val="11"/>
        <color theme="1"/>
        <name val="Calibri"/>
        <scheme val="minor"/>
      </font>
      <fill>
        <patternFill patternType="none">
          <bgColor indexed="65"/>
        </patternFill>
      </fill>
    </dxf>
  </rfmt>
  <rfmt sheetId="1" sqref="AN345" start="0" length="0">
    <dxf>
      <font>
        <sz val="11"/>
        <color theme="1"/>
        <name val="Calibri"/>
        <scheme val="minor"/>
      </font>
      <fill>
        <patternFill>
          <bgColor rgb="FFFF0000"/>
        </patternFill>
      </fill>
    </dxf>
  </rfmt>
  <rfmt sheetId="1" sqref="AO345" start="0" length="0">
    <dxf>
      <font>
        <sz val="11"/>
        <color theme="1"/>
        <name val="Calibri"/>
        <scheme val="minor"/>
      </font>
      <fill>
        <patternFill patternType="none">
          <bgColor indexed="65"/>
        </patternFill>
      </fill>
    </dxf>
  </rfmt>
  <rfmt sheetId="1" sqref="AP345" start="0" length="0">
    <dxf>
      <font>
        <sz val="11"/>
        <color theme="1"/>
        <name val="Calibri"/>
        <scheme val="minor"/>
      </font>
      <fill>
        <patternFill patternType="none">
          <bgColor indexed="65"/>
        </patternFill>
      </fill>
    </dxf>
  </rfmt>
  <rfmt sheetId="1" sqref="A345:XFD345" start="0" length="0">
    <dxf>
      <font>
        <sz val="11"/>
        <color theme="1"/>
        <name val="Calibri"/>
        <scheme val="minor"/>
      </font>
      <fill>
        <patternFill patternType="none">
          <bgColor indexed="65"/>
        </patternFill>
      </fill>
    </dxf>
  </rfmt>
  <rcv guid="{72A6EB0A-84D5-4B8A-AC51-54CCD061630B}" action="delete"/>
  <rdn rId="0" localSheetId="1" customView="1" name="Z_72A6EB0A_84D5_4B8A_AC51_54CCD061630B_.wvu.FilterData" hidden="1" oldHidden="1">
    <formula>Merged_COEM!$B$47:$AN$423</formula>
    <oldFormula>Merged_COEM!$B$47:$AN$423</oldFormula>
  </rdn>
  <rdn rId="0" localSheetId="2" customView="1" name="Z_72A6EB0A_84D5_4B8A_AC51_54CCD061630B_.wvu.FilterData" hidden="1" oldHidden="1">
    <formula>Merged_JOEM!$B$47:$AN$187</formula>
    <oldFormula>Merged_JOEM!$B$47:$AN$187</oldFormula>
  </rdn>
  <rcv guid="{72A6EB0A-84D5-4B8A-AC51-54CCD061630B}" action="add"/>
</revisions>
</file>

<file path=xl/revisions/revisionLog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7" sId="1">
    <nc r="X324">
      <f>W324</f>
    </nc>
  </rcc>
  <rcc rId="418" sId="1">
    <nc r="Z324">
      <v>2</v>
    </nc>
  </rcc>
  <rcc rId="419" sId="1" numFmtId="19">
    <nc r="AE324">
      <v>43973</v>
    </nc>
  </rcc>
  <rcc rId="420" sId="1" numFmtId="19">
    <nc r="AF324">
      <v>43973</v>
    </nc>
  </rcc>
  <rcc rId="421" sId="1">
    <nc r="AG324" t="inlineStr">
      <is>
        <t>OK</t>
      </is>
    </nc>
  </rcc>
  <rcc rId="422" sId="1" numFmtId="14">
    <nc r="AH324">
      <v>1</v>
    </nc>
  </rcc>
  <rcc rId="423" sId="1" numFmtId="14">
    <nc r="AI324">
      <v>1</v>
    </nc>
  </rcc>
  <rcc rId="424" sId="1" numFmtId="14">
    <nc r="AJ324">
      <v>1</v>
    </nc>
  </rcc>
  <rcc rId="425" sId="1">
    <nc r="AK324" t="inlineStr">
      <is>
        <t>None</t>
      </is>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0" sId="6">
    <oc r="O72" t="inlineStr">
      <is>
        <t>-</t>
      </is>
    </oc>
    <nc r="O72">
      <v>1</v>
    </nc>
  </rcc>
  <rcc rId="431" sId="6" odxf="1" dxf="1" numFmtId="21">
    <oc r="P72" t="inlineStr">
      <is>
        <t>-</t>
      </is>
    </oc>
    <nc r="P72">
      <v>43973</v>
    </nc>
    <ndxf>
      <numFmt numFmtId="21" formatCode="d\-mmm"/>
    </ndxf>
  </rcc>
  <rcc rId="432" sId="6" quotePrefix="1">
    <oc r="E72">
      <v>1</v>
    </oc>
    <nc r="E72" t="inlineStr">
      <is>
        <t>-</t>
      </is>
    </nc>
  </rcc>
  <rcc rId="433" sId="6" odxf="1" dxf="1" quotePrefix="1">
    <oc r="F72">
      <v>43973</v>
    </oc>
    <nc r="F72" t="inlineStr">
      <is>
        <t>-</t>
      </is>
    </nc>
    <odxf>
      <numFmt numFmtId="21" formatCode="d\-mmm"/>
    </odxf>
    <ndxf>
      <numFmt numFmtId="0" formatCode="General"/>
    </ndxf>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8" sId="4">
    <oc r="J21">
      <f>Table!$C$36</f>
    </oc>
    <nc r="J21">
      <f>Table!$C$36</f>
    </nc>
  </rcc>
  <rcc rId="439" sId="4">
    <oc r="K21">
      <f>Table!$C$37</f>
    </oc>
    <nc r="K21">
      <f>Table!$C$37</f>
    </nc>
  </rcc>
  <rcc rId="440" sId="4">
    <oc r="J22">
      <f>COUNTIFS(Merged_COEM!$AK$48:$AK$423,J21,Merged_COEM!$D$48:$D$423,D22,Merged_COEM!$C$48:$C$423,C15)</f>
    </oc>
    <nc r="J22">
      <f>COUNTIFS(Merged_COEM!$AK$48:$AK$423,J21,Merged_COEM!$D$48:$D$423,D22,Merged_COEM!$C$48:$C$423,C15)</f>
    </nc>
  </rcc>
  <rcc rId="441" sId="4">
    <oc r="K22">
      <f>COUNTIFS(Merged_COEM!$AK$48:$AK$423,K21,Merged_COEM!$D$48:$D$423,D22,Merged_COEM!$C$48:$C$423,C15)</f>
    </oc>
    <nc r="K22">
      <f>COUNTIFS(Merged_COEM!$AK$48:$AK$423,K21,Merged_COEM!$D$48:$D$423,D22,Merged_COEM!$C$48:$C$423,C15)</f>
    </nc>
  </rcc>
  <rcc rId="442" sId="4">
    <oc r="J23">
      <f>COUNTIFS(Merged_COEM!$AK$48:$AK$423,J21,Merged_COEM!$D$48:$D$423,D23,Merged_COEM!$C$48:$C$423,C15)</f>
    </oc>
    <nc r="J23">
      <f>COUNTIFS(Merged_COEM!$AK$48:$AK$423,J21,Merged_COEM!$D$48:$D$423,D23,Merged_COEM!$C$48:$C$423,C15)</f>
    </nc>
  </rcc>
  <rcc rId="443" sId="4">
    <oc r="K23">
      <f>COUNTIFS(Merged_COEM!$AK$48:$AK$423,K21,Merged_COEM!$D$48:$D$423,D23,Merged_COEM!$C$48:$C$423,C15)</f>
    </oc>
    <nc r="K23">
      <f>COUNTIFS(Merged_COEM!$AK$48:$AK$423,K21,Merged_COEM!$D$48:$D$423,D23,Merged_COEM!$C$48:$C$423,C15)</f>
    </nc>
  </rcc>
  <rcc rId="444" sId="5">
    <oc r="J21">
      <f>Table!$C$36</f>
    </oc>
    <nc r="J21">
      <f>Table!$C$36</f>
    </nc>
  </rcc>
  <rcc rId="445" sId="5">
    <oc r="K21">
      <f>Table!$C$37</f>
    </oc>
    <nc r="K21">
      <f>Table!$C$37</f>
    </nc>
  </rcc>
  <rcc rId="446" sId="5">
    <oc r="J22">
      <f>COUNTIFS(Merged_JOEM!$AK$48:$AK$422,J21,Merged_COEM!$D$48:$D$423,D22,Merged_COEM!$C$48:$C$423,C15)</f>
    </oc>
    <nc r="J22">
      <f>COUNTIFS(Merged_JOEM!$AK$48:$AK$187,J21,Merged_JOEM!$D$48:$D$187,D22,Merged_JOEM!$E$48:$E$187,C15)</f>
    </nc>
  </rcc>
  <rcc rId="447" sId="5">
    <oc r="K22">
      <f>COUNTIFS(Merged_COEM!$AK$48:$AK$423,Table!$C$37,Merged_COEM!$D$48:$D$423,D22,Merged_COEM!$C$48:$C$423,C15)</f>
    </oc>
    <nc r="K22">
      <f>COUNTIFS(Merged_JOEM!$AK$48:$AK$187,K21,Merged_JOEM!$D$48:$D$187,D22,Merged_JOEM!$E$48:$E$187,C15)</f>
    </nc>
  </rcc>
  <rcc rId="448" sId="5">
    <oc r="J23">
      <f>COUNTIFS(Merged_COEM!$AK$48:$AK$423,J21,Merged_COEM!$D$48:$D$423,D23,Merged_COEM!$C$48:$C$423,C15)</f>
    </oc>
    <nc r="J23">
      <f>COUNTIFS(Merged_JOEM!$AK$48:$AK$187,J21,Merged_JOEM!$D$48:$D$187,D23,Merged_JOEM!$E$48:$E$187,C15)</f>
    </nc>
  </rcc>
  <rcc rId="449" sId="5">
    <oc r="K23">
      <f>COUNTIFS(Merged_COEM!$AK$48:$AK$423,K21,Merged_COEM!$D$48:$D$423,D23,Merged_COEM!$C$48:$C$423,C15)</f>
    </oc>
    <nc r="K23">
      <f>COUNTIFS(Merged_JOEM!$AK$48:$AK$187,K21,Merged_JOEM!$D$48:$D$187,D23,Merged_JOEM!$E$48:$E$187,C15)</f>
    </nc>
  </rcc>
  <rcc rId="450" sId="5">
    <oc r="J34">
      <f>Table!$C$36</f>
    </oc>
    <nc r="J34">
      <f>Table!$C$36</f>
    </nc>
  </rcc>
  <rcc rId="451" sId="5">
    <oc r="K34">
      <f>Table!$C$37</f>
    </oc>
    <nc r="K34">
      <f>Table!$C$37</f>
    </nc>
  </rcc>
  <rcc rId="452" sId="5">
    <oc r="J35">
      <f>COUNTIFS(Merged_JOEM!$AK$48:$AK$422,J34,Merged_COEM!$D$48:$D$423,D35,Merged_COEM!$C$48:$C$423,C28)</f>
    </oc>
    <nc r="J35">
      <f>COUNTIFS(Merged_JOEM!$AK$48:$AK$187,J34,Merged_JOEM!$D$48:$D$187,D35,Merged_JOEM!$E$48:$E$187,C28)</f>
    </nc>
  </rcc>
  <rcc rId="453" sId="5">
    <oc r="K35">
      <f>COUNTIFS(Merged_COEM!$AK$48:$AK$423,Table!$C$37,Merged_COEM!$D$48:$D$423,D35,Merged_COEM!$C$48:$C$423,C28)</f>
    </oc>
    <nc r="K35">
      <f>COUNTIFS(Merged_JOEM!$AK$48:$AK$187,K34,Merged_JOEM!$D$48:$D$187,D35,Merged_JOEM!$E$48:$E$187,C28)</f>
    </nc>
  </rcc>
  <rcc rId="454" sId="5">
    <oc r="J36">
      <f>COUNTIFS(Merged_COEM!$AK$48:$AK$423,J34,Merged_COEM!$D$48:$D$423,D36,Merged_COEM!$C$48:$C$423,C28)</f>
    </oc>
    <nc r="J36">
      <f>COUNTIFS(Merged_JOEM!$AK$48:$AK$187,J34,Merged_JOEM!$D$48:$D$187,D36,Merged_JOEM!$E$48:$E$187,C28)</f>
    </nc>
  </rcc>
  <rcc rId="455" sId="5">
    <oc r="K36">
      <f>COUNTIFS(Merged_COEM!$AK$48:$AK$423,K34,Merged_COEM!$D$48:$D$423,D36,Merged_COEM!$C$48:$C$423,C28)</f>
    </oc>
    <nc r="K36">
      <f>COUNTIFS(Merged_JOEM!$AK$48:$AK$187,K34,Merged_JOEM!$D$48:$D$187,D36,Merged_JOEM!$E$48:$E$187,C28)</f>
    </nc>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8" sId="1">
    <nc r="E366" t="inlineStr">
      <is>
        <t>GWM_AB30_CP 7DCT</t>
      </is>
    </nc>
  </rcc>
  <rcc rId="459" sId="1">
    <nc r="E367" t="inlineStr">
      <is>
        <t>GAC_Carbon_RPA_iBooster_Mainpath_BL06</t>
      </is>
    </nc>
  </rcc>
  <rcc rId="460" sId="1">
    <nc r="E368" t="inlineStr">
      <is>
        <t>GAC_Carbon_RPA_iBooster_Mainpath_BL06</t>
      </is>
    </nc>
  </rcc>
  <rcc rId="461" sId="1">
    <nc r="E369" t="inlineStr">
      <is>
        <t>BYD_IPB_SW_Mainstream_BL05_SP14</t>
      </is>
    </nc>
  </rcc>
  <rcc rId="462" sId="1">
    <nc r="E370" t="inlineStr">
      <is>
        <t>GEEA2.0_ESP9.3_CMP_BL07 (BG1) Sprint4</t>
      </is>
    </nc>
  </rcc>
  <rcc rId="463" sId="1">
    <nc r="E371" t="inlineStr">
      <is>
        <t>GEEA2.0_ESP9.3_CMP_BL07 (BG1) Sprint4</t>
      </is>
    </nc>
  </rcc>
  <rcc rId="464" sId="1">
    <nc r="E372" t="inlineStr">
      <is>
        <t xml:space="preserve">SAIC EP22 M2 noneDA ESP9.3 237432 </t>
      </is>
    </nc>
  </rcc>
  <rcc rId="465" sId="1">
    <nc r="E373" t="inlineStr">
      <is>
        <t>SGMW CN202SR India RC2 CPi 242816 BB81722</t>
      </is>
    </nc>
  </rcc>
  <rcc rId="466" sId="1">
    <nc r="E374" t="inlineStr">
      <is>
        <t>SGMW CN202SR India RC2 CPi 242816 BB81722</t>
      </is>
    </nc>
  </rcc>
  <rcc rId="467" sId="1">
    <nc r="E375" t="inlineStr">
      <is>
        <t>SGMW CN202SR India RC2 CPi 242816 BB81722</t>
      </is>
    </nc>
  </rcc>
  <rcc rId="468" sId="1">
    <nc r="E376" t="inlineStr">
      <is>
        <t>SGMW CN202SR India RC2 CPi 242816 BB81722</t>
      </is>
    </nc>
  </rcc>
  <rcc rId="469" sId="1">
    <nc r="E377" t="inlineStr">
      <is>
        <t>SGMW CN202SR India RC2 CPi 242816 BB81722</t>
      </is>
    </nc>
  </rcc>
  <rcc rId="470" sId="1">
    <nc r="E378" t="inlineStr">
      <is>
        <t>SGMW CN202SR India RC2 CPi 242816 BB81722</t>
      </is>
    </nc>
  </rcc>
  <rcc rId="471" sId="1">
    <nc r="E379" t="inlineStr">
      <is>
        <t>SGMW CN202SR India RC2 CPi 242816 BB81722</t>
      </is>
    </nc>
  </rcc>
  <rcc rId="472" sId="1">
    <nc r="E380" t="inlineStr">
      <is>
        <t>SGMW CN202SR India RC2 CPi 242816 BB81722</t>
      </is>
    </nc>
  </rcc>
  <rcc rId="473" sId="1">
    <nc r="E381" t="inlineStr">
      <is>
        <t>SGMW CN202SR India RC2 CPi 242816 BB81722</t>
      </is>
    </nc>
  </rcc>
  <rcc rId="474" sId="1">
    <nc r="E382" t="inlineStr">
      <is>
        <t>SGMW CN202SR India RC2 CPi 242816 BB81722</t>
      </is>
    </nc>
  </rcc>
  <rcc rId="475" sId="1">
    <nc r="E383" t="inlineStr">
      <is>
        <t>SGMW CN202SR India RC2 CPi 242816 BB81722</t>
      </is>
    </nc>
  </rcc>
  <rcc rId="476" sId="1" quotePrefix="1">
    <nc r="F366" t="inlineStr">
      <is>
        <t>rb.as.gwm.cp.app.net/RBScl/src/</t>
      </is>
    </nc>
  </rcc>
  <rcc rId="477" sId="1" quotePrefix="1">
    <nc r="F367" t="inlineStr">
      <is>
        <t>rb/as/gaig/core/app/dsm/RBVAR/A20FPA/src</t>
      </is>
    </nc>
  </rcc>
  <rcc rId="478" sId="1" quotePrefix="1">
    <nc r="F368" t="inlineStr">
      <is>
        <t>rb/as/gaig/core/app/dsm/RBVAR/A12FPA/src</t>
      </is>
    </nc>
  </rcc>
  <rcc rId="479" sId="1" quotePrefix="1">
    <nc r="F369" t="inlineStr">
      <is>
        <t>rb\as\BYD\ipb\app\net\RBScl\src</t>
      </is>
    </nc>
  </rcc>
  <rcc rId="480" sId="1" quotePrefix="1">
    <nc r="F372" t="inlineStr">
      <is>
        <t>rb/as/saic/CpiwAPB/app/net/RBScl/EP22_M2/src/</t>
      </is>
    </nc>
  </rcc>
  <rcc rId="481" sId="1" quotePrefix="1">
    <nc r="F373" t="inlineStr">
      <is>
        <t>rb\as\sgmw\CN210S\app\net\RBScl\RBScl_SGMW\src\</t>
      </is>
    </nc>
  </rcc>
  <rcc rId="482" sId="1" quotePrefix="1">
    <nc r="F374" t="inlineStr">
      <is>
        <t>rb\as\sgmw\CN210S\app\net\RBScl\RBScl_SGMW\src\</t>
      </is>
    </nc>
  </rcc>
  <rcc rId="483" sId="1" quotePrefix="1">
    <nc r="F375" t="inlineStr">
      <is>
        <t>rb\as\sgmw\CN210S\app\net\RBScl\RBScl_SGMW\src\</t>
      </is>
    </nc>
  </rcc>
  <rcc rId="484" sId="1" quotePrefix="1">
    <nc r="F376" t="inlineStr">
      <is>
        <t xml:space="preserve">rb\as\sgmw\CN210S\dcompr\src\                  </t>
      </is>
    </nc>
  </rcc>
  <rcc rId="485" sId="1" quotePrefix="1">
    <nc r="F377" t="inlineStr">
      <is>
        <t xml:space="preserve">rb\as\sgmw\CN210S\dsmpr\src\                   </t>
      </is>
    </nc>
  </rcc>
  <rcc rId="486" sId="1" quotePrefix="1">
    <nc r="F378" t="inlineStr">
      <is>
        <t xml:space="preserve">rb\as\sgmw\CN210S\hswpr\tst\hswsim\src\        </t>
      </is>
    </nc>
  </rcc>
  <rcc rId="487" sId="1" quotePrefix="1">
    <nc r="F379" t="inlineStr">
      <is>
        <t xml:space="preserve">rb\as\sgmw\CN210S\hswpr\tst\hswsim\src\        </t>
      </is>
    </nc>
  </rcc>
  <rcc rId="488" sId="1" quotePrefix="1">
    <nc r="F380" t="inlineStr">
      <is>
        <t xml:space="preserve">rb\as\sgmw\CN210S\hswpr\tst\hswsim\src\        </t>
      </is>
    </nc>
  </rcc>
  <rcc rId="489" sId="1" quotePrefix="1">
    <nc r="F381" t="inlineStr">
      <is>
        <t xml:space="preserve">rb\as\sgmw\core\app\dcom\RBAPLCust\src\        </t>
      </is>
    </nc>
  </rcc>
  <rcc rId="490" sId="1" quotePrefix="1">
    <nc r="F382" t="inlineStr">
      <is>
        <t xml:space="preserve">rb\as\sgmw\core\app\dcom\RBAPLCust\src\        </t>
      </is>
    </nc>
  </rcc>
  <rcc rId="491" sId="1" quotePrefix="1">
    <nc r="F383" t="inlineStr">
      <is>
        <t xml:space="preserve">rb\as\sgmw\core\app\dcom\RBAPLCust\src\ </t>
      </is>
    </nc>
  </rcc>
  <rcc rId="492" sId="1">
    <nc r="G366">
      <v>1481262</v>
    </nc>
  </rcc>
  <rcc rId="493" sId="1">
    <nc r="G367">
      <v>1481558</v>
    </nc>
  </rcc>
  <rcc rId="494" sId="1">
    <nc r="G368">
      <v>1481558</v>
    </nc>
  </rcc>
  <rcc rId="495" sId="1">
    <nc r="G369">
      <v>1479486</v>
    </nc>
  </rcc>
  <rcc rId="496" sId="1">
    <nc r="G370">
      <v>1481813</v>
    </nc>
  </rcc>
  <rcc rId="497" sId="1">
    <nc r="G371">
      <v>1482132</v>
    </nc>
  </rcc>
  <rcc rId="498" sId="1">
    <nc r="G372">
      <v>1479179</v>
    </nc>
  </rcc>
  <rcc rId="499" sId="1">
    <nc r="G373">
      <v>1481841</v>
    </nc>
  </rcc>
  <rcc rId="500" sId="1">
    <nc r="G374">
      <v>1481841</v>
    </nc>
  </rcc>
  <rcc rId="501" sId="1">
    <nc r="G375">
      <v>1481841</v>
    </nc>
  </rcc>
  <rcc rId="502" sId="1">
    <nc r="G376">
      <v>1481841</v>
    </nc>
  </rcc>
  <rcc rId="503" sId="1">
    <nc r="G377">
      <v>1481841</v>
    </nc>
  </rcc>
  <rcc rId="504" sId="1">
    <nc r="G378">
      <v>1481841</v>
    </nc>
  </rcc>
  <rcc rId="505" sId="1">
    <nc r="G379">
      <v>1481841</v>
    </nc>
  </rcc>
  <rcc rId="506" sId="1">
    <nc r="G380">
      <v>1481841</v>
    </nc>
  </rcc>
  <rcc rId="507" sId="1">
    <nc r="G381">
      <v>1481841</v>
    </nc>
  </rcc>
  <rcc rId="508" sId="1">
    <nc r="G382">
      <v>1481841</v>
    </nc>
  </rcc>
  <rcc rId="509" sId="1">
    <nc r="G383">
      <v>1481841</v>
    </nc>
  </rcc>
  <rcc rId="510" sId="1">
    <nc r="I366" t="inlineStr">
      <is>
        <t>ComScl_Scl_Complex_proc.c</t>
      </is>
    </nc>
  </rcc>
  <rcc rId="511" sId="1">
    <nc r="I367" t="inlineStr">
      <is>
        <t>RBVAR_OutputDriver_PROJECT.c</t>
      </is>
    </nc>
  </rcc>
  <rcc rId="512" sId="1">
    <nc r="I368" t="inlineStr">
      <is>
        <t>RBVAR_OutputDriver_PROJECT.c</t>
      </is>
    </nc>
  </rcc>
  <rcc rId="513" sId="1">
    <nc r="I369" t="inlineStr">
      <is>
        <t>rba_SCL_Settings.c</t>
      </is>
    </nc>
  </rcc>
  <rcc rId="514" sId="1">
    <nc r="I370" t="inlineStr">
      <is>
        <t>SCM_AxTar_Calculation</t>
      </is>
    </nc>
  </rcc>
  <rcc rId="515" sId="1">
    <nc r="I371" t="inlineStr">
      <is>
        <t>AWB_SignalMonitoring</t>
      </is>
    </nc>
  </rcc>
  <rcc rId="516" sId="1">
    <nc r="I372" t="inlineStr">
      <is>
        <t>PATA_CAN.c</t>
      </is>
    </nc>
  </rcc>
  <rcc rId="517" sId="1">
    <nc r="I373" t="inlineStr">
      <is>
        <t>NET_SCL_Tx_SGMW.c</t>
      </is>
    </nc>
  </rcc>
  <rcc rId="518" sId="1">
    <nc r="I374" t="inlineStr">
      <is>
        <t>NET_SCL_Rx_SGMW_RemoteControl.c</t>
      </is>
    </nc>
  </rcc>
  <rcc rId="519" sId="1">
    <nc r="I375" t="inlineStr">
      <is>
        <t>NET_SCL_Rx_SGMW.c</t>
      </is>
    </nc>
  </rcc>
  <rcc rId="520" sId="1">
    <nc r="I376" t="inlineStr">
      <is>
        <t>RBFSWBootInterface_SGMW.c</t>
      </is>
    </nc>
  </rcc>
  <rcc rId="521" sId="1">
    <nc r="I377" t="inlineStr">
      <is>
        <t>RBPduHandler_Callouts.c</t>
      </is>
    </nc>
  </rcc>
  <rcc rId="522" sId="1">
    <nc r="I378" t="inlineStr">
      <is>
        <t>TestEnvironment_NvM_CNMS_EV712048.c</t>
      </is>
    </nc>
  </rcc>
  <rcc rId="523" sId="1">
    <nc r="I379" t="inlineStr">
      <is>
        <t>TestEnvironment_NvM_CNMS_EV712518.c</t>
      </is>
    </nc>
  </rcc>
  <rcc rId="524" sId="1">
    <nc r="I380" t="inlineStr">
      <is>
        <t>TestEnvironment_NvM_CNMS_EV711009.c</t>
      </is>
    </nc>
  </rcc>
  <rcc rId="525" sId="1">
    <nc r="I381" t="inlineStr">
      <is>
        <t>RBAPLCUST_DiagnosticSessionControl.c</t>
      </is>
    </nc>
  </rcc>
  <rcc rId="526" sId="1">
    <nc r="I382" t="inlineStr">
      <is>
        <t>RBAPLCUST_RBDI_NVMData.c</t>
      </is>
    </nc>
  </rcc>
  <rcc rId="527" sId="1">
    <nc r="I383" t="inlineStr">
      <is>
        <t>RBAPLCUST_WDBI_NVMData.c</t>
      </is>
    </nc>
  </rcc>
  <rcc rId="528" sId="1" quotePrefix="1">
    <nc r="O370" t="inlineStr">
      <is>
        <t>v (1.2.160.3)</t>
      </is>
    </nc>
  </rcc>
  <rcc rId="529" sId="1" quotePrefix="1">
    <nc r="O371" t="inlineStr">
      <is>
        <t>v (4.1.160.8)</t>
      </is>
    </nc>
  </rcc>
  <rcc rId="530" sId="1">
    <nc r="D370" t="inlineStr">
      <is>
        <t>ASW</t>
      </is>
    </nc>
  </rcc>
  <rcc rId="531" sId="1">
    <nc r="D371" t="inlineStr">
      <is>
        <t>ASW</t>
      </is>
    </nc>
  </rcc>
  <rcc rId="532" sId="1">
    <nc r="D366" t="inlineStr">
      <is>
        <t>PSW</t>
      </is>
    </nc>
  </rcc>
  <rcc rId="533" sId="1">
    <nc r="D367" t="inlineStr">
      <is>
        <t>PSW</t>
      </is>
    </nc>
  </rcc>
  <rcc rId="534" sId="1">
    <nc r="D368" t="inlineStr">
      <is>
        <t>PSW</t>
      </is>
    </nc>
  </rcc>
  <rcc rId="535" sId="1">
    <nc r="D369" t="inlineStr">
      <is>
        <t>PSW</t>
      </is>
    </nc>
  </rcc>
  <rcc rId="536" sId="1">
    <nc r="D372" t="inlineStr">
      <is>
        <t>PSW</t>
      </is>
    </nc>
  </rcc>
  <rcc rId="537" sId="1">
    <nc r="D373" t="inlineStr">
      <is>
        <t>PSW</t>
      </is>
    </nc>
  </rcc>
  <rcc rId="538" sId="1">
    <nc r="D374" t="inlineStr">
      <is>
        <t>PSW</t>
      </is>
    </nc>
  </rcc>
  <rcc rId="539" sId="1">
    <nc r="D375" t="inlineStr">
      <is>
        <t>PSW</t>
      </is>
    </nc>
  </rcc>
  <rcc rId="540" sId="1">
    <nc r="D376" t="inlineStr">
      <is>
        <t>PSW</t>
      </is>
    </nc>
  </rcc>
  <rcc rId="541" sId="1">
    <nc r="D377" t="inlineStr">
      <is>
        <t>PSW</t>
      </is>
    </nc>
  </rcc>
  <rcc rId="542" sId="1">
    <nc r="D378" t="inlineStr">
      <is>
        <t>PSW</t>
      </is>
    </nc>
  </rcc>
  <rcc rId="543" sId="1">
    <nc r="D379" t="inlineStr">
      <is>
        <t>PSW</t>
      </is>
    </nc>
  </rcc>
  <rcc rId="544" sId="1">
    <nc r="D380" t="inlineStr">
      <is>
        <t>PSW</t>
      </is>
    </nc>
  </rcc>
  <rcc rId="545" sId="1">
    <nc r="D381" t="inlineStr">
      <is>
        <t>PSW</t>
      </is>
    </nc>
  </rcc>
  <rcc rId="546" sId="1">
    <nc r="D382" t="inlineStr">
      <is>
        <t>PSW</t>
      </is>
    </nc>
  </rcc>
  <rcc rId="547" sId="1">
    <nc r="D383" t="inlineStr">
      <is>
        <t>PSW</t>
      </is>
    </nc>
  </rcc>
  <rcc rId="548" sId="1">
    <nc r="C366">
      <v>20200522</v>
    </nc>
  </rcc>
  <rcc rId="549" sId="1">
    <nc r="C367">
      <v>20200522</v>
    </nc>
  </rcc>
  <rcc rId="550" sId="1">
    <nc r="C368">
      <v>20200522</v>
    </nc>
  </rcc>
  <rcc rId="551" sId="1">
    <nc r="C369">
      <v>20200522</v>
    </nc>
  </rcc>
  <rcc rId="552" sId="1">
    <nc r="C370">
      <v>20200522</v>
    </nc>
  </rcc>
  <rcc rId="553" sId="1">
    <nc r="C371">
      <v>20200522</v>
    </nc>
  </rcc>
  <rcc rId="554" sId="1">
    <nc r="C372">
      <v>20200522</v>
    </nc>
  </rcc>
  <rcc rId="555" sId="1">
    <nc r="C373">
      <v>20200522</v>
    </nc>
  </rcc>
  <rcc rId="556" sId="1">
    <nc r="C374">
      <v>20200522</v>
    </nc>
  </rcc>
  <rcc rId="557" sId="1">
    <nc r="C375">
      <v>20200522</v>
    </nc>
  </rcc>
  <rcc rId="558" sId="1">
    <nc r="C376">
      <v>20200522</v>
    </nc>
  </rcc>
  <rcc rId="559" sId="1">
    <nc r="C377">
      <v>20200522</v>
    </nc>
  </rcc>
  <rcc rId="560" sId="1">
    <nc r="C378">
      <v>20200522</v>
    </nc>
  </rcc>
  <rcc rId="561" sId="1">
    <nc r="C379">
      <v>20200522</v>
    </nc>
  </rcc>
  <rcc rId="562" sId="1">
    <nc r="C380">
      <v>20200522</v>
    </nc>
  </rcc>
  <rcc rId="563" sId="1">
    <nc r="C381">
      <v>20200522</v>
    </nc>
  </rcc>
  <rcc rId="564" sId="1">
    <nc r="C382">
      <v>20200522</v>
    </nc>
  </rcc>
  <rcc rId="565" sId="1">
    <nc r="C383">
      <v>20200522</v>
    </nc>
  </rcc>
  <rcc rId="566" sId="1">
    <nc r="B366">
      <f>B365+1</f>
    </nc>
  </rcc>
  <rcc rId="567" sId="1">
    <nc r="B367">
      <f>B366+1</f>
    </nc>
  </rcc>
  <rcc rId="568" sId="1">
    <nc r="B368">
      <f>B367+1</f>
    </nc>
  </rcc>
  <rcc rId="569" sId="1">
    <nc r="B369">
      <f>B368+1</f>
    </nc>
  </rcc>
  <rcc rId="570" sId="1">
    <nc r="B370">
      <f>B369+1</f>
    </nc>
  </rcc>
  <rcc rId="571" sId="1">
    <nc r="B371">
      <f>B370+1</f>
    </nc>
  </rcc>
  <rcc rId="572" sId="1">
    <nc r="B372">
      <f>B371+1</f>
    </nc>
  </rcc>
  <rcc rId="573" sId="1">
    <nc r="B373">
      <f>B372+1</f>
    </nc>
  </rcc>
  <rcc rId="574" sId="1">
    <nc r="B374">
      <f>B373+1</f>
    </nc>
  </rcc>
  <rcc rId="575" sId="1">
    <nc r="B375">
      <f>B374+1</f>
    </nc>
  </rcc>
  <rcc rId="576" sId="1">
    <nc r="B376">
      <f>B375+1</f>
    </nc>
  </rcc>
  <rcc rId="577" sId="1">
    <nc r="B377">
      <f>B376+1</f>
    </nc>
  </rcc>
  <rcc rId="578" sId="1">
    <nc r="B378">
      <f>B377+1</f>
    </nc>
  </rcc>
  <rcc rId="579" sId="1">
    <nc r="B379">
      <f>B378+1</f>
    </nc>
  </rcc>
  <rcc rId="580" sId="1">
    <nc r="B380">
      <f>B379+1</f>
    </nc>
  </rcc>
  <rcc rId="581" sId="1">
    <nc r="B381">
      <f>B380+1</f>
    </nc>
  </rcc>
  <rcc rId="582" sId="1">
    <nc r="B382">
      <f>B381+1</f>
    </nc>
  </rcc>
  <rcc rId="583" sId="1">
    <nc r="B383">
      <f>B382+1</f>
    </nc>
  </rcc>
  <rfmt sheetId="1" sqref="B366:B383">
    <dxf>
      <fill>
        <patternFill patternType="solid">
          <bgColor rgb="FF0070C0"/>
        </patternFill>
      </fill>
    </dxf>
  </rfmt>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6" sId="1" quotePrefix="1">
    <nc r="F370" t="inlineStr">
      <is>
        <t>-</t>
      </is>
    </nc>
  </rcc>
  <rcc rId="587" sId="1" quotePrefix="1">
    <nc r="F371" t="inlineStr">
      <is>
        <t>-</t>
      </is>
    </nc>
  </rcc>
</revisions>
</file>

<file path=xl/revisions/revisionLog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8" sId="1" quotePrefix="1">
    <oc r="F366" t="inlineStr">
      <is>
        <t>rb.as.gwm.cp.app.net/RBScl/src/</t>
      </is>
    </oc>
    <nc r="F366" t="inlineStr">
      <is>
        <t>rb.as.gwm.cp.app.net\RBScl\src\</t>
      </is>
    </nc>
  </rcc>
  <rcc rId="589" sId="1" quotePrefix="1">
    <oc r="F367" t="inlineStr">
      <is>
        <t>rb/as/gaig/core/app/dsm/RBVAR/A20FPA/src</t>
      </is>
    </oc>
    <nc r="F367" t="inlineStr">
      <is>
        <t>rb\as\gaig\core\app\dsm\RBVAR\A20FPA\src</t>
      </is>
    </nc>
  </rcc>
  <rcc rId="590" sId="1" quotePrefix="1">
    <oc r="F368" t="inlineStr">
      <is>
        <t>rb/as/gaig/core/app/dsm/RBVAR/A12FPA/src</t>
      </is>
    </oc>
    <nc r="F368" t="inlineStr">
      <is>
        <t>rb\as\gaig\core\app\dsm\RBVAR\A12FPA\src</t>
      </is>
    </nc>
  </rcc>
  <rcc rId="591" sId="1" quotePrefix="1">
    <oc r="F372" t="inlineStr">
      <is>
        <t>rb/as/saic/CpiwAPB/app/net/RBScl/EP22_M2/src/</t>
      </is>
    </oc>
    <nc r="F372" t="inlineStr">
      <is>
        <t>rb\as\saic\CpiwAPB\app\net\RBScl\EP22_M2\src\</t>
      </is>
    </nc>
  </rcc>
</revisions>
</file>

<file path=xl/revisions/revisionLog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2" sId="1">
    <nc r="K366" t="inlineStr">
      <is>
        <t>Auto</t>
      </is>
    </nc>
  </rcc>
  <rcc rId="593" sId="1">
    <nc r="K367" t="inlineStr">
      <is>
        <t>Auto</t>
      </is>
    </nc>
  </rcc>
  <rcc rId="594" sId="1">
    <nc r="K368" t="inlineStr">
      <is>
        <t>Auto</t>
      </is>
    </nc>
  </rcc>
  <rcc rId="595" sId="1">
    <nc r="K369" t="inlineStr">
      <is>
        <t>Auto</t>
      </is>
    </nc>
  </rcc>
  <rcc rId="596" sId="1">
    <nc r="K370" t="inlineStr">
      <is>
        <t>Auto</t>
      </is>
    </nc>
  </rcc>
  <rcc rId="597" sId="1">
    <nc r="K371" t="inlineStr">
      <is>
        <t>Auto</t>
      </is>
    </nc>
  </rcc>
  <rcc rId="598" sId="1">
    <nc r="K372" t="inlineStr">
      <is>
        <t>Auto</t>
      </is>
    </nc>
  </rcc>
  <rcc rId="599" sId="1">
    <nc r="K373" t="inlineStr">
      <is>
        <t>Auto</t>
      </is>
    </nc>
  </rcc>
  <rcc rId="600" sId="1">
    <nc r="K374" t="inlineStr">
      <is>
        <t>Auto</t>
      </is>
    </nc>
  </rcc>
  <rcc rId="601" sId="1">
    <nc r="K375" t="inlineStr">
      <is>
        <t>Auto</t>
      </is>
    </nc>
  </rcc>
  <rcc rId="602" sId="1">
    <nc r="K376" t="inlineStr">
      <is>
        <t>Auto</t>
      </is>
    </nc>
  </rcc>
  <rcc rId="603" sId="1">
    <nc r="K377" t="inlineStr">
      <is>
        <t>Auto</t>
      </is>
    </nc>
  </rcc>
  <rcc rId="604" sId="1">
    <nc r="K378" t="inlineStr">
      <is>
        <t>Auto</t>
      </is>
    </nc>
  </rcc>
  <rcc rId="605" sId="1">
    <nc r="K379" t="inlineStr">
      <is>
        <t>Auto</t>
      </is>
    </nc>
  </rcc>
  <rcc rId="606" sId="1">
    <nc r="K380" t="inlineStr">
      <is>
        <t>Auto</t>
      </is>
    </nc>
  </rcc>
  <rcc rId="607" sId="1">
    <nc r="K381" t="inlineStr">
      <is>
        <t>Auto</t>
      </is>
    </nc>
  </rcc>
  <rcc rId="608" sId="1">
    <nc r="K382" t="inlineStr">
      <is>
        <t>Auto</t>
      </is>
    </nc>
  </rcc>
  <rcc rId="609" sId="1">
    <nc r="K383" t="inlineStr">
      <is>
        <t>Auto</t>
      </is>
    </nc>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12" sId="1">
    <oc r="K370" t="inlineStr">
      <is>
        <t>Auto</t>
      </is>
    </oc>
    <nc r="K370" t="inlineStr">
      <is>
        <t>Manual</t>
      </is>
    </nc>
  </rcc>
  <rcc rId="613" sId="1">
    <oc r="K371" t="inlineStr">
      <is>
        <t>Auto</t>
      </is>
    </oc>
    <nc r="K371" t="inlineStr">
      <is>
        <t>Manual</t>
      </is>
    </nc>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16" sId="1">
    <nc r="V367">
      <v>42</v>
    </nc>
  </rcc>
  <rcc rId="617" sId="1">
    <nc r="V368">
      <v>42</v>
    </nc>
  </rcc>
  <rcc rId="618" sId="1">
    <nc r="V369">
      <v>259</v>
    </nc>
  </rcc>
  <rcc rId="619" sId="1">
    <nc r="V372">
      <v>26</v>
    </nc>
  </rcc>
  <rcc rId="620" sId="1">
    <nc r="V373">
      <v>296</v>
    </nc>
  </rcc>
  <rcc rId="621" sId="1">
    <nc r="V374">
      <v>184</v>
    </nc>
  </rcc>
  <rcc rId="622" sId="1">
    <nc r="V375">
      <v>641</v>
    </nc>
  </rcc>
  <rcc rId="623" sId="1">
    <nc r="V376">
      <v>25</v>
    </nc>
  </rcc>
  <rcc rId="624" sId="1">
    <nc r="V377">
      <v>220</v>
    </nc>
  </rcc>
  <rcc rId="625" sId="1">
    <nc r="V378">
      <v>7</v>
    </nc>
  </rcc>
  <rcc rId="626" sId="1">
    <nc r="V379">
      <v>7</v>
    </nc>
  </rcc>
  <rcc rId="627" sId="1">
    <nc r="V380">
      <v>7</v>
    </nc>
  </rcc>
  <rcc rId="628" sId="1">
    <nc r="V381">
      <v>259</v>
    </nc>
  </rcc>
  <rcc rId="629" sId="1">
    <nc r="V382">
      <v>371</v>
    </nc>
  </rcc>
  <rcc rId="630" sId="1">
    <nc r="V383">
      <v>115</v>
    </nc>
  </rcc>
  <rcc rId="631" sId="1">
    <nc r="V370">
      <v>30</v>
    </nc>
  </rcc>
  <rcc rId="632" sId="1">
    <nc r="V371">
      <v>50</v>
    </nc>
  </rcc>
  <rcc rId="633" sId="1">
    <nc r="V366">
      <v>106</v>
    </nc>
  </rcc>
  <rcc rId="634" sId="1">
    <nc r="W366">
      <f>V366</f>
    </nc>
  </rcc>
  <rcc rId="635" sId="1">
    <nc r="W367">
      <f>V367</f>
    </nc>
  </rcc>
  <rcc rId="636" sId="1">
    <nc r="W368">
      <f>V368</f>
    </nc>
  </rcc>
  <rcc rId="637" sId="1">
    <nc r="W369">
      <f>V369</f>
    </nc>
  </rcc>
  <rcc rId="638" sId="1">
    <nc r="W370">
      <f>V370</f>
    </nc>
  </rcc>
  <rcc rId="639" sId="1">
    <nc r="W371">
      <f>V371</f>
    </nc>
  </rcc>
  <rcc rId="640" sId="1">
    <nc r="W372">
      <f>V372</f>
    </nc>
  </rcc>
  <rcc rId="641" sId="1">
    <nc r="W373">
      <f>V373</f>
    </nc>
  </rcc>
  <rcc rId="642" sId="1">
    <nc r="W374">
      <f>V374</f>
    </nc>
  </rcc>
  <rcc rId="643" sId="1">
    <nc r="W375">
      <f>V375</f>
    </nc>
  </rcc>
  <rcc rId="644" sId="1">
    <nc r="W376">
      <f>V376</f>
    </nc>
  </rcc>
  <rcc rId="645" sId="1">
    <nc r="W377">
      <f>V377</f>
    </nc>
  </rcc>
  <rcc rId="646" sId="1">
    <nc r="W378">
      <f>V378</f>
    </nc>
  </rcc>
  <rcc rId="647" sId="1">
    <nc r="W379">
      <f>V379</f>
    </nc>
  </rcc>
  <rcc rId="648" sId="1">
    <nc r="W380">
      <f>V380</f>
    </nc>
  </rcc>
  <rcc rId="649" sId="1">
    <nc r="W381">
      <f>V381</f>
    </nc>
  </rcc>
  <rcc rId="650" sId="1">
    <nc r="W382">
      <f>V382</f>
    </nc>
  </rcc>
  <rcc rId="651" sId="1">
    <nc r="W383">
      <f>V383</f>
    </nc>
  </rcc>
  <rcc rId="652" sId="1">
    <nc r="Y366">
      <f>ROUNDDOWN(W366/HLOOKUP(D366,Table!$C$3:$D$4,2,0)*8,2)</f>
    </nc>
  </rcc>
  <rcc rId="653" sId="1">
    <nc r="Y367">
      <f>ROUNDDOWN(W367/HLOOKUP(D367,Table!$C$3:$D$4,2,0)*8,2)</f>
    </nc>
  </rcc>
  <rcc rId="654" sId="1">
    <nc r="Y368">
      <f>ROUNDDOWN(W368/HLOOKUP(D368,Table!$C$3:$D$4,2,0)*8,2)</f>
    </nc>
  </rcc>
  <rcc rId="655" sId="1">
    <nc r="Y369">
      <f>ROUNDDOWN(W369/HLOOKUP(D369,Table!$C$3:$D$4,2,0)*8,2)</f>
    </nc>
  </rcc>
  <rcc rId="656" sId="1">
    <nc r="Y370">
      <f>ROUNDDOWN(W370/HLOOKUP(D370,Table!$C$3:$D$4,2,0)*8,2)</f>
    </nc>
  </rcc>
  <rcc rId="657" sId="1">
    <nc r="Y371">
      <f>ROUNDDOWN(W371/HLOOKUP(D371,Table!$C$3:$D$4,2,0)*8,2)</f>
    </nc>
  </rcc>
  <rcc rId="658" sId="1">
    <nc r="Y372">
      <f>ROUNDDOWN(W372/HLOOKUP(D372,Table!$C$3:$D$4,2,0)*8,2)</f>
    </nc>
  </rcc>
  <rcc rId="659" sId="1">
    <nc r="Y373">
      <f>ROUNDDOWN(W373/HLOOKUP(D373,Table!$C$3:$D$4,2,0)*8,2)</f>
    </nc>
  </rcc>
  <rcc rId="660" sId="1">
    <nc r="Y374">
      <f>ROUNDDOWN(W374/HLOOKUP(D374,Table!$C$3:$D$4,2,0)*8,2)</f>
    </nc>
  </rcc>
  <rcc rId="661" sId="1">
    <nc r="Y375">
      <f>ROUNDDOWN(W375/HLOOKUP(D375,Table!$C$3:$D$4,2,0)*8,2)</f>
    </nc>
  </rcc>
  <rcc rId="662" sId="1">
    <nc r="Y376">
      <f>ROUNDDOWN(W376/HLOOKUP(D376,Table!$C$3:$D$4,2,0)*8,2)</f>
    </nc>
  </rcc>
  <rcc rId="663" sId="1">
    <nc r="Y377">
      <f>ROUNDDOWN(W377/HLOOKUP(D377,Table!$C$3:$D$4,2,0)*8,2)</f>
    </nc>
  </rcc>
  <rcc rId="664" sId="1">
    <nc r="Y378">
      <f>ROUNDDOWN(W378/HLOOKUP(D378,Table!$C$3:$D$4,2,0)*8,2)</f>
    </nc>
  </rcc>
  <rcc rId="665" sId="1">
    <nc r="Y379">
      <f>ROUNDDOWN(W379/HLOOKUP(D379,Table!$C$3:$D$4,2,0)*8,2)</f>
    </nc>
  </rcc>
  <rcc rId="666" sId="1">
    <nc r="Y380">
      <f>ROUNDDOWN(W380/HLOOKUP(D380,Table!$C$3:$D$4,2,0)*8,2)</f>
    </nc>
  </rcc>
  <rcc rId="667" sId="1">
    <nc r="Y381">
      <f>ROUNDDOWN(W381/HLOOKUP(D381,Table!$C$3:$D$4,2,0)*8,2)</f>
    </nc>
  </rcc>
  <rcc rId="668" sId="1">
    <nc r="Y382">
      <f>ROUNDDOWN(W382/HLOOKUP(D382,Table!$C$3:$D$4,2,0)*8,2)</f>
    </nc>
  </rcc>
  <rcc rId="669" sId="1">
    <nc r="Y383">
      <f>ROUNDDOWN(W383/HLOOKUP(D383,Table!$C$3:$D$4,2,0)*8,2)</f>
    </nc>
  </rcc>
</revisions>
</file>

<file path=xl/revisions/revisionLog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0" sId="1" numFmtId="19">
    <nc r="AD367">
      <v>43982</v>
    </nc>
  </rcc>
  <rcc rId="671" sId="1" numFmtId="19">
    <nc r="AD368">
      <v>43982</v>
    </nc>
  </rcc>
  <rcc rId="672" sId="1" numFmtId="19">
    <nc r="AD369">
      <v>43982</v>
    </nc>
  </rcc>
  <rcc rId="673" sId="1" numFmtId="19">
    <nc r="AD370">
      <v>43983</v>
    </nc>
  </rcc>
  <rcc rId="674" sId="1" numFmtId="19">
    <nc r="AD371">
      <v>43983</v>
    </nc>
  </rcc>
  <rcc rId="675" sId="1" numFmtId="19">
    <nc r="AD372">
      <v>43977</v>
    </nc>
  </rcc>
  <rcc rId="676" sId="1" numFmtId="19">
    <nc r="AD373">
      <v>43979</v>
    </nc>
  </rcc>
  <rcc rId="677" sId="1" numFmtId="19">
    <nc r="AD374">
      <v>43979</v>
    </nc>
  </rcc>
  <rcc rId="678" sId="1" numFmtId="19">
    <nc r="AD375">
      <v>43979</v>
    </nc>
  </rcc>
  <rcc rId="679" sId="1" numFmtId="19">
    <nc r="AD376">
      <v>43979</v>
    </nc>
  </rcc>
  <rcc rId="680" sId="1" numFmtId="19">
    <nc r="AD377">
      <v>43979</v>
    </nc>
  </rcc>
  <rcc rId="681" sId="1" numFmtId="19">
    <nc r="AD378">
      <v>43979</v>
    </nc>
  </rcc>
  <rcc rId="682" sId="1" numFmtId="19">
    <nc r="AD379">
      <v>43979</v>
    </nc>
  </rcc>
  <rcc rId="683" sId="1" numFmtId="19">
    <nc r="AD380">
      <v>43979</v>
    </nc>
  </rcc>
  <rcc rId="684" sId="1" numFmtId="19">
    <nc r="AD381">
      <v>43979</v>
    </nc>
  </rcc>
  <rcc rId="685" sId="1" numFmtId="19">
    <nc r="AD382">
      <v>43979</v>
    </nc>
  </rcc>
  <rcc rId="686" sId="1" numFmtId="19">
    <nc r="AD383">
      <v>43979</v>
    </nc>
  </rcc>
</revisions>
</file>

<file path=xl/revisions/revisionLog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87" sId="1" numFmtId="19">
    <nc r="AC366">
      <v>43973</v>
    </nc>
  </rcc>
  <rcc rId="688" sId="1" numFmtId="19">
    <nc r="AC367">
      <v>43973</v>
    </nc>
  </rcc>
  <rcc rId="689" sId="1" numFmtId="19">
    <nc r="AC368">
      <v>43973</v>
    </nc>
  </rcc>
  <rcc rId="690" sId="1" numFmtId="19">
    <nc r="AC369">
      <v>43973</v>
    </nc>
  </rcc>
  <rcc rId="691" sId="1" numFmtId="19">
    <nc r="AC370">
      <v>43973</v>
    </nc>
  </rcc>
  <rcc rId="692" sId="1" numFmtId="19">
    <nc r="AC371">
      <v>43973</v>
    </nc>
  </rcc>
  <rcc rId="693" sId="1" numFmtId="19">
    <nc r="AC372">
      <v>43973</v>
    </nc>
  </rcc>
  <rcc rId="694" sId="1" numFmtId="19">
    <nc r="AC373">
      <v>43973</v>
    </nc>
  </rcc>
  <rcc rId="695" sId="1" numFmtId="19">
    <nc r="AC374">
      <v>43973</v>
    </nc>
  </rcc>
  <rcc rId="696" sId="1" numFmtId="19">
    <nc r="AC375">
      <v>43973</v>
    </nc>
  </rcc>
  <rcc rId="697" sId="1" numFmtId="19">
    <nc r="AC376">
      <v>43973</v>
    </nc>
  </rcc>
  <rcc rId="698" sId="1" numFmtId="19">
    <nc r="AC377">
      <v>43973</v>
    </nc>
  </rcc>
  <rcc rId="699" sId="1" numFmtId="19">
    <nc r="AC378">
      <v>43973</v>
    </nc>
  </rcc>
  <rcc rId="700" sId="1" numFmtId="19">
    <nc r="AC379">
      <v>43973</v>
    </nc>
  </rcc>
  <rcc rId="701" sId="1" numFmtId="19">
    <nc r="AC380">
      <v>43973</v>
    </nc>
  </rcc>
  <rcc rId="702" sId="1" numFmtId="19">
    <nc r="AC381">
      <v>43973</v>
    </nc>
  </rcc>
  <rcc rId="703" sId="1" numFmtId="19">
    <nc r="AC382">
      <v>43973</v>
    </nc>
  </rcc>
  <rcc rId="704" sId="1" numFmtId="19">
    <nc r="AC383">
      <v>43973</v>
    </nc>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07" sId="1" quotePrefix="1">
    <nc r="P366" t="inlineStr">
      <is>
        <t>LI Chengcheng (CC-AS/EVA-SW33-CN)</t>
      </is>
    </nc>
  </rcc>
  <rcc rId="708" sId="1" quotePrefix="1">
    <nc r="P367" t="inlineStr">
      <is>
        <t>RUBAGAN Varunidhan (CC-AS/EVA-SW2-CN)</t>
      </is>
    </nc>
  </rcc>
  <rcc rId="709" sId="1" quotePrefix="1">
    <nc r="P368" t="inlineStr">
      <is>
        <t>RUBAGAN Varunidhan (CC-AS/EVA-SW2-CN)</t>
      </is>
    </nc>
  </rcc>
  <rcc rId="710" sId="1" quotePrefix="1">
    <nc r="P369" t="inlineStr">
      <is>
        <t>GUO Sasa (CC-AS/EVA-SW3-CN)</t>
      </is>
    </nc>
  </rcc>
  <rcc rId="711" sId="1" quotePrefix="1">
    <nc r="P370" t="inlineStr">
      <is>
        <t>XU Xueming (CC-AS/EVA-SW2-CN)</t>
      </is>
    </nc>
  </rcc>
  <rcc rId="712" sId="1" quotePrefix="1">
    <nc r="P371" t="inlineStr">
      <is>
        <t>XU Xueming (CC-AS/EVA-SW2-CN)</t>
      </is>
    </nc>
  </rcc>
  <rcc rId="713" sId="1" quotePrefix="1">
    <nc r="P372" t="inlineStr">
      <is>
        <t>ZHANG Xuetao (CC-AS/EVA-SW31-CN)</t>
      </is>
    </nc>
  </rcc>
  <rcc rId="714" sId="1" quotePrefix="1">
    <nc r="P373" t="inlineStr">
      <is>
        <t>To Trong Khoa (RBVH/EAS11)</t>
      </is>
    </nc>
  </rcc>
  <rcc rId="715" sId="1" quotePrefix="1">
    <nc r="P374" t="inlineStr">
      <is>
        <t>To Trong Khoa (RBVH/EAS11)</t>
      </is>
    </nc>
  </rcc>
  <rcc rId="716" sId="1" quotePrefix="1">
    <nc r="P375" t="inlineStr">
      <is>
        <t>To Trong Khoa (RBVH/EAS11)</t>
      </is>
    </nc>
  </rcc>
  <rcc rId="717" sId="1" quotePrefix="1">
    <nc r="P376" t="inlineStr">
      <is>
        <t>To Trong Khoa (RBVH/EAS11)</t>
      </is>
    </nc>
  </rcc>
  <rcc rId="718" sId="1" quotePrefix="1">
    <nc r="P377" t="inlineStr">
      <is>
        <t>To Trong Khoa (RBVH/EAS11)</t>
      </is>
    </nc>
  </rcc>
  <rcc rId="719" sId="1" quotePrefix="1">
    <nc r="P378" t="inlineStr">
      <is>
        <t>To Trong Khoa (RBVH/EAS11)</t>
      </is>
    </nc>
  </rcc>
  <rcc rId="720" sId="1" quotePrefix="1">
    <nc r="P379" t="inlineStr">
      <is>
        <t>To Trong Khoa (RBVH/EAS11)</t>
      </is>
    </nc>
  </rcc>
  <rcc rId="721" sId="1" quotePrefix="1">
    <nc r="P380" t="inlineStr">
      <is>
        <t>To Trong Khoa (RBVH/EAS11)</t>
      </is>
    </nc>
  </rcc>
  <rcc rId="722" sId="1" quotePrefix="1">
    <nc r="P381" t="inlineStr">
      <is>
        <t>To Trong Khoa (RBVH/EAS11)</t>
      </is>
    </nc>
  </rcc>
  <rcc rId="723" sId="1" quotePrefix="1">
    <nc r="P382" t="inlineStr">
      <is>
        <t>To Trong Khoa (RBVH/EAS11)</t>
      </is>
    </nc>
  </rcc>
  <rcc rId="724" sId="1" quotePrefix="1">
    <nc r="P383" t="inlineStr">
      <is>
        <t>To Trong Khoa (RBVH/EAS11)</t>
      </is>
    </nc>
  </rcc>
  <rcc rId="725" sId="1">
    <nc r="N366" t="inlineStr">
      <is>
        <t>GWM_AB30_CP_Int</t>
      </is>
    </nc>
  </rcc>
  <rcc rId="726" sId="1">
    <nc r="N367" t="inlineStr">
      <is>
        <t>GAC_IB2_HADHAP_Int</t>
      </is>
    </nc>
  </rcc>
  <rcc rId="727" sId="1">
    <nc r="N368" t="inlineStr">
      <is>
        <t>GAC_IB2_HADHAP_Int</t>
      </is>
    </nc>
  </rcc>
  <rcc rId="728" sId="1">
    <nc r="N369" t="inlineStr">
      <is>
        <t>BYD_IPB_BL05_Int</t>
      </is>
    </nc>
  </rcc>
  <rcc rId="729" sId="1">
    <nc r="N370" t="inlineStr">
      <is>
        <t>GEEA</t>
      </is>
    </nc>
  </rcc>
  <rcc rId="730" sId="1">
    <nc r="N371" t="inlineStr">
      <is>
        <t>GEEA</t>
      </is>
    </nc>
  </rcc>
  <rcc rId="731" sId="1">
    <nc r="N372" t="inlineStr">
      <is>
        <t>SAIC_A_ARCH_CMP_ESP93_Carbon_Int</t>
      </is>
    </nc>
  </rcc>
  <rcc rId="732" sId="1">
    <nc r="N373" t="inlineStr">
      <is>
        <t>SGMW_ESP93_Mainstream_RBVH_Int</t>
      </is>
    </nc>
  </rcc>
  <rcc rId="733" sId="1">
    <nc r="N374" t="inlineStr">
      <is>
        <t>SGMW_ESP93_Mainstream_RBVH_Int</t>
      </is>
    </nc>
  </rcc>
  <rcc rId="734" sId="1">
    <nc r="N375" t="inlineStr">
      <is>
        <t>SGMW_ESP93_Mainstream_RBVH_Int</t>
      </is>
    </nc>
  </rcc>
  <rcc rId="735" sId="1">
    <nc r="N376" t="inlineStr">
      <is>
        <t>SGMW_ESP93_Mainstream_RBVH_Int</t>
      </is>
    </nc>
  </rcc>
  <rcc rId="736" sId="1">
    <nc r="N377" t="inlineStr">
      <is>
        <t>SGMW_ESP93_Mainstream_RBVH_Int</t>
      </is>
    </nc>
  </rcc>
  <rcc rId="737" sId="1">
    <nc r="N378" t="inlineStr">
      <is>
        <t>SGMW_ESP93_Mainstream_RBVH_Int</t>
      </is>
    </nc>
  </rcc>
  <rcc rId="738" sId="1">
    <nc r="N379" t="inlineStr">
      <is>
        <t>SGMW_ESP93_Mainstream_RBVH_Int</t>
      </is>
    </nc>
  </rcc>
  <rcc rId="739" sId="1">
    <nc r="N380" t="inlineStr">
      <is>
        <t>SGMW_ESP93_Mainstream_RBVH_Int</t>
      </is>
    </nc>
  </rcc>
  <rcc rId="740" sId="1">
    <nc r="N381" t="inlineStr">
      <is>
        <t>SGMW_ESP93_Mainstream_RBVH_Int</t>
      </is>
    </nc>
  </rcc>
  <rcc rId="741" sId="1">
    <nc r="N382" t="inlineStr">
      <is>
        <t>SGMW_ESP93_Mainstream_RBVH_Int</t>
      </is>
    </nc>
  </rcc>
  <rcc rId="742" sId="1">
    <nc r="N383" t="inlineStr">
      <is>
        <t>SGMW_ESP93_Mainstream_RBVH_Int</t>
      </is>
    </nc>
  </rcc>
  <rcc rId="743" sId="1">
    <nc r="L367" t="inlineStr">
      <is>
        <t>BB81614, BB99300, BB81296,BB99202</t>
      </is>
    </nc>
  </rcc>
  <rcc rId="744" sId="1">
    <nc r="L368" t="inlineStr">
      <is>
        <t>BB81614, BB99300, BB81296,BB99202</t>
      </is>
    </nc>
  </rcc>
  <rcc rId="745" sId="1">
    <nc r="L372" t="inlineStr">
      <is>
        <t>BB81433 / BB81853</t>
      </is>
    </nc>
  </rcc>
  <rcc rId="746" sId="1">
    <nc r="L373" t="inlineStr">
      <is>
        <t>BB81722</t>
      </is>
    </nc>
  </rcc>
  <rcc rId="747" sId="1">
    <nc r="L374" t="inlineStr">
      <is>
        <t>BB81722</t>
      </is>
    </nc>
  </rcc>
  <rcc rId="748" sId="1">
    <nc r="L375" t="inlineStr">
      <is>
        <t>BB81722</t>
      </is>
    </nc>
  </rcc>
  <rcc rId="749" sId="1">
    <nc r="L376" t="inlineStr">
      <is>
        <t>BB81722</t>
      </is>
    </nc>
  </rcc>
  <rcc rId="750" sId="1">
    <nc r="L377" t="inlineStr">
      <is>
        <t>BB81722</t>
      </is>
    </nc>
  </rcc>
  <rcc rId="751" sId="1">
    <nc r="L378" t="inlineStr">
      <is>
        <t>BB81722</t>
      </is>
    </nc>
  </rcc>
  <rcc rId="752" sId="1">
    <nc r="L379" t="inlineStr">
      <is>
        <t>BB81722</t>
      </is>
    </nc>
  </rcc>
  <rcc rId="753" sId="1">
    <nc r="L380" t="inlineStr">
      <is>
        <t>BB81722</t>
      </is>
    </nc>
  </rcc>
  <rcc rId="754" sId="1">
    <nc r="L381" t="inlineStr">
      <is>
        <t>BB81722</t>
      </is>
    </nc>
  </rcc>
  <rcc rId="755" sId="1">
    <nc r="L382" t="inlineStr">
      <is>
        <t>BB81722</t>
      </is>
    </nc>
  </rcc>
  <rcc rId="756" sId="1">
    <nc r="L383" t="inlineStr">
      <is>
        <t>BB81722</t>
      </is>
    </nc>
  </rcc>
  <rcc rId="757" sId="1">
    <nc r="L366" t="inlineStr">
      <is>
        <t>None</t>
      </is>
    </nc>
  </rcc>
  <rcc rId="758" sId="1">
    <nc r="L369" t="inlineStr">
      <is>
        <t>None</t>
      </is>
    </nc>
  </rcc>
  <rcc rId="759" sId="1" odxf="1" dxf="1" quotePrefix="1">
    <nc r="L370" t="inlineStr">
      <is>
        <t>-</t>
      </is>
    </nc>
    <ndxf/>
  </rcc>
  <rcc rId="760" sId="1">
    <nc r="L371" t="inlineStr">
      <is>
        <t>-</t>
      </is>
    </nc>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63" sId="1">
    <nc r="M367" t="inlineStr">
      <is>
        <t>BL06</t>
      </is>
    </nc>
  </rcc>
  <rcc rId="764" sId="1">
    <nc r="M368" t="inlineStr">
      <is>
        <t>BL06</t>
      </is>
    </nc>
  </rcc>
  <rcc rId="765" sId="1">
    <nc r="M369" t="inlineStr">
      <is>
        <t>BL05_SP14</t>
      </is>
    </nc>
  </rcc>
  <rcc rId="766" sId="1">
    <nc r="M370" t="inlineStr">
      <is>
        <t>BL07</t>
      </is>
    </nc>
  </rcc>
  <rcc rId="767" sId="1">
    <nc r="M371" t="inlineStr">
      <is>
        <t>BL07</t>
      </is>
    </nc>
  </rcc>
  <rcc rId="768" sId="1">
    <nc r="M373" t="inlineStr">
      <is>
        <t>None</t>
      </is>
    </nc>
  </rcc>
  <rcc rId="769" sId="1">
    <nc r="M374" t="inlineStr">
      <is>
        <t>None</t>
      </is>
    </nc>
  </rcc>
  <rcc rId="770" sId="1">
    <nc r="M375" t="inlineStr">
      <is>
        <t>None</t>
      </is>
    </nc>
  </rcc>
  <rcc rId="771" sId="1">
    <nc r="M376" t="inlineStr">
      <is>
        <t>None</t>
      </is>
    </nc>
  </rcc>
  <rcc rId="772" sId="1">
    <nc r="M377" t="inlineStr">
      <is>
        <t>None</t>
      </is>
    </nc>
  </rcc>
  <rcc rId="773" sId="1">
    <nc r="M378" t="inlineStr">
      <is>
        <t>None</t>
      </is>
    </nc>
  </rcc>
  <rcc rId="774" sId="1">
    <nc r="M379" t="inlineStr">
      <is>
        <t>None</t>
      </is>
    </nc>
  </rcc>
  <rcc rId="775" sId="1">
    <nc r="M380" t="inlineStr">
      <is>
        <t>None</t>
      </is>
    </nc>
  </rcc>
  <rcc rId="776" sId="1">
    <nc r="M381" t="inlineStr">
      <is>
        <t>None</t>
      </is>
    </nc>
  </rcc>
  <rcc rId="777" sId="1">
    <nc r="M382" t="inlineStr">
      <is>
        <t>None</t>
      </is>
    </nc>
  </rcc>
  <rcc rId="778" sId="1">
    <nc r="M383" t="inlineStr">
      <is>
        <t>None</t>
      </is>
    </nc>
  </rcc>
</revisions>
</file>

<file path=xl/revisions/revisionLog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345:XFD345">
    <dxf>
      <font>
        <b val="0"/>
        <i val="0"/>
        <strike val="0"/>
        <condense val="0"/>
        <extend val="0"/>
        <outline val="0"/>
        <shadow val="0"/>
        <u val="none"/>
        <vertAlign val="baseline"/>
        <sz val="10"/>
        <color rgb="FF9C6500"/>
        <name val="Arial"/>
        <scheme val="none"/>
      </font>
      <fill>
        <patternFill patternType="solid">
          <fgColor indexed="65"/>
          <bgColor rgb="FFFFEB9C"/>
        </patternFill>
      </fill>
    </dxf>
  </rfmt>
  <rfmt sheetId="1" sqref="AA345" start="0" length="0">
    <dxf>
      <font>
        <sz val="10"/>
        <color rgb="FF9C6500"/>
        <name val="Arial"/>
        <scheme val="minor"/>
      </font>
      <fill>
        <patternFill patternType="none">
          <bgColor indexed="65"/>
        </patternFill>
      </fill>
    </dxf>
  </rfmt>
  <rfmt sheetId="1" sqref="AG345" start="0" length="0">
    <dxf>
      <font>
        <sz val="10"/>
        <color rgb="FF9C6500"/>
        <name val="Arial"/>
        <scheme val="minor"/>
      </font>
      <fill>
        <patternFill patternType="none">
          <bgColor indexed="65"/>
        </patternFill>
      </fill>
    </dxf>
  </rfmt>
  <rfmt sheetId="1" sqref="AH345" start="0" length="0">
    <dxf>
      <font>
        <sz val="10"/>
        <color rgb="FF9C6500"/>
        <name val="Arial"/>
        <scheme val="minor"/>
      </font>
      <fill>
        <patternFill patternType="none">
          <bgColor indexed="65"/>
        </patternFill>
      </fill>
    </dxf>
  </rfmt>
  <rfmt sheetId="1" sqref="AI345" start="0" length="0">
    <dxf>
      <font>
        <sz val="10"/>
        <color rgb="FF9C6500"/>
        <name val="Arial"/>
        <scheme val="minor"/>
      </font>
      <fill>
        <patternFill patternType="none">
          <bgColor indexed="65"/>
        </patternFill>
      </fill>
    </dxf>
  </rfmt>
  <rfmt sheetId="1" sqref="AJ345" start="0" length="0">
    <dxf>
      <font>
        <sz val="10"/>
        <color rgb="FF9C6500"/>
        <name val="Arial"/>
        <scheme val="minor"/>
      </font>
      <fill>
        <patternFill patternType="none">
          <bgColor indexed="65"/>
        </patternFill>
      </fill>
    </dxf>
  </rfmt>
  <rfmt sheetId="1" sqref="AK345" start="0" length="0">
    <dxf>
      <font>
        <sz val="10"/>
        <color rgb="FF9C6500"/>
        <name val="Arial"/>
        <scheme val="minor"/>
      </font>
      <fill>
        <patternFill patternType="none">
          <bgColor indexed="65"/>
        </patternFill>
      </fill>
    </dxf>
  </rfmt>
  <rfmt sheetId="1" sqref="A345" start="0" length="0">
    <dxf>
      <font>
        <sz val="11"/>
        <color theme="1"/>
        <name val="Calibri"/>
        <scheme val="minor"/>
      </font>
      <fill>
        <patternFill patternType="none">
          <bgColor indexed="65"/>
        </patternFill>
      </fill>
    </dxf>
  </rfmt>
  <rcc rId="779" sId="1" odxf="1" dxf="1">
    <oc r="B345">
      <f>B344+1</f>
    </oc>
    <nc r="B345">
      <f>B344+1</f>
    </nc>
    <odxf>
      <font>
        <sz val="10"/>
        <color rgb="FF9C6500"/>
        <name val="Arial"/>
        <scheme val="none"/>
      </font>
      <fill>
        <patternFill>
          <bgColor rgb="FFFFEB9C"/>
        </patternFill>
      </fill>
    </odxf>
    <ndxf>
      <font>
        <sz val="10"/>
        <color auto="1"/>
        <name val="Arial"/>
        <scheme val="minor"/>
      </font>
      <fill>
        <patternFill>
          <bgColor theme="5" tint="0.59999389629810485"/>
        </patternFill>
      </fill>
    </ndxf>
  </rcc>
  <rfmt sheetId="1" sqref="C345" start="0" length="0">
    <dxf>
      <font>
        <sz val="11"/>
        <color theme="1"/>
        <name val="Calibri"/>
        <scheme val="minor"/>
      </font>
      <fill>
        <patternFill patternType="none">
          <bgColor indexed="65"/>
        </patternFill>
      </fill>
    </dxf>
  </rfmt>
  <rfmt sheetId="1" sqref="D345" start="0" length="0">
    <dxf>
      <font>
        <sz val="11"/>
        <color theme="1"/>
        <name val="Calibri"/>
        <scheme val="minor"/>
      </font>
      <fill>
        <patternFill patternType="none">
          <bgColor indexed="65"/>
        </patternFill>
      </fill>
    </dxf>
  </rfmt>
  <rfmt sheetId="1" sqref="E345" start="0" length="0">
    <dxf>
      <font>
        <sz val="11"/>
        <color theme="1"/>
        <name val="Calibri"/>
        <scheme val="minor"/>
      </font>
      <fill>
        <patternFill patternType="none">
          <bgColor indexed="65"/>
        </patternFill>
      </fill>
    </dxf>
  </rfmt>
  <rfmt sheetId="1" sqref="F345" start="0" length="0">
    <dxf>
      <font>
        <b/>
        <sz val="10"/>
        <color rgb="FF9C6500"/>
        <name val="Arial"/>
        <scheme val="minor"/>
      </font>
      <fill>
        <patternFill patternType="none">
          <bgColor indexed="65"/>
        </patternFill>
      </fill>
    </dxf>
  </rfmt>
  <rfmt sheetId="1" sqref="G345" start="0" length="0">
    <dxf>
      <font>
        <sz val="11"/>
        <color theme="1"/>
        <name val="Calibri"/>
        <scheme val="minor"/>
      </font>
      <fill>
        <patternFill patternType="none">
          <bgColor indexed="65"/>
        </patternFill>
      </fill>
    </dxf>
  </rfmt>
  <rfmt sheetId="1" sqref="H345" start="0" length="0">
    <dxf>
      <font>
        <sz val="11"/>
        <color theme="1"/>
        <name val="Calibri"/>
        <scheme val="minor"/>
      </font>
      <fill>
        <patternFill>
          <bgColor theme="0" tint="-0.499984740745262"/>
        </patternFill>
      </fill>
    </dxf>
  </rfmt>
  <rfmt sheetId="1" sqref="I345" start="0" length="0">
    <dxf>
      <font>
        <sz val="11"/>
        <color theme="1"/>
        <name val="Calibri"/>
        <scheme val="minor"/>
      </font>
      <fill>
        <patternFill patternType="none">
          <bgColor indexed="65"/>
        </patternFill>
      </fill>
    </dxf>
  </rfmt>
  <rfmt sheetId="1" sqref="J345" start="0" length="0">
    <dxf>
      <font>
        <sz val="11"/>
        <color theme="1"/>
        <name val="Calibri"/>
        <scheme val="minor"/>
      </font>
      <fill>
        <patternFill>
          <bgColor theme="0" tint="-0.499984740745262"/>
        </patternFill>
      </fill>
    </dxf>
  </rfmt>
  <rfmt sheetId="1" sqref="K345" start="0" length="0">
    <dxf>
      <font>
        <sz val="11"/>
        <color theme="1"/>
        <name val="Calibri"/>
        <scheme val="minor"/>
      </font>
      <fill>
        <patternFill patternType="none">
          <bgColor indexed="65"/>
        </patternFill>
      </fill>
    </dxf>
  </rfmt>
  <rfmt sheetId="1" sqref="L345" start="0" length="0">
    <dxf>
      <font>
        <sz val="11"/>
        <color theme="1"/>
        <name val="Calibri"/>
        <scheme val="minor"/>
      </font>
      <fill>
        <patternFill patternType="none">
          <bgColor indexed="65"/>
        </patternFill>
      </fill>
    </dxf>
  </rfmt>
  <rfmt sheetId="1" sqref="M345" start="0" length="0">
    <dxf>
      <font>
        <sz val="11"/>
        <color theme="1"/>
        <name val="Calibri"/>
        <scheme val="minor"/>
      </font>
      <fill>
        <patternFill patternType="none">
          <bgColor indexed="65"/>
        </patternFill>
      </fill>
    </dxf>
  </rfmt>
  <rfmt sheetId="1" sqref="N345" start="0" length="0">
    <dxf>
      <font>
        <sz val="11"/>
        <color theme="1"/>
        <name val="Calibri"/>
        <scheme val="minor"/>
      </font>
      <fill>
        <patternFill patternType="none">
          <bgColor indexed="65"/>
        </patternFill>
      </fill>
    </dxf>
  </rfmt>
  <rfmt sheetId="1" sqref="O345" start="0" length="0">
    <dxf>
      <font>
        <sz val="11"/>
        <color theme="1"/>
        <name val="Calibri"/>
        <scheme val="minor"/>
      </font>
      <fill>
        <patternFill patternType="none">
          <bgColor indexed="65"/>
        </patternFill>
      </fill>
    </dxf>
  </rfmt>
  <rfmt sheetId="1" sqref="P345" start="0" length="0">
    <dxf>
      <font>
        <sz val="11"/>
        <color theme="1"/>
        <name val="Calibri"/>
        <scheme val="minor"/>
      </font>
      <fill>
        <patternFill patternType="none">
          <bgColor indexed="65"/>
        </patternFill>
      </fill>
    </dxf>
  </rfmt>
  <rfmt sheetId="1" sqref="Q345" start="0" length="0">
    <dxf>
      <font>
        <sz val="11"/>
        <color theme="1"/>
        <name val="Calibri"/>
        <scheme val="minor"/>
      </font>
      <fill>
        <patternFill>
          <bgColor rgb="FFFFFF00"/>
        </patternFill>
      </fill>
    </dxf>
  </rfmt>
  <rfmt sheetId="1" sqref="R345" start="0" length="0">
    <dxf>
      <font>
        <sz val="11"/>
        <color theme="1"/>
        <name val="Calibri"/>
        <scheme val="minor"/>
      </font>
      <fill>
        <patternFill>
          <bgColor theme="0" tint="-0.499984740745262"/>
        </patternFill>
      </fill>
    </dxf>
  </rfmt>
  <rfmt sheetId="1" sqref="S345" start="0" length="0">
    <dxf>
      <font>
        <sz val="11"/>
        <color theme="1"/>
        <name val="Calibri"/>
        <scheme val="minor"/>
      </font>
      <fill>
        <patternFill patternType="none">
          <bgColor indexed="65"/>
        </patternFill>
      </fill>
    </dxf>
  </rfmt>
  <rfmt sheetId="1" sqref="T345" start="0" length="0">
    <dxf>
      <font>
        <sz val="11"/>
        <color theme="1"/>
        <name val="Calibri"/>
        <scheme val="minor"/>
      </font>
      <fill>
        <patternFill patternType="none">
          <bgColor indexed="65"/>
        </patternFill>
      </fill>
    </dxf>
  </rfmt>
  <rfmt sheetId="1" sqref="U345" start="0" length="0">
    <dxf>
      <font>
        <sz val="11"/>
        <color theme="1"/>
        <name val="Calibri"/>
        <scheme val="minor"/>
      </font>
      <fill>
        <patternFill patternType="none">
          <bgColor indexed="65"/>
        </patternFill>
      </fill>
    </dxf>
  </rfmt>
  <rfmt sheetId="1" sqref="V345" start="0" length="0">
    <dxf>
      <font>
        <sz val="11"/>
        <color theme="1"/>
        <name val="Calibri"/>
        <scheme val="minor"/>
      </font>
      <fill>
        <patternFill patternType="none">
          <bgColor indexed="65"/>
        </patternFill>
      </fill>
    </dxf>
  </rfmt>
  <rcc rId="780" sId="1" odxf="1" dxf="1">
    <oc r="W345">
      <f>V345</f>
    </oc>
    <nc r="W345">
      <f>V345</f>
    </nc>
    <odxf>
      <font>
        <sz val="10"/>
        <color rgb="FF9C6500"/>
        <name val="Arial"/>
        <scheme val="none"/>
      </font>
      <fill>
        <patternFill patternType="solid">
          <bgColor rgb="FFFFEB9C"/>
        </patternFill>
      </fill>
    </odxf>
    <ndxf>
      <font>
        <sz val="11"/>
        <color theme="1"/>
        <name val="Calibri"/>
        <scheme val="minor"/>
      </font>
      <fill>
        <patternFill patternType="none">
          <bgColor indexed="65"/>
        </patternFill>
      </fill>
    </ndxf>
  </rcc>
  <rcc rId="781" sId="1" odxf="1" dxf="1">
    <nc r="X345">
      <f>W345</f>
    </nc>
    <ndxf>
      <font>
        <sz val="11"/>
        <color theme="1"/>
        <name val="Calibri"/>
        <scheme val="minor"/>
      </font>
      <fill>
        <patternFill patternType="none">
          <bgColor indexed="65"/>
        </patternFill>
      </fill>
    </ndxf>
  </rcc>
  <rcc rId="782" sId="1" odxf="1" dxf="1">
    <oc r="Y345">
      <f>ROUNDDOWN(W345/HLOOKUP(D345,Table!$C$3:$D$4,2,0)*8,2)</f>
    </oc>
    <nc r="Y345">
      <f>ROUNDDOWN(W345/HLOOKUP(D345,Table!$C$3:$D$4,2,0)*8,2)</f>
    </nc>
    <odxf>
      <font>
        <sz val="10"/>
        <color rgb="FF9C6500"/>
        <name val="Arial"/>
        <scheme val="none"/>
      </font>
      <fill>
        <patternFill patternType="solid">
          <bgColor rgb="FFFFEB9C"/>
        </patternFill>
      </fill>
    </odxf>
    <ndxf>
      <font>
        <sz val="11"/>
        <color theme="1"/>
        <name val="Calibri"/>
        <scheme val="minor"/>
      </font>
      <fill>
        <patternFill patternType="none">
          <bgColor indexed="65"/>
        </patternFill>
      </fill>
    </ndxf>
  </rcc>
  <rcc rId="783" sId="1" odxf="1" dxf="1">
    <nc r="Z345">
      <f>Y345</f>
    </nc>
    <ndxf>
      <font>
        <sz val="11"/>
        <color theme="1"/>
        <name val="Calibri"/>
        <scheme val="minor"/>
      </font>
      <fill>
        <patternFill patternType="none">
          <bgColor indexed="65"/>
        </patternFill>
      </fill>
    </ndxf>
  </rcc>
  <rcc rId="784" sId="1" odxf="1" dxf="1">
    <nc r="AA345" t="inlineStr">
      <is>
        <t>Ready for review</t>
      </is>
    </nc>
    <ndxf>
      <font>
        <sz val="11"/>
        <color theme="1"/>
        <name val="Calibri"/>
        <scheme val="minor"/>
      </font>
    </ndxf>
  </rcc>
  <rfmt sheetId="1" sqref="AB345" start="0" length="0">
    <dxf>
      <font>
        <sz val="11"/>
        <color theme="1"/>
        <name val="Calibri"/>
        <scheme val="minor"/>
      </font>
      <fill>
        <patternFill patternType="none">
          <bgColor indexed="65"/>
        </patternFill>
      </fill>
    </dxf>
  </rfmt>
  <rfmt sheetId="1" sqref="AC345" start="0" length="0">
    <dxf>
      <font>
        <sz val="11"/>
        <color theme="1"/>
        <name val="Calibri"/>
        <scheme val="minor"/>
      </font>
      <fill>
        <patternFill patternType="none">
          <bgColor indexed="65"/>
        </patternFill>
      </fill>
    </dxf>
  </rfmt>
  <rfmt sheetId="1" sqref="AD345" start="0" length="0">
    <dxf>
      <font>
        <sz val="11"/>
        <color theme="1"/>
        <name val="Calibri"/>
        <scheme val="minor"/>
      </font>
      <fill>
        <patternFill patternType="none">
          <bgColor indexed="65"/>
        </patternFill>
      </fill>
    </dxf>
  </rfmt>
  <rcc rId="785" sId="1" odxf="1" dxf="1" numFmtId="19">
    <nc r="AE345">
      <v>43973</v>
    </nc>
    <ndxf>
      <font>
        <sz val="11"/>
        <color theme="1"/>
        <name val="Calibri"/>
        <scheme val="minor"/>
      </font>
      <fill>
        <patternFill patternType="none">
          <bgColor indexed="65"/>
        </patternFill>
      </fill>
    </ndxf>
  </rcc>
  <rcc rId="786" sId="1" odxf="1" dxf="1" numFmtId="19">
    <nc r="AF345">
      <v>43973</v>
    </nc>
    <ndxf>
      <font>
        <sz val="11"/>
        <color theme="1"/>
        <name val="Calibri"/>
        <scheme val="minor"/>
      </font>
      <fill>
        <patternFill patternType="none">
          <bgColor indexed="65"/>
        </patternFill>
      </fill>
    </ndxf>
  </rcc>
  <rcc rId="787" sId="1" odxf="1" dxf="1">
    <nc r="AG345" t="inlineStr">
      <is>
        <t>OK</t>
      </is>
    </nc>
    <ndxf>
      <font>
        <sz val="11"/>
        <color theme="1"/>
        <name val="Calibri"/>
        <scheme val="minor"/>
      </font>
    </ndxf>
  </rcc>
  <rcc rId="788" sId="1" odxf="1" dxf="1" numFmtId="14">
    <nc r="AH345">
      <v>1</v>
    </nc>
    <ndxf>
      <font>
        <sz val="11"/>
        <color theme="1"/>
        <name val="Calibri"/>
        <scheme val="minor"/>
      </font>
    </ndxf>
  </rcc>
  <rcc rId="789" sId="1" odxf="1" dxf="1" numFmtId="14">
    <nc r="AI345">
      <v>1</v>
    </nc>
    <ndxf>
      <font>
        <sz val="11"/>
        <color theme="1"/>
        <name val="Calibri"/>
        <scheme val="minor"/>
      </font>
    </ndxf>
  </rcc>
  <rcc rId="790" sId="1" odxf="1" dxf="1" numFmtId="14">
    <nc r="AJ345">
      <v>1</v>
    </nc>
    <ndxf>
      <font>
        <sz val="11"/>
        <color theme="1"/>
        <name val="Calibri"/>
        <scheme val="minor"/>
      </font>
    </ndxf>
  </rcc>
  <rcc rId="791" sId="1" odxf="1" dxf="1">
    <nc r="AK345" t="inlineStr">
      <is>
        <t>None</t>
      </is>
    </nc>
    <ndxf>
      <font>
        <sz val="11"/>
        <color theme="1"/>
        <name val="Calibri"/>
        <scheme val="minor"/>
      </font>
    </ndxf>
  </rcc>
  <rfmt sheetId="1" sqref="AL345" start="0" length="0">
    <dxf>
      <font>
        <sz val="11"/>
        <color theme="1"/>
        <name val="Calibri"/>
        <scheme val="minor"/>
      </font>
      <fill>
        <patternFill patternType="none">
          <bgColor indexed="65"/>
        </patternFill>
      </fill>
    </dxf>
  </rfmt>
  <rfmt sheetId="1" sqref="AM345" start="0" length="0">
    <dxf>
      <font>
        <sz val="11"/>
        <color theme="1"/>
        <name val="Calibri"/>
        <scheme val="minor"/>
      </font>
      <fill>
        <patternFill patternType="none">
          <bgColor indexed="65"/>
        </patternFill>
      </fill>
    </dxf>
  </rfmt>
  <rfmt sheetId="1" sqref="AN345" start="0" length="0">
    <dxf>
      <font>
        <sz val="11"/>
        <color theme="1"/>
        <name val="Calibri"/>
        <scheme val="minor"/>
      </font>
      <fill>
        <patternFill>
          <bgColor rgb="FFFF0000"/>
        </patternFill>
      </fill>
    </dxf>
  </rfmt>
  <rfmt sheetId="1" sqref="AO345" start="0" length="0">
    <dxf>
      <font>
        <sz val="11"/>
        <color theme="1"/>
        <name val="Calibri"/>
        <scheme val="minor"/>
      </font>
      <fill>
        <patternFill patternType="none">
          <bgColor indexed="65"/>
        </patternFill>
      </fill>
    </dxf>
  </rfmt>
  <rfmt sheetId="1" sqref="AP345" start="0" length="0">
    <dxf>
      <font>
        <sz val="11"/>
        <color theme="1"/>
        <name val="Calibri"/>
        <scheme val="minor"/>
      </font>
      <fill>
        <patternFill patternType="none">
          <bgColor indexed="65"/>
        </patternFill>
      </fill>
    </dxf>
  </rfmt>
  <rfmt sheetId="1" sqref="A345:XFD345" start="0" length="0">
    <dxf>
      <font>
        <sz val="11"/>
        <color theme="1"/>
        <name val="Calibri"/>
        <scheme val="minor"/>
      </font>
      <fill>
        <patternFill patternType="none">
          <bgColor indexed="65"/>
        </patternFill>
      </fill>
    </dxf>
  </rfmt>
  <rcv guid="{72A6EB0A-84D5-4B8A-AC51-54CCD061630B}" action="delete"/>
  <rdn rId="0" localSheetId="1" customView="1" name="Z_72A6EB0A_84D5_4B8A_AC51_54CCD061630B_.wvu.FilterData" hidden="1" oldHidden="1">
    <formula>Merged_COEM!$B$47:$AN$423</formula>
    <oldFormula>Merged_COEM!$B$47:$AN$423</oldFormula>
  </rdn>
  <rdn rId="0" localSheetId="2" customView="1" name="Z_72A6EB0A_84D5_4B8A_AC51_54CCD061630B_.wvu.FilterData" hidden="1" oldHidden="1">
    <formula>Merged_JOEM!$B$47:$AN$187</formula>
    <oldFormula>Merged_JOEM!$B$47:$AN$187</oldFormula>
  </rdn>
  <rcv guid="{72A6EB0A-84D5-4B8A-AC51-54CCD061630B}" action="add"/>
</revisions>
</file>

<file path=xl/revisions/revisionLog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96" sId="1" numFmtId="19">
    <nc r="AD366">
      <v>43984</v>
    </nc>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01" sId="1">
    <nc r="S381" t="inlineStr">
      <is>
        <t>hieu.nguyen-trung</t>
      </is>
    </nc>
  </rcc>
  <rcc rId="802" sId="1">
    <nc r="S382" t="inlineStr">
      <is>
        <t>hieu.nguyen-trung</t>
      </is>
    </nc>
  </rcc>
  <rcc rId="803" sId="1">
    <nc r="S383" t="inlineStr">
      <is>
        <t>hieu.nguyen-trung</t>
      </is>
    </nc>
  </rcc>
  <rcc rId="804" sId="1">
    <nc r="S373" t="inlineStr">
      <is>
        <t>phuong.nguyen-thanh</t>
      </is>
    </nc>
  </rcc>
  <rcc rId="805" sId="1">
    <nc r="S374" t="inlineStr">
      <is>
        <t>phuong.nguyen-thanh</t>
      </is>
    </nc>
  </rcc>
  <rcc rId="806" sId="1">
    <nc r="S375" t="inlineStr">
      <is>
        <t>phuong.nguyen-thanh</t>
      </is>
    </nc>
  </rcc>
  <rcc rId="807" sId="1">
    <nc r="S376" t="inlineStr">
      <is>
        <t>phuong.nguyen-thanh</t>
      </is>
    </nc>
  </rcc>
  <rcc rId="808" sId="1">
    <nc r="S377" t="inlineStr">
      <is>
        <t>phuong.nguyen-thanh</t>
      </is>
    </nc>
  </rcc>
  <rcc rId="809" sId="1">
    <nc r="S378" t="inlineStr">
      <is>
        <t>phuong.nguyen-thanh</t>
      </is>
    </nc>
  </rcc>
  <rcc rId="810" sId="1">
    <nc r="S379" t="inlineStr">
      <is>
        <t>phuong.nguyen-thanh</t>
      </is>
    </nc>
  </rcc>
  <rcc rId="811" sId="1">
    <nc r="S380" t="inlineStr">
      <is>
        <t>phuong.nguyen-thanh</t>
      </is>
    </nc>
  </rcc>
  <rcc rId="812" sId="1">
    <nc r="S370" t="inlineStr">
      <is>
        <t>hau.nguyen-tai</t>
      </is>
    </nc>
  </rcc>
  <rcc rId="813" sId="1">
    <nc r="S371" t="inlineStr">
      <is>
        <t>hau.nguyen-tai</t>
      </is>
    </nc>
  </rcc>
  <rcc rId="814" sId="1">
    <nc r="S366" t="inlineStr">
      <is>
        <t>bang.nguyen-duy</t>
      </is>
    </nc>
  </rcc>
  <rcc rId="815" sId="1">
    <nc r="S367" t="inlineStr">
      <is>
        <t>bang.nguyen-duy</t>
      </is>
    </nc>
  </rcc>
  <rcc rId="816" sId="1">
    <nc r="S368" t="inlineStr">
      <is>
        <t>bang.nguyen-duy</t>
      </is>
    </nc>
  </rcc>
  <rcc rId="817" sId="1">
    <nc r="S369" t="inlineStr">
      <is>
        <t>bang.nguyen-duy</t>
      </is>
    </nc>
  </rcc>
  <rcc rId="818" sId="1">
    <nc r="S372" t="inlineStr">
      <is>
        <t>bang.nguyen-duy</t>
      </is>
    </nc>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A171" start="0" length="0">
    <dxf>
      <font>
        <b/>
        <sz val="11"/>
        <color theme="1"/>
        <name val="Calibri"/>
        <scheme val="minor"/>
      </font>
    </dxf>
  </rfmt>
  <rcc rId="823" sId="4" odxf="1" dxf="1">
    <nc r="B171" t="inlineStr">
      <is>
        <t>Project</t>
      </is>
    </nc>
    <odxf>
      <font>
        <b val="0"/>
        <sz val="11"/>
        <color theme="1"/>
        <name val="Calibri"/>
        <scheme val="minor"/>
      </font>
    </odxf>
    <ndxf>
      <font>
        <b/>
        <sz val="11"/>
        <color theme="1"/>
        <name val="Calibri"/>
        <scheme val="minor"/>
      </font>
    </ndxf>
  </rcc>
  <rfmt sheetId="4" sqref="C171" start="0" length="0">
    <dxf>
      <font>
        <b/>
        <sz val="11"/>
        <color theme="1"/>
        <name val="Calibri"/>
        <scheme val="minor"/>
      </font>
    </dxf>
  </rfmt>
  <rcc rId="824" sId="4" odxf="1" dxf="1">
    <nc r="B172" t="inlineStr">
      <is>
        <t>Time</t>
      </is>
    </nc>
    <odxf>
      <font>
        <b val="0"/>
        <sz val="11"/>
        <color theme="1"/>
        <name val="Calibri"/>
        <scheme val="minor"/>
      </font>
    </odxf>
    <ndxf>
      <font>
        <b/>
        <sz val="11"/>
        <color theme="1"/>
        <name val="Calibri"/>
        <scheme val="minor"/>
      </font>
    </ndxf>
  </rcc>
  <rcc rId="825" sId="4">
    <nc r="C172">
      <f>SUM(G178:G179)</f>
    </nc>
  </rcc>
  <rcc rId="826" sId="4">
    <nc r="D172" t="inlineStr">
      <is>
        <t>days</t>
      </is>
    </nc>
  </rcc>
  <rcc rId="827" sId="4" odxf="1" dxf="1">
    <nc r="B173" t="inlineStr">
      <is>
        <t>Duration (Plan)</t>
      </is>
    </nc>
    <odxf>
      <font>
        <b val="0"/>
        <sz val="11"/>
        <color theme="1"/>
        <name val="Calibri"/>
        <scheme val="minor"/>
      </font>
    </odxf>
    <ndxf>
      <font>
        <b/>
        <sz val="11"/>
        <color theme="1"/>
        <name val="Calibri"/>
        <scheme val="minor"/>
      </font>
    </ndxf>
  </rcc>
  <rcc rId="828" sId="4">
    <nc r="C173">
      <f>SUM(INT((WEEKDAY(F173-{2,3,4,5,6})+H173-F173)/7))</f>
    </nc>
  </rcc>
  <rcc rId="829" sId="4">
    <nc r="D173" t="inlineStr">
      <is>
        <t>days</t>
      </is>
    </nc>
  </rcc>
  <rcc rId="830" sId="4">
    <nc r="E173" t="inlineStr">
      <is>
        <t>10h00</t>
      </is>
    </nc>
  </rcc>
  <rfmt sheetId="4" sqref="F173" start="0" length="0">
    <dxf>
      <numFmt numFmtId="19" formatCode="m/d/yyyy"/>
    </dxf>
  </rfmt>
  <rcc rId="831" sId="4" odxf="1" dxf="1">
    <nc r="G173" t="inlineStr">
      <is>
        <t>17h00</t>
      </is>
    </nc>
    <odxf>
      <numFmt numFmtId="0" formatCode="General"/>
    </odxf>
    <ndxf>
      <numFmt numFmtId="19" formatCode="m/d/yyyy"/>
    </ndxf>
  </rcc>
  <rfmt sheetId="4" sqref="H173" start="0" length="0">
    <dxf>
      <numFmt numFmtId="19" formatCode="m/d/yyyy"/>
    </dxf>
  </rfmt>
  <rcc rId="832" sId="4" odxf="1" dxf="1">
    <nc r="B174" t="inlineStr">
      <is>
        <t>Duration (Actual)</t>
      </is>
    </nc>
    <odxf>
      <font>
        <b val="0"/>
        <sz val="11"/>
        <color theme="1"/>
        <name val="Calibri"/>
        <scheme val="minor"/>
      </font>
    </odxf>
    <ndxf>
      <font>
        <b/>
        <sz val="11"/>
        <color theme="1"/>
        <name val="Calibri"/>
        <scheme val="minor"/>
      </font>
    </ndxf>
  </rcc>
  <rcc rId="833" sId="4">
    <nc r="C174">
      <f>SUM(INT((WEEKDAY(F174-{2,3,4,5,6})+H174-F174)/7))</f>
    </nc>
  </rcc>
  <rcc rId="834" sId="4">
    <nc r="D174" t="inlineStr">
      <is>
        <t>days</t>
      </is>
    </nc>
  </rcc>
  <rcc rId="835" sId="4">
    <nc r="E174" t="inlineStr">
      <is>
        <t>10h00</t>
      </is>
    </nc>
  </rcc>
  <rfmt sheetId="4" sqref="F174" start="0" length="0">
    <dxf>
      <numFmt numFmtId="19" formatCode="m/d/yyyy"/>
    </dxf>
  </rfmt>
  <rcc rId="836" sId="4" odxf="1" dxf="1">
    <nc r="G174" t="inlineStr">
      <is>
        <t>17h00</t>
      </is>
    </nc>
    <odxf>
      <numFmt numFmtId="0" formatCode="General"/>
    </odxf>
    <ndxf>
      <numFmt numFmtId="19" formatCode="m/d/yyyy"/>
    </ndxf>
  </rcc>
  <rfmt sheetId="4" sqref="H174" start="0" length="0">
    <dxf>
      <numFmt numFmtId="19" formatCode="m/d/yyyy"/>
    </dxf>
  </rfmt>
  <rcc rId="837" sId="4" odxf="1" dxf="1">
    <nc r="B175" t="inlineStr">
      <is>
        <t>Status</t>
      </is>
    </nc>
    <odxf>
      <font>
        <b val="0"/>
        <sz val="11"/>
        <color theme="1"/>
        <name val="Calibri"/>
        <scheme val="minor"/>
      </font>
    </odxf>
    <ndxf>
      <font>
        <b/>
        <sz val="11"/>
        <color theme="1"/>
        <name val="Calibri"/>
        <scheme val="minor"/>
      </font>
    </ndxf>
  </rcc>
  <rcc rId="838" sId="4">
    <nc r="C175">
      <f>IF(SUM(H178:H179)&gt;SUM(G178:G179),"Delayed",IF(SUM(H178:H179)&lt;SUM(G178:G179),"InAdvanced","Ontime"))</f>
    </nc>
  </rcc>
  <rfmt sheetId="4" sqref="F175" start="0" length="0">
    <dxf>
      <numFmt numFmtId="19" formatCode="m/d/yyyy"/>
    </dxf>
  </rfmt>
  <rfmt sheetId="4" sqref="G175" start="0" length="0">
    <dxf>
      <numFmt numFmtId="19" formatCode="m/d/yyyy"/>
    </dxf>
  </rfmt>
  <rfmt sheetId="4" sqref="H175" start="0" length="0">
    <dxf>
      <numFmt numFmtId="19" formatCode="m/d/yyyy"/>
    </dxf>
  </rfmt>
  <rcc rId="839" sId="4" odxf="1" dxf="1">
    <nc r="C177"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840" sId="4" odxf="1" dxf="1">
    <nc r="D177"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841" sId="4" odxf="1" dxf="1">
    <nc r="E177"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42" sId="4" odxf="1" dxf="1">
    <nc r="F177"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43" sId="4" odxf="1" dxf="1">
    <nc r="G177"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44" sId="4" odxf="1" dxf="1">
    <nc r="H177"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45" sId="4" odxf="1" dxf="1">
    <nc r="I177"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46" sId="4" odxf="1" dxf="1">
    <nc r="J177">
      <f>Table!$C$36</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47" sId="4" odxf="1" dxf="1">
    <nc r="K177">
      <f>Table!$C$37</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48" sId="4" odxf="1" dxf="1">
    <nc r="C178">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849" sId="4" odxf="1" dxf="1">
    <nc r="D178">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50" sId="4" odxf="1" dxf="1">
    <nc r="E178">
      <f>SUMIFS(Merged_COEM!$W$48:$W$423,Merged_COEM!$D$48:$D$423,D178, Merged_COEM!$C$48:$C$423,C171)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51" sId="4" odxf="1" dxf="1">
    <nc r="F178">
      <f>SUMIFS(Merged_COEM!$X$48:$X$423,Merged_COEM!$D$48:$D$423,D178, Merged_COEM!$C$48:$C$423,C171)-SUM(SUMIFS(Merged_COEM!$X$48:$X$423,Merged_COEM!$D$48:$D$423,Table!$D$3,Merged_COEM!$AA$48:$AA$423,{"Ongoing","N/A",""},Merged_COEM!$C$48:$C$423,C171))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52" sId="4" odxf="1" dxf="1">
    <nc r="G178">
      <f>1/8*(SUMIFS(Merged_COEM!$Y$48:$Y$423,Merged_COEM!$D$48:$D$423,D178, Merged_COEM!$C$48:$C$423,C171))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53" sId="4" odxf="1" dxf="1">
    <nc r="H178">
      <f>1/8*(SUMIFS(Merged_COEM!$Z$48:$Z$423,Merged_COEM!$D$48:$D$423,D178, Merged_COEM!$C$48:$C$423,C171)-SUM(SUMIFS(Merged_COEM!$Z$48:$Z$423,Merged_COEM!$D$48:$D$423,D178,Merged_COEM!$AA$48:$AA$423,{"Ongoing","N/A",""},Merged_COEM!$C$48:$C$423,C171)))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54" sId="4" odxf="1" dxf="1">
    <nc r="I178">
      <f>IFERROR(F178/E178,"N/A")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855" sId="4" odxf="1" dxf="1">
    <nc r="J178">
      <f>COUNTIFS(Merged_COEM!$AK$48:$AK$423,J177,Merged_COEM!$D$48:$D$423,D178,Merged_COEM!$C$48:$C$423,C171)</f>
    </nc>
    <odxf>
      <border outline="0">
        <left/>
        <right/>
        <top/>
        <bottom/>
      </border>
    </odxf>
    <ndxf>
      <border outline="0">
        <left style="thin">
          <color indexed="64"/>
        </left>
        <right style="thin">
          <color indexed="64"/>
        </right>
        <top style="thin">
          <color indexed="64"/>
        </top>
        <bottom style="thin">
          <color indexed="64"/>
        </bottom>
      </border>
    </ndxf>
  </rcc>
  <rcc rId="856" sId="4" odxf="1" dxf="1">
    <nc r="K178">
      <f>COUNTIFS(Merged_COEM!$AK$48:$AK$423,K177,Merged_COEM!$D$48:$D$423,D178,Merged_COEM!$C$48:$C$423,C171)</f>
    </nc>
    <odxf>
      <border outline="0">
        <left/>
        <right/>
        <top/>
        <bottom/>
      </border>
    </odxf>
    <ndxf>
      <border outline="0">
        <left style="thin">
          <color indexed="64"/>
        </left>
        <right style="thin">
          <color indexed="64"/>
        </right>
        <top style="thin">
          <color indexed="64"/>
        </top>
        <bottom style="thin">
          <color indexed="64"/>
        </bottom>
      </border>
    </ndxf>
  </rcc>
  <rcc rId="857" sId="4" odxf="1" dxf="1">
    <nc r="C179">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858" sId="4" odxf="1" dxf="1">
    <nc r="D179">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59" sId="4" odxf="1" dxf="1">
    <nc r="E179">
      <f>SUMIFS(Merged_COEM!$W$48:$W$423,Merged_COEM!$D$48:$D$423,D179, Merged_COEM!$C$48:$C$423,C171)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60" sId="4" odxf="1" dxf="1">
    <nc r="F179">
      <f>SUMIFS(Merged_COEM!$X$48:$X$423,Merged_COEM!$D$48:$D$423,D179, Merged_COEM!$C$48:$C$423,C171)-SUM(SUMIFS(Merged_COEM!$X$48:$X$423,Merged_COEM!$D$48:$D$423,D179,Merged_COEM!$AA$48:$AA$423,{"Ongoing","N/A",""},Merged_COEM!$C$48:$C$423,C171))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61" sId="4" odxf="1" dxf="1">
    <nc r="G179">
      <f>1/8*(SUMIFS(Merged_COEM!$Y$48:$Y$423,Merged_COEM!$D$48:$D$423,D179, Merged_COEM!$C$48:$C$423,C171))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62" sId="4" odxf="1" dxf="1">
    <nc r="H179">
      <f>1/8*(SUMIFS(Merged_COEM!$Z$48:$Z$423,Merged_COEM!$D$48:$D$423,D179, Merged_COEM!$C$48:$C$423,C171)-SUM(SUMIFS(Merged_COEM!$Z$48:$Z$423,Merged_COEM!$D$48:$D$423,D179,Merged_COEM!$AA$48:$AA$423,{"Ongoing","N/A",""},Merged_COEM!$C$48:$C$423,C171)))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63" sId="4" odxf="1" dxf="1">
    <nc r="I179">
      <f>IFERROR(F179/E179,"N/A")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864" sId="4" odxf="1" dxf="1">
    <nc r="J179">
      <f>COUNTIFS(Merged_COEM!$AK$48:$AK$423,J177,Merged_COEM!$D$48:$D$423,D179,Merged_COEM!$C$48:$C$423,C171)</f>
    </nc>
    <odxf>
      <border outline="0">
        <left/>
        <right/>
        <top/>
        <bottom/>
      </border>
    </odxf>
    <ndxf>
      <border outline="0">
        <left style="thin">
          <color indexed="64"/>
        </left>
        <right style="thin">
          <color indexed="64"/>
        </right>
        <top style="thin">
          <color indexed="64"/>
        </top>
        <bottom style="thin">
          <color indexed="64"/>
        </bottom>
      </border>
    </ndxf>
  </rcc>
  <rcc rId="865" sId="4" odxf="1" dxf="1">
    <nc r="K179">
      <f>COUNTIFS(Merged_COEM!$AK$48:$AK$423,K177,Merged_COEM!$D$48:$D$423,D179,Merged_COEM!$C$48:$C$423,C171)</f>
    </nc>
    <odxf>
      <border outline="0">
        <left/>
        <right/>
        <top/>
        <bottom/>
      </border>
    </odxf>
    <ndxf>
      <border outline="0">
        <left style="thin">
          <color indexed="64"/>
        </left>
        <right style="thin">
          <color indexed="64"/>
        </right>
        <top style="thin">
          <color indexed="64"/>
        </top>
        <bottom style="thin">
          <color indexed="64"/>
        </bottom>
      </border>
    </ndxf>
  </rcc>
  <rcc rId="866" sId="4">
    <nc r="C181" t="inlineStr">
      <is>
        <t>Brief Description:</t>
      </is>
    </nc>
  </rcc>
  <rcc rId="867" sId="4" odxf="1" dxf="1" quotePrefix="1">
    <nc r="D182" t="inlineStr">
      <is>
        <t>- No comment</t>
      </is>
    </nc>
    <odxf>
      <font>
        <sz val="11"/>
        <color theme="1"/>
        <name val="Calibri"/>
        <scheme val="minor"/>
      </font>
    </odxf>
    <ndxf>
      <font>
        <sz val="11"/>
        <color auto="1"/>
        <name val="Calibri"/>
        <scheme val="minor"/>
      </font>
    </ndxf>
  </rcc>
  <rcc rId="868" sId="4">
    <nc r="A171">
      <v>14</v>
    </nc>
  </rcc>
  <rcc rId="869" sId="4">
    <nc r="C171">
      <v>20200521</v>
    </nc>
  </rcc>
  <rfmt sheetId="4" sqref="A184" start="0" length="0">
    <dxf>
      <font>
        <b/>
        <sz val="11"/>
        <color theme="1"/>
        <name val="Calibri"/>
        <scheme val="minor"/>
      </font>
    </dxf>
  </rfmt>
  <rcc rId="870" sId="4" odxf="1" dxf="1">
    <nc r="B184" t="inlineStr">
      <is>
        <t>Project</t>
      </is>
    </nc>
    <odxf>
      <font>
        <b val="0"/>
        <sz val="11"/>
        <color theme="1"/>
        <name val="Calibri"/>
        <scheme val="minor"/>
      </font>
    </odxf>
    <ndxf>
      <font>
        <b/>
        <sz val="11"/>
        <color theme="1"/>
        <name val="Calibri"/>
        <scheme val="minor"/>
      </font>
    </ndxf>
  </rcc>
  <rfmt sheetId="4" sqref="C184" start="0" length="0">
    <dxf>
      <font>
        <b/>
        <sz val="11"/>
        <color theme="1"/>
        <name val="Calibri"/>
        <scheme val="minor"/>
      </font>
    </dxf>
  </rfmt>
  <rcc rId="871" sId="4" odxf="1" dxf="1">
    <nc r="B185" t="inlineStr">
      <is>
        <t>Time</t>
      </is>
    </nc>
    <odxf>
      <font>
        <b val="0"/>
        <sz val="11"/>
        <color theme="1"/>
        <name val="Calibri"/>
        <scheme val="minor"/>
      </font>
    </odxf>
    <ndxf>
      <font>
        <b/>
        <sz val="11"/>
        <color theme="1"/>
        <name val="Calibri"/>
        <scheme val="minor"/>
      </font>
    </ndxf>
  </rcc>
  <rcc rId="872" sId="4">
    <nc r="C185">
      <f>SUM(G191:G192)</f>
    </nc>
  </rcc>
  <rcc rId="873" sId="4">
    <nc r="D185" t="inlineStr">
      <is>
        <t>days</t>
      </is>
    </nc>
  </rcc>
  <rcc rId="874" sId="4" odxf="1" dxf="1">
    <nc r="B186" t="inlineStr">
      <is>
        <t>Duration (Plan)</t>
      </is>
    </nc>
    <odxf>
      <font>
        <b val="0"/>
        <sz val="11"/>
        <color theme="1"/>
        <name val="Calibri"/>
        <scheme val="minor"/>
      </font>
    </odxf>
    <ndxf>
      <font>
        <b/>
        <sz val="11"/>
        <color theme="1"/>
        <name val="Calibri"/>
        <scheme val="minor"/>
      </font>
    </ndxf>
  </rcc>
  <rcc rId="875" sId="4">
    <nc r="C186">
      <f>SUM(INT((WEEKDAY(F186-{2,3,4,5,6})+H186-F186)/7))</f>
    </nc>
  </rcc>
  <rcc rId="876" sId="4">
    <nc r="D186" t="inlineStr">
      <is>
        <t>days</t>
      </is>
    </nc>
  </rcc>
  <rcc rId="877" sId="4">
    <nc r="E186" t="inlineStr">
      <is>
        <t>10h00</t>
      </is>
    </nc>
  </rcc>
  <rfmt sheetId="4" sqref="F186" start="0" length="0">
    <dxf>
      <numFmt numFmtId="19" formatCode="m/d/yyyy"/>
    </dxf>
  </rfmt>
  <rcc rId="878" sId="4" odxf="1" dxf="1">
    <nc r="G186" t="inlineStr">
      <is>
        <t>17h00</t>
      </is>
    </nc>
    <odxf>
      <numFmt numFmtId="0" formatCode="General"/>
    </odxf>
    <ndxf>
      <numFmt numFmtId="19" formatCode="m/d/yyyy"/>
    </ndxf>
  </rcc>
  <rfmt sheetId="4" sqref="H186" start="0" length="0">
    <dxf>
      <numFmt numFmtId="19" formatCode="m/d/yyyy"/>
    </dxf>
  </rfmt>
  <rcc rId="879" sId="4" odxf="1" dxf="1">
    <nc r="B187" t="inlineStr">
      <is>
        <t>Duration (Actual)</t>
      </is>
    </nc>
    <odxf>
      <font>
        <b val="0"/>
        <sz val="11"/>
        <color theme="1"/>
        <name val="Calibri"/>
        <scheme val="minor"/>
      </font>
    </odxf>
    <ndxf>
      <font>
        <b/>
        <sz val="11"/>
        <color theme="1"/>
        <name val="Calibri"/>
        <scheme val="minor"/>
      </font>
    </ndxf>
  </rcc>
  <rcc rId="880" sId="4">
    <nc r="C187">
      <f>SUM(INT((WEEKDAY(F187-{2,3,4,5,6})+H187-F187)/7))</f>
    </nc>
  </rcc>
  <rcc rId="881" sId="4">
    <nc r="D187" t="inlineStr">
      <is>
        <t>days</t>
      </is>
    </nc>
  </rcc>
  <rcc rId="882" sId="4">
    <nc r="E187" t="inlineStr">
      <is>
        <t>10h00</t>
      </is>
    </nc>
  </rcc>
  <rfmt sheetId="4" sqref="F187" start="0" length="0">
    <dxf>
      <numFmt numFmtId="19" formatCode="m/d/yyyy"/>
    </dxf>
  </rfmt>
  <rcc rId="883" sId="4" odxf="1" dxf="1">
    <nc r="G187" t="inlineStr">
      <is>
        <t>17h00</t>
      </is>
    </nc>
    <odxf>
      <numFmt numFmtId="0" formatCode="General"/>
    </odxf>
    <ndxf>
      <numFmt numFmtId="19" formatCode="m/d/yyyy"/>
    </ndxf>
  </rcc>
  <rfmt sheetId="4" sqref="H187" start="0" length="0">
    <dxf>
      <numFmt numFmtId="19" formatCode="m/d/yyyy"/>
    </dxf>
  </rfmt>
  <rcc rId="884" sId="4" odxf="1" dxf="1">
    <nc r="B188" t="inlineStr">
      <is>
        <t>Status</t>
      </is>
    </nc>
    <odxf>
      <font>
        <b val="0"/>
        <sz val="11"/>
        <color theme="1"/>
        <name val="Calibri"/>
        <scheme val="minor"/>
      </font>
    </odxf>
    <ndxf>
      <font>
        <b/>
        <sz val="11"/>
        <color theme="1"/>
        <name val="Calibri"/>
        <scheme val="minor"/>
      </font>
    </ndxf>
  </rcc>
  <rcc rId="885" sId="4">
    <nc r="C188">
      <f>IF(SUM(H191:H192)&gt;SUM(G191:G192),"Delayed",IF(SUM(H191:H192)&lt;SUM(G191:G192),"InAdvanced","Ontime"))</f>
    </nc>
  </rcc>
  <rfmt sheetId="4" sqref="F188" start="0" length="0">
    <dxf>
      <numFmt numFmtId="19" formatCode="m/d/yyyy"/>
    </dxf>
  </rfmt>
  <rfmt sheetId="4" sqref="G188" start="0" length="0">
    <dxf>
      <numFmt numFmtId="19" formatCode="m/d/yyyy"/>
    </dxf>
  </rfmt>
  <rfmt sheetId="4" sqref="H188" start="0" length="0">
    <dxf>
      <numFmt numFmtId="19" formatCode="m/d/yyyy"/>
    </dxf>
  </rfmt>
  <rcc rId="886" sId="4" odxf="1" dxf="1">
    <nc r="C190"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887" sId="4" odxf="1" dxf="1">
    <nc r="D190"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888" sId="4" odxf="1" dxf="1">
    <nc r="E190"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89" sId="4" odxf="1" dxf="1">
    <nc r="F190"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0" sId="4" odxf="1" dxf="1">
    <nc r="G190"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1" sId="4" odxf="1" dxf="1">
    <nc r="H190"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2" sId="4" odxf="1" dxf="1">
    <nc r="I190"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3" sId="4" odxf="1" dxf="1">
    <nc r="J190">
      <f>Table!$C$36</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4" sId="4" odxf="1" dxf="1">
    <nc r="K190">
      <f>Table!$C$37</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5" sId="4" odxf="1" dxf="1">
    <nc r="C191">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896" sId="4" odxf="1" dxf="1">
    <nc r="D191">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7" sId="4" odxf="1" dxf="1">
    <nc r="E191">
      <f>SUMIFS(Merged_COEM!$W$48:$W$423,Merged_COEM!$D$48:$D$423,D191, Merged_COEM!$C$48:$C$423,C184)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8" sId="4" odxf="1" dxf="1">
    <nc r="F191">
      <f>SUMIFS(Merged_COEM!$X$48:$X$423,Merged_COEM!$D$48:$D$423,D191, Merged_COEM!$C$48:$C$423,C184)-SUM(SUMIFS(Merged_COEM!$X$48:$X$423,Merged_COEM!$D$48:$D$423,Table!$D$3,Merged_COEM!$AA$48:$AA$423,{"Ongoing","N/A",""},Merged_COEM!$C$48:$C$423,C184))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9" sId="4" odxf="1" dxf="1">
    <nc r="G191">
      <f>1/8*(SUMIFS(Merged_COEM!$Y$48:$Y$423,Merged_COEM!$D$48:$D$423,D191, Merged_COEM!$C$48:$C$423,C184))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0" sId="4" odxf="1" dxf="1">
    <nc r="H191">
      <f>1/8*(SUMIFS(Merged_COEM!$Z$48:$Z$423,Merged_COEM!$D$48:$D$423,D191, Merged_COEM!$C$48:$C$423,C184)-SUM(SUMIFS(Merged_COEM!$Z$48:$Z$423,Merged_COEM!$D$48:$D$423,D191,Merged_COEM!$AA$48:$AA$423,{"Ongoing","N/A",""},Merged_COEM!$C$48:$C$423,C184)))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1" sId="4" odxf="1" dxf="1">
    <nc r="I191">
      <f>IFERROR(F191/E191,"N/A")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902" sId="4" odxf="1" dxf="1">
    <nc r="J191">
      <f>COUNTIFS(Merged_COEM!$AK$48:$AK$423,J190,Merged_COEM!$D$48:$D$423,D191,Merged_COEM!$C$48:$C$423,C184)</f>
    </nc>
    <odxf>
      <border outline="0">
        <left/>
        <right/>
        <top/>
        <bottom/>
      </border>
    </odxf>
    <ndxf>
      <border outline="0">
        <left style="thin">
          <color indexed="64"/>
        </left>
        <right style="thin">
          <color indexed="64"/>
        </right>
        <top style="thin">
          <color indexed="64"/>
        </top>
        <bottom style="thin">
          <color indexed="64"/>
        </bottom>
      </border>
    </ndxf>
  </rcc>
  <rcc rId="903" sId="4" odxf="1" dxf="1">
    <nc r="K191">
      <f>COUNTIFS(Merged_COEM!$AK$48:$AK$423,K190,Merged_COEM!$D$48:$D$423,D191,Merged_COEM!$C$48:$C$423,C184)</f>
    </nc>
    <odxf>
      <border outline="0">
        <left/>
        <right/>
        <top/>
        <bottom/>
      </border>
    </odxf>
    <ndxf>
      <border outline="0">
        <left style="thin">
          <color indexed="64"/>
        </left>
        <right style="thin">
          <color indexed="64"/>
        </right>
        <top style="thin">
          <color indexed="64"/>
        </top>
        <bottom style="thin">
          <color indexed="64"/>
        </bottom>
      </border>
    </ndxf>
  </rcc>
  <rcc rId="904" sId="4" odxf="1" dxf="1">
    <nc r="C192">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905" sId="4" odxf="1" dxf="1">
    <nc r="D192">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6" sId="4" odxf="1" dxf="1">
    <nc r="E192">
      <f>SUMIFS(Merged_COEM!$W$48:$W$423,Merged_COEM!$D$48:$D$423,D192, Merged_COEM!$C$48:$C$423,C184)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7" sId="4" odxf="1" dxf="1">
    <nc r="F192">
      <f>SUMIFS(Merged_COEM!$X$48:$X$423,Merged_COEM!$D$48:$D$423,D192, Merged_COEM!$C$48:$C$423,C184)-SUM(SUMIFS(Merged_COEM!$X$48:$X$423,Merged_COEM!$D$48:$D$423,D192,Merged_COEM!$AA$48:$AA$423,{"Ongoing","N/A",""},Merged_COEM!$C$48:$C$423,C184))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8" sId="4" odxf="1" dxf="1">
    <nc r="G192">
      <f>1/8*(SUMIFS(Merged_COEM!$Y$48:$Y$423,Merged_COEM!$D$48:$D$423,D192, Merged_COEM!$C$48:$C$423,C184))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9" sId="4" odxf="1" dxf="1">
    <nc r="H192">
      <f>1/8*(SUMIFS(Merged_COEM!$Z$48:$Z$423,Merged_COEM!$D$48:$D$423,D192, Merged_COEM!$C$48:$C$423,C184)-SUM(SUMIFS(Merged_COEM!$Z$48:$Z$423,Merged_COEM!$D$48:$D$423,D192,Merged_COEM!$AA$48:$AA$423,{"Ongoing","N/A",""},Merged_COEM!$C$48:$C$423,C184)))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10" sId="4" odxf="1" dxf="1">
    <nc r="I192">
      <f>IFERROR(F192/E192,"N/A")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911" sId="4" odxf="1" dxf="1">
    <nc r="J192">
      <f>COUNTIFS(Merged_COEM!$AK$48:$AK$423,J190,Merged_COEM!$D$48:$D$423,D192,Merged_COEM!$C$48:$C$423,C184)</f>
    </nc>
    <odxf>
      <border outline="0">
        <left/>
        <right/>
        <top/>
        <bottom/>
      </border>
    </odxf>
    <ndxf>
      <border outline="0">
        <left style="thin">
          <color indexed="64"/>
        </left>
        <right style="thin">
          <color indexed="64"/>
        </right>
        <top style="thin">
          <color indexed="64"/>
        </top>
        <bottom style="thin">
          <color indexed="64"/>
        </bottom>
      </border>
    </ndxf>
  </rcc>
  <rcc rId="912" sId="4" odxf="1" dxf="1">
    <nc r="K192">
      <f>COUNTIFS(Merged_COEM!$AK$48:$AK$423,K190,Merged_COEM!$D$48:$D$423,D192,Merged_COEM!$C$48:$C$423,C184)</f>
    </nc>
    <odxf>
      <border outline="0">
        <left/>
        <right/>
        <top/>
        <bottom/>
      </border>
    </odxf>
    <ndxf>
      <border outline="0">
        <left style="thin">
          <color indexed="64"/>
        </left>
        <right style="thin">
          <color indexed="64"/>
        </right>
        <top style="thin">
          <color indexed="64"/>
        </top>
        <bottom style="thin">
          <color indexed="64"/>
        </bottom>
      </border>
    </ndxf>
  </rcc>
  <rcc rId="913" sId="4">
    <nc r="C194" t="inlineStr">
      <is>
        <t>Brief Description:</t>
      </is>
    </nc>
  </rcc>
  <rcc rId="914" sId="4" odxf="1" dxf="1" quotePrefix="1">
    <nc r="D195" t="inlineStr">
      <is>
        <t>- No comment</t>
      </is>
    </nc>
    <odxf>
      <font>
        <sz val="11"/>
        <color theme="1"/>
        <name val="Calibri"/>
        <scheme val="minor"/>
      </font>
    </odxf>
    <ndxf>
      <font>
        <sz val="11"/>
        <color auto="1"/>
        <name val="Calibri"/>
        <scheme val="minor"/>
      </font>
    </ndxf>
  </rcc>
  <rcc rId="915" sId="4">
    <nc r="A184">
      <v>15</v>
    </nc>
  </rcc>
  <rcc rId="916" sId="4">
    <nc r="C184">
      <v>20200522</v>
    </nc>
  </rcc>
</revisions>
</file>

<file path=xl/revisions/revisionLog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21" sId="1" numFmtId="19">
    <nc r="AB356">
      <v>43973</v>
    </nc>
  </rcc>
  <rcc rId="922" sId="1" numFmtId="19">
    <nc r="AB357">
      <v>43973</v>
    </nc>
  </rcc>
  <rcc rId="923" sId="1" numFmtId="19">
    <nc r="AB358">
      <v>43973</v>
    </nc>
  </rcc>
  <rcc rId="924" sId="1">
    <oc r="AA356" t="inlineStr">
      <is>
        <t>Ready for review</t>
      </is>
    </oc>
    <nc r="AA356" t="inlineStr">
      <is>
        <t>Ready for PLC</t>
      </is>
    </nc>
  </rcc>
  <rcc rId="925" sId="1">
    <oc r="AA357" t="inlineStr">
      <is>
        <t>Ready for review</t>
      </is>
    </oc>
    <nc r="AA357" t="inlineStr">
      <is>
        <t>Ready for PLC</t>
      </is>
    </nc>
  </rcc>
  <rcc rId="926" sId="1">
    <oc r="AA358" t="inlineStr">
      <is>
        <t>Ready for review</t>
      </is>
    </oc>
    <nc r="AA358" t="inlineStr">
      <is>
        <t>Ready for PLC</t>
      </is>
    </nc>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Merged_COEM!$B$47:$AN$423</formula>
    <oldFormula>Merged_COEM!$B$47:$AN$423</oldFormula>
  </rdn>
  <rdn rId="0" localSheetId="2" customView="1" name="Z_3B3E6719_EACB_4D2C_89C1_05FFAB6020FD_.wvu.FilterData" hidden="1" oldHidden="1">
    <formula>Merged_JOEM!$B$47:$AN$187</formula>
    <oldFormula>Merged_JOEM!$B$47:$AN$187</oldFormula>
  </rdn>
  <rcv guid="{3B3E6719-EACB-4D2C-89C1-05FFAB6020FD}" action="add"/>
</revisions>
</file>

<file path=xl/revisions/revisionLog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31" sId="1" numFmtId="19">
    <nc r="AE321">
      <v>43973</v>
    </nc>
  </rcc>
</revisions>
</file>

<file path=xl/revisions/revisionLog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345" start="0" length="0">
    <dxf>
      <font>
        <sz val="11"/>
        <color theme="1"/>
        <name val="Calibri"/>
        <scheme val="minor"/>
      </font>
      <fill>
        <patternFill patternType="solid">
          <bgColor rgb="FFFF0000"/>
        </patternFill>
      </fill>
    </dxf>
  </rfmt>
  <rfmt sheetId="1" sqref="H345" start="0" length="0">
    <dxf>
      <font>
        <sz val="11"/>
        <color theme="1"/>
        <name val="Calibri"/>
        <scheme val="minor"/>
      </font>
      <fill>
        <patternFill patternType="solid">
          <bgColor theme="0" tint="-0.499984740745262"/>
        </patternFill>
      </fill>
    </dxf>
  </rfmt>
  <rfmt sheetId="1" sqref="J345" start="0" length="0">
    <dxf>
      <font>
        <sz val="11"/>
        <color theme="1"/>
        <name val="Calibri"/>
        <scheme val="minor"/>
      </font>
      <fill>
        <patternFill patternType="solid">
          <bgColor theme="0" tint="-0.499984740745262"/>
        </patternFill>
      </fill>
    </dxf>
  </rfmt>
  <rfmt sheetId="1" sqref="R345" start="0" length="0">
    <dxf>
      <font>
        <sz val="11"/>
        <color theme="1"/>
        <name val="Calibri"/>
        <scheme val="minor"/>
      </font>
      <fill>
        <patternFill patternType="solid">
          <bgColor theme="0" tint="-0.499984740745262"/>
        </patternFill>
      </fill>
    </dxf>
  </rfmt>
  <rfmt sheetId="1" sqref="Q345" start="0" length="0">
    <dxf>
      <font>
        <sz val="11"/>
        <color theme="1"/>
        <name val="Calibri"/>
        <scheme val="minor"/>
      </font>
      <fill>
        <patternFill patternType="solid">
          <bgColor rgb="FFFFFF00"/>
        </patternFill>
      </fill>
    </dxf>
  </rfmt>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38" sId="1" numFmtId="19">
    <nc r="AB362">
      <v>43973</v>
    </nc>
  </rcc>
  <rcc rId="939" sId="1" numFmtId="19">
    <nc r="AB363">
      <v>43973</v>
    </nc>
  </rcc>
  <rcc rId="940" sId="1" numFmtId="19">
    <nc r="AB364">
      <v>43973</v>
    </nc>
  </rcc>
  <rcc rId="941" sId="1" numFmtId="19">
    <nc r="AB365">
      <v>43973</v>
    </nc>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4" sId="1">
    <nc r="AN362" t="inlineStr">
      <is>
        <t>Without WT</t>
      </is>
    </nc>
  </rcc>
  <rcc rId="945" sId="1">
    <nc r="AN363" t="inlineStr">
      <is>
        <t>Without WT</t>
      </is>
    </nc>
  </rcc>
  <rcc rId="946" sId="1">
    <nc r="AN364" t="inlineStr">
      <is>
        <t>Without WT</t>
      </is>
    </nc>
  </rcc>
  <rcc rId="947" sId="1">
    <nc r="AN365" t="inlineStr">
      <is>
        <t>Without WT</t>
      </is>
    </nc>
  </rcc>
</revisions>
</file>

<file path=xl/revisions/revisionLog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50" sId="1">
    <nc r="AO176" t="inlineStr">
      <is>
        <t>BJEV_N60_2WD_4WD</t>
      </is>
    </nc>
  </rcc>
  <rfmt sheetId="1" sqref="AO176">
    <dxf>
      <font>
        <b val="0"/>
        <i val="0"/>
        <strike val="0"/>
        <condense val="0"/>
        <extend val="0"/>
        <outline val="0"/>
        <shadow val="0"/>
        <u val="none"/>
        <vertAlign val="baseline"/>
        <sz val="11"/>
        <color theme="1"/>
        <name val="Calibri"/>
        <scheme val="minor"/>
      </font>
      <alignment horizontal="left" vertical="top" textRotation="0" wrapText="0" indent="0" justifyLastLine="0" shrinkToFit="0" readingOrder="0"/>
      <border diagonalUp="0" diagonalDown="0" outline="0">
        <left style="thin">
          <color indexed="64"/>
        </left>
        <right style="thin">
          <color indexed="64"/>
        </right>
        <top/>
        <bottom/>
      </border>
    </dxf>
  </rfmt>
  <rcv guid="{250915DF-0B97-45D7-B29D-7EED4C89C1C1}" action="delete"/>
  <rdn rId="0" localSheetId="1" customView="1" name="Z_250915DF_0B97_45D7_B29D_7EED4C89C1C1_.wvu.FilterData" hidden="1" oldHidden="1">
    <formula>Merged_COEM!$B$47:$AO$423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Merged_COEM!$B$47:$AO$423</formula>
    <oldFormula>Merged_COEM!$B$47:$AO$423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955" sId="1" ref="A336:XFD336" action="deleteRow">
    <undo index="0" exp="ref" v="1" dr="B336" r="B337" sId="1"/>
    <rfmt sheetId="1" xfDxf="1" sqref="A336:XFD336" start="0" length="0"/>
    <rcc rId="0" sId="1" dxf="1">
      <nc r="B336">
        <f>B335+1</f>
      </nc>
      <ndxf>
        <font>
          <sz val="11"/>
          <color auto="1"/>
          <name val="Calibri"/>
          <scheme val="minor"/>
        </font>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CNMS_179148_Carbon_ESP_BL07_SPRINT12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CNMS_ESP_Carbon_Int\MainstreamF30\rb\as\cnms_core\app\net\scl\src\OBD\ComScl_Scl_OBD_Signal_Copy.c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36">
        <v>1329906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ComScl_Scl_OBD_Signal_Copy.c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BL07_SPRINT12</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YE Tianyu (CC-AS/ESW2-CN)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phuong.nguyen-thanh</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120</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cc rId="0" sId="1" dxf="1">
      <nc r="X336">
        <v>120</v>
      </nc>
      <ndxf>
        <alignment horizontal="left" vertical="top" readingOrder="0"/>
        <border outline="0">
          <left style="thin">
            <color indexed="64"/>
          </left>
          <right style="thin">
            <color indexed="64"/>
          </right>
          <top style="thin">
            <color indexed="64"/>
          </top>
          <bottom style="thin">
            <color indexed="64"/>
          </bottom>
        </border>
      </ndxf>
    </rcc>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cc rId="0" sId="1" dxf="1">
      <nc r="Z336">
        <v>2</v>
      </nc>
      <ndxf>
        <alignment horizontal="left" vertical="top" readingOrder="0"/>
        <border outline="0">
          <left style="thin">
            <color indexed="64"/>
          </left>
          <right style="thin">
            <color indexed="64"/>
          </right>
          <top style="thin">
            <color indexed="64"/>
          </top>
          <bottom style="thin">
            <color indexed="64"/>
          </bottom>
        </border>
      </ndxf>
    </rcc>
    <rcc rId="0" sId="1" dxf="1">
      <nc r="AA336"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43985</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3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3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L336"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M336"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N336" t="inlineStr">
        <is>
          <t xml:space="preserve">Please comment follow ASPICE Standard </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rc>
  <rrc rId="956"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CNMS_179148_Carbon_ESP_BL07_SPRINT12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CNMS_ESP_Carbon_Int\MainstreamF30\rb\as\cnms_core\app\net\scl\src\AxAyYrs\NET_SCL_Rx_Yrs.c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36">
        <v>1329906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NET_SCL_Rx_Yrs.c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BL07_SPRINT12</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YE Tianyu (CC-AS/ESW2-CN)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loc.do-phu</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800</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fmt sheetId="1" sqref="X336" start="0" length="0">
      <dxf>
        <alignment horizontal="left" vertical="top" readingOrder="0"/>
        <border outline="0">
          <left style="thin">
            <color indexed="64"/>
          </left>
          <right style="thin">
            <color indexed="64"/>
          </right>
          <top style="thin">
            <color indexed="64"/>
          </top>
          <bottom style="thin">
            <color indexed="64"/>
          </bottom>
        </border>
      </dxf>
    </rfmt>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fmt sheetId="1" sqref="Z336" start="0" length="0">
      <dxf>
        <alignment horizontal="left" vertical="top" readingOrder="0"/>
        <border outline="0">
          <left style="thin">
            <color indexed="64"/>
          </left>
          <right style="thin">
            <color indexed="64"/>
          </right>
          <top style="thin">
            <color indexed="64"/>
          </top>
          <bottom style="thin">
            <color indexed="64"/>
          </bottom>
        </border>
      </dxf>
    </rfmt>
    <rfmt sheetId="1" sqref="AA336" start="0" length="0">
      <dxf>
        <alignment horizontal="left" vertical="top" readingOrder="0"/>
        <border outline="0">
          <left style="thin">
            <color indexed="64"/>
          </left>
          <right style="thin">
            <color indexed="64"/>
          </right>
          <top style="thin">
            <color indexed="64"/>
          </top>
          <bottom style="thin">
            <color indexed="64"/>
          </bottom>
        </border>
      </dxf>
    </rfmt>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43985</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cc rId="0" sId="1" dxf="1">
      <nc r="AN336" t="inlineStr">
        <is>
          <t xml:space="preserve">Please comment follow ASPICE Standard </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rc>
  <rrc rId="957"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CNMS_179148_Carbon_ESP_BL07_SPRINT12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CNMS_ESP_Carbon_Int\MainstreamF30\rb\as\cnms_core\app\net\scl\src\AxAyYrs\NET_SCL_Tx_AxExport.c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36">
        <v>1329906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NET_SCL_Tx_AxExport.c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BL07_SPRINT12</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YE Tianyu (CC-AS/ESW2-CN)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phuong.nguyen-thanh</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236</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cc rId="0" sId="1" dxf="1">
      <nc r="X336">
        <v>236</v>
      </nc>
      <ndxf>
        <alignment horizontal="left" vertical="top" readingOrder="0"/>
        <border outline="0">
          <left style="thin">
            <color indexed="64"/>
          </left>
          <right style="thin">
            <color indexed="64"/>
          </right>
          <top style="thin">
            <color indexed="64"/>
          </top>
          <bottom style="thin">
            <color indexed="64"/>
          </bottom>
        </border>
      </ndxf>
    </rcc>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cc rId="0" sId="1" dxf="1">
      <nc r="Z336">
        <v>2</v>
      </nc>
      <ndxf>
        <alignment horizontal="left" vertical="top" readingOrder="0"/>
        <border outline="0">
          <left style="thin">
            <color indexed="64"/>
          </left>
          <right style="thin">
            <color indexed="64"/>
          </right>
          <top style="thin">
            <color indexed="64"/>
          </top>
          <bottom style="thin">
            <color indexed="64"/>
          </bottom>
        </border>
      </ndxf>
    </rcc>
    <rcc rId="0" sId="1" dxf="1">
      <nc r="AA336"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43985</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3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3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L336"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M336"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N336" t="inlineStr">
        <is>
          <t xml:space="preserve">Please comment follow ASPICE Standard </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rc>
  <rrc rId="958"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CNMS_179148_Carbon_ESP_BL07_SPRINT12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CNMS_ESP_Carbon_Int\MainstreamF30\rb\as\cnms_core\app\net\scl\src\AxAyYrs\NET_SCL_Tx_AyExport.c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36">
        <v>1329906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NET_SCL_Tx_AyExport.c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BL07_SPRINT12</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YE Tianyu (CC-AS/ESW2-CN)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phuong.nguyen-thanh</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236</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cc rId="0" sId="1" dxf="1">
      <nc r="X336">
        <f>W336</f>
      </nc>
      <ndxf>
        <alignment horizontal="left" vertical="top" readingOrder="0"/>
        <border outline="0">
          <left style="thin">
            <color indexed="64"/>
          </left>
          <right style="thin">
            <color indexed="64"/>
          </right>
          <top style="thin">
            <color indexed="64"/>
          </top>
          <bottom style="thin">
            <color indexed="64"/>
          </bottom>
        </border>
      </ndxf>
    </rcc>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cc rId="0" sId="1" dxf="1">
      <nc r="Z336">
        <v>2</v>
      </nc>
      <ndxf>
        <alignment horizontal="left" vertical="top" readingOrder="0"/>
        <border outline="0">
          <left style="thin">
            <color indexed="64"/>
          </left>
          <right style="thin">
            <color indexed="64"/>
          </right>
          <top style="thin">
            <color indexed="64"/>
          </top>
          <bottom style="thin">
            <color indexed="64"/>
          </bottom>
        </border>
      </ndxf>
    </rcc>
    <rcc rId="0" sId="1" dxf="1">
      <nc r="AA336"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43985</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3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3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L336"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M336"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N336" t="inlineStr">
        <is>
          <t xml:space="preserve">Please comment follow ASPICE Standard </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rc>
  <rrc rId="959"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CNMS_179148_Carbon_ESP_BL07_SPRINT12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CNMS_ESP_Carbon_Int\MainstreamF30\rb\as\cnms_core\app\net\scl\src\AxAyYrs\NET_SCL_Tx_YrsExport.c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36">
        <v>1329906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NET_SCL_Tx_YrsExport.c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BL07_SPRINT12</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YE Tianyu (CC-AS/ESW2-CN)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loc.do-phu</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288</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fmt sheetId="1" sqref="X336" start="0" length="0">
      <dxf>
        <alignment horizontal="left" vertical="top" readingOrder="0"/>
        <border outline="0">
          <left style="thin">
            <color indexed="64"/>
          </left>
          <right style="thin">
            <color indexed="64"/>
          </right>
          <top style="thin">
            <color indexed="64"/>
          </top>
          <bottom style="thin">
            <color indexed="64"/>
          </bottom>
        </border>
      </dxf>
    </rfmt>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fmt sheetId="1" sqref="Z336" start="0" length="0">
      <dxf>
        <alignment horizontal="left" vertical="top" readingOrder="0"/>
        <border outline="0">
          <left style="thin">
            <color indexed="64"/>
          </left>
          <right style="thin">
            <color indexed="64"/>
          </right>
          <top style="thin">
            <color indexed="64"/>
          </top>
          <bottom style="thin">
            <color indexed="64"/>
          </bottom>
        </border>
      </dxf>
    </rfmt>
    <rfmt sheetId="1" sqref="AA336" start="0" length="0">
      <dxf>
        <alignment horizontal="left" vertical="top" readingOrder="0"/>
        <border outline="0">
          <left style="thin">
            <color indexed="64"/>
          </left>
          <right style="thin">
            <color indexed="64"/>
          </right>
          <top style="thin">
            <color indexed="64"/>
          </top>
          <bottom style="thin">
            <color indexed="64"/>
          </bottom>
        </border>
      </dxf>
    </rfmt>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43985</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cc rId="0" sId="1" dxf="1">
      <nc r="AN336" t="inlineStr">
        <is>
          <t xml:space="preserve">Please comment follow ASPICE Standard </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rc>
  <rrc rId="960"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CNMS_179148_Carbon_ESP_BL07_SPRINT12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CNMS_ESP_Carbon_Int\MainstreamF30\rb\as\cnms_core\app\net\scl\src\Callout_Functions\RBA_NDS_ATS_Callout.c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36">
        <v>1329906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RBA_NDS_ATS_Callout.c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BL07_SPRINT12</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YE Tianyu (CC-AS/ESW2-CN)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chung.ly</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124</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cc rId="0" sId="1" dxf="1">
      <nc r="X336">
        <f>W336</f>
      </nc>
      <ndxf>
        <alignment horizontal="left" vertical="top" readingOrder="0"/>
        <border outline="0">
          <left style="thin">
            <color indexed="64"/>
          </left>
          <right style="thin">
            <color indexed="64"/>
          </right>
          <top style="thin">
            <color indexed="64"/>
          </top>
          <bottom style="thin">
            <color indexed="64"/>
          </bottom>
        </border>
      </ndxf>
    </rcc>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cc rId="0" sId="1" dxf="1">
      <nc r="Z336">
        <v>0.5</v>
      </nc>
      <ndxf>
        <alignment horizontal="left" vertical="top" readingOrder="0"/>
        <border outline="0">
          <left style="thin">
            <color indexed="64"/>
          </left>
          <right style="thin">
            <color indexed="64"/>
          </right>
          <top style="thin">
            <color indexed="64"/>
          </top>
          <bottom style="thin">
            <color indexed="64"/>
          </bottom>
        </border>
      </ndxf>
    </rcc>
    <rcc rId="0" sId="1" dxf="1">
      <nc r="AA336"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43985</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36" t="inlineStr">
        <is>
          <t>NG</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36">
        <v>0.5</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3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336" t="inlineStr">
        <is>
          <t>-Can't cover for false condition</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M336"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N336" t="inlineStr">
        <is>
          <t xml:space="preserve">Please comment follow ASPICE Standard </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rc>
  <rrc rId="961"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CNMS_179148_Carbon_ESP_BL07_SPRINT12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CNMS_ESP_Carbon_Int\MainstreamF30\rb\as\cnms_core\app\net\scl\src\Callout_Functions\RBA_NDS_Engine_Callout.c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36">
        <v>1329906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RBA_NDS_Engine_Callout.c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BL07_SPRINT12</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YE Tianyu (CC-AS/ESW2-CN)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724</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cc rId="0" sId="1" dxf="1">
      <nc r="X336">
        <f>W336</f>
      </nc>
      <ndxf>
        <alignment horizontal="left" vertical="top" readingOrder="0"/>
        <border outline="0">
          <left style="thin">
            <color indexed="64"/>
          </left>
          <right style="thin">
            <color indexed="64"/>
          </right>
          <top style="thin">
            <color indexed="64"/>
          </top>
          <bottom style="thin">
            <color indexed="64"/>
          </bottom>
        </border>
      </ndxf>
    </rcc>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cc rId="0" sId="1" dxf="1">
      <nc r="Z336">
        <v>8</v>
      </nc>
      <ndxf>
        <alignment horizontal="left" vertical="top" readingOrder="0"/>
        <border outline="0">
          <left style="thin">
            <color indexed="64"/>
          </left>
          <right style="thin">
            <color indexed="64"/>
          </right>
          <top style="thin">
            <color indexed="64"/>
          </top>
          <bottom style="thin">
            <color indexed="64"/>
          </bottom>
        </border>
      </ndxf>
    </rcc>
    <rcc rId="0" sId="1" dxf="1">
      <nc r="AA336"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43985</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3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3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cc rId="0" sId="1" dxf="1">
      <nc r="AN336" t="inlineStr">
        <is>
          <t xml:space="preserve">Please comment follow ASPICE Standard </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rc>
  <rrc rId="962"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CNMS_179148_Carbon_ESP_BL07_SPRINT12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CNMS_ESP_Carbon_Int\MainstreamF30\rb\as\cnms_core\app\net\scl\src\Callout_Functions\RBA_NDS_SystemInfo.c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36">
        <v>1329906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RBA_NDS_SystemInfo.c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BL07_SPRINT12</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YE Tianyu (CC-AS/ESW2-CN)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loc.do-phu</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796</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fmt sheetId="1" sqref="X336" start="0" length="0">
      <dxf>
        <alignment horizontal="left" vertical="top" readingOrder="0"/>
        <border outline="0">
          <left style="thin">
            <color indexed="64"/>
          </left>
          <right style="thin">
            <color indexed="64"/>
          </right>
          <top style="thin">
            <color indexed="64"/>
          </top>
          <bottom style="thin">
            <color indexed="64"/>
          </bottom>
        </border>
      </dxf>
    </rfmt>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fmt sheetId="1" sqref="Z336" start="0" length="0">
      <dxf>
        <alignment horizontal="left" vertical="top" readingOrder="0"/>
        <border outline="0">
          <left style="thin">
            <color indexed="64"/>
          </left>
          <right style="thin">
            <color indexed="64"/>
          </right>
          <top style="thin">
            <color indexed="64"/>
          </top>
          <bottom style="thin">
            <color indexed="64"/>
          </bottom>
        </border>
      </dxf>
    </rfmt>
    <rfmt sheetId="1" sqref="AA336" start="0" length="0">
      <dxf>
        <alignment horizontal="left" vertical="top" readingOrder="0"/>
        <border outline="0">
          <left style="thin">
            <color indexed="64"/>
          </left>
          <right style="thin">
            <color indexed="64"/>
          </right>
          <top style="thin">
            <color indexed="64"/>
          </top>
          <bottom style="thin">
            <color indexed="64"/>
          </bottom>
        </border>
      </dxf>
    </rfmt>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43985</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cc rId="0" sId="1" dxf="1">
      <nc r="AN336" t="inlineStr">
        <is>
          <t xml:space="preserve">Please comment follow ASPICE Standard </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rc>
  <rrc rId="963"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CNMS_179148_Carbon_ESP_BL07_SPRINT12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CNMS_ESP_Carbon_Int\MainstreamF30\rb\as\cnms_core\app\net\scl\src\Callout_Functions\RBA_NDS_TOD_Callout.c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36">
        <v>1329906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RBA_NDS_TOD_Callout.c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BL07_SPRINT12</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YE Tianyu (CC-AS/ESW2-CN)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476</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fmt sheetId="1" sqref="X336" start="0" length="0">
      <dxf>
        <alignment horizontal="left" vertical="top" readingOrder="0"/>
        <border outline="0">
          <left style="thin">
            <color indexed="64"/>
          </left>
          <right style="thin">
            <color indexed="64"/>
          </right>
          <top style="thin">
            <color indexed="64"/>
          </top>
          <bottom style="thin">
            <color indexed="64"/>
          </bottom>
        </border>
      </dxf>
    </rfmt>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fmt sheetId="1" sqref="Z336" start="0" length="0">
      <dxf>
        <alignment horizontal="left" vertical="top" readingOrder="0"/>
        <border outline="0">
          <left style="thin">
            <color indexed="64"/>
          </left>
          <right style="thin">
            <color indexed="64"/>
          </right>
          <top style="thin">
            <color indexed="64"/>
          </top>
          <bottom style="thin">
            <color indexed="64"/>
          </bottom>
        </border>
      </dxf>
    </rfmt>
    <rfmt sheetId="1" sqref="AA336" start="0" length="0">
      <dxf>
        <alignment horizontal="left" vertical="top" readingOrder="0"/>
        <border outline="0">
          <left style="thin">
            <color indexed="64"/>
          </left>
          <right style="thin">
            <color indexed="64"/>
          </right>
          <top style="thin">
            <color indexed="64"/>
          </top>
          <bottom style="thin">
            <color indexed="64"/>
          </bottom>
        </border>
      </dxf>
    </rfmt>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43985</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cc rId="0" sId="1" dxf="1">
      <nc r="AN336" t="inlineStr">
        <is>
          <t xml:space="preserve">Please comment follow ASPICE Standard </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rc>
  <rrc rId="964" sId="1" ref="A336:XFD336" action="deleteRow">
    <undo index="0" exp="ref" v="1" dr="B336" r="B337" sId="1"/>
    <rfmt sheetId="1" xfDxf="1" sqref="A336:XFD336" start="0" length="0">
      <dxf>
        <font/>
      </dxf>
    </rfmt>
    <rcc rId="0" sId="1" dxf="1">
      <nc r="B336">
        <f>#REF!+1</f>
      </nc>
      <ndxf>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CNMS_179148_Carbon_ESP_BL07_SPRINT12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CNMS_ESP_Carbon_Int\MainstreamF30\rb\as\cnms_core\app\net\scl\src\Callout_Functions\RBA_NDS_WheelOdoEdges_Callout.c</t>
        </is>
      </nc>
      <ndxf>
        <font>
          <b/>
        </font>
        <alignment horizontal="left" vertical="top" readingOrder="0"/>
        <border outline="0">
          <left style="thin">
            <color indexed="64"/>
          </left>
          <right style="thin">
            <color indexed="64"/>
          </right>
          <top style="thin">
            <color indexed="64"/>
          </top>
          <bottom style="thin">
            <color indexed="64"/>
          </bottom>
        </border>
      </ndxf>
    </rcc>
    <rcc rId="0" sId="1" dxf="1">
      <nc r="G336">
        <v>1329906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ont>
          <sz val="11"/>
          <color theme="1"/>
          <name val="Calibri"/>
          <scheme val="minor"/>
        </font>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RBA_NDS_WheelOdoEdges_Callout.c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ont>
          <sz val="11"/>
          <color theme="1"/>
          <name val="Calibri"/>
          <scheme val="minor"/>
        </font>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BL07_SPRINT12</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YE Tianyu (CC-AS/ESW2-CN)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ont>
          <sz val="11"/>
          <color theme="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ont>
          <sz val="11"/>
          <color theme="1"/>
          <name val="Calibri"/>
          <scheme val="minor"/>
        </font>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loc.do-phu</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424</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cc rId="0" sId="1" dxf="1">
      <nc r="X336">
        <f>W336</f>
      </nc>
      <ndxf>
        <alignment horizontal="left" vertical="top" readingOrder="0"/>
        <border outline="0">
          <left style="thin">
            <color indexed="64"/>
          </left>
          <right style="thin">
            <color indexed="64"/>
          </right>
          <top style="thin">
            <color indexed="64"/>
          </top>
          <bottom style="thin">
            <color indexed="64"/>
          </bottom>
        </border>
      </ndxf>
    </rcc>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cc rId="0" sId="1" dxf="1">
      <nc r="Z336">
        <f>Y336</f>
      </nc>
      <ndxf>
        <alignment horizontal="left" vertical="top" readingOrder="0"/>
        <border outline="0">
          <left style="thin">
            <color indexed="64"/>
          </left>
          <right style="thin">
            <color indexed="64"/>
          </right>
          <top style="thin">
            <color indexed="64"/>
          </top>
          <bottom style="thin">
            <color indexed="64"/>
          </bottom>
        </border>
      </ndxf>
    </rcc>
    <rcc rId="0" sId="1" dxf="1">
      <nc r="AA336"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43985</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3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3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cc rId="0" sId="1" dxf="1">
      <nc r="AN336" t="inlineStr">
        <is>
          <t xml:space="preserve">Please comment follow ASPICE Standard </t>
        </is>
      </nc>
      <ndxf>
        <font>
          <sz val="11"/>
          <color theme="1"/>
          <name val="Calibri"/>
          <scheme val="minor"/>
        </font>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rc>
  <rrc rId="965" sId="1" ref="A336:XFD336" action="deleteRow">
    <undo index="0" exp="ref" v="1" dr="B336" r="B337" sId="1"/>
    <rfmt sheetId="1" xfDxf="1" sqref="A336:XFD336" start="0" length="0">
      <dxf>
        <font/>
      </dxf>
    </rfmt>
    <rcc rId="0" sId="1" dxf="1">
      <nc r="B336">
        <f>#REF!+1</f>
      </nc>
      <ndxf>
        <font>
          <color auto="1"/>
        </font>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CNMS_179148_Carbon_ESP_BL07_SPRINT12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CNMS_ESP_Carbon_Int\MainstreamF30\rb\as\cnms_core\app\net\scl\src\Callout_Functions\RBA_NDS_WSS_FailureInfo_Callout.c</t>
        </is>
      </nc>
      <ndxf>
        <font>
          <b/>
        </font>
        <alignment horizontal="left" vertical="top" readingOrder="0"/>
        <border outline="0">
          <left style="thin">
            <color indexed="64"/>
          </left>
          <right style="thin">
            <color indexed="64"/>
          </right>
          <top style="thin">
            <color indexed="64"/>
          </top>
          <bottom style="thin">
            <color indexed="64"/>
          </bottom>
        </border>
      </ndxf>
    </rcc>
    <rcc rId="0" sId="1" dxf="1">
      <nc r="G336">
        <v>1329906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ont>
          <sz val="11"/>
          <color theme="1"/>
          <name val="Calibri"/>
          <scheme val="minor"/>
        </font>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RBA_NDS_WSS_FailureInfo_Callout.c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ont>
          <sz val="11"/>
          <color theme="1"/>
          <name val="Calibri"/>
          <scheme val="minor"/>
        </font>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BL07_SPRINT12</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YE Tianyu (CC-AS/ESW2-CN)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ont>
          <sz val="11"/>
          <color theme="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ont>
          <sz val="11"/>
          <color theme="1"/>
          <name val="Calibri"/>
          <scheme val="minor"/>
        </font>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loc.do-phu</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948</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cc rId="0" sId="1" dxf="1">
      <nc r="X336">
        <f>W336</f>
      </nc>
      <ndxf>
        <alignment horizontal="left" vertical="top" readingOrder="0"/>
        <border outline="0">
          <left style="thin">
            <color indexed="64"/>
          </left>
          <right style="thin">
            <color indexed="64"/>
          </right>
          <top style="thin">
            <color indexed="64"/>
          </top>
          <bottom style="thin">
            <color indexed="64"/>
          </bottom>
        </border>
      </ndxf>
    </rcc>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cc rId="0" sId="1" dxf="1">
      <nc r="Z336">
        <f>Y336</f>
      </nc>
      <ndxf>
        <alignment horizontal="left" vertical="top" readingOrder="0"/>
        <border outline="0">
          <left style="thin">
            <color indexed="64"/>
          </left>
          <right style="thin">
            <color indexed="64"/>
          </right>
          <top style="thin">
            <color indexed="64"/>
          </top>
          <bottom style="thin">
            <color indexed="64"/>
          </bottom>
        </border>
      </ndxf>
    </rcc>
    <rcc rId="0" sId="1" dxf="1">
      <nc r="AA336"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36" start="0" length="0">
      <dxf>
        <font>
          <sz val="11"/>
          <color theme="1"/>
          <name val="Calibri"/>
          <scheme val="minor"/>
        </font>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43976</v>
      </nc>
      <ndxf>
        <numFmt numFmtId="164" formatCode="[$-409]d\-mmm\-yyyy;@"/>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cc rId="0" sId="1" dxf="1" numFmtId="19">
      <nc r="AE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3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3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cc rId="0" sId="1" dxf="1">
      <nc r="AN336" t="inlineStr">
        <is>
          <t xml:space="preserve">Please comment follow ASPICE Standard </t>
        </is>
      </nc>
      <ndxf>
        <font>
          <sz val="11"/>
          <color theme="1"/>
          <name val="Calibri"/>
          <scheme val="minor"/>
        </font>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rc>
  <rrc rId="966"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CNMS_179148_Carbon_ESP_BL07_SPRINT12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CNMS_ESP_Carbon_Int\MainstreamF30\rb\as\cnms_core\app\net\scl\src\Callout_Functions\RBA_NDS_YAWRATE_Callout.c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36">
        <v>1329906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RBA_NDS_YAWRATE_Callout.c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BL07_SPRINT12</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YE Tianyu (CC-AS/ESW2-CN)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chung.ly</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360</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cc rId="0" sId="1" dxf="1">
      <nc r="X336">
        <f>W336</f>
      </nc>
      <ndxf>
        <alignment horizontal="left" vertical="top" readingOrder="0"/>
        <border outline="0">
          <left style="thin">
            <color indexed="64"/>
          </left>
          <right style="thin">
            <color indexed="64"/>
          </right>
          <top style="thin">
            <color indexed="64"/>
          </top>
          <bottom style="thin">
            <color indexed="64"/>
          </bottom>
        </border>
      </ndxf>
    </rcc>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cc rId="0" sId="1" dxf="1">
      <nc r="Z336">
        <v>0.5</v>
      </nc>
      <ndxf>
        <alignment horizontal="left" vertical="top" readingOrder="0"/>
        <border outline="0">
          <left style="thin">
            <color indexed="64"/>
          </left>
          <right style="thin">
            <color indexed="64"/>
          </right>
          <top style="thin">
            <color indexed="64"/>
          </top>
          <bottom style="thin">
            <color indexed="64"/>
          </bottom>
        </border>
      </ndxf>
    </rcc>
    <rcc rId="0" sId="1" dxf="1">
      <nc r="AA336"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43976</v>
      </nc>
      <ndxf>
        <numFmt numFmtId="164" formatCode="[$-409]d\-mmm\-yyyy;@"/>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cc rId="0" sId="1" dxf="1" numFmtId="19">
      <nc r="AE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3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3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L336"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M336"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N336" t="inlineStr">
        <is>
          <t xml:space="preserve">Please comment follow ASPICE Standard </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rc>
  <rrc rId="967"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CNMS_179148_Carbon_ESP_BL07_SPRINT12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CNMS_ESP_Carbon_Int\MainstreamF30\rb\as\cnms_core\app\net\scl\src\Steering\SAS_Functions.c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36">
        <v>1329906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SAS_Functions.c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BL07_SPRINT12</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YE Tianyu (CC-AS/ESW2-CN)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chung.ly</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604</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cc rId="0" sId="1" dxf="1">
      <nc r="X336">
        <f>W336</f>
      </nc>
      <ndxf>
        <alignment horizontal="left" vertical="top" readingOrder="0"/>
        <border outline="0">
          <left style="thin">
            <color indexed="64"/>
          </left>
          <right style="thin">
            <color indexed="64"/>
          </right>
          <top style="thin">
            <color indexed="64"/>
          </top>
          <bottom style="thin">
            <color indexed="64"/>
          </bottom>
        </border>
      </ndxf>
    </rcc>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cc rId="0" sId="1" dxf="1">
      <nc r="Z336">
        <v>1</v>
      </nc>
      <ndxf>
        <alignment horizontal="left" vertical="top" readingOrder="0"/>
        <border outline="0">
          <left style="thin">
            <color indexed="64"/>
          </left>
          <right style="thin">
            <color indexed="64"/>
          </right>
          <top style="thin">
            <color indexed="64"/>
          </top>
          <bottom style="thin">
            <color indexed="64"/>
          </bottom>
        </border>
      </ndxf>
    </rcc>
    <rcc rId="0" sId="1" dxf="1">
      <nc r="AA336"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43976</v>
      </nc>
      <ndxf>
        <numFmt numFmtId="164" formatCode="[$-409]d\-mmm\-yyyy;@"/>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cc rId="0" sId="1" dxf="1" numFmtId="19">
      <nc r="AE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3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3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L336"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M336"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N336" t="inlineStr">
        <is>
          <t xml:space="preserve">Please comment follow ASPICE Standard </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rc>
  <rrc rId="968"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CNMS_179148_Carbon_ESP_BL07_SPRINT12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CNMS_ESP_Carbon_Int\MainstreamF30\rb\as\cnms_core\app\net\scl\src\Steering\SAS_LWS_Standard.c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36">
        <v>1329906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SAS_LWS_Standard.c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BL07_SPRINT12</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YE Tianyu (CC-AS/ESW2-CN)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708</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cc rId="0" sId="1" dxf="1">
      <nc r="X336">
        <f>W336</f>
      </nc>
      <ndxf>
        <alignment horizontal="left" vertical="top" readingOrder="0"/>
        <border outline="0">
          <left style="thin">
            <color indexed="64"/>
          </left>
          <right style="thin">
            <color indexed="64"/>
          </right>
          <top style="thin">
            <color indexed="64"/>
          </top>
          <bottom style="thin">
            <color indexed="64"/>
          </bottom>
        </border>
      </ndxf>
    </rcc>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cc rId="0" sId="1" dxf="1">
      <nc r="Z336">
        <v>8</v>
      </nc>
      <ndxf>
        <alignment horizontal="left" vertical="top" readingOrder="0"/>
        <border outline="0">
          <left style="thin">
            <color indexed="64"/>
          </left>
          <right style="thin">
            <color indexed="64"/>
          </right>
          <top style="thin">
            <color indexed="64"/>
          </top>
          <bottom style="thin">
            <color indexed="64"/>
          </bottom>
        </border>
      </ndxf>
    </rcc>
    <rcc rId="0" sId="1" dxf="1">
      <nc r="AA336"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43976</v>
      </nc>
      <ndxf>
        <numFmt numFmtId="164" formatCode="[$-409]d\-mmm\-yyyy;@"/>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cc rId="0" sId="1" dxf="1" numFmtId="19">
      <nc r="AE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3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3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cc rId="0" sId="1" dxf="1">
      <nc r="AN336" t="inlineStr">
        <is>
          <t xml:space="preserve">Please comment follow ASPICE Standard </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rc>
  <rrc rId="969"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CNMS_179148_Carbon_ESP_BL07_SPRINT12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CNMS_ESP_Carbon_Int\MainstreamF30\rb\as\cnms_core\app\net\scl\src\Callout_Functions\RBA_NDS_WSS_FailureInfo_Callout.c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36">
        <v>1470767</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RBA_NDS_WSS_FailureInfo_Callout.c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BL07_SPRINT12</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474</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cc rId="0" sId="1" dxf="1">
      <nc r="X336">
        <f>W336</f>
      </nc>
      <ndxf>
        <alignment horizontal="left" vertical="top" readingOrder="0"/>
        <border outline="0">
          <left style="thin">
            <color indexed="64"/>
          </left>
          <right style="thin">
            <color indexed="64"/>
          </right>
          <top style="thin">
            <color indexed="64"/>
          </top>
          <bottom style="thin">
            <color indexed="64"/>
          </bottom>
        </border>
      </ndxf>
    </rcc>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cc rId="0" sId="1" dxf="1">
      <nc r="Z336">
        <v>4</v>
      </nc>
      <ndxf>
        <alignment horizontal="left" vertical="top" readingOrder="0"/>
        <border outline="0">
          <left style="thin">
            <color indexed="64"/>
          </left>
          <right style="thin">
            <color indexed="64"/>
          </right>
          <top style="thin">
            <color indexed="64"/>
          </top>
          <bottom style="thin">
            <color indexed="64"/>
          </bottom>
        </border>
      </ndxf>
    </rcc>
    <rcc rId="0" sId="1" dxf="1">
      <nc r="AA336"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43976</v>
      </nc>
      <ndxf>
        <numFmt numFmtId="164" formatCode="[$-409]d\-mmm\-yyyy;@"/>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cc rId="0" sId="1" dxf="1" numFmtId="19">
      <nc r="AE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3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3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cc rId="0" sId="1" dxf="1">
      <nc r="AN336" t="inlineStr">
        <is>
          <t xml:space="preserve">Please comment follow ASPICE Standard </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rc>
  <rrc rId="970"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CNMS_203173_Carbon_HevX_BL03_SP08</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CNMS_ESPHevX_Carbon_Int\CNMSESPHevX\rb\as\cnms_core\app\net\scl\src\Callout_Functions\RBA_NDS_WSS_FailureInfo_Callout.c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36">
        <v>1470769</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RBA_NDS_WSS_FailureInfo_Callout.c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BL03_SP08</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474</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cc rId="0" sId="1" dxf="1">
      <nc r="X336">
        <f>W336</f>
      </nc>
      <ndxf>
        <alignment horizontal="left" vertical="top" readingOrder="0"/>
        <border outline="0">
          <left style="thin">
            <color indexed="64"/>
          </left>
          <right style="thin">
            <color indexed="64"/>
          </right>
          <top style="thin">
            <color indexed="64"/>
          </top>
          <bottom style="thin">
            <color indexed="64"/>
          </bottom>
        </border>
      </ndxf>
    </rcc>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cc rId="0" sId="1" dxf="1">
      <nc r="Z336">
        <v>4</v>
      </nc>
      <ndxf>
        <alignment horizontal="left" vertical="top" readingOrder="0"/>
        <border outline="0">
          <left style="thin">
            <color indexed="64"/>
          </left>
          <right style="thin">
            <color indexed="64"/>
          </right>
          <top style="thin">
            <color indexed="64"/>
          </top>
          <bottom style="thin">
            <color indexed="64"/>
          </bottom>
        </border>
      </ndxf>
    </rcc>
    <rcc rId="0" sId="1" dxf="1">
      <nc r="AA336"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43976</v>
      </nc>
      <ndxf>
        <numFmt numFmtId="164" formatCode="[$-409]d\-mmm\-yyyy;@"/>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cc rId="0" sId="1" dxf="1" numFmtId="19">
      <nc r="AE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3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3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cc rId="0" sId="1" dxf="1">
      <nc r="AN336" t="inlineStr">
        <is>
          <t xml:space="preserve">Please comment follow ASPICE Standard </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rc>
  <rrc rId="971"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CNMS_203173_Carbon_HevX_BL03_SP08</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CNMS_ESPHevX_Carbon_Int\CNMSESPHevX\rb\as\rbcn\core\app\dcom\RBAPLCust\src\common\RBAPLCUST_PreConditionsMode04.c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36">
        <v>1459843</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RBAPLCUST_PreConditionsMode04.c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BL03_SP08</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WANG Bei (CC-AS/ESW3-CN)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loc.do-phu</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20</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cc rId="0" sId="1" dxf="1">
      <nc r="X336">
        <f>W336</f>
      </nc>
      <ndxf>
        <alignment horizontal="left" vertical="top" readingOrder="0"/>
        <border outline="0">
          <left style="thin">
            <color indexed="64"/>
          </left>
          <right style="thin">
            <color indexed="64"/>
          </right>
          <top style="thin">
            <color indexed="64"/>
          </top>
          <bottom style="thin">
            <color indexed="64"/>
          </bottom>
        </border>
      </ndxf>
    </rcc>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cc rId="0" sId="1" dxf="1">
      <nc r="Z336">
        <f>Y336</f>
      </nc>
      <ndxf>
        <alignment horizontal="left" vertical="top" readingOrder="0"/>
        <border outline="0">
          <left style="thin">
            <color indexed="64"/>
          </left>
          <right style="thin">
            <color indexed="64"/>
          </right>
          <top style="thin">
            <color indexed="64"/>
          </top>
          <bottom style="thin">
            <color indexed="64"/>
          </bottom>
        </border>
      </ndxf>
    </rcc>
    <rcc rId="0" sId="1" dxf="1">
      <nc r="AA336"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43976</v>
      </nc>
      <ndxf>
        <numFmt numFmtId="164" formatCode="[$-409]d\-mmm\-yyyy;@"/>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cc rId="0" sId="1" dxf="1" numFmtId="19">
      <nc r="AE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3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3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cc rId="0" sId="1" dxf="1">
      <nc r="AN336" t="inlineStr">
        <is>
          <t xml:space="preserve">Please comment follow ASPICE Standard </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rc>
  <rrc rId="972"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CNMS_203173_Carbon_HevX_BL03_SP08</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CNMS_ESPHevX_Carbon_Int\CNMSESPHevX\rb\as\rbcn\core\app\dcom\RBAPLOBD\src\RBAPLOBD_Mode04.c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36">
        <v>1459843</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RBAPLOBD_Mode04.c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BL03_SP08</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WANG Bei (CC-AS/ESW3-CN)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loc.do-phu</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64</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cc rId="0" sId="1" dxf="1">
      <nc r="X336">
        <f>W336</f>
      </nc>
      <ndxf>
        <alignment horizontal="left" vertical="top" readingOrder="0"/>
        <border outline="0">
          <left style="thin">
            <color indexed="64"/>
          </left>
          <right style="thin">
            <color indexed="64"/>
          </right>
          <top style="thin">
            <color indexed="64"/>
          </top>
          <bottom style="thin">
            <color indexed="64"/>
          </bottom>
        </border>
      </ndxf>
    </rcc>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cc rId="0" sId="1" dxf="1">
      <nc r="Z336">
        <f>Y336</f>
      </nc>
      <ndxf>
        <alignment horizontal="left" vertical="top" readingOrder="0"/>
        <border outline="0">
          <left style="thin">
            <color indexed="64"/>
          </left>
          <right style="thin">
            <color indexed="64"/>
          </right>
          <top style="thin">
            <color indexed="64"/>
          </top>
          <bottom style="thin">
            <color indexed="64"/>
          </bottom>
        </border>
      </ndxf>
    </rcc>
    <rcc rId="0" sId="1" dxf="1">
      <nc r="AA336"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43976</v>
      </nc>
      <ndxf>
        <numFmt numFmtId="164" formatCode="[$-409]d\-mmm\-yyyy;@"/>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cc rId="0" sId="1" dxf="1" numFmtId="19">
      <nc r="AE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3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3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cc rId="0" sId="1" dxf="1">
      <nc r="AN336" t="inlineStr">
        <is>
          <t xml:space="preserve">Please comment follow ASPICE Standard </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rc>
  <rrc rId="973"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CNMS_179148_Carbon_ESP_BL07_SPRINT12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CNMS_ESP_Carbon_Int\MainstreamF30\rb\as\rbcn\core\app\dcom\RBAPLCust\src\ESP\RBAPLCUST_InputOutputControl.c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36">
        <v>1373116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 xml:space="preserve">RBAPLCUST_InputOutputControl.c </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BL07_SPRINT12</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YE Tianyu (CC-AS/ESW2-CN)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duong.nguyen</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2892</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fmt sheetId="1" sqref="X336" start="0" length="0">
      <dxf>
        <alignment horizontal="left" vertical="top" readingOrder="0"/>
        <border outline="0">
          <left style="thin">
            <color indexed="64"/>
          </left>
          <right style="thin">
            <color indexed="64"/>
          </right>
          <top style="thin">
            <color indexed="64"/>
          </top>
          <bottom style="thin">
            <color indexed="64"/>
          </bottom>
        </border>
      </dxf>
    </rfmt>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fmt sheetId="1" sqref="Z336" start="0" length="0">
      <dxf>
        <alignment horizontal="left" vertical="top" readingOrder="0"/>
        <border outline="0">
          <left style="thin">
            <color indexed="64"/>
          </left>
          <right style="thin">
            <color indexed="64"/>
          </right>
          <top style="thin">
            <color indexed="64"/>
          </top>
          <bottom style="thin">
            <color indexed="64"/>
          </bottom>
        </border>
      </dxf>
    </rfmt>
    <rfmt sheetId="1" sqref="AA336" start="0" length="0">
      <dxf>
        <alignment horizontal="left" vertical="top" readingOrder="0"/>
        <border outline="0">
          <left style="thin">
            <color indexed="64"/>
          </left>
          <right style="thin">
            <color indexed="64"/>
          </right>
          <top style="thin">
            <color indexed="64"/>
          </top>
          <bottom style="thin">
            <color indexed="64"/>
          </bottom>
        </border>
      </dxf>
    </rfmt>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43985</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quotePrefix="1">
      <nc r="AL336"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AM336"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N336" t="inlineStr">
        <is>
          <t xml:space="preserve">Please comment follow ASPICE Standard </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rc>
  <rrc rId="974"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CNMS_179148_Carbon_ESP_BL07_SPRINT12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CNMS_ESP_Carbon_Int\MainstreamF30\rb\as\rbcn\core\app\dcom\RBAPLCust\src\ESP\RBAPLCUST_RDBI_IOCtrlState.c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36">
        <v>1373116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 xml:space="preserve">RBAPLCUST_RDBI_IOCtrlState.c </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BL07_SPRINT12</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YE Tianyu (CC-AS/ESW2-CN)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808</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fmt sheetId="1" sqref="X336" start="0" length="0">
      <dxf>
        <alignment horizontal="left" vertical="top" readingOrder="0"/>
        <border outline="0">
          <left style="thin">
            <color indexed="64"/>
          </left>
          <right style="thin">
            <color indexed="64"/>
          </right>
          <top style="thin">
            <color indexed="64"/>
          </top>
          <bottom style="thin">
            <color indexed="64"/>
          </bottom>
        </border>
      </dxf>
    </rfmt>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fmt sheetId="1" sqref="Z336" start="0" length="0">
      <dxf>
        <alignment horizontal="left" vertical="top" readingOrder="0"/>
        <border outline="0">
          <left style="thin">
            <color indexed="64"/>
          </left>
          <right style="thin">
            <color indexed="64"/>
          </right>
          <top style="thin">
            <color indexed="64"/>
          </top>
          <bottom style="thin">
            <color indexed="64"/>
          </bottom>
        </border>
      </dxf>
    </rfmt>
    <rfmt sheetId="1" sqref="AA336" start="0" length="0">
      <dxf>
        <alignment horizontal="left" vertical="top" readingOrder="0"/>
        <border outline="0">
          <left style="thin">
            <color indexed="64"/>
          </left>
          <right style="thin">
            <color indexed="64"/>
          </right>
          <top style="thin">
            <color indexed="64"/>
          </top>
          <bottom style="thin">
            <color indexed="64"/>
          </bottom>
        </border>
      </dxf>
    </rfmt>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43985</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cc rId="0" sId="1" dxf="1">
      <nc r="AN336" t="inlineStr">
        <is>
          <t xml:space="preserve">Please comment follow ASPICE Standard </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rc>
  <rrc rId="975"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7"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GEELY_BX11_ESPHEVX_BL06_SP02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GeelyNL5P_ESPHevX_Int\ESPhevXGeely\rb\as\ESPhevX\Geely\app\dsm\RBVAR\src\RBVAR_SystemStateManagement_PROJECT.c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36">
        <v>1452940</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RBVAR_SystemStateManagement_PROJECT.c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BL06_SP02</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GeelyNL5P_ESPHevX_Int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ZHANG Guorong (CC-AS/EVA-SW32-CN)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hau.nguyen-tai</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35</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cc rId="0" sId="1" dxf="1">
      <nc r="X336">
        <f>W336</f>
      </nc>
      <ndxf>
        <alignment horizontal="left" vertical="top" readingOrder="0"/>
        <border outline="0">
          <left style="thin">
            <color indexed="64"/>
          </left>
          <right style="thin">
            <color indexed="64"/>
          </right>
          <top style="thin">
            <color indexed="64"/>
          </top>
          <bottom style="thin">
            <color indexed="64"/>
          </bottom>
        </border>
      </ndxf>
    </rcc>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cc rId="0" sId="1" dxf="1">
      <nc r="Z336">
        <v>0.5</v>
      </nc>
      <ndxf>
        <alignment horizontal="left" vertical="top" readingOrder="0"/>
        <border outline="0">
          <left style="thin">
            <color indexed="64"/>
          </left>
          <right style="thin">
            <color indexed="64"/>
          </right>
          <top style="thin">
            <color indexed="64"/>
          </top>
          <bottom style="thin">
            <color indexed="64"/>
          </bottom>
        </border>
      </ndxf>
    </rcc>
    <rcc rId="0" sId="1" dxf="1">
      <nc r="AA336"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43973</v>
      </nc>
      <ndxf>
        <numFmt numFmtId="164" formatCode="[$-409]d\-mmm\-yyyy;@"/>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cc rId="0" sId="1" dxf="1" numFmtId="19">
      <nc r="AE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3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3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fmt sheetId="1" sqref="AN336" start="0" length="0">
      <dxf>
        <alignment horizontal="left" vertical="top" readingOrder="0"/>
        <border outline="0">
          <left style="thin">
            <color indexed="64"/>
          </left>
          <right style="thin">
            <color indexed="64"/>
          </right>
          <top style="thin">
            <color indexed="64"/>
          </top>
          <bottom style="thin">
            <color indexed="64"/>
          </bottom>
        </border>
      </dxf>
    </rfmt>
  </rrc>
  <rrc rId="976"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7"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GEELY_BX11_ESPHEVX_BL06_SP02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GeelyNL5P_ESPHevX_Int\ESPhevXGeely\rb\as\ESPhevX\Geely\app\dsm\RBHMI\src\RBHMI_ExtStateCalculation_PRJ.c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36">
        <v>1452940</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RBHMI_ExtStateCalculation_PRJ.c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BL06_SP02</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GeelyNL5P_ESPHevX_Int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ZHANG Guorong (CC-AS/EVA-SW32-CN)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hau.nguyen-tai</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249</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cc rId="0" sId="1" dxf="1">
      <nc r="X336">
        <f>W336</f>
      </nc>
      <ndxf>
        <alignment horizontal="left" vertical="top" readingOrder="0"/>
        <border outline="0">
          <left style="thin">
            <color indexed="64"/>
          </left>
          <right style="thin">
            <color indexed="64"/>
          </right>
          <top style="thin">
            <color indexed="64"/>
          </top>
          <bottom style="thin">
            <color indexed="64"/>
          </bottom>
        </border>
      </ndxf>
    </rcc>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cc rId="0" sId="1" dxf="1">
      <nc r="Z336">
        <v>1</v>
      </nc>
      <ndxf>
        <alignment horizontal="left" vertical="top" readingOrder="0"/>
        <border outline="0">
          <left style="thin">
            <color indexed="64"/>
          </left>
          <right style="thin">
            <color indexed="64"/>
          </right>
          <top style="thin">
            <color indexed="64"/>
          </top>
          <bottom style="thin">
            <color indexed="64"/>
          </bottom>
        </border>
      </ndxf>
    </rcc>
    <rcc rId="0" sId="1" dxf="1">
      <nc r="AA336"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43973</v>
      </nc>
      <ndxf>
        <numFmt numFmtId="164" formatCode="[$-409]d\-mmm\-yyyy;@"/>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cc rId="0" sId="1" dxf="1" numFmtId="19">
      <nc r="AE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3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3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fmt sheetId="1" sqref="AN336" start="0" length="0">
      <dxf>
        <alignment horizontal="left" vertical="top" readingOrder="0"/>
        <border outline="0">
          <left style="thin">
            <color indexed="64"/>
          </left>
          <right style="thin">
            <color indexed="64"/>
          </right>
          <top style="thin">
            <color indexed="64"/>
          </top>
          <bottom style="thin">
            <color indexed="64"/>
          </bottom>
        </border>
      </dxf>
    </rfmt>
  </rrc>
  <rrc rId="977"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7"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MC_239507_SGMW_CN210S_PHEV_ESP9.3Cpi</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SGMW_ESP93_Carbon_Int\MainstreamF30\rb\as\sgmw\CN210S\app\net\RBScl\RBScl_SGMW\src\NET_SCL_Rx_SGMW.c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36">
        <v>1474097</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NET_SCL_Rx_SGMW.c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BB81377</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BL03-Sp01</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SGMW_ESP93_Carbon_Int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BAO Eric (CC-AS/EVA-SW32-CN)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hieu.nguyen-trung</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641</v>
      </nc>
      <ndxf>
        <alignment horizontal="left" vertical="top" readingOrder="0"/>
        <border outline="0">
          <left style="thin">
            <color indexed="64"/>
          </left>
          <right style="thin">
            <color indexed="64"/>
          </right>
          <top style="thin">
            <color indexed="64"/>
          </top>
          <bottom style="thin">
            <color indexed="64"/>
          </bottom>
        </border>
      </ndxf>
    </rcc>
    <rcc rId="0" sId="1" dxf="1">
      <nc r="W336">
        <v>60</v>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cc rId="0" sId="1" dxf="1">
      <nc r="X336">
        <f>W336</f>
      </nc>
      <ndxf>
        <alignment horizontal="left" vertical="top" readingOrder="0"/>
        <border outline="0">
          <left style="thin">
            <color indexed="64"/>
          </left>
          <right style="thin">
            <color indexed="64"/>
          </right>
          <top style="thin">
            <color indexed="64"/>
          </top>
          <bottom style="thin">
            <color indexed="64"/>
          </bottom>
        </border>
      </ndxf>
    </rcc>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cc rId="0" sId="1" dxf="1">
      <nc r="Z336">
        <v>1</v>
      </nc>
      <ndxf>
        <alignment horizontal="left" vertical="top" readingOrder="0"/>
        <border outline="0">
          <left style="thin">
            <color indexed="64"/>
          </left>
          <right style="thin">
            <color indexed="64"/>
          </right>
          <top style="thin">
            <color indexed="64"/>
          </top>
          <bottom style="thin">
            <color indexed="64"/>
          </bottom>
        </border>
      </ndxf>
    </rcc>
    <rcc rId="0" sId="1" dxf="1">
      <nc r="AA336"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43973</v>
      </nc>
      <ndxf>
        <numFmt numFmtId="164" formatCode="[$-409]d\-mmm\-yyyy;@"/>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cc rId="0" sId="1" dxf="1" numFmtId="19">
      <nc r="AE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3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3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cc rId="0" sId="1" dxf="1">
      <nc r="AN336" t="inlineStr">
        <is>
          <t>Actual LOC: 60</t>
        </is>
      </nc>
      <ndxf>
        <alignment horizontal="left" vertical="top" readingOrder="0"/>
        <border outline="0">
          <left style="thin">
            <color indexed="64"/>
          </left>
          <right style="thin">
            <color indexed="64"/>
          </right>
          <top style="thin">
            <color indexed="64"/>
          </top>
          <bottom style="thin">
            <color indexed="64"/>
          </bottom>
        </border>
      </ndxf>
    </rcc>
  </rrc>
  <rrc rId="978"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7"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MC_247874_Geely_KC2A_ESP9.3HB_RC1</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Geely_Beryllium2_OBD_China6_Int\MainstreamF30\rb\as\geely\project\app\net\RBScl\src\Rcv\NET_SCL_Rx_AEB.c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36">
        <v>1478932</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NET_SCL_Rx_AEB.c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BB82738</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Geely_Beryllium2_OBD_China6_Int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VELLAISAMY Senthil Kumar (CC-AS/EVA-SW32-CN)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hau.nguyen-tai</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81</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cc rId="0" sId="1" dxf="1">
      <nc r="X336">
        <f>W336</f>
      </nc>
      <ndxf>
        <alignment horizontal="left" vertical="top" readingOrder="0"/>
        <border outline="0">
          <left style="thin">
            <color indexed="64"/>
          </left>
          <right style="thin">
            <color indexed="64"/>
          </right>
          <top style="thin">
            <color indexed="64"/>
          </top>
          <bottom style="thin">
            <color indexed="64"/>
          </bottom>
        </border>
      </ndxf>
    </rcc>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cc rId="0" sId="1" dxf="1">
      <nc r="Z336">
        <v>1</v>
      </nc>
      <ndxf>
        <alignment horizontal="left" vertical="top" readingOrder="0"/>
        <border outline="0">
          <left style="thin">
            <color indexed="64"/>
          </left>
          <right style="thin">
            <color indexed="64"/>
          </right>
          <top style="thin">
            <color indexed="64"/>
          </top>
          <bottom style="thin">
            <color indexed="64"/>
          </bottom>
        </border>
      </ndxf>
    </rcc>
    <rcc rId="0" sId="1" dxf="1">
      <nc r="AA336"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3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3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fmt sheetId="1" sqref="AN336" start="0" length="0">
      <dxf>
        <alignment horizontal="left" vertical="top" readingOrder="0"/>
        <border outline="0">
          <left style="thin">
            <color indexed="64"/>
          </left>
          <right style="thin">
            <color indexed="64"/>
          </right>
          <top style="thin">
            <color indexed="64"/>
          </top>
          <bottom style="thin">
            <color indexed="64"/>
          </bottom>
        </border>
      </dxf>
    </rfmt>
  </rrc>
  <rrc rId="979"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7"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MC_247874_Geely_KC2A_ESP9.3HB_RC1</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Geely_Beryllium2_Int\MainstreamF30\rb\as\geely\project\app\net\RBScl\src\Rcv\NET_SCL_Rx_AEB.c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36">
        <v>1478932</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NET_SCL_Rx_AEB.c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BB82739</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Geely_Beryllium2_Int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VELLAISAMY Senthil Kumar (CC-AS/EVA-SW32-CN)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hau.nguyen-tai</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81</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cc rId="0" sId="1" dxf="1">
      <nc r="X336">
        <f>W336</f>
      </nc>
      <ndxf>
        <alignment horizontal="left" vertical="top" readingOrder="0"/>
        <border outline="0">
          <left style="thin">
            <color indexed="64"/>
          </left>
          <right style="thin">
            <color indexed="64"/>
          </right>
          <top style="thin">
            <color indexed="64"/>
          </top>
          <bottom style="thin">
            <color indexed="64"/>
          </bottom>
        </border>
      </ndxf>
    </rcc>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cc rId="0" sId="1" dxf="1">
      <nc r="Z336">
        <v>1</v>
      </nc>
      <ndxf>
        <alignment horizontal="left" vertical="top" readingOrder="0"/>
        <border outline="0">
          <left style="thin">
            <color indexed="64"/>
          </left>
          <right style="thin">
            <color indexed="64"/>
          </right>
          <top style="thin">
            <color indexed="64"/>
          </top>
          <bottom style="thin">
            <color indexed="64"/>
          </bottom>
        </border>
      </ndxf>
    </rcc>
    <rcc rId="0" sId="1" dxf="1">
      <nc r="AA336"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3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3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fmt sheetId="1" sqref="AN336" start="0" length="0">
      <dxf>
        <alignment horizontal="left" vertical="top" readingOrder="0"/>
        <border outline="0">
          <left style="thin">
            <color indexed="64"/>
          </left>
          <right style="thin">
            <color indexed="64"/>
          </right>
          <top style="thin">
            <color indexed="64"/>
          </top>
          <bottom style="thin">
            <color indexed="64"/>
          </bottom>
        </border>
      </dxf>
    </rfmt>
  </rrc>
  <rrc rId="980"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7"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20200520</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BYD_COMMON_DEFECT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BYD_ESP93_Int\MainstreamF30\rb\as\BYD\Mainstream151\app\dsm\RBVAR\src\RBVAR_VarCode_PROJECT.c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36">
        <v>1478344</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RBVAR_VarCode_PROJECT.c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BB80912</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BYD_ESP93_Int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MA Python (CC-AS/EVA-SW31-CN)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hau.nguyen-tai</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42</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cc rId="0" sId="1" dxf="1">
      <nc r="X336">
        <f>W336</f>
      </nc>
      <ndxf>
        <alignment horizontal="left" vertical="top" readingOrder="0"/>
        <border outline="0">
          <left style="thin">
            <color indexed="64"/>
          </left>
          <right style="thin">
            <color indexed="64"/>
          </right>
          <top style="thin">
            <color indexed="64"/>
          </top>
          <bottom style="thin">
            <color indexed="64"/>
          </bottom>
        </border>
      </ndxf>
    </rcc>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cc rId="0" sId="1" dxf="1">
      <nc r="Z336">
        <v>1</v>
      </nc>
      <ndxf>
        <alignment horizontal="left" vertical="top" readingOrder="0"/>
        <border outline="0">
          <left style="thin">
            <color indexed="64"/>
          </left>
          <right style="thin">
            <color indexed="64"/>
          </right>
          <top style="thin">
            <color indexed="64"/>
          </top>
          <bottom style="thin">
            <color indexed="64"/>
          </bottom>
        </border>
      </ndxf>
    </rcc>
    <rcc rId="0" sId="1" dxf="1">
      <nc r="AA336"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3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3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fmt sheetId="1" sqref="AN336" start="0" length="0">
      <dxf>
        <alignment horizontal="left" vertical="top" readingOrder="0"/>
        <border outline="0">
          <left style="thin">
            <color indexed="64"/>
          </left>
          <right style="thin">
            <color indexed="64"/>
          </right>
          <top style="thin">
            <color indexed="64"/>
          </top>
          <bottom style="thin">
            <color indexed="64"/>
          </bottom>
        </border>
      </dxf>
    </rfmt>
  </rrc>
  <rrc rId="981"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8"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20200521</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 xml:space="preserve">SAIC EP22 M2 noneDA ESP9.3 237432 </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rb\as\saic\CpiwAPB\app\net\RBScl\EP22_M2\src\</t>
        </is>
      </nc>
      <ndxf>
        <alignment horizontal="left" vertical="top" readingOrder="0"/>
        <border outline="0">
          <left style="thin">
            <color indexed="64"/>
          </left>
          <right style="thin">
            <color indexed="64"/>
          </right>
          <top style="thin">
            <color indexed="64"/>
          </top>
          <bottom style="thin">
            <color indexed="64"/>
          </bottom>
        </border>
      </ndxf>
    </rcc>
    <rcc rId="0" sId="1" dxf="1">
      <nc r="G336">
        <v>1455638</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NET_BrkVamPumpSts.c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BB81433/81853</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SAIC_A_ARCH_CMP_ESP93_Carbon_Int</t>
        </is>
      </nc>
      <ndxf>
        <alignment horizontal="left" vertical="top" readingOrder="0"/>
        <border outline="0">
          <left style="thin">
            <color indexed="64"/>
          </left>
          <right style="thin">
            <color indexed="64"/>
          </right>
          <top style="thin">
            <color indexed="64"/>
          </top>
          <bottom style="thin">
            <color indexed="64"/>
          </bottom>
        </border>
      </ndxf>
    </rcc>
    <rfmt sheetId="1" sqref="O336"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P336" t="inlineStr">
        <is>
          <t>CAI Tantan (CC-AS/EVA-SW31-CN)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bang.nguyen-duy</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66</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cc rId="0" sId="1" dxf="1">
      <nc r="X336">
        <f>W336</f>
      </nc>
      <ndxf>
        <alignment horizontal="left" vertical="top" readingOrder="0"/>
        <border outline="0">
          <left style="thin">
            <color indexed="64"/>
          </left>
          <right style="thin">
            <color indexed="64"/>
          </right>
          <top style="thin">
            <color indexed="64"/>
          </top>
          <bottom style="thin">
            <color indexed="64"/>
          </bottom>
        </border>
      </ndxf>
    </rcc>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cc rId="0" sId="1" dxf="1">
      <nc r="Z336">
        <v>1</v>
      </nc>
      <ndxf>
        <alignment horizontal="left" vertical="top" readingOrder="0"/>
        <border outline="0">
          <left style="thin">
            <color indexed="64"/>
          </left>
          <right style="thin">
            <color indexed="64"/>
          </right>
          <top style="thin">
            <color indexed="64"/>
          </top>
          <bottom style="thin">
            <color indexed="64"/>
          </bottom>
        </border>
      </ndxf>
    </rcc>
    <rcc rId="0" sId="1" dxf="1">
      <nc r="AA336" t="inlineStr">
        <is>
          <t>Ready for review</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43973</v>
      </nc>
      <ndxf>
        <numFmt numFmtId="164" formatCode="[$-409]d\-mmm\-yyyy;@"/>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cc rId="0" sId="1" dxf="1" numFmtId="19">
      <nc r="AE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3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3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cc rId="0" sId="1" dxf="1">
      <nc r="AN336" t="inlineStr">
        <is>
          <t>Without WT</t>
        </is>
      </nc>
      <ndxf>
        <alignment horizontal="left" vertical="top" readingOrder="0"/>
        <border outline="0">
          <left style="thin">
            <color indexed="64"/>
          </left>
          <right style="thin">
            <color indexed="64"/>
          </right>
          <top style="thin">
            <color indexed="64"/>
          </top>
          <bottom style="thin">
            <color indexed="64"/>
          </bottom>
        </border>
      </ndxf>
    </rcc>
  </rrc>
  <rrc rId="982"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8"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20200521</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 xml:space="preserve">SAIC EP22 M2 noneDA ESP9.3 237432 </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rb\as\saic\CpiwAPB\app\net\RBScl\EP22_M2\src\</t>
        </is>
      </nc>
      <ndxf>
        <alignment horizontal="left" vertical="top" readingOrder="0"/>
        <border outline="0">
          <left style="thin">
            <color indexed="64"/>
          </left>
          <right style="thin">
            <color indexed="64"/>
          </right>
          <top style="thin">
            <color indexed="64"/>
          </top>
          <bottom style="thin">
            <color indexed="64"/>
          </bottom>
        </border>
      </ndxf>
    </rcc>
    <rcc rId="0" sId="1" dxf="1">
      <nc r="G336">
        <v>1455638</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NET_Complex_SignalHandling.c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BB81433/81853</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SAIC_A_ARCH_CMP_ESP93_Carbon_Int</t>
        </is>
      </nc>
      <ndxf>
        <alignment horizontal="left" vertical="top" readingOrder="0"/>
        <border outline="0">
          <left style="thin">
            <color indexed="64"/>
          </left>
          <right style="thin">
            <color indexed="64"/>
          </right>
          <top style="thin">
            <color indexed="64"/>
          </top>
          <bottom style="thin">
            <color indexed="64"/>
          </bottom>
        </border>
      </ndxf>
    </rcc>
    <rfmt sheetId="1" sqref="O336"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P336" t="inlineStr">
        <is>
          <t>CAI Tantan (CC-AS/EVA-SW31-CN)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bang.nguyen-duy</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149</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cc rId="0" sId="1" dxf="1">
      <nc r="X336">
        <f>W336</f>
      </nc>
      <ndxf>
        <alignment horizontal="left" vertical="top" readingOrder="0"/>
        <border outline="0">
          <left style="thin">
            <color indexed="64"/>
          </left>
          <right style="thin">
            <color indexed="64"/>
          </right>
          <top style="thin">
            <color indexed="64"/>
          </top>
          <bottom style="thin">
            <color indexed="64"/>
          </bottom>
        </border>
      </ndxf>
    </rcc>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cc rId="0" sId="1" dxf="1">
      <nc r="Z336">
        <v>1</v>
      </nc>
      <ndxf>
        <alignment horizontal="left" vertical="top" readingOrder="0"/>
        <border outline="0">
          <left style="thin">
            <color indexed="64"/>
          </left>
          <right style="thin">
            <color indexed="64"/>
          </right>
          <top style="thin">
            <color indexed="64"/>
          </top>
          <bottom style="thin">
            <color indexed="64"/>
          </bottom>
        </border>
      </ndxf>
    </rcc>
    <rcc rId="0" sId="1" dxf="1">
      <nc r="AA336" t="inlineStr">
        <is>
          <t>Ready for review</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43973</v>
      </nc>
      <ndxf>
        <numFmt numFmtId="164" formatCode="[$-409]d\-mmm\-yyyy;@"/>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cc rId="0" sId="1" dxf="1" numFmtId="19">
      <nc r="AE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3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3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cc rId="0" sId="1" dxf="1">
      <nc r="AN336" t="inlineStr">
        <is>
          <t>Without WT</t>
        </is>
      </nc>
      <ndxf>
        <alignment horizontal="left" vertical="top" readingOrder="0"/>
        <border outline="0">
          <left style="thin">
            <color indexed="64"/>
          </left>
          <right style="thin">
            <color indexed="64"/>
          </right>
          <top style="thin">
            <color indexed="64"/>
          </top>
          <bottom style="thin">
            <color indexed="64"/>
          </bottom>
        </border>
      </ndxf>
    </rcc>
  </rrc>
  <rrc rId="983"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8"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20200521</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 xml:space="preserve">SAIC EP22 M2 noneDA ESP9.3 237432 </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rb\as\saic\CpiwAPB\app\net\RBScl\Common\src\</t>
        </is>
      </nc>
      <ndxf>
        <alignment horizontal="left" vertical="top" readingOrder="0"/>
        <border outline="0">
          <left style="thin">
            <color indexed="64"/>
          </left>
          <right style="thin">
            <color indexed="64"/>
          </right>
          <top style="thin">
            <color indexed="64"/>
          </top>
          <bottom style="thin">
            <color indexed="64"/>
          </bottom>
        </border>
      </ndxf>
    </rcc>
    <rcc rId="0" sId="1" dxf="1">
      <nc r="G336">
        <v>1455638</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NET_InternalIF.c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BB81433/81853</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SAIC_A_ARCH_CMP_ESP93_Carbon_Int</t>
        </is>
      </nc>
      <ndxf>
        <alignment horizontal="left" vertical="top" readingOrder="0"/>
        <border outline="0">
          <left style="thin">
            <color indexed="64"/>
          </left>
          <right style="thin">
            <color indexed="64"/>
          </right>
          <top style="thin">
            <color indexed="64"/>
          </top>
          <bottom style="thin">
            <color indexed="64"/>
          </bottom>
        </border>
      </ndxf>
    </rcc>
    <rfmt sheetId="1" sqref="O336"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P336" t="inlineStr">
        <is>
          <t>CAI Tantan (CC-AS/EVA-SW31-CN)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bang.nguyen-duy</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4</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cc rId="0" sId="1" dxf="1">
      <nc r="X336">
        <f>W336</f>
      </nc>
      <ndxf>
        <alignment horizontal="left" vertical="top" readingOrder="0"/>
        <border outline="0">
          <left style="thin">
            <color indexed="64"/>
          </left>
          <right style="thin">
            <color indexed="64"/>
          </right>
          <top style="thin">
            <color indexed="64"/>
          </top>
          <bottom style="thin">
            <color indexed="64"/>
          </bottom>
        </border>
      </ndxf>
    </rcc>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cc rId="0" sId="1" dxf="1">
      <nc r="Z336">
        <v>0</v>
      </nc>
      <ndxf>
        <alignment horizontal="left" vertical="top" readingOrder="0"/>
        <border outline="0">
          <left style="thin">
            <color indexed="64"/>
          </left>
          <right style="thin">
            <color indexed="64"/>
          </right>
          <top style="thin">
            <color indexed="64"/>
          </top>
          <bottom style="thin">
            <color indexed="64"/>
          </bottom>
        </border>
      </ndxf>
    </rcc>
    <rcc rId="0" sId="1" dxf="1">
      <nc r="AA336" t="inlineStr">
        <is>
          <t>Ready for review</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43973</v>
      </nc>
      <ndxf>
        <numFmt numFmtId="164" formatCode="[$-409]d\-mmm\-yyyy;@"/>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cc rId="0" sId="1" dxf="1" numFmtId="19">
      <nc r="AE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3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3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cc rId="0" sId="1" dxf="1">
      <nc r="AN336" t="inlineStr">
        <is>
          <t>Without WT</t>
        </is>
      </nc>
      <ndxf>
        <alignment horizontal="left" vertical="top" readingOrder="0"/>
        <border outline="0">
          <left style="thin">
            <color indexed="64"/>
          </left>
          <right style="thin">
            <color indexed="64"/>
          </right>
          <top style="thin">
            <color indexed="64"/>
          </top>
          <bottom style="thin">
            <color indexed="64"/>
          </bottom>
        </border>
      </ndxf>
    </rcc>
  </rrc>
  <rrc rId="984" sId="1" ref="A336:XFD336" action="deleteRow">
    <undo index="0" exp="ref" v="1" dr="B336" r="B337" sId="1"/>
    <rfmt sheetId="1" xfDxf="1" sqref="A336:XFD336" start="0" length="0"/>
    <rcc rId="0" sId="1" dxf="1">
      <nc r="B336">
        <f>#REF!+1</f>
      </nc>
      <ndxf>
        <font>
          <sz val="11"/>
          <color auto="1"/>
          <name val="Calibri"/>
          <scheme val="minor"/>
        </font>
        <fill>
          <patternFill patternType="solid">
            <bgColor theme="8" tint="0.59999389629810485"/>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20200521</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GWM_P3011RC2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 xml:space="preserve">rb\as\gwm\core\app\net\scl        </t>
        </is>
      </nc>
      <ndxf>
        <alignment horizontal="left" vertical="top" readingOrder="0"/>
        <border outline="0">
          <left style="thin">
            <color indexed="64"/>
          </left>
          <right style="thin">
            <color indexed="64"/>
          </right>
          <top style="thin">
            <color indexed="64"/>
          </top>
          <bottom style="thin">
            <color indexed="64"/>
          </bottom>
        </border>
      </ndxf>
    </rcc>
    <rcc rId="0" sId="1" dxf="1">
      <nc r="G336">
        <v>1479500</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GWM_NET_SCL_Rx_VAF</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BSS14</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GWM_CP_Stream_Int</t>
        </is>
      </nc>
      <ndxf>
        <alignment horizontal="left" vertical="top" readingOrder="0"/>
        <border outline="0">
          <left style="thin">
            <color indexed="64"/>
          </left>
          <right style="thin">
            <color indexed="64"/>
          </right>
          <top style="thin">
            <color indexed="64"/>
          </top>
          <bottom style="thin">
            <color indexed="64"/>
          </bottom>
        </border>
      </ndxf>
    </rcc>
    <rfmt sheetId="1" sqref="O336"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P336" t="inlineStr">
        <is>
          <t>LI Chengcheng (CC-AS/EVA-SW33-CN)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bang.nguyen-duy</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825</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cc rId="0" sId="1" dxf="1">
      <nc r="X336">
        <f>W336</f>
      </nc>
      <ndxf>
        <alignment horizontal="left" vertical="top" readingOrder="0"/>
        <border outline="0">
          <left style="thin">
            <color indexed="64"/>
          </left>
          <right style="thin">
            <color indexed="64"/>
          </right>
          <top style="thin">
            <color indexed="64"/>
          </top>
          <bottom style="thin">
            <color indexed="64"/>
          </bottom>
        </border>
      </ndxf>
    </rcc>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cc rId="0" sId="1" dxf="1">
      <nc r="Z336">
        <v>2</v>
      </nc>
      <ndxf>
        <alignment horizontal="left" vertical="top" readingOrder="0"/>
        <border outline="0">
          <left style="thin">
            <color indexed="64"/>
          </left>
          <right style="thin">
            <color indexed="64"/>
          </right>
          <top style="thin">
            <color indexed="64"/>
          </top>
          <bottom style="thin">
            <color indexed="64"/>
          </bottom>
        </border>
      </ndxf>
    </rcc>
    <rcc rId="0" sId="1" dxf="1">
      <nc r="AA336" t="inlineStr">
        <is>
          <t>Ready for review</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33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43973</v>
      </nc>
      <ndxf>
        <numFmt numFmtId="164" formatCode="[$-409]d\-mmm\-yyyy;@"/>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cc rId="0" sId="1" dxf="1" numFmtId="19">
      <nc r="AE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3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3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3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3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cc rId="0" sId="1" dxf="1">
      <nc r="AN336" t="inlineStr">
        <is>
          <t>Without WT</t>
        </is>
      </nc>
      <ndxf>
        <alignment horizontal="left" vertical="top" readingOrder="0"/>
        <border outline="0">
          <left style="thin">
            <color indexed="64"/>
          </left>
          <right style="thin">
            <color indexed="64"/>
          </right>
          <top style="thin">
            <color indexed="64"/>
          </top>
          <bottom style="thin">
            <color indexed="64"/>
          </bottom>
        </border>
      </ndxf>
    </rcc>
  </rrc>
  <rrc rId="985" sId="1" ref="A336:XFD336" action="deleteRow">
    <undo index="0" exp="ref" v="1" dr="B336" r="B337" sId="1"/>
    <rfmt sheetId="1" xfDxf="1" sqref="A336:XFD336" start="0" length="0"/>
    <rcc rId="0" sId="1" dxf="1">
      <nc r="B336">
        <f>#REF!+1</f>
      </nc>
      <ndxf>
        <font>
          <sz val="11"/>
          <color auto="1"/>
          <name val="Calibri"/>
          <scheme val="minor"/>
        </font>
        <fill>
          <patternFill patternType="solid">
            <bgColor rgb="FF0070C0"/>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20200522</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GWM_AB30_CP 7DCT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rb.as.gwm.cp.app.net\RBScl\src\</t>
        </is>
      </nc>
      <ndxf>
        <alignment horizontal="left" vertical="top" readingOrder="0"/>
        <border outline="0">
          <left style="thin">
            <color indexed="64"/>
          </left>
          <right style="thin">
            <color indexed="64"/>
          </right>
          <top style="thin">
            <color indexed="64"/>
          </top>
          <bottom style="thin">
            <color indexed="64"/>
          </bottom>
        </border>
      </ndxf>
    </rcc>
    <rcc rId="0" sId="1" dxf="1">
      <nc r="G336">
        <v>1481262</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ComScl_Scl_Complex_proc.c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None</t>
        </is>
      </nc>
      <ndxf>
        <alignment horizontal="left" vertical="top" readingOrder="0"/>
        <border outline="0">
          <left style="thin">
            <color indexed="64"/>
          </left>
          <right style="thin">
            <color indexed="64"/>
          </right>
          <top style="thin">
            <color indexed="64"/>
          </top>
          <bottom style="thin">
            <color indexed="64"/>
          </bottom>
        </border>
      </ndxf>
    </rcc>
    <rfmt sheetId="1" sqref="M336" start="0" length="0">
      <dxf>
        <alignment horizontal="left" vertical="top" readingOrder="0"/>
        <border outline="0">
          <left style="thin">
            <color indexed="64"/>
          </left>
          <right style="thin">
            <color indexed="64"/>
          </right>
          <top style="thin">
            <color indexed="64"/>
          </top>
          <bottom style="thin">
            <color indexed="64"/>
          </bottom>
        </border>
      </dxf>
    </rfmt>
    <rcc rId="0" sId="1" dxf="1">
      <nc r="N336" t="inlineStr">
        <is>
          <t>GWM_AB30_CP_Int</t>
        </is>
      </nc>
      <ndxf>
        <alignment horizontal="left" vertical="top" readingOrder="0"/>
        <border outline="0">
          <left style="thin">
            <color indexed="64"/>
          </left>
          <right style="thin">
            <color indexed="64"/>
          </right>
          <top style="thin">
            <color indexed="64"/>
          </top>
          <bottom style="thin">
            <color indexed="64"/>
          </bottom>
        </border>
      </ndxf>
    </rcc>
    <rfmt sheetId="1" sqref="O336"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P336" t="inlineStr">
        <is>
          <t>LI Chengcheng (CC-AS/EVA-SW33-CN)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bang.nguyen-duy</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106</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fmt sheetId="1" sqref="X336" start="0" length="0">
      <dxf>
        <alignment horizontal="left" vertical="top" readingOrder="0"/>
        <border outline="0">
          <left style="thin">
            <color indexed="64"/>
          </left>
          <right style="thin">
            <color indexed="64"/>
          </right>
          <top style="thin">
            <color indexed="64"/>
          </top>
          <bottom style="thin">
            <color indexed="64"/>
          </bottom>
        </border>
      </dxf>
    </rfmt>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fmt sheetId="1" sqref="Z336" start="0" length="0">
      <dxf>
        <alignment horizontal="left" vertical="top" readingOrder="0"/>
        <border outline="0">
          <left style="thin">
            <color indexed="64"/>
          </left>
          <right style="thin">
            <color indexed="64"/>
          </right>
          <top style="thin">
            <color indexed="64"/>
          </top>
          <bottom style="thin">
            <color indexed="64"/>
          </bottom>
        </border>
      </dxf>
    </rfmt>
    <rfmt sheetId="1" sqref="AA336" start="0" length="0">
      <dxf>
        <alignment horizontal="left" vertical="top" readingOrder="0"/>
        <border outline="0">
          <left style="thin">
            <color indexed="64"/>
          </left>
          <right style="thin">
            <color indexed="64"/>
          </right>
          <top style="thin">
            <color indexed="64"/>
          </top>
          <bottom style="thin">
            <color indexed="64"/>
          </bottom>
        </border>
      </dxf>
    </rfmt>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43984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fmt sheetId="1" sqref="AN336" start="0" length="0">
      <dxf>
        <alignment horizontal="left" vertical="top" readingOrder="0"/>
        <border outline="0">
          <left style="thin">
            <color indexed="64"/>
          </left>
          <right style="thin">
            <color indexed="64"/>
          </right>
          <top style="thin">
            <color indexed="64"/>
          </top>
          <bottom style="thin">
            <color indexed="64"/>
          </bottom>
        </border>
      </dxf>
    </rfmt>
  </rrc>
  <rrc rId="986" sId="1" ref="A336:XFD336" action="deleteRow">
    <undo index="0" exp="ref" v="1" dr="B336" r="B337" sId="1"/>
    <rfmt sheetId="1" xfDxf="1" sqref="A336:XFD336" start="0" length="0"/>
    <rcc rId="0" sId="1" dxf="1">
      <nc r="B336">
        <f>#REF!+1</f>
      </nc>
      <ndxf>
        <font>
          <sz val="11"/>
          <color auto="1"/>
          <name val="Calibri"/>
          <scheme val="minor"/>
        </font>
        <fill>
          <patternFill patternType="solid">
            <bgColor rgb="FF0070C0"/>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20200522</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GAC_Carbon_RPA_iBooster_Mainpath_BL06</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rb\as\gaig\core\app\dsm\RBVAR\A20FPA\src</t>
        </is>
      </nc>
      <ndxf>
        <alignment horizontal="left" vertical="top" readingOrder="0"/>
        <border outline="0">
          <left style="thin">
            <color indexed="64"/>
          </left>
          <right style="thin">
            <color indexed="64"/>
          </right>
          <top style="thin">
            <color indexed="64"/>
          </top>
          <bottom style="thin">
            <color indexed="64"/>
          </bottom>
        </border>
      </ndxf>
    </rcc>
    <rcc rId="0" sId="1" dxf="1">
      <nc r="G336">
        <v>1481558</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RBVAR_OutputDriver_PROJECT.c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BB81614, BB99300, BB81296,BB99202</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BL06</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GAC_IB2_HADHAP_Int</t>
        </is>
      </nc>
      <ndxf>
        <alignment horizontal="left" vertical="top" readingOrder="0"/>
        <border outline="0">
          <left style="thin">
            <color indexed="64"/>
          </left>
          <right style="thin">
            <color indexed="64"/>
          </right>
          <top style="thin">
            <color indexed="64"/>
          </top>
          <bottom style="thin">
            <color indexed="64"/>
          </bottom>
        </border>
      </ndxf>
    </rcc>
    <rfmt sheetId="1" sqref="O336"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P336" t="inlineStr">
        <is>
          <t>RUBAGAN Varunidhan (CC-AS/EVA-SW2-CN)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bang.nguyen-duy</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42</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fmt sheetId="1" sqref="X336" start="0" length="0">
      <dxf>
        <alignment horizontal="left" vertical="top" readingOrder="0"/>
        <border outline="0">
          <left style="thin">
            <color indexed="64"/>
          </left>
          <right style="thin">
            <color indexed="64"/>
          </right>
          <top style="thin">
            <color indexed="64"/>
          </top>
          <bottom style="thin">
            <color indexed="64"/>
          </bottom>
        </border>
      </dxf>
    </rfmt>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fmt sheetId="1" sqref="Z336" start="0" length="0">
      <dxf>
        <alignment horizontal="left" vertical="top" readingOrder="0"/>
        <border outline="0">
          <left style="thin">
            <color indexed="64"/>
          </left>
          <right style="thin">
            <color indexed="64"/>
          </right>
          <top style="thin">
            <color indexed="64"/>
          </top>
          <bottom style="thin">
            <color indexed="64"/>
          </bottom>
        </border>
      </dxf>
    </rfmt>
    <rfmt sheetId="1" sqref="AA336" start="0" length="0">
      <dxf>
        <alignment horizontal="left" vertical="top" readingOrder="0"/>
        <border outline="0">
          <left style="thin">
            <color indexed="64"/>
          </left>
          <right style="thin">
            <color indexed="64"/>
          </right>
          <top style="thin">
            <color indexed="64"/>
          </top>
          <bottom style="thin">
            <color indexed="64"/>
          </bottom>
        </border>
      </dxf>
    </rfmt>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43982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fmt sheetId="1" sqref="AN336" start="0" length="0">
      <dxf>
        <alignment horizontal="left" vertical="top" readingOrder="0"/>
        <border outline="0">
          <left style="thin">
            <color indexed="64"/>
          </left>
          <right style="thin">
            <color indexed="64"/>
          </right>
          <top style="thin">
            <color indexed="64"/>
          </top>
          <bottom style="thin">
            <color indexed="64"/>
          </bottom>
        </border>
      </dxf>
    </rfmt>
  </rrc>
  <rrc rId="987" sId="1" ref="A336:XFD336" action="deleteRow">
    <undo index="0" exp="ref" v="1" dr="B336" r="B337" sId="1"/>
    <rfmt sheetId="1" xfDxf="1" sqref="A336:XFD336" start="0" length="0"/>
    <rcc rId="0" sId="1" dxf="1">
      <nc r="B336">
        <f>#REF!+1</f>
      </nc>
      <ndxf>
        <font>
          <sz val="11"/>
          <color auto="1"/>
          <name val="Calibri"/>
          <scheme val="minor"/>
        </font>
        <fill>
          <patternFill patternType="solid">
            <bgColor rgb="FF0070C0"/>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20200522</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GAC_Carbon_RPA_iBooster_Mainpath_BL06</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rb\as\gaig\core\app\dsm\RBVAR\A12FPA\src</t>
        </is>
      </nc>
      <ndxf>
        <alignment horizontal="left" vertical="top" readingOrder="0"/>
        <border outline="0">
          <left style="thin">
            <color indexed="64"/>
          </left>
          <right style="thin">
            <color indexed="64"/>
          </right>
          <top style="thin">
            <color indexed="64"/>
          </top>
          <bottom style="thin">
            <color indexed="64"/>
          </bottom>
        </border>
      </ndxf>
    </rcc>
    <rcc rId="0" sId="1" dxf="1">
      <nc r="G336">
        <v>1481558</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RBVAR_OutputDriver_PROJECT.c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BB81614, BB99300, BB81296,BB99202</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BL06</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GAC_IB2_HADHAP_Int</t>
        </is>
      </nc>
      <ndxf>
        <alignment horizontal="left" vertical="top" readingOrder="0"/>
        <border outline="0">
          <left style="thin">
            <color indexed="64"/>
          </left>
          <right style="thin">
            <color indexed="64"/>
          </right>
          <top style="thin">
            <color indexed="64"/>
          </top>
          <bottom style="thin">
            <color indexed="64"/>
          </bottom>
        </border>
      </ndxf>
    </rcc>
    <rfmt sheetId="1" sqref="O336"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P336" t="inlineStr">
        <is>
          <t>RUBAGAN Varunidhan (CC-AS/EVA-SW2-CN)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bang.nguyen-duy</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42</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fmt sheetId="1" sqref="X336" start="0" length="0">
      <dxf>
        <alignment horizontal="left" vertical="top" readingOrder="0"/>
        <border outline="0">
          <left style="thin">
            <color indexed="64"/>
          </left>
          <right style="thin">
            <color indexed="64"/>
          </right>
          <top style="thin">
            <color indexed="64"/>
          </top>
          <bottom style="thin">
            <color indexed="64"/>
          </bottom>
        </border>
      </dxf>
    </rfmt>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fmt sheetId="1" sqref="Z336" start="0" length="0">
      <dxf>
        <alignment horizontal="left" vertical="top" readingOrder="0"/>
        <border outline="0">
          <left style="thin">
            <color indexed="64"/>
          </left>
          <right style="thin">
            <color indexed="64"/>
          </right>
          <top style="thin">
            <color indexed="64"/>
          </top>
          <bottom style="thin">
            <color indexed="64"/>
          </bottom>
        </border>
      </dxf>
    </rfmt>
    <rfmt sheetId="1" sqref="AA336" start="0" length="0">
      <dxf>
        <alignment horizontal="left" vertical="top" readingOrder="0"/>
        <border outline="0">
          <left style="thin">
            <color indexed="64"/>
          </left>
          <right style="thin">
            <color indexed="64"/>
          </right>
          <top style="thin">
            <color indexed="64"/>
          </top>
          <bottom style="thin">
            <color indexed="64"/>
          </bottom>
        </border>
      </dxf>
    </rfmt>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43982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fmt sheetId="1" sqref="AN336" start="0" length="0">
      <dxf>
        <alignment horizontal="left" vertical="top" readingOrder="0"/>
        <border outline="0">
          <left style="thin">
            <color indexed="64"/>
          </left>
          <right style="thin">
            <color indexed="64"/>
          </right>
          <top style="thin">
            <color indexed="64"/>
          </top>
          <bottom style="thin">
            <color indexed="64"/>
          </bottom>
        </border>
      </dxf>
    </rfmt>
  </rrc>
  <rrc rId="988" sId="1" ref="A336:XFD336" action="deleteRow">
    <undo index="0" exp="ref" v="1" dr="B336" r="B337" sId="1"/>
    <rfmt sheetId="1" xfDxf="1" sqref="A336:XFD336" start="0" length="0"/>
    <rcc rId="0" sId="1" dxf="1">
      <nc r="B336">
        <f>#REF!+1</f>
      </nc>
      <ndxf>
        <font>
          <sz val="11"/>
          <color auto="1"/>
          <name val="Calibri"/>
          <scheme val="minor"/>
        </font>
        <fill>
          <patternFill patternType="solid">
            <bgColor rgb="FF0070C0"/>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20200522</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BYD_IPB_SW_Mainstream_BL05_SP14</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rb\as\BYD\ipb\app\net\RBScl\src</t>
        </is>
      </nc>
      <ndxf>
        <alignment horizontal="left" vertical="top" readingOrder="0"/>
        <border outline="0">
          <left style="thin">
            <color indexed="64"/>
          </left>
          <right style="thin">
            <color indexed="64"/>
          </right>
          <top style="thin">
            <color indexed="64"/>
          </top>
          <bottom style="thin">
            <color indexed="64"/>
          </bottom>
        </border>
      </ndxf>
    </rcc>
    <rcc rId="0" sId="1" dxf="1">
      <nc r="G336">
        <v>1479486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rba_SCL_Settings.c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BL05_SP14</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BYD_IPB_BL05_Int</t>
        </is>
      </nc>
      <ndxf>
        <alignment horizontal="left" vertical="top" readingOrder="0"/>
        <border outline="0">
          <left style="thin">
            <color indexed="64"/>
          </left>
          <right style="thin">
            <color indexed="64"/>
          </right>
          <top style="thin">
            <color indexed="64"/>
          </top>
          <bottom style="thin">
            <color indexed="64"/>
          </bottom>
        </border>
      </ndxf>
    </rcc>
    <rfmt sheetId="1" sqref="O336"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P336" t="inlineStr">
        <is>
          <t>GUO Sasa (CC-AS/EVA-SW3-CN)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bang.nguyen-duy</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259</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fmt sheetId="1" sqref="X336" start="0" length="0">
      <dxf>
        <alignment horizontal="left" vertical="top" readingOrder="0"/>
        <border outline="0">
          <left style="thin">
            <color indexed="64"/>
          </left>
          <right style="thin">
            <color indexed="64"/>
          </right>
          <top style="thin">
            <color indexed="64"/>
          </top>
          <bottom style="thin">
            <color indexed="64"/>
          </bottom>
        </border>
      </dxf>
    </rfmt>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fmt sheetId="1" sqref="Z336" start="0" length="0">
      <dxf>
        <alignment horizontal="left" vertical="top" readingOrder="0"/>
        <border outline="0">
          <left style="thin">
            <color indexed="64"/>
          </left>
          <right style="thin">
            <color indexed="64"/>
          </right>
          <top style="thin">
            <color indexed="64"/>
          </top>
          <bottom style="thin">
            <color indexed="64"/>
          </bottom>
        </border>
      </dxf>
    </rfmt>
    <rfmt sheetId="1" sqref="AA336" start="0" length="0">
      <dxf>
        <alignment horizontal="left" vertical="top" readingOrder="0"/>
        <border outline="0">
          <left style="thin">
            <color indexed="64"/>
          </left>
          <right style="thin">
            <color indexed="64"/>
          </right>
          <top style="thin">
            <color indexed="64"/>
          </top>
          <bottom style="thin">
            <color indexed="64"/>
          </bottom>
        </border>
      </dxf>
    </rfmt>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43982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fmt sheetId="1" sqref="AN336" start="0" length="0">
      <dxf>
        <alignment horizontal="left" vertical="top" readingOrder="0"/>
        <border outline="0">
          <left style="thin">
            <color indexed="64"/>
          </left>
          <right style="thin">
            <color indexed="64"/>
          </right>
          <top style="thin">
            <color indexed="64"/>
          </top>
          <bottom style="thin">
            <color indexed="64"/>
          </bottom>
        </border>
      </dxf>
    </rfmt>
  </rrc>
  <rrc rId="989" sId="1" ref="A336:XFD336" action="deleteRow">
    <undo index="0" exp="ref" v="1" dr="B336" r="B337" sId="1"/>
    <rfmt sheetId="1" xfDxf="1" sqref="A336:XFD336" start="0" length="0"/>
    <rcc rId="0" sId="1" dxf="1">
      <nc r="B336">
        <f>#REF!+1</f>
      </nc>
      <ndxf>
        <font>
          <sz val="11"/>
          <color auto="1"/>
          <name val="Calibri"/>
          <scheme val="minor"/>
        </font>
        <fill>
          <patternFill patternType="solid">
            <bgColor rgb="FF0070C0"/>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20200522</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ASW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GEEA2.0_ESP9.3_CMP_BL07 (BG1) Sprint4</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nc r="G336">
        <v>1481813</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SCM_AxTar_Calculation</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L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BL07</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GEEA</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v (1.2.160.3)</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XU Xueming (CC-AS/EVA-SW2-CN)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hau.nguyen-tai</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30</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fmt sheetId="1" sqref="X336" start="0" length="0">
      <dxf>
        <alignment horizontal="left" vertical="top" readingOrder="0"/>
        <border outline="0">
          <left style="thin">
            <color indexed="64"/>
          </left>
          <right style="thin">
            <color indexed="64"/>
          </right>
          <top style="thin">
            <color indexed="64"/>
          </top>
          <bottom style="thin">
            <color indexed="64"/>
          </bottom>
        </border>
      </dxf>
    </rfmt>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fmt sheetId="1" sqref="Z336" start="0" length="0">
      <dxf>
        <alignment horizontal="left" vertical="top" readingOrder="0"/>
        <border outline="0">
          <left style="thin">
            <color indexed="64"/>
          </left>
          <right style="thin">
            <color indexed="64"/>
          </right>
          <top style="thin">
            <color indexed="64"/>
          </top>
          <bottom style="thin">
            <color indexed="64"/>
          </bottom>
        </border>
      </dxf>
    </rfmt>
    <rfmt sheetId="1" sqref="AA336" start="0" length="0">
      <dxf>
        <alignment horizontal="left" vertical="top" readingOrder="0"/>
        <border outline="0">
          <left style="thin">
            <color indexed="64"/>
          </left>
          <right style="thin">
            <color indexed="64"/>
          </right>
          <top style="thin">
            <color indexed="64"/>
          </top>
          <bottom style="thin">
            <color indexed="64"/>
          </bottom>
        </border>
      </dxf>
    </rfmt>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43983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fmt sheetId="1" sqref="AN336" start="0" length="0">
      <dxf>
        <alignment horizontal="left" vertical="top" readingOrder="0"/>
        <border outline="0">
          <left style="thin">
            <color indexed="64"/>
          </left>
          <right style="thin">
            <color indexed="64"/>
          </right>
          <top style="thin">
            <color indexed="64"/>
          </top>
          <bottom style="thin">
            <color indexed="64"/>
          </bottom>
        </border>
      </dxf>
    </rfmt>
  </rrc>
  <rrc rId="990" sId="1" ref="A336:XFD336" action="deleteRow">
    <undo index="0" exp="ref" v="1" dr="B336" r="B337" sId="1"/>
    <rfmt sheetId="1" xfDxf="1" sqref="A336:XFD336" start="0" length="0"/>
    <rcc rId="0" sId="1" dxf="1">
      <nc r="B336">
        <f>#REF!+1</f>
      </nc>
      <ndxf>
        <font>
          <sz val="11"/>
          <color auto="1"/>
          <name val="Calibri"/>
          <scheme val="minor"/>
        </font>
        <fill>
          <patternFill patternType="solid">
            <bgColor rgb="FF0070C0"/>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20200522</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ASW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GEEA2.0_ESP9.3_CMP_BL07 (BG1) Sprint4</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nc r="G336">
        <v>1482132</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AWB_SignalMonitoring</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BL07</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GEEA</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36" t="inlineStr">
        <is>
          <t>v (4.1.160.8)</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36" t="inlineStr">
        <is>
          <t>XU Xueming (CC-AS/EVA-SW2-CN)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hau.nguyen-tai</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50</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fmt sheetId="1" sqref="X336" start="0" length="0">
      <dxf>
        <alignment horizontal="left" vertical="top" readingOrder="0"/>
        <border outline="0">
          <left style="thin">
            <color indexed="64"/>
          </left>
          <right style="thin">
            <color indexed="64"/>
          </right>
          <top style="thin">
            <color indexed="64"/>
          </top>
          <bottom style="thin">
            <color indexed="64"/>
          </bottom>
        </border>
      </dxf>
    </rfmt>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fmt sheetId="1" sqref="Z336" start="0" length="0">
      <dxf>
        <alignment horizontal="left" vertical="top" readingOrder="0"/>
        <border outline="0">
          <left style="thin">
            <color indexed="64"/>
          </left>
          <right style="thin">
            <color indexed="64"/>
          </right>
          <top style="thin">
            <color indexed="64"/>
          </top>
          <bottom style="thin">
            <color indexed="64"/>
          </bottom>
        </border>
      </dxf>
    </rfmt>
    <rfmt sheetId="1" sqref="AA336" start="0" length="0">
      <dxf>
        <alignment horizontal="left" vertical="top" readingOrder="0"/>
        <border outline="0">
          <left style="thin">
            <color indexed="64"/>
          </left>
          <right style="thin">
            <color indexed="64"/>
          </right>
          <top style="thin">
            <color indexed="64"/>
          </top>
          <bottom style="thin">
            <color indexed="64"/>
          </bottom>
        </border>
      </dxf>
    </rfmt>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43983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fmt sheetId="1" sqref="AN336" start="0" length="0">
      <dxf>
        <alignment horizontal="left" vertical="top" readingOrder="0"/>
        <border outline="0">
          <left style="thin">
            <color indexed="64"/>
          </left>
          <right style="thin">
            <color indexed="64"/>
          </right>
          <top style="thin">
            <color indexed="64"/>
          </top>
          <bottom style="thin">
            <color indexed="64"/>
          </bottom>
        </border>
      </dxf>
    </rfmt>
  </rrc>
  <rrc rId="991" sId="1" ref="A336:XFD336" action="deleteRow">
    <undo index="0" exp="ref" v="1" dr="B336" r="B337" sId="1"/>
    <rfmt sheetId="1" xfDxf="1" sqref="A336:XFD336" start="0" length="0"/>
    <rcc rId="0" sId="1" dxf="1">
      <nc r="B336">
        <f>#REF!+1</f>
      </nc>
      <ndxf>
        <font>
          <sz val="11"/>
          <color auto="1"/>
          <name val="Calibri"/>
          <scheme val="minor"/>
        </font>
        <fill>
          <patternFill patternType="solid">
            <bgColor rgb="FF0070C0"/>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20200522</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 xml:space="preserve">SAIC EP22 M2 noneDA ESP9.3 237432 </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rb\as\saic\CpiwAPB\app\net\RBScl\EP22_M2\src\</t>
        </is>
      </nc>
      <ndxf>
        <alignment horizontal="left" vertical="top" readingOrder="0"/>
        <border outline="0">
          <left style="thin">
            <color indexed="64"/>
          </left>
          <right style="thin">
            <color indexed="64"/>
          </right>
          <top style="thin">
            <color indexed="64"/>
          </top>
          <bottom style="thin">
            <color indexed="64"/>
          </bottom>
        </border>
      </ndxf>
    </rcc>
    <rcc rId="0" sId="1" dxf="1">
      <nc r="G336">
        <v>1479179</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PATA_CAN.c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BB81433 / BB81853</t>
        </is>
      </nc>
      <ndxf>
        <alignment horizontal="left" vertical="top" readingOrder="0"/>
        <border outline="0">
          <left style="thin">
            <color indexed="64"/>
          </left>
          <right style="thin">
            <color indexed="64"/>
          </right>
          <top style="thin">
            <color indexed="64"/>
          </top>
          <bottom style="thin">
            <color indexed="64"/>
          </bottom>
        </border>
      </ndxf>
    </rcc>
    <rfmt sheetId="1" sqref="M336" start="0" length="0">
      <dxf>
        <alignment horizontal="left" vertical="top" readingOrder="0"/>
        <border outline="0">
          <left style="thin">
            <color indexed="64"/>
          </left>
          <right style="thin">
            <color indexed="64"/>
          </right>
          <top style="thin">
            <color indexed="64"/>
          </top>
          <bottom style="thin">
            <color indexed="64"/>
          </bottom>
        </border>
      </dxf>
    </rfmt>
    <rcc rId="0" sId="1" dxf="1">
      <nc r="N336" t="inlineStr">
        <is>
          <t>SAIC_A_ARCH_CMP_ESP93_Carbon_Int</t>
        </is>
      </nc>
      <ndxf>
        <alignment horizontal="left" vertical="top" readingOrder="0"/>
        <border outline="0">
          <left style="thin">
            <color indexed="64"/>
          </left>
          <right style="thin">
            <color indexed="64"/>
          </right>
          <top style="thin">
            <color indexed="64"/>
          </top>
          <bottom style="thin">
            <color indexed="64"/>
          </bottom>
        </border>
      </ndxf>
    </rcc>
    <rfmt sheetId="1" sqref="O336"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P336" t="inlineStr">
        <is>
          <t>ZHANG Xuetao (CC-AS/EVA-SW31-CN)</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bang.nguyen-duy</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26</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fmt sheetId="1" sqref="X336" start="0" length="0">
      <dxf>
        <alignment horizontal="left" vertical="top" readingOrder="0"/>
        <border outline="0">
          <left style="thin">
            <color indexed="64"/>
          </left>
          <right style="thin">
            <color indexed="64"/>
          </right>
          <top style="thin">
            <color indexed="64"/>
          </top>
          <bottom style="thin">
            <color indexed="64"/>
          </bottom>
        </border>
      </dxf>
    </rfmt>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fmt sheetId="1" sqref="Z336" start="0" length="0">
      <dxf>
        <alignment horizontal="left" vertical="top" readingOrder="0"/>
        <border outline="0">
          <left style="thin">
            <color indexed="64"/>
          </left>
          <right style="thin">
            <color indexed="64"/>
          </right>
          <top style="thin">
            <color indexed="64"/>
          </top>
          <bottom style="thin">
            <color indexed="64"/>
          </bottom>
        </border>
      </dxf>
    </rfmt>
    <rfmt sheetId="1" sqref="AA336" start="0" length="0">
      <dxf>
        <alignment horizontal="left" vertical="top" readingOrder="0"/>
        <border outline="0">
          <left style="thin">
            <color indexed="64"/>
          </left>
          <right style="thin">
            <color indexed="64"/>
          </right>
          <top style="thin">
            <color indexed="64"/>
          </top>
          <bottom style="thin">
            <color indexed="64"/>
          </bottom>
        </border>
      </dxf>
    </rfmt>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fmt sheetId="1" sqref="AN336" start="0" length="0">
      <dxf>
        <alignment horizontal="left" vertical="top" readingOrder="0"/>
        <border outline="0">
          <left style="thin">
            <color indexed="64"/>
          </left>
          <right style="thin">
            <color indexed="64"/>
          </right>
          <top style="thin">
            <color indexed="64"/>
          </top>
          <bottom style="thin">
            <color indexed="64"/>
          </bottom>
        </border>
      </dxf>
    </rfmt>
  </rrc>
  <rrc rId="992" sId="1" ref="A336:XFD336" action="deleteRow">
    <undo index="0" exp="ref" v="1" dr="B336" r="B337" sId="1"/>
    <rfmt sheetId="1" xfDxf="1" sqref="A336:XFD336" start="0" length="0"/>
    <rcc rId="0" sId="1" dxf="1">
      <nc r="B336">
        <f>#REF!+1</f>
      </nc>
      <ndxf>
        <font>
          <sz val="11"/>
          <color auto="1"/>
          <name val="Calibri"/>
          <scheme val="minor"/>
        </font>
        <fill>
          <patternFill patternType="solid">
            <bgColor rgb="FF0070C0"/>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20200522</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SGMW CN202SR India RC2 CPi 242816 BB81722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rb\as\sgmw\CN210S\app\net\RBScl\RBScl_SGMW\src\</t>
        </is>
      </nc>
      <ndxf>
        <alignment horizontal="left" vertical="top" readingOrder="0"/>
        <border outline="0">
          <left style="thin">
            <color indexed="64"/>
          </left>
          <right style="thin">
            <color indexed="64"/>
          </right>
          <top style="thin">
            <color indexed="64"/>
          </top>
          <bottom style="thin">
            <color indexed="64"/>
          </bottom>
        </border>
      </ndxf>
    </rcc>
    <rcc rId="0" sId="1" dxf="1">
      <nc r="G336">
        <v>1481841</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NET_SCL_Tx_SGMW.c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BB81722</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SGMW_ESP93_Mainstream_RBVH_Int</t>
        </is>
      </nc>
      <ndxf>
        <alignment horizontal="left" vertical="top" readingOrder="0"/>
        <border outline="0">
          <left style="thin">
            <color indexed="64"/>
          </left>
          <right style="thin">
            <color indexed="64"/>
          </right>
          <top style="thin">
            <color indexed="64"/>
          </top>
          <bottom style="thin">
            <color indexed="64"/>
          </bottom>
        </border>
      </ndxf>
    </rcc>
    <rfmt sheetId="1" sqref="O336"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P336" t="inlineStr">
        <is>
          <t>To Trong Khoa (RBVH/EAS11)</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phuong.nguyen-thanh</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296</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fmt sheetId="1" sqref="X336" start="0" length="0">
      <dxf>
        <alignment horizontal="left" vertical="top" readingOrder="0"/>
        <border outline="0">
          <left style="thin">
            <color indexed="64"/>
          </left>
          <right style="thin">
            <color indexed="64"/>
          </right>
          <top style="thin">
            <color indexed="64"/>
          </top>
          <bottom style="thin">
            <color indexed="64"/>
          </bottom>
        </border>
      </dxf>
    </rfmt>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fmt sheetId="1" sqref="Z336" start="0" length="0">
      <dxf>
        <alignment horizontal="left" vertical="top" readingOrder="0"/>
        <border outline="0">
          <left style="thin">
            <color indexed="64"/>
          </left>
          <right style="thin">
            <color indexed="64"/>
          </right>
          <top style="thin">
            <color indexed="64"/>
          </top>
          <bottom style="thin">
            <color indexed="64"/>
          </bottom>
        </border>
      </dxf>
    </rfmt>
    <rfmt sheetId="1" sqref="AA336" start="0" length="0">
      <dxf>
        <alignment horizontal="left" vertical="top" readingOrder="0"/>
        <border outline="0">
          <left style="thin">
            <color indexed="64"/>
          </left>
          <right style="thin">
            <color indexed="64"/>
          </right>
          <top style="thin">
            <color indexed="64"/>
          </top>
          <bottom style="thin">
            <color indexed="64"/>
          </bottom>
        </border>
      </dxf>
    </rfmt>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fmt sheetId="1" sqref="AN336" start="0" length="0">
      <dxf>
        <alignment horizontal="left" vertical="top" readingOrder="0"/>
        <border outline="0">
          <left style="thin">
            <color indexed="64"/>
          </left>
          <right style="thin">
            <color indexed="64"/>
          </right>
          <top style="thin">
            <color indexed="64"/>
          </top>
          <bottom style="thin">
            <color indexed="64"/>
          </bottom>
        </border>
      </dxf>
    </rfmt>
  </rrc>
  <rrc rId="993" sId="1" ref="A336:XFD336" action="deleteRow">
    <undo index="0" exp="ref" v="1" dr="B336" r="B337" sId="1"/>
    <rfmt sheetId="1" xfDxf="1" sqref="A336:XFD336" start="0" length="0"/>
    <rcc rId="0" sId="1" dxf="1">
      <nc r="B336">
        <f>#REF!+1</f>
      </nc>
      <ndxf>
        <font>
          <sz val="11"/>
          <color auto="1"/>
          <name val="Calibri"/>
          <scheme val="minor"/>
        </font>
        <fill>
          <patternFill patternType="solid">
            <bgColor rgb="FF0070C0"/>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20200522</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SGMW CN202SR India RC2 CPi 242816 BB81722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rb\as\sgmw\CN210S\app\net\RBScl\RBScl_SGMW\src\</t>
        </is>
      </nc>
      <ndxf>
        <alignment horizontal="left" vertical="top" readingOrder="0"/>
        <border outline="0">
          <left style="thin">
            <color indexed="64"/>
          </left>
          <right style="thin">
            <color indexed="64"/>
          </right>
          <top style="thin">
            <color indexed="64"/>
          </top>
          <bottom style="thin">
            <color indexed="64"/>
          </bottom>
        </border>
      </ndxf>
    </rcc>
    <rcc rId="0" sId="1" dxf="1">
      <nc r="G336">
        <v>1481841</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NET_SCL_Rx_SGMW_RemoteControl.c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BB81722</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SGMW_ESP93_Mainstream_RBVH_Int</t>
        </is>
      </nc>
      <ndxf>
        <alignment horizontal="left" vertical="top" readingOrder="0"/>
        <border outline="0">
          <left style="thin">
            <color indexed="64"/>
          </left>
          <right style="thin">
            <color indexed="64"/>
          </right>
          <top style="thin">
            <color indexed="64"/>
          </top>
          <bottom style="thin">
            <color indexed="64"/>
          </bottom>
        </border>
      </ndxf>
    </rcc>
    <rfmt sheetId="1" sqref="O336"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P336" t="inlineStr">
        <is>
          <t>To Trong Khoa (RBVH/EAS11)</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phuong.nguyen-thanh</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184</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fmt sheetId="1" sqref="X336" start="0" length="0">
      <dxf>
        <alignment horizontal="left" vertical="top" readingOrder="0"/>
        <border outline="0">
          <left style="thin">
            <color indexed="64"/>
          </left>
          <right style="thin">
            <color indexed="64"/>
          </right>
          <top style="thin">
            <color indexed="64"/>
          </top>
          <bottom style="thin">
            <color indexed="64"/>
          </bottom>
        </border>
      </dxf>
    </rfmt>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fmt sheetId="1" sqref="Z336" start="0" length="0">
      <dxf>
        <alignment horizontal="left" vertical="top" readingOrder="0"/>
        <border outline="0">
          <left style="thin">
            <color indexed="64"/>
          </left>
          <right style="thin">
            <color indexed="64"/>
          </right>
          <top style="thin">
            <color indexed="64"/>
          </top>
          <bottom style="thin">
            <color indexed="64"/>
          </bottom>
        </border>
      </dxf>
    </rfmt>
    <rfmt sheetId="1" sqref="AA336" start="0" length="0">
      <dxf>
        <alignment horizontal="left" vertical="top" readingOrder="0"/>
        <border outline="0">
          <left style="thin">
            <color indexed="64"/>
          </left>
          <right style="thin">
            <color indexed="64"/>
          </right>
          <top style="thin">
            <color indexed="64"/>
          </top>
          <bottom style="thin">
            <color indexed="64"/>
          </bottom>
        </border>
      </dxf>
    </rfmt>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fmt sheetId="1" sqref="AN336" start="0" length="0">
      <dxf>
        <alignment horizontal="left" vertical="top" readingOrder="0"/>
        <border outline="0">
          <left style="thin">
            <color indexed="64"/>
          </left>
          <right style="thin">
            <color indexed="64"/>
          </right>
          <top style="thin">
            <color indexed="64"/>
          </top>
          <bottom style="thin">
            <color indexed="64"/>
          </bottom>
        </border>
      </dxf>
    </rfmt>
  </rrc>
  <rrc rId="994" sId="1" ref="A336:XFD336" action="deleteRow">
    <undo index="0" exp="ref" v="1" dr="B336" r="B337" sId="1"/>
    <rfmt sheetId="1" xfDxf="1" sqref="A336:XFD336" start="0" length="0"/>
    <rcc rId="0" sId="1" dxf="1">
      <nc r="B336">
        <f>#REF!+1</f>
      </nc>
      <ndxf>
        <font>
          <sz val="11"/>
          <color auto="1"/>
          <name val="Calibri"/>
          <scheme val="minor"/>
        </font>
        <fill>
          <patternFill patternType="solid">
            <bgColor rgb="FF0070C0"/>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20200522</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SGMW CN202SR India RC2 CPi 242816 BB81722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rb\as\sgmw\CN210S\app\net\RBScl\RBScl_SGMW\src\</t>
        </is>
      </nc>
      <ndxf>
        <alignment horizontal="left" vertical="top" readingOrder="0"/>
        <border outline="0">
          <left style="thin">
            <color indexed="64"/>
          </left>
          <right style="thin">
            <color indexed="64"/>
          </right>
          <top style="thin">
            <color indexed="64"/>
          </top>
          <bottom style="thin">
            <color indexed="64"/>
          </bottom>
        </border>
      </ndxf>
    </rcc>
    <rcc rId="0" sId="1" dxf="1">
      <nc r="G336">
        <v>1481841</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NET_SCL_Rx_SGMW.c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BB81722</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SGMW_ESP93_Mainstream_RBVH_Int</t>
        </is>
      </nc>
      <ndxf>
        <alignment horizontal="left" vertical="top" readingOrder="0"/>
        <border outline="0">
          <left style="thin">
            <color indexed="64"/>
          </left>
          <right style="thin">
            <color indexed="64"/>
          </right>
          <top style="thin">
            <color indexed="64"/>
          </top>
          <bottom style="thin">
            <color indexed="64"/>
          </bottom>
        </border>
      </ndxf>
    </rcc>
    <rfmt sheetId="1" sqref="O336"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P336" t="inlineStr">
        <is>
          <t>To Trong Khoa (RBVH/EAS11)</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phuong.nguyen-thanh</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641</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fmt sheetId="1" sqref="X336" start="0" length="0">
      <dxf>
        <alignment horizontal="left" vertical="top" readingOrder="0"/>
        <border outline="0">
          <left style="thin">
            <color indexed="64"/>
          </left>
          <right style="thin">
            <color indexed="64"/>
          </right>
          <top style="thin">
            <color indexed="64"/>
          </top>
          <bottom style="thin">
            <color indexed="64"/>
          </bottom>
        </border>
      </dxf>
    </rfmt>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fmt sheetId="1" sqref="Z336" start="0" length="0">
      <dxf>
        <alignment horizontal="left" vertical="top" readingOrder="0"/>
        <border outline="0">
          <left style="thin">
            <color indexed="64"/>
          </left>
          <right style="thin">
            <color indexed="64"/>
          </right>
          <top style="thin">
            <color indexed="64"/>
          </top>
          <bottom style="thin">
            <color indexed="64"/>
          </bottom>
        </border>
      </dxf>
    </rfmt>
    <rfmt sheetId="1" sqref="AA336" start="0" length="0">
      <dxf>
        <alignment horizontal="left" vertical="top" readingOrder="0"/>
        <border outline="0">
          <left style="thin">
            <color indexed="64"/>
          </left>
          <right style="thin">
            <color indexed="64"/>
          </right>
          <top style="thin">
            <color indexed="64"/>
          </top>
          <bottom style="thin">
            <color indexed="64"/>
          </bottom>
        </border>
      </dxf>
    </rfmt>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fmt sheetId="1" sqref="AN336" start="0" length="0">
      <dxf>
        <alignment horizontal="left" vertical="top" readingOrder="0"/>
        <border outline="0">
          <left style="thin">
            <color indexed="64"/>
          </left>
          <right style="thin">
            <color indexed="64"/>
          </right>
          <top style="thin">
            <color indexed="64"/>
          </top>
          <bottom style="thin">
            <color indexed="64"/>
          </bottom>
        </border>
      </dxf>
    </rfmt>
  </rrc>
  <rrc rId="995" sId="1" ref="A336:XFD336" action="deleteRow">
    <undo index="0" exp="ref" v="1" dr="B336" r="B337" sId="1"/>
    <rfmt sheetId="1" xfDxf="1" sqref="A336:XFD336" start="0" length="0"/>
    <rcc rId="0" sId="1" dxf="1">
      <nc r="B336">
        <f>#REF!+1</f>
      </nc>
      <ndxf>
        <font>
          <sz val="11"/>
          <color auto="1"/>
          <name val="Calibri"/>
          <scheme val="minor"/>
        </font>
        <fill>
          <patternFill patternType="solid">
            <bgColor rgb="FF0070C0"/>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20200522</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SGMW CN202SR India RC2 CPi 242816 BB81722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 xml:space="preserve">rb\as\sgmw\CN210S\dcompr\src\                  </t>
        </is>
      </nc>
      <ndxf>
        <alignment horizontal="left" vertical="top" readingOrder="0"/>
        <border outline="0">
          <left style="thin">
            <color indexed="64"/>
          </left>
          <right style="thin">
            <color indexed="64"/>
          </right>
          <top style="thin">
            <color indexed="64"/>
          </top>
          <bottom style="thin">
            <color indexed="64"/>
          </bottom>
        </border>
      </ndxf>
    </rcc>
    <rcc rId="0" sId="1" dxf="1">
      <nc r="G336">
        <v>1481841</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RBFSWBootInterface_SGMW.c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BB81722</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SGMW_ESP93_Mainstream_RBVH_Int</t>
        </is>
      </nc>
      <ndxf>
        <alignment horizontal="left" vertical="top" readingOrder="0"/>
        <border outline="0">
          <left style="thin">
            <color indexed="64"/>
          </left>
          <right style="thin">
            <color indexed="64"/>
          </right>
          <top style="thin">
            <color indexed="64"/>
          </top>
          <bottom style="thin">
            <color indexed="64"/>
          </bottom>
        </border>
      </ndxf>
    </rcc>
    <rfmt sheetId="1" sqref="O336"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P336" t="inlineStr">
        <is>
          <t>To Trong Khoa (RBVH/EAS11)</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phuong.nguyen-thanh</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25</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fmt sheetId="1" sqref="X336" start="0" length="0">
      <dxf>
        <alignment horizontal="left" vertical="top" readingOrder="0"/>
        <border outline="0">
          <left style="thin">
            <color indexed="64"/>
          </left>
          <right style="thin">
            <color indexed="64"/>
          </right>
          <top style="thin">
            <color indexed="64"/>
          </top>
          <bottom style="thin">
            <color indexed="64"/>
          </bottom>
        </border>
      </dxf>
    </rfmt>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fmt sheetId="1" sqref="Z336" start="0" length="0">
      <dxf>
        <alignment horizontal="left" vertical="top" readingOrder="0"/>
        <border outline="0">
          <left style="thin">
            <color indexed="64"/>
          </left>
          <right style="thin">
            <color indexed="64"/>
          </right>
          <top style="thin">
            <color indexed="64"/>
          </top>
          <bottom style="thin">
            <color indexed="64"/>
          </bottom>
        </border>
      </dxf>
    </rfmt>
    <rfmt sheetId="1" sqref="AA336" start="0" length="0">
      <dxf>
        <alignment horizontal="left" vertical="top" readingOrder="0"/>
        <border outline="0">
          <left style="thin">
            <color indexed="64"/>
          </left>
          <right style="thin">
            <color indexed="64"/>
          </right>
          <top style="thin">
            <color indexed="64"/>
          </top>
          <bottom style="thin">
            <color indexed="64"/>
          </bottom>
        </border>
      </dxf>
    </rfmt>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fmt sheetId="1" sqref="AN336" start="0" length="0">
      <dxf>
        <alignment horizontal="left" vertical="top" readingOrder="0"/>
        <border outline="0">
          <left style="thin">
            <color indexed="64"/>
          </left>
          <right style="thin">
            <color indexed="64"/>
          </right>
          <top style="thin">
            <color indexed="64"/>
          </top>
          <bottom style="thin">
            <color indexed="64"/>
          </bottom>
        </border>
      </dxf>
    </rfmt>
  </rrc>
  <rrc rId="996" sId="1" ref="A336:XFD336" action="deleteRow">
    <undo index="0" exp="ref" v="1" dr="B336" r="B337" sId="1"/>
    <rfmt sheetId="1" xfDxf="1" sqref="A336:XFD336" start="0" length="0"/>
    <rcc rId="0" sId="1" dxf="1">
      <nc r="B336">
        <f>#REF!+1</f>
      </nc>
      <ndxf>
        <font>
          <sz val="11"/>
          <color auto="1"/>
          <name val="Calibri"/>
          <scheme val="minor"/>
        </font>
        <fill>
          <patternFill patternType="solid">
            <bgColor rgb="FF0070C0"/>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20200522</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SGMW CN202SR India RC2 CPi 242816 BB81722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 xml:space="preserve">rb\as\sgmw\CN210S\dsmpr\src\                   </t>
        </is>
      </nc>
      <ndxf>
        <alignment horizontal="left" vertical="top" readingOrder="0"/>
        <border outline="0">
          <left style="thin">
            <color indexed="64"/>
          </left>
          <right style="thin">
            <color indexed="64"/>
          </right>
          <top style="thin">
            <color indexed="64"/>
          </top>
          <bottom style="thin">
            <color indexed="64"/>
          </bottom>
        </border>
      </ndxf>
    </rcc>
    <rcc rId="0" sId="1" dxf="1">
      <nc r="G336">
        <v>1481841</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RBPduHandler_Callouts.c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BB81722</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SGMW_ESP93_Mainstream_RBVH_Int</t>
        </is>
      </nc>
      <ndxf>
        <alignment horizontal="left" vertical="top" readingOrder="0"/>
        <border outline="0">
          <left style="thin">
            <color indexed="64"/>
          </left>
          <right style="thin">
            <color indexed="64"/>
          </right>
          <top style="thin">
            <color indexed="64"/>
          </top>
          <bottom style="thin">
            <color indexed="64"/>
          </bottom>
        </border>
      </ndxf>
    </rcc>
    <rfmt sheetId="1" sqref="O336"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P336" t="inlineStr">
        <is>
          <t>To Trong Khoa (RBVH/EAS11)</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phuong.nguyen-thanh</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220</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fmt sheetId="1" sqref="X336" start="0" length="0">
      <dxf>
        <alignment horizontal="left" vertical="top" readingOrder="0"/>
        <border outline="0">
          <left style="thin">
            <color indexed="64"/>
          </left>
          <right style="thin">
            <color indexed="64"/>
          </right>
          <top style="thin">
            <color indexed="64"/>
          </top>
          <bottom style="thin">
            <color indexed="64"/>
          </bottom>
        </border>
      </dxf>
    </rfmt>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fmt sheetId="1" sqref="Z336" start="0" length="0">
      <dxf>
        <alignment horizontal="left" vertical="top" readingOrder="0"/>
        <border outline="0">
          <left style="thin">
            <color indexed="64"/>
          </left>
          <right style="thin">
            <color indexed="64"/>
          </right>
          <top style="thin">
            <color indexed="64"/>
          </top>
          <bottom style="thin">
            <color indexed="64"/>
          </bottom>
        </border>
      </dxf>
    </rfmt>
    <rfmt sheetId="1" sqref="AA336" start="0" length="0">
      <dxf>
        <alignment horizontal="left" vertical="top" readingOrder="0"/>
        <border outline="0">
          <left style="thin">
            <color indexed="64"/>
          </left>
          <right style="thin">
            <color indexed="64"/>
          </right>
          <top style="thin">
            <color indexed="64"/>
          </top>
          <bottom style="thin">
            <color indexed="64"/>
          </bottom>
        </border>
      </dxf>
    </rfmt>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fmt sheetId="1" sqref="AN336" start="0" length="0">
      <dxf>
        <alignment horizontal="left" vertical="top" readingOrder="0"/>
        <border outline="0">
          <left style="thin">
            <color indexed="64"/>
          </left>
          <right style="thin">
            <color indexed="64"/>
          </right>
          <top style="thin">
            <color indexed="64"/>
          </top>
          <bottom style="thin">
            <color indexed="64"/>
          </bottom>
        </border>
      </dxf>
    </rfmt>
  </rrc>
  <rrc rId="997" sId="1" ref="A336:XFD336" action="deleteRow">
    <undo index="0" exp="ref" v="1" dr="B336" r="B337" sId="1"/>
    <rfmt sheetId="1" xfDxf="1" sqref="A336:XFD336" start="0" length="0"/>
    <rcc rId="0" sId="1" dxf="1">
      <nc r="B336">
        <f>#REF!+1</f>
      </nc>
      <ndxf>
        <font>
          <sz val="11"/>
          <color auto="1"/>
          <name val="Calibri"/>
          <scheme val="minor"/>
        </font>
        <fill>
          <patternFill patternType="solid">
            <bgColor rgb="FF0070C0"/>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20200522</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SGMW CN202SR India RC2 CPi 242816 BB81722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 xml:space="preserve">rb\as\sgmw\CN210S\hswpr\tst\hswsim\src\        </t>
        </is>
      </nc>
      <ndxf>
        <alignment horizontal="left" vertical="top" readingOrder="0"/>
        <border outline="0">
          <left style="thin">
            <color indexed="64"/>
          </left>
          <right style="thin">
            <color indexed="64"/>
          </right>
          <top style="thin">
            <color indexed="64"/>
          </top>
          <bottom style="thin">
            <color indexed="64"/>
          </bottom>
        </border>
      </ndxf>
    </rcc>
    <rcc rId="0" sId="1" dxf="1">
      <nc r="G336">
        <v>1481841</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TestEnvironment_NvM_CNMS_EV712048.c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BB81722</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SGMW_ESP93_Mainstream_RBVH_Int</t>
        </is>
      </nc>
      <ndxf>
        <alignment horizontal="left" vertical="top" readingOrder="0"/>
        <border outline="0">
          <left style="thin">
            <color indexed="64"/>
          </left>
          <right style="thin">
            <color indexed="64"/>
          </right>
          <top style="thin">
            <color indexed="64"/>
          </top>
          <bottom style="thin">
            <color indexed="64"/>
          </bottom>
        </border>
      </ndxf>
    </rcc>
    <rfmt sheetId="1" sqref="O336"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P336" t="inlineStr">
        <is>
          <t>To Trong Khoa (RBVH/EAS11)</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phuong.nguyen-thanh</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7</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fmt sheetId="1" sqref="X336" start="0" length="0">
      <dxf>
        <alignment horizontal="left" vertical="top" readingOrder="0"/>
        <border outline="0">
          <left style="thin">
            <color indexed="64"/>
          </left>
          <right style="thin">
            <color indexed="64"/>
          </right>
          <top style="thin">
            <color indexed="64"/>
          </top>
          <bottom style="thin">
            <color indexed="64"/>
          </bottom>
        </border>
      </dxf>
    </rfmt>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fmt sheetId="1" sqref="Z336" start="0" length="0">
      <dxf>
        <alignment horizontal="left" vertical="top" readingOrder="0"/>
        <border outline="0">
          <left style="thin">
            <color indexed="64"/>
          </left>
          <right style="thin">
            <color indexed="64"/>
          </right>
          <top style="thin">
            <color indexed="64"/>
          </top>
          <bottom style="thin">
            <color indexed="64"/>
          </bottom>
        </border>
      </dxf>
    </rfmt>
    <rfmt sheetId="1" sqref="AA336" start="0" length="0">
      <dxf>
        <alignment horizontal="left" vertical="top" readingOrder="0"/>
        <border outline="0">
          <left style="thin">
            <color indexed="64"/>
          </left>
          <right style="thin">
            <color indexed="64"/>
          </right>
          <top style="thin">
            <color indexed="64"/>
          </top>
          <bottom style="thin">
            <color indexed="64"/>
          </bottom>
        </border>
      </dxf>
    </rfmt>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fmt sheetId="1" sqref="AN336" start="0" length="0">
      <dxf>
        <alignment horizontal="left" vertical="top" readingOrder="0"/>
        <border outline="0">
          <left style="thin">
            <color indexed="64"/>
          </left>
          <right style="thin">
            <color indexed="64"/>
          </right>
          <top style="thin">
            <color indexed="64"/>
          </top>
          <bottom style="thin">
            <color indexed="64"/>
          </bottom>
        </border>
      </dxf>
    </rfmt>
  </rrc>
  <rrc rId="998" sId="1" ref="A336:XFD336" action="deleteRow">
    <undo index="0" exp="ref" v="1" dr="B336" r="B337" sId="1"/>
    <rfmt sheetId="1" xfDxf="1" sqref="A336:XFD336" start="0" length="0"/>
    <rcc rId="0" sId="1" dxf="1">
      <nc r="B336">
        <f>#REF!+1</f>
      </nc>
      <ndxf>
        <font>
          <sz val="11"/>
          <color auto="1"/>
          <name val="Calibri"/>
          <scheme val="minor"/>
        </font>
        <fill>
          <patternFill patternType="solid">
            <bgColor rgb="FF0070C0"/>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20200522</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SGMW CN202SR India RC2 CPi 242816 BB81722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 xml:space="preserve">rb\as\sgmw\CN210S\hswpr\tst\hswsim\src\        </t>
        </is>
      </nc>
      <ndxf>
        <alignment horizontal="left" vertical="top" readingOrder="0"/>
        <border outline="0">
          <left style="thin">
            <color indexed="64"/>
          </left>
          <right style="thin">
            <color indexed="64"/>
          </right>
          <top style="thin">
            <color indexed="64"/>
          </top>
          <bottom style="thin">
            <color indexed="64"/>
          </bottom>
        </border>
      </ndxf>
    </rcc>
    <rcc rId="0" sId="1" dxf="1">
      <nc r="G336">
        <v>1481841</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TestEnvironment_NvM_CNMS_EV712518.c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BB81722</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SGMW_ESP93_Mainstream_RBVH_Int</t>
        </is>
      </nc>
      <ndxf>
        <alignment horizontal="left" vertical="top" readingOrder="0"/>
        <border outline="0">
          <left style="thin">
            <color indexed="64"/>
          </left>
          <right style="thin">
            <color indexed="64"/>
          </right>
          <top style="thin">
            <color indexed="64"/>
          </top>
          <bottom style="thin">
            <color indexed="64"/>
          </bottom>
        </border>
      </ndxf>
    </rcc>
    <rfmt sheetId="1" sqref="O336"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P336" t="inlineStr">
        <is>
          <t>To Trong Khoa (RBVH/EAS11)</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phuong.nguyen-thanh</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7</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fmt sheetId="1" sqref="X336" start="0" length="0">
      <dxf>
        <alignment horizontal="left" vertical="top" readingOrder="0"/>
        <border outline="0">
          <left style="thin">
            <color indexed="64"/>
          </left>
          <right style="thin">
            <color indexed="64"/>
          </right>
          <top style="thin">
            <color indexed="64"/>
          </top>
          <bottom style="thin">
            <color indexed="64"/>
          </bottom>
        </border>
      </dxf>
    </rfmt>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fmt sheetId="1" sqref="Z336" start="0" length="0">
      <dxf>
        <alignment horizontal="left" vertical="top" readingOrder="0"/>
        <border outline="0">
          <left style="thin">
            <color indexed="64"/>
          </left>
          <right style="thin">
            <color indexed="64"/>
          </right>
          <top style="thin">
            <color indexed="64"/>
          </top>
          <bottom style="thin">
            <color indexed="64"/>
          </bottom>
        </border>
      </dxf>
    </rfmt>
    <rfmt sheetId="1" sqref="AA336" start="0" length="0">
      <dxf>
        <alignment horizontal="left" vertical="top" readingOrder="0"/>
        <border outline="0">
          <left style="thin">
            <color indexed="64"/>
          </left>
          <right style="thin">
            <color indexed="64"/>
          </right>
          <top style="thin">
            <color indexed="64"/>
          </top>
          <bottom style="thin">
            <color indexed="64"/>
          </bottom>
        </border>
      </dxf>
    </rfmt>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fmt sheetId="1" sqref="AN336" start="0" length="0">
      <dxf>
        <alignment horizontal="left" vertical="top" readingOrder="0"/>
        <border outline="0">
          <left style="thin">
            <color indexed="64"/>
          </left>
          <right style="thin">
            <color indexed="64"/>
          </right>
          <top style="thin">
            <color indexed="64"/>
          </top>
          <bottom style="thin">
            <color indexed="64"/>
          </bottom>
        </border>
      </dxf>
    </rfmt>
  </rrc>
  <rrc rId="999" sId="1" ref="A336:XFD336" action="deleteRow">
    <undo index="0" exp="ref" v="1" dr="B336" r="B337" sId="1"/>
    <rfmt sheetId="1" xfDxf="1" sqref="A336:XFD336" start="0" length="0"/>
    <rcc rId="0" sId="1" dxf="1">
      <nc r="B336">
        <f>#REF!+1</f>
      </nc>
      <ndxf>
        <font>
          <sz val="11"/>
          <color auto="1"/>
          <name val="Calibri"/>
          <scheme val="minor"/>
        </font>
        <fill>
          <patternFill patternType="solid">
            <bgColor rgb="FF0070C0"/>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20200522</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SGMW CN202SR India RC2 CPi 242816 BB81722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 xml:space="preserve">rb\as\sgmw\CN210S\hswpr\tst\hswsim\src\        </t>
        </is>
      </nc>
      <ndxf>
        <alignment horizontal="left" vertical="top" readingOrder="0"/>
        <border outline="0">
          <left style="thin">
            <color indexed="64"/>
          </left>
          <right style="thin">
            <color indexed="64"/>
          </right>
          <top style="thin">
            <color indexed="64"/>
          </top>
          <bottom style="thin">
            <color indexed="64"/>
          </bottom>
        </border>
      </ndxf>
    </rcc>
    <rcc rId="0" sId="1" dxf="1">
      <nc r="G336">
        <v>1481841</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TestEnvironment_NvM_CNMS_EV711009.c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BB81722</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SGMW_ESP93_Mainstream_RBVH_Int</t>
        </is>
      </nc>
      <ndxf>
        <alignment horizontal="left" vertical="top" readingOrder="0"/>
        <border outline="0">
          <left style="thin">
            <color indexed="64"/>
          </left>
          <right style="thin">
            <color indexed="64"/>
          </right>
          <top style="thin">
            <color indexed="64"/>
          </top>
          <bottom style="thin">
            <color indexed="64"/>
          </bottom>
        </border>
      </ndxf>
    </rcc>
    <rfmt sheetId="1" sqref="O336"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P336" t="inlineStr">
        <is>
          <t>To Trong Khoa (RBVH/EAS11)</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phuong.nguyen-thanh</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7</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fmt sheetId="1" sqref="X336" start="0" length="0">
      <dxf>
        <alignment horizontal="left" vertical="top" readingOrder="0"/>
        <border outline="0">
          <left style="thin">
            <color indexed="64"/>
          </left>
          <right style="thin">
            <color indexed="64"/>
          </right>
          <top style="thin">
            <color indexed="64"/>
          </top>
          <bottom style="thin">
            <color indexed="64"/>
          </bottom>
        </border>
      </dxf>
    </rfmt>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fmt sheetId="1" sqref="Z336" start="0" length="0">
      <dxf>
        <alignment horizontal="left" vertical="top" readingOrder="0"/>
        <border outline="0">
          <left style="thin">
            <color indexed="64"/>
          </left>
          <right style="thin">
            <color indexed="64"/>
          </right>
          <top style="thin">
            <color indexed="64"/>
          </top>
          <bottom style="thin">
            <color indexed="64"/>
          </bottom>
        </border>
      </dxf>
    </rfmt>
    <rfmt sheetId="1" sqref="AA336" start="0" length="0">
      <dxf>
        <alignment horizontal="left" vertical="top" readingOrder="0"/>
        <border outline="0">
          <left style="thin">
            <color indexed="64"/>
          </left>
          <right style="thin">
            <color indexed="64"/>
          </right>
          <top style="thin">
            <color indexed="64"/>
          </top>
          <bottom style="thin">
            <color indexed="64"/>
          </bottom>
        </border>
      </dxf>
    </rfmt>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fmt sheetId="1" sqref="AN336" start="0" length="0">
      <dxf>
        <alignment horizontal="left" vertical="top" readingOrder="0"/>
        <border outline="0">
          <left style="thin">
            <color indexed="64"/>
          </left>
          <right style="thin">
            <color indexed="64"/>
          </right>
          <top style="thin">
            <color indexed="64"/>
          </top>
          <bottom style="thin">
            <color indexed="64"/>
          </bottom>
        </border>
      </dxf>
    </rfmt>
  </rrc>
  <rrc rId="1000" sId="1" ref="A336:XFD336" action="deleteRow">
    <undo index="0" exp="ref" v="1" dr="B336" r="B337" sId="1"/>
    <rfmt sheetId="1" xfDxf="1" sqref="A336:XFD336" start="0" length="0"/>
    <rcc rId="0" sId="1" dxf="1">
      <nc r="B336">
        <f>#REF!+1</f>
      </nc>
      <ndxf>
        <font>
          <sz val="11"/>
          <color auto="1"/>
          <name val="Calibri"/>
          <scheme val="minor"/>
        </font>
        <fill>
          <patternFill patternType="solid">
            <bgColor rgb="FF0070C0"/>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20200522</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SGMW CN202SR India RC2 CPi 242816 BB81722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 xml:space="preserve">rb\as\sgmw\core\app\dcom\RBAPLCust\src\        </t>
        </is>
      </nc>
      <ndxf>
        <alignment horizontal="left" vertical="top" readingOrder="0"/>
        <border outline="0">
          <left style="thin">
            <color indexed="64"/>
          </left>
          <right style="thin">
            <color indexed="64"/>
          </right>
          <top style="thin">
            <color indexed="64"/>
          </top>
          <bottom style="thin">
            <color indexed="64"/>
          </bottom>
        </border>
      </ndxf>
    </rcc>
    <rcc rId="0" sId="1" dxf="1">
      <nc r="G336">
        <v>1481841</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RBAPLCUST_DiagnosticSessionControl.c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BB81722</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SGMW_ESP93_Mainstream_RBVH_Int</t>
        </is>
      </nc>
      <ndxf>
        <alignment horizontal="left" vertical="top" readingOrder="0"/>
        <border outline="0">
          <left style="thin">
            <color indexed="64"/>
          </left>
          <right style="thin">
            <color indexed="64"/>
          </right>
          <top style="thin">
            <color indexed="64"/>
          </top>
          <bottom style="thin">
            <color indexed="64"/>
          </bottom>
        </border>
      </ndxf>
    </rcc>
    <rfmt sheetId="1" sqref="O336"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P336" t="inlineStr">
        <is>
          <t>To Trong Khoa (RBVH/EAS11)</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hieu.nguyen-trung</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259</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fmt sheetId="1" sqref="X336" start="0" length="0">
      <dxf>
        <alignment horizontal="left" vertical="top" readingOrder="0"/>
        <border outline="0">
          <left style="thin">
            <color indexed="64"/>
          </left>
          <right style="thin">
            <color indexed="64"/>
          </right>
          <top style="thin">
            <color indexed="64"/>
          </top>
          <bottom style="thin">
            <color indexed="64"/>
          </bottom>
        </border>
      </dxf>
    </rfmt>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fmt sheetId="1" sqref="Z336" start="0" length="0">
      <dxf>
        <alignment horizontal="left" vertical="top" readingOrder="0"/>
        <border outline="0">
          <left style="thin">
            <color indexed="64"/>
          </left>
          <right style="thin">
            <color indexed="64"/>
          </right>
          <top style="thin">
            <color indexed="64"/>
          </top>
          <bottom style="thin">
            <color indexed="64"/>
          </bottom>
        </border>
      </dxf>
    </rfmt>
    <rfmt sheetId="1" sqref="AA336" start="0" length="0">
      <dxf>
        <alignment horizontal="left" vertical="top" readingOrder="0"/>
        <border outline="0">
          <left style="thin">
            <color indexed="64"/>
          </left>
          <right style="thin">
            <color indexed="64"/>
          </right>
          <top style="thin">
            <color indexed="64"/>
          </top>
          <bottom style="thin">
            <color indexed="64"/>
          </bottom>
        </border>
      </dxf>
    </rfmt>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fmt sheetId="1" sqref="AN336" start="0" length="0">
      <dxf>
        <alignment horizontal="left" vertical="top" readingOrder="0"/>
        <border outline="0">
          <left style="thin">
            <color indexed="64"/>
          </left>
          <right style="thin">
            <color indexed="64"/>
          </right>
          <top style="thin">
            <color indexed="64"/>
          </top>
          <bottom style="thin">
            <color indexed="64"/>
          </bottom>
        </border>
      </dxf>
    </rfmt>
  </rrc>
  <rrc rId="1001" sId="1" ref="A336:XFD336" action="deleteRow">
    <undo index="0" exp="ref" v="1" dr="B336" r="B337" sId="1"/>
    <rfmt sheetId="1" xfDxf="1" sqref="A336:XFD336" start="0" length="0"/>
    <rcc rId="0" sId="1" dxf="1">
      <nc r="B336">
        <f>#REF!+1</f>
      </nc>
      <ndxf>
        <font>
          <sz val="11"/>
          <color auto="1"/>
          <name val="Calibri"/>
          <scheme val="minor"/>
        </font>
        <fill>
          <patternFill patternType="solid">
            <bgColor rgb="FF0070C0"/>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20200522</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SGMW CN202SR India RC2 CPi 242816 BB81722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 xml:space="preserve">rb\as\sgmw\core\app\dcom\RBAPLCust\src\        </t>
        </is>
      </nc>
      <ndxf>
        <alignment horizontal="left" vertical="top" readingOrder="0"/>
        <border outline="0">
          <left style="thin">
            <color indexed="64"/>
          </left>
          <right style="thin">
            <color indexed="64"/>
          </right>
          <top style="thin">
            <color indexed="64"/>
          </top>
          <bottom style="thin">
            <color indexed="64"/>
          </bottom>
        </border>
      </ndxf>
    </rcc>
    <rcc rId="0" sId="1" dxf="1">
      <nc r="G336">
        <v>1481841</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RBAPLCUST_RBDI_NVMData.c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BB81722</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SGMW_ESP93_Mainstream_RBVH_Int</t>
        </is>
      </nc>
      <ndxf>
        <alignment horizontal="left" vertical="top" readingOrder="0"/>
        <border outline="0">
          <left style="thin">
            <color indexed="64"/>
          </left>
          <right style="thin">
            <color indexed="64"/>
          </right>
          <top style="thin">
            <color indexed="64"/>
          </top>
          <bottom style="thin">
            <color indexed="64"/>
          </bottom>
        </border>
      </ndxf>
    </rcc>
    <rfmt sheetId="1" sqref="O336"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P336" t="inlineStr">
        <is>
          <t>To Trong Khoa (RBVH/EAS11)</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hieu.nguyen-trung</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371</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fmt sheetId="1" sqref="X336" start="0" length="0">
      <dxf>
        <alignment horizontal="left" vertical="top" readingOrder="0"/>
        <border outline="0">
          <left style="thin">
            <color indexed="64"/>
          </left>
          <right style="thin">
            <color indexed="64"/>
          </right>
          <top style="thin">
            <color indexed="64"/>
          </top>
          <bottom style="thin">
            <color indexed="64"/>
          </bottom>
        </border>
      </dxf>
    </rfmt>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fmt sheetId="1" sqref="Z336" start="0" length="0">
      <dxf>
        <alignment horizontal="left" vertical="top" readingOrder="0"/>
        <border outline="0">
          <left style="thin">
            <color indexed="64"/>
          </left>
          <right style="thin">
            <color indexed="64"/>
          </right>
          <top style="thin">
            <color indexed="64"/>
          </top>
          <bottom style="thin">
            <color indexed="64"/>
          </bottom>
        </border>
      </dxf>
    </rfmt>
    <rfmt sheetId="1" sqref="AA336" start="0" length="0">
      <dxf>
        <alignment horizontal="left" vertical="top" readingOrder="0"/>
        <border outline="0">
          <left style="thin">
            <color indexed="64"/>
          </left>
          <right style="thin">
            <color indexed="64"/>
          </right>
          <top style="thin">
            <color indexed="64"/>
          </top>
          <bottom style="thin">
            <color indexed="64"/>
          </bottom>
        </border>
      </dxf>
    </rfmt>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fmt sheetId="1" sqref="AN336" start="0" length="0">
      <dxf>
        <alignment horizontal="left" vertical="top" readingOrder="0"/>
        <border outline="0">
          <left style="thin">
            <color indexed="64"/>
          </left>
          <right style="thin">
            <color indexed="64"/>
          </right>
          <top style="thin">
            <color indexed="64"/>
          </top>
          <bottom style="thin">
            <color indexed="64"/>
          </bottom>
        </border>
      </dxf>
    </rfmt>
  </rrc>
  <rrc rId="1002" sId="1" ref="A336:XFD336" action="deleteRow">
    <rfmt sheetId="1" xfDxf="1" sqref="A336:XFD336" start="0" length="0"/>
    <rcc rId="0" sId="1" dxf="1">
      <nc r="B336">
        <f>#REF!+1</f>
      </nc>
      <ndxf>
        <font>
          <sz val="11"/>
          <color auto="1"/>
          <name val="Calibri"/>
          <scheme val="minor"/>
        </font>
        <fill>
          <patternFill patternType="solid">
            <bgColor rgb="FF0070C0"/>
          </patternFill>
        </fill>
        <alignment horizontal="left" vertical="top" readingOrder="0"/>
        <border outline="0">
          <left style="thin">
            <color indexed="64"/>
          </left>
          <right style="thin">
            <color indexed="64"/>
          </right>
          <top style="thin">
            <color indexed="64"/>
          </top>
          <bottom style="thin">
            <color indexed="64"/>
          </bottom>
        </border>
      </ndxf>
    </rcc>
    <rcc rId="0" sId="1" dxf="1">
      <nc r="C336">
        <v>20200522</v>
      </nc>
      <ndxf>
        <alignment horizontal="left" vertical="top" readingOrder="0"/>
        <border outline="0">
          <left style="thin">
            <color indexed="64"/>
          </left>
          <right style="thin">
            <color indexed="64"/>
          </right>
          <top style="thin">
            <color indexed="64"/>
          </top>
          <bottom style="thin">
            <color indexed="64"/>
          </bottom>
        </border>
      </ndxf>
    </rcc>
    <rcc rId="0" sId="1" dxf="1">
      <nc r="D336"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36" t="inlineStr">
        <is>
          <t>SGMW CN202SR India RC2 CPi 242816 BB81722</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36" t="inlineStr">
        <is>
          <t xml:space="preserve">rb\as\sgmw\core\app\dcom\RBAPLCust\src\ </t>
        </is>
      </nc>
      <ndxf>
        <alignment horizontal="left" vertical="top" readingOrder="0"/>
        <border outline="0">
          <left style="thin">
            <color indexed="64"/>
          </left>
          <right style="thin">
            <color indexed="64"/>
          </right>
          <top style="thin">
            <color indexed="64"/>
          </top>
          <bottom style="thin">
            <color indexed="64"/>
          </bottom>
        </border>
      </ndxf>
    </rcc>
    <rcc rId="0" sId="1" dxf="1">
      <nc r="G336">
        <v>1481841</v>
      </nc>
      <ndxf>
        <alignment horizontal="left" vertical="top" readingOrder="0"/>
        <border outline="0">
          <left style="thin">
            <color indexed="64"/>
          </left>
          <right style="thin">
            <color indexed="64"/>
          </right>
          <top style="thin">
            <color indexed="64"/>
          </top>
          <bottom style="thin">
            <color indexed="64"/>
          </bottom>
        </border>
      </ndxf>
    </rcc>
    <rcc rId="0" sId="1" dxf="1" quotePrefix="1">
      <nc r="H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36" t="inlineStr">
        <is>
          <t>RBAPLCUST_WDBI_NVMData.c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36"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36" t="inlineStr">
        <is>
          <t>BB81722</t>
        </is>
      </nc>
      <ndxf>
        <alignment horizontal="left" vertical="top" readingOrder="0"/>
        <border outline="0">
          <left style="thin">
            <color indexed="64"/>
          </left>
          <right style="thin">
            <color indexed="64"/>
          </right>
          <top style="thin">
            <color indexed="64"/>
          </top>
          <bottom style="thin">
            <color indexed="64"/>
          </bottom>
        </border>
      </ndxf>
    </rcc>
    <rcc rId="0" sId="1" dxf="1">
      <nc r="M336"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36" t="inlineStr">
        <is>
          <t>SGMW_ESP93_Mainstream_RBVH_Int</t>
        </is>
      </nc>
      <ndxf>
        <alignment horizontal="left" vertical="top" readingOrder="0"/>
        <border outline="0">
          <left style="thin">
            <color indexed="64"/>
          </left>
          <right style="thin">
            <color indexed="64"/>
          </right>
          <top style="thin">
            <color indexed="64"/>
          </top>
          <bottom style="thin">
            <color indexed="64"/>
          </bottom>
        </border>
      </ndxf>
    </rcc>
    <rfmt sheetId="1" sqref="O336"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P336" t="inlineStr">
        <is>
          <t>To Trong Khoa (RBVH/EAS11)</t>
        </is>
      </nc>
      <ndxf>
        <alignment horizontal="left" vertical="top" readingOrder="0"/>
        <border outline="0">
          <left style="thin">
            <color indexed="64"/>
          </left>
          <right style="thin">
            <color indexed="64"/>
          </right>
          <top style="thin">
            <color indexed="64"/>
          </top>
          <bottom style="thin">
            <color indexed="64"/>
          </bottom>
        </border>
      </ndxf>
    </rcc>
    <rfmt sheetId="1" sqref="Q33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3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36" t="inlineStr">
        <is>
          <t>hieu.nguyen-trung</t>
        </is>
      </nc>
      <ndxf>
        <alignment horizontal="left" vertical="top" readingOrder="0"/>
        <border outline="0">
          <left style="thin">
            <color indexed="64"/>
          </left>
          <right style="thin">
            <color indexed="64"/>
          </right>
          <top style="thin">
            <color indexed="64"/>
          </top>
          <bottom style="thin">
            <color indexed="64"/>
          </bottom>
        </border>
      </ndxf>
    </rcc>
    <rfmt sheetId="1" sqref="T336" start="0" length="0">
      <dxf>
        <alignment horizontal="left" vertical="top" readingOrder="0"/>
        <border outline="0">
          <left style="thin">
            <color indexed="64"/>
          </left>
          <right style="thin">
            <color indexed="64"/>
          </right>
          <top style="thin">
            <color indexed="64"/>
          </top>
          <bottom style="thin">
            <color indexed="64"/>
          </bottom>
        </border>
      </dxf>
    </rfmt>
    <rfmt sheetId="1" sqref="U336" start="0" length="0">
      <dxf>
        <alignment horizontal="left" vertical="top" readingOrder="0"/>
        <border outline="0">
          <left style="thin">
            <color indexed="64"/>
          </left>
          <right style="thin">
            <color indexed="64"/>
          </right>
          <top style="thin">
            <color indexed="64"/>
          </top>
          <bottom style="thin">
            <color indexed="64"/>
          </bottom>
        </border>
      </dxf>
    </rfmt>
    <rcc rId="0" sId="1" dxf="1">
      <nc r="V336">
        <v>115</v>
      </nc>
      <ndxf>
        <alignment horizontal="left" vertical="top" readingOrder="0"/>
        <border outline="0">
          <left style="thin">
            <color indexed="64"/>
          </left>
          <right style="thin">
            <color indexed="64"/>
          </right>
          <top style="thin">
            <color indexed="64"/>
          </top>
          <bottom style="thin">
            <color indexed="64"/>
          </bottom>
        </border>
      </ndxf>
    </rcc>
    <rcc rId="0" sId="1" dxf="1">
      <nc r="W336">
        <f>V336</f>
      </nc>
      <ndxf>
        <alignment horizontal="left" vertical="top" readingOrder="0"/>
        <border outline="0">
          <left style="thin">
            <color indexed="64"/>
          </left>
          <right style="thin">
            <color indexed="64"/>
          </right>
          <top style="thin">
            <color indexed="64"/>
          </top>
          <bottom style="thin">
            <color indexed="64"/>
          </bottom>
        </border>
      </ndxf>
    </rcc>
    <rfmt sheetId="1" sqref="X336" start="0" length="0">
      <dxf>
        <alignment horizontal="left" vertical="top" readingOrder="0"/>
        <border outline="0">
          <left style="thin">
            <color indexed="64"/>
          </left>
          <right style="thin">
            <color indexed="64"/>
          </right>
          <top style="thin">
            <color indexed="64"/>
          </top>
          <bottom style="thin">
            <color indexed="64"/>
          </bottom>
        </border>
      </dxf>
    </rfmt>
    <rcc rId="0" sId="1" dxf="1">
      <nc r="Y336">
        <f>ROUNDDOWN(W336/HLOOKUP(D336,Table!$C$3:$D$4,2,0)*8,2)</f>
      </nc>
      <ndxf>
        <alignment horizontal="left" vertical="top" readingOrder="0"/>
        <border outline="0">
          <left style="thin">
            <color indexed="64"/>
          </left>
          <right style="thin">
            <color indexed="64"/>
          </right>
          <top style="thin">
            <color indexed="64"/>
          </top>
          <bottom style="thin">
            <color indexed="64"/>
          </bottom>
        </border>
      </ndxf>
    </rcc>
    <rfmt sheetId="1" sqref="Z336" start="0" length="0">
      <dxf>
        <alignment horizontal="left" vertical="top" readingOrder="0"/>
        <border outline="0">
          <left style="thin">
            <color indexed="64"/>
          </left>
          <right style="thin">
            <color indexed="64"/>
          </right>
          <top style="thin">
            <color indexed="64"/>
          </top>
          <bottom style="thin">
            <color indexed="64"/>
          </bottom>
        </border>
      </dxf>
    </rfmt>
    <rfmt sheetId="1" sqref="AA336" start="0" length="0">
      <dxf>
        <alignment horizontal="left" vertical="top" readingOrder="0"/>
        <border outline="0">
          <left style="thin">
            <color indexed="64"/>
          </left>
          <right style="thin">
            <color indexed="64"/>
          </right>
          <top style="thin">
            <color indexed="64"/>
          </top>
          <bottom style="thin">
            <color indexed="64"/>
          </bottom>
        </border>
      </dxf>
    </rfmt>
    <rfmt sheetId="1" sqref="AB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36">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36">
        <v>43979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6" start="0" length="0">
      <dxf>
        <alignment horizontal="left" vertical="top" readingOrder="0"/>
        <border outline="0">
          <left style="thin">
            <color indexed="64"/>
          </left>
          <right style="thin">
            <color indexed="64"/>
          </right>
          <top style="thin">
            <color indexed="64"/>
          </top>
          <bottom style="thin">
            <color indexed="64"/>
          </bottom>
        </border>
      </dxf>
    </rfmt>
    <rfmt sheetId="1" sqref="AM336" start="0" length="0">
      <dxf>
        <alignment horizontal="left" vertical="top" readingOrder="0"/>
        <border outline="0">
          <left style="thin">
            <color indexed="64"/>
          </left>
          <right style="thin">
            <color indexed="64"/>
          </right>
          <top style="thin">
            <color indexed="64"/>
          </top>
          <bottom style="thin">
            <color indexed="64"/>
          </bottom>
        </border>
      </dxf>
    </rfmt>
    <rfmt sheetId="1" sqref="AN336" start="0" length="0">
      <dxf>
        <alignment horizontal="left" vertical="top" readingOrder="0"/>
        <border outline="0">
          <left style="thin">
            <color indexed="64"/>
          </left>
          <right style="thin">
            <color indexed="64"/>
          </right>
          <top style="thin">
            <color indexed="64"/>
          </top>
          <bottom style="thin">
            <color indexed="64"/>
          </bottom>
        </border>
      </dxf>
    </rfmt>
  </rrc>
  <rrc rId="1003" sId="1" ref="A307:XFD307" action="deleteRow">
    <undo index="0" exp="ref" v="1" dr="B307" r="B308" sId="1"/>
    <rfmt sheetId="1" xfDxf="1" sqref="A307:XFD307" start="0" length="0"/>
    <rcc rId="0" sId="1" dxf="1">
      <nc r="B307">
        <f>B306+1</f>
      </nc>
      <n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0" sId="1" dxf="1">
      <nc r="C307">
        <v>20200519</v>
      </nc>
      <ndxf>
        <alignment horizontal="left" vertical="top" readingOrder="0"/>
        <border outline="0">
          <left style="thin">
            <color indexed="64"/>
          </left>
          <right style="thin">
            <color indexed="64"/>
          </right>
          <top style="thin">
            <color indexed="64"/>
          </top>
          <bottom style="thin">
            <color indexed="64"/>
          </bottom>
        </border>
      </ndxf>
    </rcc>
    <rcc rId="0" sId="1" dxf="1">
      <nc r="D307"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07"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07" t="inlineStr">
        <is>
          <t>BAIC_MainPath_HevX_Int\BAICHevX\rb\as\baic\baic_core\app\dcom\RBAPLCust\src\ESP</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07">
        <v>1473546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07" t="inlineStr">
        <is>
          <t>RBAPLCUST_InputOutputControl_GeneralFunctions.c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07"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07"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07"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307"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07"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07" t="inlineStr">
        <is>
          <t>LIU Felix (CC-AS/EVA-SW33-CN)</t>
        </is>
      </nc>
      <ndxf>
        <alignment horizontal="left" vertical="top" readingOrder="0"/>
        <border outline="0">
          <left style="thin">
            <color indexed="64"/>
          </left>
          <right style="thin">
            <color indexed="64"/>
          </right>
          <top style="thin">
            <color indexed="64"/>
          </top>
          <bottom style="thin">
            <color indexed="64"/>
          </bottom>
        </border>
      </ndxf>
    </rcc>
    <rfmt sheetId="1" sqref="Q30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07" t="inlineStr">
        <is>
          <t>chung.ly</t>
        </is>
      </nc>
      <ndxf>
        <alignment horizontal="left" vertical="top" readingOrder="0"/>
        <border outline="0">
          <left style="thin">
            <color indexed="64"/>
          </left>
          <right style="thin">
            <color indexed="64"/>
          </right>
          <top style="thin">
            <color indexed="64"/>
          </top>
          <bottom style="thin">
            <color indexed="64"/>
          </bottom>
        </border>
      </ndxf>
    </rcc>
    <rfmt sheetId="1" sqref="T307" start="0" length="0">
      <dxf>
        <alignment horizontal="left" vertical="top" readingOrder="0"/>
        <border outline="0">
          <left style="thin">
            <color indexed="64"/>
          </left>
          <right style="thin">
            <color indexed="64"/>
          </right>
          <top style="thin">
            <color indexed="64"/>
          </top>
          <bottom style="thin">
            <color indexed="64"/>
          </bottom>
        </border>
      </dxf>
    </rfmt>
    <rfmt sheetId="1" sqref="U307" start="0" length="0">
      <dxf>
        <alignment horizontal="left" vertical="top" readingOrder="0"/>
        <border outline="0">
          <left style="thin">
            <color indexed="64"/>
          </left>
          <right style="thin">
            <color indexed="64"/>
          </right>
          <top style="thin">
            <color indexed="64"/>
          </top>
          <bottom style="thin">
            <color indexed="64"/>
          </bottom>
        </border>
      </dxf>
    </rfmt>
    <rcc rId="0" sId="1" dxf="1">
      <nc r="V307">
        <v>109</v>
      </nc>
      <ndxf>
        <alignment horizontal="left" vertical="top" readingOrder="0"/>
        <border outline="0">
          <left style="thin">
            <color indexed="64"/>
          </left>
          <right style="thin">
            <color indexed="64"/>
          </right>
          <top style="thin">
            <color indexed="64"/>
          </top>
          <bottom style="thin">
            <color indexed="64"/>
          </bottom>
        </border>
      </ndxf>
    </rcc>
    <rcc rId="0" sId="1" dxf="1">
      <nc r="W307">
        <f>V307</f>
      </nc>
      <ndxf>
        <alignment horizontal="left" vertical="top" readingOrder="0"/>
        <border outline="0">
          <left style="thin">
            <color indexed="64"/>
          </left>
          <right style="thin">
            <color indexed="64"/>
          </right>
          <top style="thin">
            <color indexed="64"/>
          </top>
          <bottom style="thin">
            <color indexed="64"/>
          </bottom>
        </border>
      </ndxf>
    </rcc>
    <rcc rId="0" sId="1" dxf="1">
      <nc r="X307">
        <f>W307</f>
      </nc>
      <ndxf>
        <alignment horizontal="left" vertical="top" readingOrder="0"/>
        <border outline="0">
          <left style="thin">
            <color indexed="64"/>
          </left>
          <right style="thin">
            <color indexed="64"/>
          </right>
          <top style="thin">
            <color indexed="64"/>
          </top>
          <bottom style="thin">
            <color indexed="64"/>
          </bottom>
        </border>
      </ndxf>
    </rcc>
    <rcc rId="0" sId="1" dxf="1">
      <nc r="Y307">
        <f>ROUNDDOWN(W307/HLOOKUP(D307,Table!$C$3:$D$4,2,0)*8,2)</f>
      </nc>
      <ndxf>
        <alignment horizontal="left" vertical="top" readingOrder="0"/>
        <border outline="0">
          <left style="thin">
            <color indexed="64"/>
          </left>
          <right style="thin">
            <color indexed="64"/>
          </right>
          <top style="thin">
            <color indexed="64"/>
          </top>
          <bottom style="thin">
            <color indexed="64"/>
          </bottom>
        </border>
      </ndxf>
    </rcc>
    <rcc rId="0" sId="1" dxf="1">
      <nc r="Z307">
        <v>0.5</v>
      </nc>
      <ndxf>
        <alignment horizontal="left" vertical="top" readingOrder="0"/>
        <border outline="0">
          <left style="thin">
            <color indexed="64"/>
          </left>
          <right style="thin">
            <color indexed="64"/>
          </right>
          <top style="thin">
            <color indexed="64"/>
          </top>
          <bottom style="thin">
            <color indexed="64"/>
          </bottom>
        </border>
      </ndxf>
    </rcc>
    <rcc rId="0" sId="1" dxf="1">
      <nc r="AA307"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07">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07"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07"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M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N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rc>
  <rrc rId="1004" sId="1" ref="A307:XFD307" action="deleteRow">
    <undo index="0" exp="ref" v="1" dr="B307" r="B308" sId="1"/>
    <rfmt sheetId="1" xfDxf="1" sqref="A307:XFD307" start="0" length="0"/>
    <rcc rId="0" sId="1" dxf="1">
      <nc r="B307">
        <f>#REF!+1</f>
      </nc>
      <n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0" sId="1" dxf="1">
      <nc r="C307">
        <v>20200519</v>
      </nc>
      <ndxf>
        <alignment horizontal="left" vertical="top" readingOrder="0"/>
        <border outline="0">
          <left style="thin">
            <color indexed="64"/>
          </left>
          <right style="thin">
            <color indexed="64"/>
          </right>
          <top style="thin">
            <color indexed="64"/>
          </top>
          <bottom style="thin">
            <color indexed="64"/>
          </bottom>
        </border>
      </ndxf>
    </rcc>
    <rcc rId="0" sId="1" dxf="1">
      <nc r="D307"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07"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07" t="inlineStr">
        <is>
          <t>BAIC_MainPath_HevX_Int\BAICHevX\rb\as\baic\baic_core\app\dcom\RBAPLCust\src\ESP</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07">
        <v>1473546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07" t="inlineStr">
        <is>
          <t>RBAPLCUST_RoutineControl_WheelSpeedSensorTest.c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07"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07"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07"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307"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07"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07" t="inlineStr">
        <is>
          <t>LIU Felix (CC-AS/EVA-SW33-CN)</t>
        </is>
      </nc>
      <ndxf>
        <alignment horizontal="left" vertical="top" readingOrder="0"/>
        <border outline="0">
          <left style="thin">
            <color indexed="64"/>
          </left>
          <right style="thin">
            <color indexed="64"/>
          </right>
          <top style="thin">
            <color indexed="64"/>
          </top>
          <bottom style="thin">
            <color indexed="64"/>
          </bottom>
        </border>
      </ndxf>
    </rcc>
    <rfmt sheetId="1" sqref="Q30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07"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307" start="0" length="0">
      <dxf>
        <alignment horizontal="left" vertical="top" readingOrder="0"/>
        <border outline="0">
          <left style="thin">
            <color indexed="64"/>
          </left>
          <right style="thin">
            <color indexed="64"/>
          </right>
          <top style="thin">
            <color indexed="64"/>
          </top>
          <bottom style="thin">
            <color indexed="64"/>
          </bottom>
        </border>
      </dxf>
    </rfmt>
    <rfmt sheetId="1" sqref="U307" start="0" length="0">
      <dxf>
        <alignment horizontal="left" vertical="top" readingOrder="0"/>
        <border outline="0">
          <left style="thin">
            <color indexed="64"/>
          </left>
          <right style="thin">
            <color indexed="64"/>
          </right>
          <top style="thin">
            <color indexed="64"/>
          </top>
          <bottom style="thin">
            <color indexed="64"/>
          </bottom>
        </border>
      </dxf>
    </rfmt>
    <rcc rId="0" sId="1" dxf="1">
      <nc r="V307">
        <v>268</v>
      </nc>
      <ndxf>
        <alignment horizontal="left" vertical="top" readingOrder="0"/>
        <border outline="0">
          <left style="thin">
            <color indexed="64"/>
          </left>
          <right style="thin">
            <color indexed="64"/>
          </right>
          <top style="thin">
            <color indexed="64"/>
          </top>
          <bottom style="thin">
            <color indexed="64"/>
          </bottom>
        </border>
      </ndxf>
    </rcc>
    <rcc rId="0" sId="1" dxf="1">
      <nc r="W307">
        <f>V307</f>
      </nc>
      <ndxf>
        <alignment horizontal="left" vertical="top" readingOrder="0"/>
        <border outline="0">
          <left style="thin">
            <color indexed="64"/>
          </left>
          <right style="thin">
            <color indexed="64"/>
          </right>
          <top style="thin">
            <color indexed="64"/>
          </top>
          <bottom style="thin">
            <color indexed="64"/>
          </bottom>
        </border>
      </ndxf>
    </rcc>
    <rcc rId="0" sId="1" dxf="1">
      <nc r="X307">
        <f>W307</f>
      </nc>
      <ndxf>
        <alignment horizontal="left" vertical="top" readingOrder="0"/>
        <border outline="0">
          <left style="thin">
            <color indexed="64"/>
          </left>
          <right style="thin">
            <color indexed="64"/>
          </right>
          <top style="thin">
            <color indexed="64"/>
          </top>
          <bottom style="thin">
            <color indexed="64"/>
          </bottom>
        </border>
      </ndxf>
    </rcc>
    <rcc rId="0" sId="1" dxf="1">
      <nc r="Y307">
        <f>ROUNDDOWN(W307/HLOOKUP(D307,Table!$C$3:$D$4,2,0)*8,2)</f>
      </nc>
      <ndxf>
        <alignment horizontal="left" vertical="top" readingOrder="0"/>
        <border outline="0">
          <left style="thin">
            <color indexed="64"/>
          </left>
          <right style="thin">
            <color indexed="64"/>
          </right>
          <top style="thin">
            <color indexed="64"/>
          </top>
          <bottom style="thin">
            <color indexed="64"/>
          </bottom>
        </border>
      </ndxf>
    </rcc>
    <rcc rId="0" sId="1" dxf="1">
      <nc r="Z307">
        <v>4</v>
      </nc>
      <ndxf>
        <alignment horizontal="left" vertical="top" readingOrder="0"/>
        <border outline="0">
          <left style="thin">
            <color indexed="64"/>
          </left>
          <right style="thin">
            <color indexed="64"/>
          </right>
          <top style="thin">
            <color indexed="64"/>
          </top>
          <bottom style="thin">
            <color indexed="64"/>
          </bottom>
        </border>
      </ndxf>
    </rcc>
    <rcc rId="0" sId="1" dxf="1">
      <nc r="AA307"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307">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307">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07">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07"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07"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M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N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rc>
  <rrc rId="1005" sId="1" ref="A307:XFD307" action="deleteRow">
    <undo index="0" exp="ref" v="1" dr="B307" r="B308" sId="1"/>
    <rfmt sheetId="1" xfDxf="1" sqref="A307:XFD307" start="0" length="0"/>
    <rcc rId="0" sId="1" dxf="1">
      <nc r="B307">
        <f>#REF!+1</f>
      </nc>
      <n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0" sId="1" dxf="1">
      <nc r="C307">
        <v>20200519</v>
      </nc>
      <ndxf>
        <alignment horizontal="left" vertical="top" readingOrder="0"/>
        <border outline="0">
          <left style="thin">
            <color indexed="64"/>
          </left>
          <right style="thin">
            <color indexed="64"/>
          </right>
          <top style="thin">
            <color indexed="64"/>
          </top>
          <bottom style="thin">
            <color indexed="64"/>
          </bottom>
        </border>
      </ndxf>
    </rcc>
    <rcc rId="0" sId="1" dxf="1">
      <nc r="D307"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07"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07" t="inlineStr">
        <is>
          <t>BAIC_MainPath_HevX_Int\BAICHevX\rb\as\baic\baic_core\app\dcom\RBAPLCust\src\common</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07">
        <v>1473546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07" t="inlineStr">
        <is>
          <t>RBAPLCUST_VariandCode.c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07"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07"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07"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307"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07"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07" t="inlineStr">
        <is>
          <t>LIU Felix (CC-AS/EVA-SW33-CN)</t>
        </is>
      </nc>
      <ndxf>
        <alignment horizontal="left" vertical="top" readingOrder="0"/>
        <border outline="0">
          <left style="thin">
            <color indexed="64"/>
          </left>
          <right style="thin">
            <color indexed="64"/>
          </right>
          <top style="thin">
            <color indexed="64"/>
          </top>
          <bottom style="thin">
            <color indexed="64"/>
          </bottom>
        </border>
      </ndxf>
    </rcc>
    <rfmt sheetId="1" sqref="Q30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07" t="inlineStr">
        <is>
          <t>chung.ly</t>
        </is>
      </nc>
      <ndxf>
        <alignment horizontal="left" vertical="top" readingOrder="0"/>
        <border outline="0">
          <left style="thin">
            <color indexed="64"/>
          </left>
          <right style="thin">
            <color indexed="64"/>
          </right>
          <top style="thin">
            <color indexed="64"/>
          </top>
          <bottom style="thin">
            <color indexed="64"/>
          </bottom>
        </border>
      </ndxf>
    </rcc>
    <rfmt sheetId="1" sqref="T307" start="0" length="0">
      <dxf>
        <alignment horizontal="left" vertical="top" readingOrder="0"/>
        <border outline="0">
          <left style="thin">
            <color indexed="64"/>
          </left>
          <right style="thin">
            <color indexed="64"/>
          </right>
          <top style="thin">
            <color indexed="64"/>
          </top>
          <bottom style="thin">
            <color indexed="64"/>
          </bottom>
        </border>
      </dxf>
    </rfmt>
    <rfmt sheetId="1" sqref="U307" start="0" length="0">
      <dxf>
        <alignment horizontal="left" vertical="top" readingOrder="0"/>
        <border outline="0">
          <left style="thin">
            <color indexed="64"/>
          </left>
          <right style="thin">
            <color indexed="64"/>
          </right>
          <top style="thin">
            <color indexed="64"/>
          </top>
          <bottom style="thin">
            <color indexed="64"/>
          </bottom>
        </border>
      </dxf>
    </rfmt>
    <rcc rId="0" sId="1" dxf="1">
      <nc r="V307">
        <v>63</v>
      </nc>
      <ndxf>
        <alignment horizontal="left" vertical="top" readingOrder="0"/>
        <border outline="0">
          <left style="thin">
            <color indexed="64"/>
          </left>
          <right style="thin">
            <color indexed="64"/>
          </right>
          <top style="thin">
            <color indexed="64"/>
          </top>
          <bottom style="thin">
            <color indexed="64"/>
          </bottom>
        </border>
      </ndxf>
    </rcc>
    <rcc rId="0" sId="1" dxf="1">
      <nc r="W307">
        <f>V307</f>
      </nc>
      <ndxf>
        <alignment horizontal="left" vertical="top" readingOrder="0"/>
        <border outline="0">
          <left style="thin">
            <color indexed="64"/>
          </left>
          <right style="thin">
            <color indexed="64"/>
          </right>
          <top style="thin">
            <color indexed="64"/>
          </top>
          <bottom style="thin">
            <color indexed="64"/>
          </bottom>
        </border>
      </ndxf>
    </rcc>
    <rcc rId="0" sId="1" dxf="1">
      <nc r="X307">
        <f>W307</f>
      </nc>
      <ndxf>
        <alignment horizontal="left" vertical="top" readingOrder="0"/>
        <border outline="0">
          <left style="thin">
            <color indexed="64"/>
          </left>
          <right style="thin">
            <color indexed="64"/>
          </right>
          <top style="thin">
            <color indexed="64"/>
          </top>
          <bottom style="thin">
            <color indexed="64"/>
          </bottom>
        </border>
      </ndxf>
    </rcc>
    <rcc rId="0" sId="1" dxf="1">
      <nc r="Y307">
        <f>ROUNDDOWN(W307/HLOOKUP(D307,Table!$C$3:$D$4,2,0)*8,2)</f>
      </nc>
      <ndxf>
        <alignment horizontal="left" vertical="top" readingOrder="0"/>
        <border outline="0">
          <left style="thin">
            <color indexed="64"/>
          </left>
          <right style="thin">
            <color indexed="64"/>
          </right>
          <top style="thin">
            <color indexed="64"/>
          </top>
          <bottom style="thin">
            <color indexed="64"/>
          </bottom>
        </border>
      </ndxf>
    </rcc>
    <rcc rId="0" sId="1" dxf="1">
      <nc r="Z307">
        <v>0.5</v>
      </nc>
      <ndxf>
        <alignment horizontal="left" vertical="top" readingOrder="0"/>
        <border outline="0">
          <left style="thin">
            <color indexed="64"/>
          </left>
          <right style="thin">
            <color indexed="64"/>
          </right>
          <top style="thin">
            <color indexed="64"/>
          </top>
          <bottom style="thin">
            <color indexed="64"/>
          </bottom>
        </border>
      </ndxf>
    </rcc>
    <rcc rId="0" sId="1" dxf="1">
      <nc r="AA307"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07">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07"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07"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L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M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N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rc>
  <rrc rId="1006" sId="1" ref="A307:XFD307" action="deleteRow">
    <undo index="0" exp="ref" v="1" dr="B307" r="B308" sId="1"/>
    <rfmt sheetId="1" xfDxf="1" sqref="A307:XFD307" start="0" length="0"/>
    <rcc rId="0" sId="1" dxf="1">
      <nc r="B307">
        <f>#REF!+1</f>
      </nc>
      <n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0" sId="1" dxf="1">
      <nc r="C307">
        <v>20200519</v>
      </nc>
      <ndxf>
        <alignment horizontal="left" vertical="top" readingOrder="0"/>
        <border outline="0">
          <left style="thin">
            <color indexed="64"/>
          </left>
          <right style="thin">
            <color indexed="64"/>
          </right>
          <top style="thin">
            <color indexed="64"/>
          </top>
          <bottom style="thin">
            <color indexed="64"/>
          </bottom>
        </border>
      </ndxf>
    </rcc>
    <rcc rId="0" sId="1" dxf="1">
      <nc r="D307"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07"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07" t="inlineStr">
        <is>
          <t>BAIC_MainPath_HevX_Int\BAICHevX\rb\as\baic\baic_core\app\net\RbNetPrj\RBNet_Can\src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07">
        <v>1473546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07" t="inlineStr">
        <is>
          <t>NET_CheckSumLib_CNMS.c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07"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07"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07"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307"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07"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07" t="inlineStr">
        <is>
          <t>LIU Felix (CC-AS/EVA-SW33-CN)</t>
        </is>
      </nc>
      <ndxf>
        <alignment horizontal="left" vertical="top" readingOrder="0"/>
        <border outline="0">
          <left style="thin">
            <color indexed="64"/>
          </left>
          <right style="thin">
            <color indexed="64"/>
          </right>
          <top style="thin">
            <color indexed="64"/>
          </top>
          <bottom style="thin">
            <color indexed="64"/>
          </bottom>
        </border>
      </ndxf>
    </rcc>
    <rfmt sheetId="1" sqref="Q30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07"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307" start="0" length="0">
      <dxf>
        <alignment horizontal="left" vertical="top" readingOrder="0"/>
        <border outline="0">
          <left style="thin">
            <color indexed="64"/>
          </left>
          <right style="thin">
            <color indexed="64"/>
          </right>
          <top style="thin">
            <color indexed="64"/>
          </top>
          <bottom style="thin">
            <color indexed="64"/>
          </bottom>
        </border>
      </dxf>
    </rfmt>
    <rfmt sheetId="1" sqref="U307" start="0" length="0">
      <dxf>
        <alignment horizontal="left" vertical="top" readingOrder="0"/>
        <border outline="0">
          <left style="thin">
            <color indexed="64"/>
          </left>
          <right style="thin">
            <color indexed="64"/>
          </right>
          <top style="thin">
            <color indexed="64"/>
          </top>
          <bottom style="thin">
            <color indexed="64"/>
          </bottom>
        </border>
      </dxf>
    </rfmt>
    <rcc rId="0" sId="1" dxf="1">
      <nc r="V307">
        <v>87</v>
      </nc>
      <ndxf>
        <alignment horizontal="left" vertical="top" readingOrder="0"/>
        <border outline="0">
          <left style="thin">
            <color indexed="64"/>
          </left>
          <right style="thin">
            <color indexed="64"/>
          </right>
          <top style="thin">
            <color indexed="64"/>
          </top>
          <bottom style="thin">
            <color indexed="64"/>
          </bottom>
        </border>
      </ndxf>
    </rcc>
    <rcc rId="0" sId="1" dxf="1">
      <nc r="W307">
        <f>V307</f>
      </nc>
      <ndxf>
        <alignment horizontal="left" vertical="top" readingOrder="0"/>
        <border outline="0">
          <left style="thin">
            <color indexed="64"/>
          </left>
          <right style="thin">
            <color indexed="64"/>
          </right>
          <top style="thin">
            <color indexed="64"/>
          </top>
          <bottom style="thin">
            <color indexed="64"/>
          </bottom>
        </border>
      </ndxf>
    </rcc>
    <rcc rId="0" sId="1" dxf="1">
      <nc r="X307">
        <f>W307</f>
      </nc>
      <ndxf>
        <alignment horizontal="left" vertical="top" readingOrder="0"/>
        <border outline="0">
          <left style="thin">
            <color indexed="64"/>
          </left>
          <right style="thin">
            <color indexed="64"/>
          </right>
          <top style="thin">
            <color indexed="64"/>
          </top>
          <bottom style="thin">
            <color indexed="64"/>
          </bottom>
        </border>
      </ndxf>
    </rcc>
    <rcc rId="0" sId="1" dxf="1">
      <nc r="Y307">
        <f>ROUNDDOWN(W307/HLOOKUP(D307,Table!$C$3:$D$4,2,0)*8,2)</f>
      </nc>
      <ndxf>
        <alignment horizontal="left" vertical="top" readingOrder="0"/>
        <border outline="0">
          <left style="thin">
            <color indexed="64"/>
          </left>
          <right style="thin">
            <color indexed="64"/>
          </right>
          <top style="thin">
            <color indexed="64"/>
          </top>
          <bottom style="thin">
            <color indexed="64"/>
          </bottom>
        </border>
      </ndxf>
    </rcc>
    <rcc rId="0" sId="1" dxf="1">
      <nc r="Z307">
        <v>1</v>
      </nc>
      <ndxf>
        <alignment horizontal="left" vertical="top" readingOrder="0"/>
        <border outline="0">
          <left style="thin">
            <color indexed="64"/>
          </left>
          <right style="thin">
            <color indexed="64"/>
          </right>
          <top style="thin">
            <color indexed="64"/>
          </top>
          <bottom style="thin">
            <color indexed="64"/>
          </bottom>
        </border>
      </ndxf>
    </rcc>
    <rcc rId="0" sId="1" dxf="1">
      <nc r="AA307"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307">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307">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07">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07"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07"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M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N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rc>
  <rrc rId="1007" sId="1" ref="A307:XFD307" action="deleteRow">
    <undo index="0" exp="ref" v="1" dr="B307" r="B308" sId="1"/>
    <rfmt sheetId="1" xfDxf="1" sqref="A307:XFD307" start="0" length="0"/>
    <rcc rId="0" sId="1" dxf="1">
      <nc r="B307">
        <f>#REF!+1</f>
      </nc>
      <n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0" sId="1" dxf="1">
      <nc r="C307">
        <v>20200519</v>
      </nc>
      <ndxf>
        <alignment horizontal="left" vertical="top" readingOrder="0"/>
        <border outline="0">
          <left style="thin">
            <color indexed="64"/>
          </left>
          <right style="thin">
            <color indexed="64"/>
          </right>
          <top style="thin">
            <color indexed="64"/>
          </top>
          <bottom style="thin">
            <color indexed="64"/>
          </bottom>
        </border>
      </ndxf>
    </rcc>
    <rcc rId="0" sId="1" dxf="1">
      <nc r="D307"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07"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07" t="inlineStr">
        <is>
          <t>BAIC_MainPath_HevX_Int\BAICHevX\rb\as\cnms_core\app\net\scl\Controllers\Engine\src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07">
        <v>1473546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07" t="inlineStr">
        <is>
          <t>NET_SCL_Rx_EngineTorque.c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07"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07"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07"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307"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07"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07" t="inlineStr">
        <is>
          <t>LIU Felix (CC-AS/EVA-SW33-CN)</t>
        </is>
      </nc>
      <ndxf>
        <alignment horizontal="left" vertical="top" readingOrder="0"/>
        <border outline="0">
          <left style="thin">
            <color indexed="64"/>
          </left>
          <right style="thin">
            <color indexed="64"/>
          </right>
          <top style="thin">
            <color indexed="64"/>
          </top>
          <bottom style="thin">
            <color indexed="64"/>
          </bottom>
        </border>
      </ndxf>
    </rcc>
    <rfmt sheetId="1" sqref="Q30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07" t="inlineStr">
        <is>
          <t>duong.nguyen</t>
        </is>
      </nc>
      <ndxf>
        <alignment horizontal="left" vertical="top" readingOrder="0"/>
        <border outline="0">
          <left style="thin">
            <color indexed="64"/>
          </left>
          <right style="thin">
            <color indexed="64"/>
          </right>
          <top style="thin">
            <color indexed="64"/>
          </top>
          <bottom style="thin">
            <color indexed="64"/>
          </bottom>
        </border>
      </ndxf>
    </rcc>
    <rfmt sheetId="1" sqref="T307" start="0" length="0">
      <dxf>
        <alignment horizontal="left" vertical="top" readingOrder="0"/>
        <border outline="0">
          <left style="thin">
            <color indexed="64"/>
          </left>
          <right style="thin">
            <color indexed="64"/>
          </right>
          <top style="thin">
            <color indexed="64"/>
          </top>
          <bottom style="thin">
            <color indexed="64"/>
          </bottom>
        </border>
      </dxf>
    </rfmt>
    <rfmt sheetId="1" sqref="U307" start="0" length="0">
      <dxf>
        <alignment horizontal="left" vertical="top" readingOrder="0"/>
        <border outline="0">
          <left style="thin">
            <color indexed="64"/>
          </left>
          <right style="thin">
            <color indexed="64"/>
          </right>
          <top style="thin">
            <color indexed="64"/>
          </top>
          <bottom style="thin">
            <color indexed="64"/>
          </bottom>
        </border>
      </dxf>
    </rfmt>
    <rcc rId="0" sId="1" dxf="1">
      <nc r="V307">
        <v>164</v>
      </nc>
      <ndxf>
        <alignment horizontal="left" vertical="top" readingOrder="0"/>
        <border outline="0">
          <left style="thin">
            <color indexed="64"/>
          </left>
          <right style="thin">
            <color indexed="64"/>
          </right>
          <top style="thin">
            <color indexed="64"/>
          </top>
          <bottom style="thin">
            <color indexed="64"/>
          </bottom>
        </border>
      </ndxf>
    </rcc>
    <rcc rId="0" sId="1" dxf="1">
      <nc r="W307">
        <f>V307</f>
      </nc>
      <ndxf>
        <alignment horizontal="left" vertical="top" readingOrder="0"/>
        <border outline="0">
          <left style="thin">
            <color indexed="64"/>
          </left>
          <right style="thin">
            <color indexed="64"/>
          </right>
          <top style="thin">
            <color indexed="64"/>
          </top>
          <bottom style="thin">
            <color indexed="64"/>
          </bottom>
        </border>
      </ndxf>
    </rcc>
    <rcc rId="0" sId="1" dxf="1">
      <nc r="X307">
        <f>W307</f>
      </nc>
      <ndxf>
        <alignment horizontal="left" vertical="top" readingOrder="0"/>
        <border outline="0">
          <left style="thin">
            <color indexed="64"/>
          </left>
          <right style="thin">
            <color indexed="64"/>
          </right>
          <top style="thin">
            <color indexed="64"/>
          </top>
          <bottom style="thin">
            <color indexed="64"/>
          </bottom>
        </border>
      </ndxf>
    </rcc>
    <rcc rId="0" sId="1" dxf="1">
      <nc r="Y307">
        <f>ROUNDDOWN(W307/HLOOKUP(D307,Table!$C$3:$D$4,2,0)*8,2)</f>
      </nc>
      <ndxf>
        <alignment horizontal="left" vertical="top" readingOrder="0"/>
        <border outline="0">
          <left style="thin">
            <color indexed="64"/>
          </left>
          <right style="thin">
            <color indexed="64"/>
          </right>
          <top style="thin">
            <color indexed="64"/>
          </top>
          <bottom style="thin">
            <color indexed="64"/>
          </bottom>
        </border>
      </ndxf>
    </rcc>
    <rcc rId="0" sId="1" dxf="1">
      <nc r="Z307">
        <v>2.5</v>
      </nc>
      <ndxf>
        <alignment horizontal="left" vertical="top" readingOrder="0"/>
        <border outline="0">
          <left style="thin">
            <color indexed="64"/>
          </left>
          <right style="thin">
            <color indexed="64"/>
          </right>
          <top style="thin">
            <color indexed="64"/>
          </top>
          <bottom style="thin">
            <color indexed="64"/>
          </bottom>
        </border>
      </ndxf>
    </rcc>
    <rcc rId="0" sId="1" dxf="1">
      <nc r="AA307"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07">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07">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07">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07"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07"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AM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AN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rc>
  <rrc rId="1008" sId="1" ref="A307:XFD307" action="deleteRow">
    <undo index="0" exp="ref" v="1" dr="B307" r="B308" sId="1"/>
    <rfmt sheetId="1" xfDxf="1" sqref="A307:XFD307" start="0" length="0"/>
    <rcc rId="0" sId="1" dxf="1">
      <nc r="B307">
        <f>#REF!+1</f>
      </nc>
      <n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0" sId="1" dxf="1">
      <nc r="C307">
        <v>20200519</v>
      </nc>
      <ndxf>
        <alignment horizontal="left" vertical="top" readingOrder="0"/>
        <border outline="0">
          <left style="thin">
            <color indexed="64"/>
          </left>
          <right style="thin">
            <color indexed="64"/>
          </right>
          <top style="thin">
            <color indexed="64"/>
          </top>
          <bottom style="thin">
            <color indexed="64"/>
          </bottom>
        </border>
      </ndxf>
    </rcc>
    <rcc rId="0" sId="1" dxf="1">
      <nc r="D307"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07"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07" t="inlineStr">
        <is>
          <t>BAIC_MainPath_HevX_Int\BAICHevX\rb\as\cnms_core\app\net\scl\Sensors\AxAyYrs\src</t>
        </is>
      </nc>
      <ndxf>
        <font>
          <b/>
          <sz val="10"/>
          <color rgb="FF9C6500"/>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07">
        <v>1473546</v>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H307" t="inlineStr">
        <is>
          <t>-</t>
        </is>
      </nc>
      <ndxf>
        <font>
          <sz val="11"/>
          <color theme="1"/>
          <name val="Calibri"/>
          <scheme val="minor"/>
        </font>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07" t="inlineStr">
        <is>
          <t>NET_SCL_Rx_Yrs.c</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J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07"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07"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07"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307"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07"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07" t="inlineStr">
        <is>
          <t>LIU Felix (CC-AS/EVA-SW33-CN)</t>
        </is>
      </nc>
      <ndxf>
        <alignment horizontal="left" vertical="top" readingOrder="0"/>
        <border outline="0">
          <left style="thin">
            <color indexed="64"/>
          </left>
          <right style="thin">
            <color indexed="64"/>
          </right>
          <top style="thin">
            <color indexed="64"/>
          </top>
          <bottom style="thin">
            <color indexed="64"/>
          </bottom>
        </border>
      </ndxf>
    </rcc>
    <rfmt sheetId="1" sqref="Q30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07" t="inlineStr">
        <is>
          <t>loc.do-phu</t>
        </is>
      </nc>
      <ndxf>
        <alignment horizontal="left" vertical="top" readingOrder="0"/>
        <border outline="0">
          <left style="thin">
            <color indexed="64"/>
          </left>
          <right style="thin">
            <color indexed="64"/>
          </right>
          <top style="thin">
            <color indexed="64"/>
          </top>
          <bottom style="thin">
            <color indexed="64"/>
          </bottom>
        </border>
      </ndxf>
    </rcc>
    <rfmt sheetId="1" sqref="T307" start="0" length="0">
      <dxf>
        <alignment horizontal="left" vertical="top" readingOrder="0"/>
        <border outline="0">
          <left style="thin">
            <color indexed="64"/>
          </left>
          <right style="thin">
            <color indexed="64"/>
          </right>
          <top style="thin">
            <color indexed="64"/>
          </top>
          <bottom style="thin">
            <color indexed="64"/>
          </bottom>
        </border>
      </dxf>
    </rfmt>
    <rfmt sheetId="1" sqref="U307" start="0" length="0">
      <dxf>
        <alignment horizontal="left" vertical="top" readingOrder="0"/>
        <border outline="0">
          <left style="thin">
            <color indexed="64"/>
          </left>
          <right style="thin">
            <color indexed="64"/>
          </right>
          <top style="thin">
            <color indexed="64"/>
          </top>
          <bottom style="thin">
            <color indexed="64"/>
          </bottom>
        </border>
      </dxf>
    </rfmt>
    <rcc rId="0" sId="1" dxf="1">
      <nc r="V307">
        <v>200</v>
      </nc>
      <ndxf>
        <alignment horizontal="left" vertical="top" readingOrder="0"/>
        <border outline="0">
          <left style="thin">
            <color indexed="64"/>
          </left>
          <right style="thin">
            <color indexed="64"/>
          </right>
          <top style="thin">
            <color indexed="64"/>
          </top>
          <bottom style="thin">
            <color indexed="64"/>
          </bottom>
        </border>
      </ndxf>
    </rcc>
    <rcc rId="0" sId="1" dxf="1">
      <nc r="W307">
        <f>V307</f>
      </nc>
      <ndxf>
        <alignment horizontal="left" vertical="top" readingOrder="0"/>
        <border outline="0">
          <left style="thin">
            <color indexed="64"/>
          </left>
          <right style="thin">
            <color indexed="64"/>
          </right>
          <top style="thin">
            <color indexed="64"/>
          </top>
          <bottom style="thin">
            <color indexed="64"/>
          </bottom>
        </border>
      </ndxf>
    </rcc>
    <rcc rId="0" sId="1" dxf="1">
      <nc r="X307">
        <f>W307</f>
      </nc>
      <ndxf>
        <alignment horizontal="left" vertical="top" readingOrder="0"/>
        <border outline="0">
          <left style="thin">
            <color indexed="64"/>
          </left>
          <right style="thin">
            <color indexed="64"/>
          </right>
          <top style="thin">
            <color indexed="64"/>
          </top>
          <bottom style="thin">
            <color indexed="64"/>
          </bottom>
        </border>
      </ndxf>
    </rcc>
    <rcc rId="0" sId="1" dxf="1">
      <nc r="Y307">
        <f>ROUNDDOWN(W307/HLOOKUP(D307,Table!$C$3:$D$4,2,0)*8,2)</f>
      </nc>
      <ndxf>
        <alignment horizontal="left" vertical="top" readingOrder="0"/>
        <border outline="0">
          <left style="thin">
            <color indexed="64"/>
          </left>
          <right style="thin">
            <color indexed="64"/>
          </right>
          <top style="thin">
            <color indexed="64"/>
          </top>
          <bottom style="thin">
            <color indexed="64"/>
          </bottom>
        </border>
      </ndxf>
    </rcc>
    <rcc rId="0" sId="1" dxf="1">
      <nc r="Z307">
        <f>Y307</f>
      </nc>
      <ndxf>
        <alignment horizontal="left" vertical="top" readingOrder="0"/>
        <border outline="0">
          <left style="thin">
            <color indexed="64"/>
          </left>
          <right style="thin">
            <color indexed="64"/>
          </right>
          <top style="thin">
            <color indexed="64"/>
          </top>
          <bottom style="thin">
            <color indexed="64"/>
          </bottom>
        </border>
      </ndxf>
    </rcc>
    <rcc rId="0" sId="1" dxf="1">
      <nc r="AA307"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07">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07"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07"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M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N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rc>
  <rrc rId="1009" sId="1" ref="A307:XFD307" action="deleteRow">
    <undo index="0" exp="ref" v="1" dr="B307" r="B308" sId="1"/>
    <rfmt sheetId="1" xfDxf="1" sqref="A307:XFD307" start="0" length="0"/>
    <rcc rId="0" sId="1" dxf="1">
      <nc r="B307">
        <f>#REF!+1</f>
      </nc>
      <n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0" sId="1" dxf="1">
      <nc r="C307">
        <v>20200519</v>
      </nc>
      <ndxf>
        <alignment horizontal="left" vertical="top" readingOrder="0"/>
        <border outline="0">
          <left style="thin">
            <color indexed="64"/>
          </left>
          <right style="thin">
            <color indexed="64"/>
          </right>
          <top style="thin">
            <color indexed="64"/>
          </top>
          <bottom style="thin">
            <color indexed="64"/>
          </bottom>
        </border>
      </ndxf>
    </rcc>
    <rcc rId="0" sId="1" dxf="1">
      <nc r="D307"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07"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07" t="inlineStr">
        <is>
          <t>BAIC_MainPath_HevX_Int\BAICHevX\rb\as\cnms_core\app\net\scl\Controllers\AxelSplit\src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07">
        <v>1473546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07" t="inlineStr">
        <is>
          <t>NET_SCL_Tx_AxelSplit.c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07"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07"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07"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307"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07"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07" t="inlineStr">
        <is>
          <t>LIU Felix (CC-AS/EVA-SW33-CN)</t>
        </is>
      </nc>
      <ndxf>
        <alignment horizontal="left" vertical="top" readingOrder="0"/>
        <border outline="0">
          <left style="thin">
            <color indexed="64"/>
          </left>
          <right style="thin">
            <color indexed="64"/>
          </right>
          <top style="thin">
            <color indexed="64"/>
          </top>
          <bottom style="thin">
            <color indexed="64"/>
          </bottom>
        </border>
      </ndxf>
    </rcc>
    <rfmt sheetId="1" sqref="Q30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07" t="inlineStr">
        <is>
          <t>chung.ly</t>
        </is>
      </nc>
      <ndxf>
        <alignment horizontal="left" vertical="top" readingOrder="0"/>
        <border outline="0">
          <left style="thin">
            <color indexed="64"/>
          </left>
          <right style="thin">
            <color indexed="64"/>
          </right>
          <top style="thin">
            <color indexed="64"/>
          </top>
          <bottom style="thin">
            <color indexed="64"/>
          </bottom>
        </border>
      </ndxf>
    </rcc>
    <rfmt sheetId="1" sqref="T307" start="0" length="0">
      <dxf>
        <alignment horizontal="left" vertical="top" readingOrder="0"/>
        <border outline="0">
          <left style="thin">
            <color indexed="64"/>
          </left>
          <right style="thin">
            <color indexed="64"/>
          </right>
          <top style="thin">
            <color indexed="64"/>
          </top>
          <bottom style="thin">
            <color indexed="64"/>
          </bottom>
        </border>
      </dxf>
    </rfmt>
    <rfmt sheetId="1" sqref="U307" start="0" length="0">
      <dxf>
        <alignment horizontal="left" vertical="top" readingOrder="0"/>
        <border outline="0">
          <left style="thin">
            <color indexed="64"/>
          </left>
          <right style="thin">
            <color indexed="64"/>
          </right>
          <top style="thin">
            <color indexed="64"/>
          </top>
          <bottom style="thin">
            <color indexed="64"/>
          </bottom>
        </border>
      </dxf>
    </rfmt>
    <rcc rId="0" sId="1" dxf="1">
      <nc r="V307">
        <v>58</v>
      </nc>
      <ndxf>
        <alignment horizontal="left" vertical="top" readingOrder="0"/>
        <border outline="0">
          <left style="thin">
            <color indexed="64"/>
          </left>
          <right style="thin">
            <color indexed="64"/>
          </right>
          <top style="thin">
            <color indexed="64"/>
          </top>
          <bottom style="thin">
            <color indexed="64"/>
          </bottom>
        </border>
      </ndxf>
    </rcc>
    <rcc rId="0" sId="1" dxf="1">
      <nc r="W307">
        <f>V307</f>
      </nc>
      <ndxf>
        <alignment horizontal="left" vertical="top" readingOrder="0"/>
        <border outline="0">
          <left style="thin">
            <color indexed="64"/>
          </left>
          <right style="thin">
            <color indexed="64"/>
          </right>
          <top style="thin">
            <color indexed="64"/>
          </top>
          <bottom style="thin">
            <color indexed="64"/>
          </bottom>
        </border>
      </ndxf>
    </rcc>
    <rcc rId="0" sId="1" dxf="1">
      <nc r="X307">
        <f>W307</f>
      </nc>
      <ndxf>
        <alignment horizontal="left" vertical="top" readingOrder="0"/>
        <border outline="0">
          <left style="thin">
            <color indexed="64"/>
          </left>
          <right style="thin">
            <color indexed="64"/>
          </right>
          <top style="thin">
            <color indexed="64"/>
          </top>
          <bottom style="thin">
            <color indexed="64"/>
          </bottom>
        </border>
      </ndxf>
    </rcc>
    <rcc rId="0" sId="1" dxf="1">
      <nc r="Y307">
        <f>ROUNDDOWN(W307/HLOOKUP(D307,Table!$C$3:$D$4,2,0)*8,2)</f>
      </nc>
      <ndxf>
        <alignment horizontal="left" vertical="top" readingOrder="0"/>
        <border outline="0">
          <left style="thin">
            <color indexed="64"/>
          </left>
          <right style="thin">
            <color indexed="64"/>
          </right>
          <top style="thin">
            <color indexed="64"/>
          </top>
          <bottom style="thin">
            <color indexed="64"/>
          </bottom>
        </border>
      </ndxf>
    </rcc>
    <rcc rId="0" sId="1" dxf="1">
      <nc r="Z307">
        <v>0.5</v>
      </nc>
      <ndxf>
        <alignment horizontal="left" vertical="top" readingOrder="0"/>
        <border outline="0">
          <left style="thin">
            <color indexed="64"/>
          </left>
          <right style="thin">
            <color indexed="64"/>
          </right>
          <top style="thin">
            <color indexed="64"/>
          </top>
          <bottom style="thin">
            <color indexed="64"/>
          </bottom>
        </border>
      </ndxf>
    </rcc>
    <rcc rId="0" sId="1" dxf="1">
      <nc r="AA307"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07">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07"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07"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L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M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N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rc>
  <rrc rId="1010" sId="1" ref="A307:XFD307" action="deleteRow">
    <undo index="0" exp="ref" v="1" dr="B307" r="B308" sId="1"/>
    <rfmt sheetId="1" xfDxf="1" sqref="A307:XFD307" start="0" length="0"/>
    <rcc rId="0" sId="1" dxf="1">
      <nc r="B307">
        <f>#REF!+1</f>
      </nc>
      <n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0" sId="1" dxf="1">
      <nc r="C307">
        <v>20200519</v>
      </nc>
      <ndxf>
        <alignment horizontal="left" vertical="top" readingOrder="0"/>
        <border outline="0">
          <left style="thin">
            <color indexed="64"/>
          </left>
          <right style="thin">
            <color indexed="64"/>
          </right>
          <top style="thin">
            <color indexed="64"/>
          </top>
          <bottom style="thin">
            <color indexed="64"/>
          </bottom>
        </border>
      </ndxf>
    </rcc>
    <rcc rId="0" sId="1" dxf="1">
      <nc r="D307"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07"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07" t="inlineStr">
        <is>
          <t>BAIC_MainPath_HevX_Int\BAICHevX\rb\as\cnms_core\app\net\scl\Controllers\AxelSplit\src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07">
        <v>1473546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07" t="inlineStr">
        <is>
          <t>NET_SCL_Tx_AxelSplit_Torque.c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07"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07"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07"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307"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07"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07" t="inlineStr">
        <is>
          <t>LIU Felix (CC-AS/EVA-SW33-CN)</t>
        </is>
      </nc>
      <ndxf>
        <alignment horizontal="left" vertical="top" readingOrder="0"/>
        <border outline="0">
          <left style="thin">
            <color indexed="64"/>
          </left>
          <right style="thin">
            <color indexed="64"/>
          </right>
          <top style="thin">
            <color indexed="64"/>
          </top>
          <bottom style="thin">
            <color indexed="64"/>
          </bottom>
        </border>
      </ndxf>
    </rcc>
    <rfmt sheetId="1" sqref="Q30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07"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307" start="0" length="0">
      <dxf>
        <alignment horizontal="left" vertical="top" readingOrder="0"/>
        <border outline="0">
          <left style="thin">
            <color indexed="64"/>
          </left>
          <right style="thin">
            <color indexed="64"/>
          </right>
          <top style="thin">
            <color indexed="64"/>
          </top>
          <bottom style="thin">
            <color indexed="64"/>
          </bottom>
        </border>
      </dxf>
    </rfmt>
    <rfmt sheetId="1" sqref="U307" start="0" length="0">
      <dxf>
        <alignment horizontal="left" vertical="top" readingOrder="0"/>
        <border outline="0">
          <left style="thin">
            <color indexed="64"/>
          </left>
          <right style="thin">
            <color indexed="64"/>
          </right>
          <top style="thin">
            <color indexed="64"/>
          </top>
          <bottom style="thin">
            <color indexed="64"/>
          </bottom>
        </border>
      </dxf>
    </rfmt>
    <rcc rId="0" sId="1" dxf="1">
      <nc r="V307">
        <v>66</v>
      </nc>
      <ndxf>
        <alignment horizontal="left" vertical="top" readingOrder="0"/>
        <border outline="0">
          <left style="thin">
            <color indexed="64"/>
          </left>
          <right style="thin">
            <color indexed="64"/>
          </right>
          <top style="thin">
            <color indexed="64"/>
          </top>
          <bottom style="thin">
            <color indexed="64"/>
          </bottom>
        </border>
      </ndxf>
    </rcc>
    <rcc rId="0" sId="1" dxf="1">
      <nc r="W307">
        <f>V307</f>
      </nc>
      <ndxf>
        <alignment horizontal="left" vertical="top" readingOrder="0"/>
        <border outline="0">
          <left style="thin">
            <color indexed="64"/>
          </left>
          <right style="thin">
            <color indexed="64"/>
          </right>
          <top style="thin">
            <color indexed="64"/>
          </top>
          <bottom style="thin">
            <color indexed="64"/>
          </bottom>
        </border>
      </ndxf>
    </rcc>
    <rcc rId="0" sId="1" dxf="1">
      <nc r="X307">
        <f>W307</f>
      </nc>
      <ndxf>
        <alignment horizontal="left" vertical="top" readingOrder="0"/>
        <border outline="0">
          <left style="thin">
            <color indexed="64"/>
          </left>
          <right style="thin">
            <color indexed="64"/>
          </right>
          <top style="thin">
            <color indexed="64"/>
          </top>
          <bottom style="thin">
            <color indexed="64"/>
          </bottom>
        </border>
      </ndxf>
    </rcc>
    <rcc rId="0" sId="1" dxf="1">
      <nc r="Y307">
        <f>ROUNDDOWN(W307/HLOOKUP(D307,Table!$C$3:$D$4,2,0)*8,2)</f>
      </nc>
      <ndxf>
        <alignment horizontal="left" vertical="top" readingOrder="0"/>
        <border outline="0">
          <left style="thin">
            <color indexed="64"/>
          </left>
          <right style="thin">
            <color indexed="64"/>
          </right>
          <top style="thin">
            <color indexed="64"/>
          </top>
          <bottom style="thin">
            <color indexed="64"/>
          </bottom>
        </border>
      </ndxf>
    </rcc>
    <rcc rId="0" sId="1" dxf="1">
      <nc r="Z307">
        <v>1</v>
      </nc>
      <ndxf>
        <alignment horizontal="left" vertical="top" readingOrder="0"/>
        <border outline="0">
          <left style="thin">
            <color indexed="64"/>
          </left>
          <right style="thin">
            <color indexed="64"/>
          </right>
          <top style="thin">
            <color indexed="64"/>
          </top>
          <bottom style="thin">
            <color indexed="64"/>
          </bottom>
        </border>
      </ndxf>
    </rcc>
    <rcc rId="0" sId="1" dxf="1">
      <nc r="AA307"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307">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307">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07">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07"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07"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M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N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rc>
  <rrc rId="1011" sId="1" ref="A307:XFD307" action="deleteRow">
    <undo index="0" exp="ref" v="1" dr="B307" r="B308" sId="1"/>
    <rfmt sheetId="1" xfDxf="1" sqref="A307:XFD307" start="0" length="0"/>
    <rcc rId="0" sId="1" dxf="1">
      <nc r="B307">
        <f>#REF!+1</f>
      </nc>
      <n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0" sId="1" dxf="1">
      <nc r="C307">
        <v>20200519</v>
      </nc>
      <ndxf>
        <alignment horizontal="left" vertical="top" readingOrder="0"/>
        <border outline="0">
          <left style="thin">
            <color indexed="64"/>
          </left>
          <right style="thin">
            <color indexed="64"/>
          </right>
          <top style="thin">
            <color indexed="64"/>
          </top>
          <bottom style="thin">
            <color indexed="64"/>
          </bottom>
        </border>
      </ndxf>
    </rcc>
    <rcc rId="0" sId="1" dxf="1">
      <nc r="D307"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07"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07" t="inlineStr">
        <is>
          <t>BAIC_MainPath_HevX_Int\BAICHevX\rb\as\cnms_core\app\net\scl\Controllers\VehicleSpeed\src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07">
        <v>1473546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07" t="inlineStr">
        <is>
          <t>NET_SCL_Tx_VehicleSpeed.c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07"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07"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07"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307"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07"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07" t="inlineStr">
        <is>
          <t>LIU Felix (CC-AS/EVA-SW33-CN)</t>
        </is>
      </nc>
      <ndxf>
        <alignment horizontal="left" vertical="top" readingOrder="0"/>
        <border outline="0">
          <left style="thin">
            <color indexed="64"/>
          </left>
          <right style="thin">
            <color indexed="64"/>
          </right>
          <top style="thin">
            <color indexed="64"/>
          </top>
          <bottom style="thin">
            <color indexed="64"/>
          </bottom>
        </border>
      </ndxf>
    </rcc>
    <rfmt sheetId="1" sqref="Q30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07"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307" start="0" length="0">
      <dxf>
        <alignment horizontal="left" vertical="top" readingOrder="0"/>
        <border outline="0">
          <left style="thin">
            <color indexed="64"/>
          </left>
          <right style="thin">
            <color indexed="64"/>
          </right>
          <top style="thin">
            <color indexed="64"/>
          </top>
          <bottom style="thin">
            <color indexed="64"/>
          </bottom>
        </border>
      </dxf>
    </rfmt>
    <rfmt sheetId="1" sqref="U307" start="0" length="0">
      <dxf>
        <alignment horizontal="left" vertical="top" readingOrder="0"/>
        <border outline="0">
          <left style="thin">
            <color indexed="64"/>
          </left>
          <right style="thin">
            <color indexed="64"/>
          </right>
          <top style="thin">
            <color indexed="64"/>
          </top>
          <bottom style="thin">
            <color indexed="64"/>
          </bottom>
        </border>
      </dxf>
    </rfmt>
    <rcc rId="0" sId="1" dxf="1">
      <nc r="V307">
        <v>75</v>
      </nc>
      <ndxf>
        <alignment horizontal="left" vertical="top" readingOrder="0"/>
        <border outline="0">
          <left style="thin">
            <color indexed="64"/>
          </left>
          <right style="thin">
            <color indexed="64"/>
          </right>
          <top style="thin">
            <color indexed="64"/>
          </top>
          <bottom style="thin">
            <color indexed="64"/>
          </bottom>
        </border>
      </ndxf>
    </rcc>
    <rcc rId="0" sId="1" dxf="1">
      <nc r="W307">
        <f>V307</f>
      </nc>
      <ndxf>
        <alignment horizontal="left" vertical="top" readingOrder="0"/>
        <border outline="0">
          <left style="thin">
            <color indexed="64"/>
          </left>
          <right style="thin">
            <color indexed="64"/>
          </right>
          <top style="thin">
            <color indexed="64"/>
          </top>
          <bottom style="thin">
            <color indexed="64"/>
          </bottom>
        </border>
      </ndxf>
    </rcc>
    <rcc rId="0" sId="1" dxf="1">
      <nc r="X307">
        <f>W307</f>
      </nc>
      <ndxf>
        <alignment horizontal="left" vertical="top" readingOrder="0"/>
        <border outline="0">
          <left style="thin">
            <color indexed="64"/>
          </left>
          <right style="thin">
            <color indexed="64"/>
          </right>
          <top style="thin">
            <color indexed="64"/>
          </top>
          <bottom style="thin">
            <color indexed="64"/>
          </bottom>
        </border>
      </ndxf>
    </rcc>
    <rcc rId="0" sId="1" dxf="1">
      <nc r="Y307">
        <f>ROUNDDOWN(W307/HLOOKUP(D307,Table!$C$3:$D$4,2,0)*8,2)</f>
      </nc>
      <ndxf>
        <alignment horizontal="left" vertical="top" readingOrder="0"/>
        <border outline="0">
          <left style="thin">
            <color indexed="64"/>
          </left>
          <right style="thin">
            <color indexed="64"/>
          </right>
          <top style="thin">
            <color indexed="64"/>
          </top>
          <bottom style="thin">
            <color indexed="64"/>
          </bottom>
        </border>
      </ndxf>
    </rcc>
    <rcc rId="0" sId="1" dxf="1">
      <nc r="Z307">
        <v>1</v>
      </nc>
      <ndxf>
        <alignment horizontal="left" vertical="top" readingOrder="0"/>
        <border outline="0">
          <left style="thin">
            <color indexed="64"/>
          </left>
          <right style="thin">
            <color indexed="64"/>
          </right>
          <top style="thin">
            <color indexed="64"/>
          </top>
          <bottom style="thin">
            <color indexed="64"/>
          </bottom>
        </border>
      </ndxf>
    </rcc>
    <rcc rId="0" sId="1" dxf="1">
      <nc r="AA307"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307">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307">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07">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07"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07"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M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N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rc>
  <rrc rId="1012" sId="1" ref="A307:XFD307" action="deleteRow">
    <undo index="0" exp="ref" v="1" dr="B307" r="B308" sId="1"/>
    <rfmt sheetId="1" xfDxf="1" sqref="A307:XFD307" start="0" length="0"/>
    <rcc rId="0" sId="1" dxf="1">
      <nc r="B307">
        <f>#REF!+1</f>
      </nc>
      <n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0" sId="1" dxf="1">
      <nc r="C307">
        <v>20200519</v>
      </nc>
      <ndxf>
        <alignment horizontal="left" vertical="top" readingOrder="0"/>
        <border outline="0">
          <left style="thin">
            <color indexed="64"/>
          </left>
          <right style="thin">
            <color indexed="64"/>
          </right>
          <top style="thin">
            <color indexed="64"/>
          </top>
          <bottom style="thin">
            <color indexed="64"/>
          </bottom>
        </border>
      </ndxf>
    </rcc>
    <rcc rId="0" sId="1" dxf="1">
      <nc r="D307"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07"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07" t="inlineStr">
        <is>
          <t>BAIC_MainPath_HevX_Int\BAICHevX\rb\as\cnms_core\app\net\scl_callout\src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07">
        <v>1473546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07" t="inlineStr">
        <is>
          <t>RBA_NDS_TCUAvaliable_Callout.c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07"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07"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07"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307"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07"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07" t="inlineStr">
        <is>
          <t>LIU Felix (CC-AS/EVA-SW33-CN)</t>
        </is>
      </nc>
      <ndxf>
        <alignment horizontal="left" vertical="top" readingOrder="0"/>
        <border outline="0">
          <left style="thin">
            <color indexed="64"/>
          </left>
          <right style="thin">
            <color indexed="64"/>
          </right>
          <top style="thin">
            <color indexed="64"/>
          </top>
          <bottom style="thin">
            <color indexed="64"/>
          </bottom>
        </border>
      </ndxf>
    </rcc>
    <rfmt sheetId="1" sqref="Q30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07"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307" start="0" length="0">
      <dxf>
        <alignment horizontal="left" vertical="top" readingOrder="0"/>
        <border outline="0">
          <left style="thin">
            <color indexed="64"/>
          </left>
          <right style="thin">
            <color indexed="64"/>
          </right>
          <top style="thin">
            <color indexed="64"/>
          </top>
          <bottom style="thin">
            <color indexed="64"/>
          </bottom>
        </border>
      </dxf>
    </rfmt>
    <rfmt sheetId="1" sqref="U307" start="0" length="0">
      <dxf>
        <alignment horizontal="left" vertical="top" readingOrder="0"/>
        <border outline="0">
          <left style="thin">
            <color indexed="64"/>
          </left>
          <right style="thin">
            <color indexed="64"/>
          </right>
          <top style="thin">
            <color indexed="64"/>
          </top>
          <bottom style="thin">
            <color indexed="64"/>
          </bottom>
        </border>
      </dxf>
    </rfmt>
    <rcc rId="0" sId="1" dxf="1">
      <nc r="V307">
        <v>33</v>
      </nc>
      <ndxf>
        <alignment horizontal="left" vertical="top" readingOrder="0"/>
        <border outline="0">
          <left style="thin">
            <color indexed="64"/>
          </left>
          <right style="thin">
            <color indexed="64"/>
          </right>
          <top style="thin">
            <color indexed="64"/>
          </top>
          <bottom style="thin">
            <color indexed="64"/>
          </bottom>
        </border>
      </ndxf>
    </rcc>
    <rcc rId="0" sId="1" dxf="1">
      <nc r="W307">
        <f>V307</f>
      </nc>
      <ndxf>
        <alignment horizontal="left" vertical="top" readingOrder="0"/>
        <border outline="0">
          <left style="thin">
            <color indexed="64"/>
          </left>
          <right style="thin">
            <color indexed="64"/>
          </right>
          <top style="thin">
            <color indexed="64"/>
          </top>
          <bottom style="thin">
            <color indexed="64"/>
          </bottom>
        </border>
      </ndxf>
    </rcc>
    <rcc rId="0" sId="1" dxf="1">
      <nc r="X307">
        <f>W307</f>
      </nc>
      <ndxf>
        <alignment horizontal="left" vertical="top" readingOrder="0"/>
        <border outline="0">
          <left style="thin">
            <color indexed="64"/>
          </left>
          <right style="thin">
            <color indexed="64"/>
          </right>
          <top style="thin">
            <color indexed="64"/>
          </top>
          <bottom style="thin">
            <color indexed="64"/>
          </bottom>
        </border>
      </ndxf>
    </rcc>
    <rcc rId="0" sId="1" dxf="1">
      <nc r="Y307">
        <f>ROUNDDOWN(W307/HLOOKUP(D307,Table!$C$3:$D$4,2,0)*8,2)</f>
      </nc>
      <ndxf>
        <alignment horizontal="left" vertical="top" readingOrder="0"/>
        <border outline="0">
          <left style="thin">
            <color indexed="64"/>
          </left>
          <right style="thin">
            <color indexed="64"/>
          </right>
          <top style="thin">
            <color indexed="64"/>
          </top>
          <bottom style="thin">
            <color indexed="64"/>
          </bottom>
        </border>
      </ndxf>
    </rcc>
    <rcc rId="0" sId="1" dxf="1">
      <nc r="Z307">
        <v>0.5</v>
      </nc>
      <ndxf>
        <alignment horizontal="left" vertical="top" readingOrder="0"/>
        <border outline="0">
          <left style="thin">
            <color indexed="64"/>
          </left>
          <right style="thin">
            <color indexed="64"/>
          </right>
          <top style="thin">
            <color indexed="64"/>
          </top>
          <bottom style="thin">
            <color indexed="64"/>
          </bottom>
        </border>
      </ndxf>
    </rcc>
    <rcc rId="0" sId="1" dxf="1">
      <nc r="AA307"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307">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307">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07">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07"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07"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M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N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rc>
  <rrc rId="1013" sId="1" ref="A307:XFD307" action="deleteRow">
    <undo index="0" exp="ref" v="1" dr="B307" r="B308" sId="1"/>
    <rfmt sheetId="1" xfDxf="1" sqref="A307:XFD307" start="0" length="0"/>
    <rcc rId="0" sId="1" dxf="1">
      <nc r="B307">
        <f>#REF!+1</f>
      </nc>
      <n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0" sId="1" dxf="1">
      <nc r="C307">
        <v>20200519</v>
      </nc>
      <ndxf>
        <alignment horizontal="left" vertical="top" readingOrder="0"/>
        <border outline="0">
          <left style="thin">
            <color indexed="64"/>
          </left>
          <right style="thin">
            <color indexed="64"/>
          </right>
          <top style="thin">
            <color indexed="64"/>
          </top>
          <bottom style="thin">
            <color indexed="64"/>
          </bottom>
        </border>
      </ndxf>
    </rcc>
    <rcc rId="0" sId="1" dxf="1">
      <nc r="D307"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07"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07" t="inlineStr">
        <is>
          <t>BAIC_MainPath_HevX_Int\BAICHevX\rb\as\cnms_core\app\net\scl_callout\src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07">
        <v>1473546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07" t="inlineStr">
        <is>
          <t>RBA_NDS_TOD_Callout.c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07"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07"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07"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307"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07"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07" t="inlineStr">
        <is>
          <t>LIU Felix (CC-AS/EVA-SW33-CN)</t>
        </is>
      </nc>
      <ndxf>
        <alignment horizontal="left" vertical="top" readingOrder="0"/>
        <border outline="0">
          <left style="thin">
            <color indexed="64"/>
          </left>
          <right style="thin">
            <color indexed="64"/>
          </right>
          <top style="thin">
            <color indexed="64"/>
          </top>
          <bottom style="thin">
            <color indexed="64"/>
          </bottom>
        </border>
      </ndxf>
    </rcc>
    <rfmt sheetId="1" sqref="Q30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07" t="inlineStr">
        <is>
          <t>chung.ly</t>
        </is>
      </nc>
      <ndxf>
        <alignment horizontal="left" vertical="top" readingOrder="0"/>
        <border outline="0">
          <left style="thin">
            <color indexed="64"/>
          </left>
          <right style="thin">
            <color indexed="64"/>
          </right>
          <top style="thin">
            <color indexed="64"/>
          </top>
          <bottom style="thin">
            <color indexed="64"/>
          </bottom>
        </border>
      </ndxf>
    </rcc>
    <rfmt sheetId="1" sqref="T307" start="0" length="0">
      <dxf>
        <alignment horizontal="left" vertical="top" readingOrder="0"/>
        <border outline="0">
          <left style="thin">
            <color indexed="64"/>
          </left>
          <right style="thin">
            <color indexed="64"/>
          </right>
          <top style="thin">
            <color indexed="64"/>
          </top>
          <bottom style="thin">
            <color indexed="64"/>
          </bottom>
        </border>
      </dxf>
    </rfmt>
    <rfmt sheetId="1" sqref="U307" start="0" length="0">
      <dxf>
        <alignment horizontal="left" vertical="top" readingOrder="0"/>
        <border outline="0">
          <left style="thin">
            <color indexed="64"/>
          </left>
          <right style="thin">
            <color indexed="64"/>
          </right>
          <top style="thin">
            <color indexed="64"/>
          </top>
          <bottom style="thin">
            <color indexed="64"/>
          </bottom>
        </border>
      </dxf>
    </rfmt>
    <rcc rId="0" sId="1" dxf="1">
      <nc r="V307">
        <v>119</v>
      </nc>
      <ndxf>
        <alignment horizontal="left" vertical="top" readingOrder="0"/>
        <border outline="0">
          <left style="thin">
            <color indexed="64"/>
          </left>
          <right style="thin">
            <color indexed="64"/>
          </right>
          <top style="thin">
            <color indexed="64"/>
          </top>
          <bottom style="thin">
            <color indexed="64"/>
          </bottom>
        </border>
      </ndxf>
    </rcc>
    <rcc rId="0" sId="1" dxf="1">
      <nc r="W307">
        <f>V307</f>
      </nc>
      <ndxf>
        <alignment horizontal="left" vertical="top" readingOrder="0"/>
        <border outline="0">
          <left style="thin">
            <color indexed="64"/>
          </left>
          <right style="thin">
            <color indexed="64"/>
          </right>
          <top style="thin">
            <color indexed="64"/>
          </top>
          <bottom style="thin">
            <color indexed="64"/>
          </bottom>
        </border>
      </ndxf>
    </rcc>
    <rcc rId="0" sId="1" dxf="1">
      <nc r="X307">
        <f>W307</f>
      </nc>
      <ndxf>
        <alignment horizontal="left" vertical="top" readingOrder="0"/>
        <border outline="0">
          <left style="thin">
            <color indexed="64"/>
          </left>
          <right style="thin">
            <color indexed="64"/>
          </right>
          <top style="thin">
            <color indexed="64"/>
          </top>
          <bottom style="thin">
            <color indexed="64"/>
          </bottom>
        </border>
      </ndxf>
    </rcc>
    <rcc rId="0" sId="1" dxf="1">
      <nc r="Y307">
        <f>ROUNDDOWN(W307/HLOOKUP(D307,Table!$C$3:$D$4,2,0)*8,2)</f>
      </nc>
      <ndxf>
        <alignment horizontal="left" vertical="top" readingOrder="0"/>
        <border outline="0">
          <left style="thin">
            <color indexed="64"/>
          </left>
          <right style="thin">
            <color indexed="64"/>
          </right>
          <top style="thin">
            <color indexed="64"/>
          </top>
          <bottom style="thin">
            <color indexed="64"/>
          </bottom>
        </border>
      </ndxf>
    </rcc>
    <rcc rId="0" sId="1" dxf="1">
      <nc r="Z307">
        <v>1</v>
      </nc>
      <ndxf>
        <alignment horizontal="left" vertical="top" readingOrder="0"/>
        <border outline="0">
          <left style="thin">
            <color indexed="64"/>
          </left>
          <right style="thin">
            <color indexed="64"/>
          </right>
          <top style="thin">
            <color indexed="64"/>
          </top>
          <bottom style="thin">
            <color indexed="64"/>
          </bottom>
        </border>
      </ndxf>
    </rcc>
    <rcc rId="0" sId="1" dxf="1">
      <nc r="AA307"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07">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07"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07"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L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M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N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rc>
  <rrc rId="1014" sId="1" ref="A307:XFD307" action="deleteRow">
    <undo index="0" exp="ref" v="1" dr="B307" r="B308" sId="1"/>
    <rfmt sheetId="1" xfDxf="1" sqref="A307:XFD307" start="0" length="0"/>
    <rcc rId="0" sId="1" dxf="1">
      <nc r="B307">
        <f>#REF!+1</f>
      </nc>
      <n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0" sId="1" dxf="1">
      <nc r="C307">
        <v>20200519</v>
      </nc>
      <ndxf>
        <alignment horizontal="left" vertical="top" readingOrder="0"/>
        <border outline="0">
          <left style="thin">
            <color indexed="64"/>
          </left>
          <right style="thin">
            <color indexed="64"/>
          </right>
          <top style="thin">
            <color indexed="64"/>
          </top>
          <bottom style="thin">
            <color indexed="64"/>
          </bottom>
        </border>
      </ndxf>
    </rcc>
    <rcc rId="0" sId="1" dxf="1">
      <nc r="D307"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07"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07" t="inlineStr">
        <is>
          <t>BAIC_MainPath_HevX_Int\BAICHevX\rb\as\cnms_core\app\net\scl\Controllers\SystemInfo\src</t>
        </is>
      </nc>
      <ndxf>
        <font>
          <b/>
          <sz val="10"/>
          <color rgb="FF9C6500"/>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07">
        <v>1473546</v>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H307" t="inlineStr">
        <is>
          <t>-</t>
        </is>
      </nc>
      <ndxf>
        <font>
          <sz val="11"/>
          <color theme="1"/>
          <name val="Calibri"/>
          <scheme val="minor"/>
        </font>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07" t="inlineStr">
        <is>
          <t>NET_SCL_Tx_SystemInfo.c</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J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07"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07"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07"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307"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07"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07" t="inlineStr">
        <is>
          <t>LIU Felix (CC-AS/EVA-SW33-CN)</t>
        </is>
      </nc>
      <ndxf>
        <alignment horizontal="left" vertical="top" readingOrder="0"/>
        <border outline="0">
          <left style="thin">
            <color indexed="64"/>
          </left>
          <right style="thin">
            <color indexed="64"/>
          </right>
          <top style="thin">
            <color indexed="64"/>
          </top>
          <bottom style="thin">
            <color indexed="64"/>
          </bottom>
        </border>
      </ndxf>
    </rcc>
    <rfmt sheetId="1" sqref="Q30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07" t="inlineStr">
        <is>
          <t>loc.do-phu</t>
        </is>
      </nc>
      <ndxf>
        <alignment horizontal="left" vertical="top" readingOrder="0"/>
        <border outline="0">
          <left style="thin">
            <color indexed="64"/>
          </left>
          <right style="thin">
            <color indexed="64"/>
          </right>
          <top style="thin">
            <color indexed="64"/>
          </top>
          <bottom style="thin">
            <color indexed="64"/>
          </bottom>
        </border>
      </ndxf>
    </rcc>
    <rfmt sheetId="1" sqref="T307" start="0" length="0">
      <dxf>
        <alignment horizontal="left" vertical="top" readingOrder="0"/>
        <border outline="0">
          <left style="thin">
            <color indexed="64"/>
          </left>
          <right style="thin">
            <color indexed="64"/>
          </right>
          <top style="thin">
            <color indexed="64"/>
          </top>
          <bottom style="thin">
            <color indexed="64"/>
          </bottom>
        </border>
      </dxf>
    </rfmt>
    <rfmt sheetId="1" sqref="U307" start="0" length="0">
      <dxf>
        <alignment horizontal="left" vertical="top" readingOrder="0"/>
        <border outline="0">
          <left style="thin">
            <color indexed="64"/>
          </left>
          <right style="thin">
            <color indexed="64"/>
          </right>
          <top style="thin">
            <color indexed="64"/>
          </top>
          <bottom style="thin">
            <color indexed="64"/>
          </bottom>
        </border>
      </dxf>
    </rfmt>
    <rcc rId="0" sId="1" dxf="1">
      <nc r="V307">
        <v>433</v>
      </nc>
      <ndxf>
        <alignment horizontal="left" vertical="top" readingOrder="0"/>
        <border outline="0">
          <left style="thin">
            <color indexed="64"/>
          </left>
          <right style="thin">
            <color indexed="64"/>
          </right>
          <top style="thin">
            <color indexed="64"/>
          </top>
          <bottom style="thin">
            <color indexed="64"/>
          </bottom>
        </border>
      </ndxf>
    </rcc>
    <rcc rId="0" sId="1" dxf="1">
      <nc r="W307">
        <f>V307</f>
      </nc>
      <ndxf>
        <alignment horizontal="left" vertical="top" readingOrder="0"/>
        <border outline="0">
          <left style="thin">
            <color indexed="64"/>
          </left>
          <right style="thin">
            <color indexed="64"/>
          </right>
          <top style="thin">
            <color indexed="64"/>
          </top>
          <bottom style="thin">
            <color indexed="64"/>
          </bottom>
        </border>
      </ndxf>
    </rcc>
    <rcc rId="0" sId="1" dxf="1">
      <nc r="X307">
        <f>W307</f>
      </nc>
      <ndxf>
        <alignment horizontal="left" vertical="top" readingOrder="0"/>
        <border outline="0">
          <left style="thin">
            <color indexed="64"/>
          </left>
          <right style="thin">
            <color indexed="64"/>
          </right>
          <top style="thin">
            <color indexed="64"/>
          </top>
          <bottom style="thin">
            <color indexed="64"/>
          </bottom>
        </border>
      </ndxf>
    </rcc>
    <rcc rId="0" sId="1" dxf="1">
      <nc r="Y307">
        <f>ROUNDDOWN(W307/HLOOKUP(D307,Table!$C$3:$D$4,2,0)*8,2)</f>
      </nc>
      <ndxf>
        <alignment horizontal="left" vertical="top" readingOrder="0"/>
        <border outline="0">
          <left style="thin">
            <color indexed="64"/>
          </left>
          <right style="thin">
            <color indexed="64"/>
          </right>
          <top style="thin">
            <color indexed="64"/>
          </top>
          <bottom style="thin">
            <color indexed="64"/>
          </bottom>
        </border>
      </ndxf>
    </rcc>
    <rcc rId="0" sId="1" dxf="1">
      <nc r="Z307">
        <f>Y307</f>
      </nc>
      <ndxf>
        <alignment horizontal="left" vertical="top" readingOrder="0"/>
        <border outline="0">
          <left style="thin">
            <color indexed="64"/>
          </left>
          <right style="thin">
            <color indexed="64"/>
          </right>
          <top style="thin">
            <color indexed="64"/>
          </top>
          <bottom style="thin">
            <color indexed="64"/>
          </bottom>
        </border>
      </ndxf>
    </rcc>
    <rcc rId="0" sId="1" dxf="1">
      <nc r="AA307"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07">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07"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07"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M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N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rc>
  <rrc rId="1015" sId="1" ref="A307:XFD307" action="deleteRow">
    <undo index="0" exp="ref" v="1" dr="B307" r="B308" sId="1"/>
    <rfmt sheetId="1" xfDxf="1" sqref="A307:XFD307" start="0" length="0"/>
    <rcc rId="0" sId="1" dxf="1">
      <nc r="B307">
        <f>#REF!+1</f>
      </nc>
      <n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0" sId="1" dxf="1">
      <nc r="C307">
        <v>20200519</v>
      </nc>
      <ndxf>
        <alignment horizontal="left" vertical="top" readingOrder="0"/>
        <border outline="0">
          <left style="thin">
            <color indexed="64"/>
          </left>
          <right style="thin">
            <color indexed="64"/>
          </right>
          <top style="thin">
            <color indexed="64"/>
          </top>
          <bottom style="thin">
            <color indexed="64"/>
          </bottom>
        </border>
      </ndxf>
    </rcc>
    <rcc rId="0" sId="1" dxf="1">
      <nc r="D307"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07" t="inlineStr">
        <is>
          <t>FAW_TypeC2_BSL33_Security</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07" t="inlineStr">
        <is>
          <t>FAW_MainPath_V2.0_Int\MainstreamF30\rba\Bldr\bmgr\src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07">
        <v>1474054</v>
      </nc>
      <ndxf>
        <alignment horizontal="left" vertical="top" readingOrder="0"/>
        <border outline="0">
          <left style="thin">
            <color indexed="64"/>
          </left>
          <right style="thin">
            <color indexed="64"/>
          </right>
          <top style="thin">
            <color indexed="64"/>
          </top>
          <bottom style="thin">
            <color indexed="64"/>
          </bottom>
        </border>
      </ndxf>
    </rcc>
    <rcc rId="0" sId="1" dxf="1" quotePrefix="1">
      <nc r="H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07" t="inlineStr">
        <is>
          <t>rba_Bmgr_main.c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07"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07" t="inlineStr">
        <is>
          <t>BB99856, BB99857</t>
        </is>
      </nc>
      <ndxf>
        <alignment horizontal="left" vertical="top" readingOrder="0"/>
        <border outline="0">
          <left style="thin">
            <color indexed="64"/>
          </left>
          <right style="thin">
            <color indexed="64"/>
          </right>
          <top style="thin">
            <color indexed="64"/>
          </top>
          <bottom style="thin">
            <color indexed="64"/>
          </bottom>
        </border>
      </ndxf>
    </rcc>
    <rcc rId="0" sId="1" dxf="1">
      <nc r="M307"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07" t="inlineStr">
        <is>
          <t>FAW_MainPath_V2.0_Int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07"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07" t="inlineStr">
        <is>
          <t>Thangamani Shanmugam (RBEI/EBB7)</t>
        </is>
      </nc>
      <ndxf>
        <alignment horizontal="left" vertical="top" readingOrder="0"/>
        <border outline="0">
          <left style="thin">
            <color indexed="64"/>
          </left>
          <right style="thin">
            <color indexed="64"/>
          </right>
          <top style="thin">
            <color indexed="64"/>
          </top>
          <bottom style="thin">
            <color indexed="64"/>
          </bottom>
        </border>
      </ndxf>
    </rcc>
    <rfmt sheetId="1" sqref="Q30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07" t="inlineStr">
        <is>
          <t>loc.do-phu</t>
        </is>
      </nc>
      <ndxf>
        <alignment horizontal="left" vertical="top" readingOrder="0"/>
        <border outline="0">
          <left style="thin">
            <color indexed="64"/>
          </left>
          <right style="thin">
            <color indexed="64"/>
          </right>
          <top style="thin">
            <color indexed="64"/>
          </top>
          <bottom style="thin">
            <color indexed="64"/>
          </bottom>
        </border>
      </ndxf>
    </rcc>
    <rfmt sheetId="1" sqref="T307" start="0" length="0">
      <dxf>
        <alignment horizontal="left" vertical="top" readingOrder="0"/>
        <border outline="0">
          <left style="thin">
            <color indexed="64"/>
          </left>
          <right style="thin">
            <color indexed="64"/>
          </right>
          <top style="thin">
            <color indexed="64"/>
          </top>
          <bottom style="thin">
            <color indexed="64"/>
          </bottom>
        </border>
      </dxf>
    </rfmt>
    <rfmt sheetId="1" sqref="U307" start="0" length="0">
      <dxf>
        <alignment horizontal="left" vertical="top" readingOrder="0"/>
        <border outline="0">
          <left style="thin">
            <color indexed="64"/>
          </left>
          <right style="thin">
            <color indexed="64"/>
          </right>
          <top style="thin">
            <color indexed="64"/>
          </top>
          <bottom style="thin">
            <color indexed="64"/>
          </bottom>
        </border>
      </dxf>
    </rfmt>
    <rcc rId="0" sId="1" dxf="1">
      <nc r="V307">
        <v>96</v>
      </nc>
      <ndxf>
        <alignment horizontal="left" vertical="top" readingOrder="0"/>
        <border outline="0">
          <left style="thin">
            <color indexed="64"/>
          </left>
          <right style="thin">
            <color indexed="64"/>
          </right>
          <top style="thin">
            <color indexed="64"/>
          </top>
          <bottom style="thin">
            <color indexed="64"/>
          </bottom>
        </border>
      </ndxf>
    </rcc>
    <rcc rId="0" sId="1" dxf="1">
      <nc r="W307">
        <f>V307</f>
      </nc>
      <ndxf>
        <alignment horizontal="left" vertical="top" readingOrder="0"/>
        <border outline="0">
          <left style="thin">
            <color indexed="64"/>
          </left>
          <right style="thin">
            <color indexed="64"/>
          </right>
          <top style="thin">
            <color indexed="64"/>
          </top>
          <bottom style="thin">
            <color indexed="64"/>
          </bottom>
        </border>
      </ndxf>
    </rcc>
    <rcc rId="0" sId="1" dxf="1">
      <nc r="X307">
        <f>W307</f>
      </nc>
      <ndxf>
        <alignment horizontal="left" vertical="top" readingOrder="0"/>
        <border outline="0">
          <left style="thin">
            <color indexed="64"/>
          </left>
          <right style="thin">
            <color indexed="64"/>
          </right>
          <top style="thin">
            <color indexed="64"/>
          </top>
          <bottom style="thin">
            <color indexed="64"/>
          </bottom>
        </border>
      </ndxf>
    </rcc>
    <rcc rId="0" sId="1" dxf="1">
      <nc r="Y307">
        <f>ROUNDDOWN(W307/HLOOKUP(D307,Table!$C$3:$D$4,2,0)*8,2)</f>
      </nc>
      <ndxf>
        <alignment horizontal="left" vertical="top" readingOrder="0"/>
        <border outline="0">
          <left style="thin">
            <color indexed="64"/>
          </left>
          <right style="thin">
            <color indexed="64"/>
          </right>
          <top style="thin">
            <color indexed="64"/>
          </top>
          <bottom style="thin">
            <color indexed="64"/>
          </bottom>
        </border>
      </ndxf>
    </rcc>
    <rcc rId="0" sId="1" dxf="1">
      <nc r="Z307">
        <f>Y307</f>
      </nc>
      <ndxf>
        <alignment horizontal="left" vertical="top" readingOrder="0"/>
        <border outline="0">
          <left style="thin">
            <color indexed="64"/>
          </left>
          <right style="thin">
            <color indexed="64"/>
          </right>
          <top style="thin">
            <color indexed="64"/>
          </top>
          <bottom style="thin">
            <color indexed="64"/>
          </bottom>
        </border>
      </ndxf>
    </rcc>
    <rcc rId="0" sId="1" dxf="1">
      <nc r="AA307"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07">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07">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07">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07" t="inlineStr">
        <is>
          <t>NG</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07" t="inlineStr">
        <is>
          <t>OPL</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M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cc rId="0" sId="1" dxf="1">
      <nc r="AN307" t="inlineStr">
        <is>
          <t>1. From line #54 to line #69 I just cover once because can’t cover endless loop.</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rc>
  <rrc rId="1016" sId="1" ref="A307:XFD307" action="deleteRow">
    <undo index="0" exp="ref" v="1" dr="B307" r="B308" sId="1"/>
    <rfmt sheetId="1" xfDxf="1" sqref="A307:XFD307" start="0" length="0"/>
    <rcc rId="0" sId="1" dxf="1">
      <nc r="B307">
        <f>#REF!+1</f>
      </nc>
      <n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0" sId="1" dxf="1">
      <nc r="C307">
        <v>20200519</v>
      </nc>
      <ndxf>
        <alignment horizontal="left" vertical="top" readingOrder="0"/>
        <border outline="0">
          <left style="thin">
            <color indexed="64"/>
          </left>
          <right style="thin">
            <color indexed="64"/>
          </right>
          <top style="thin">
            <color indexed="64"/>
          </top>
          <bottom style="thin">
            <color indexed="64"/>
          </bottom>
        </border>
      </ndxf>
    </rcc>
    <rcc rId="0" sId="1" dxf="1">
      <nc r="D307"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07" t="inlineStr">
        <is>
          <t>FAW_TypeC2_BSL33_Security</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07" t="inlineStr">
        <is>
          <t>FAW_MainPath_V2.0_Int\MainstreamF30\rba\Bldr\bldr\src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07">
        <v>1474054</v>
      </nc>
      <ndxf>
        <alignment horizontal="left" vertical="top" readingOrder="0"/>
        <border outline="0">
          <left style="thin">
            <color indexed="64"/>
          </left>
          <right style="thin">
            <color indexed="64"/>
          </right>
          <top style="thin">
            <color indexed="64"/>
          </top>
          <bottom style="thin">
            <color indexed="64"/>
          </bottom>
        </border>
      </ndxf>
    </rcc>
    <rcc rId="0" sId="1" dxf="1" quotePrefix="1">
      <nc r="H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07" t="inlineStr">
        <is>
          <t>rba_Bldr_main.c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07"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07" t="inlineStr">
        <is>
          <t>BB99856, BB99857</t>
        </is>
      </nc>
      <ndxf>
        <alignment horizontal="left" vertical="top" readingOrder="0"/>
        <border outline="0">
          <left style="thin">
            <color indexed="64"/>
          </left>
          <right style="thin">
            <color indexed="64"/>
          </right>
          <top style="thin">
            <color indexed="64"/>
          </top>
          <bottom style="thin">
            <color indexed="64"/>
          </bottom>
        </border>
      </ndxf>
    </rcc>
    <rcc rId="0" sId="1" dxf="1">
      <nc r="M307"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07" t="inlineStr">
        <is>
          <t>FAW_MainPath_V2.0_Int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07"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07" t="inlineStr">
        <is>
          <t>Thangamani Shanmugam (RBEI/EBB7)</t>
        </is>
      </nc>
      <ndxf>
        <alignment horizontal="left" vertical="top" readingOrder="0"/>
        <border outline="0">
          <left style="thin">
            <color indexed="64"/>
          </left>
          <right style="thin">
            <color indexed="64"/>
          </right>
          <top style="thin">
            <color indexed="64"/>
          </top>
          <bottom style="thin">
            <color indexed="64"/>
          </bottom>
        </border>
      </ndxf>
    </rcc>
    <rfmt sheetId="1" sqref="Q30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07" t="inlineStr">
        <is>
          <t>chung.ly</t>
        </is>
      </nc>
      <ndxf>
        <alignment horizontal="left" vertical="top" readingOrder="0"/>
        <border outline="0">
          <left style="thin">
            <color indexed="64"/>
          </left>
          <right style="thin">
            <color indexed="64"/>
          </right>
          <top style="thin">
            <color indexed="64"/>
          </top>
          <bottom style="thin">
            <color indexed="64"/>
          </bottom>
        </border>
      </ndxf>
    </rcc>
    <rfmt sheetId="1" sqref="T307" start="0" length="0">
      <dxf>
        <alignment horizontal="left" vertical="top" readingOrder="0"/>
        <border outline="0">
          <left style="thin">
            <color indexed="64"/>
          </left>
          <right style="thin">
            <color indexed="64"/>
          </right>
          <top style="thin">
            <color indexed="64"/>
          </top>
          <bottom style="thin">
            <color indexed="64"/>
          </bottom>
        </border>
      </dxf>
    </rfmt>
    <rfmt sheetId="1" sqref="U307" start="0" length="0">
      <dxf>
        <alignment horizontal="left" vertical="top" readingOrder="0"/>
        <border outline="0">
          <left style="thin">
            <color indexed="64"/>
          </left>
          <right style="thin">
            <color indexed="64"/>
          </right>
          <top style="thin">
            <color indexed="64"/>
          </top>
          <bottom style="thin">
            <color indexed="64"/>
          </bottom>
        </border>
      </dxf>
    </rfmt>
    <rcc rId="0" sId="1" dxf="1">
      <nc r="V307">
        <v>54</v>
      </nc>
      <ndxf>
        <alignment horizontal="left" vertical="top" readingOrder="0"/>
        <border outline="0">
          <left style="thin">
            <color indexed="64"/>
          </left>
          <right style="thin">
            <color indexed="64"/>
          </right>
          <top style="thin">
            <color indexed="64"/>
          </top>
          <bottom style="thin">
            <color indexed="64"/>
          </bottom>
        </border>
      </ndxf>
    </rcc>
    <rcc rId="0" sId="1" dxf="1">
      <nc r="W307">
        <f>V307</f>
      </nc>
      <ndxf>
        <alignment horizontal="left" vertical="top" readingOrder="0"/>
        <border outline="0">
          <left style="thin">
            <color indexed="64"/>
          </left>
          <right style="thin">
            <color indexed="64"/>
          </right>
          <top style="thin">
            <color indexed="64"/>
          </top>
          <bottom style="thin">
            <color indexed="64"/>
          </bottom>
        </border>
      </ndxf>
    </rcc>
    <rcc rId="0" sId="1" dxf="1">
      <nc r="X307">
        <f>W307</f>
      </nc>
      <ndxf>
        <alignment horizontal="left" vertical="top" readingOrder="0"/>
        <border outline="0">
          <left style="thin">
            <color indexed="64"/>
          </left>
          <right style="thin">
            <color indexed="64"/>
          </right>
          <top style="thin">
            <color indexed="64"/>
          </top>
          <bottom style="thin">
            <color indexed="64"/>
          </bottom>
        </border>
      </ndxf>
    </rcc>
    <rcc rId="0" sId="1" dxf="1">
      <nc r="Y307">
        <f>ROUNDDOWN(W307/HLOOKUP(D307,Table!$C$3:$D$4,2,0)*8,2)</f>
      </nc>
      <ndxf>
        <alignment horizontal="left" vertical="top" readingOrder="0"/>
        <border outline="0">
          <left style="thin">
            <color indexed="64"/>
          </left>
          <right style="thin">
            <color indexed="64"/>
          </right>
          <top style="thin">
            <color indexed="64"/>
          </top>
          <bottom style="thin">
            <color indexed="64"/>
          </bottom>
        </border>
      </ndxf>
    </rcc>
    <rcc rId="0" sId="1" dxf="1">
      <nc r="Z307">
        <v>0.5</v>
      </nc>
      <ndxf>
        <alignment horizontal="left" vertical="top" readingOrder="0"/>
        <border outline="0">
          <left style="thin">
            <color indexed="64"/>
          </left>
          <right style="thin">
            <color indexed="64"/>
          </right>
          <top style="thin">
            <color indexed="64"/>
          </top>
          <bottom style="thin">
            <color indexed="64"/>
          </bottom>
        </border>
      </ndxf>
    </rcc>
    <rcc rId="0" sId="1" dxf="1">
      <nc r="AA307"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07">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07">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07">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07"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07"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L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M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N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rc>
  <rrc rId="1017" sId="1" ref="A307:XFD307" action="deleteRow">
    <undo index="0" exp="ref" v="1" dr="B307" r="B308" sId="1"/>
    <rfmt sheetId="1" xfDxf="1" sqref="A307:XFD307" start="0" length="0"/>
    <rcc rId="0" sId="1" dxf="1">
      <nc r="B307">
        <f>#REF!+1</f>
      </nc>
      <n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0" sId="1" dxf="1">
      <nc r="C307">
        <v>20200519</v>
      </nc>
      <ndxf>
        <alignment horizontal="left" vertical="top" readingOrder="0"/>
        <border outline="0">
          <left style="thin">
            <color indexed="64"/>
          </left>
          <right style="thin">
            <color indexed="64"/>
          </right>
          <top style="thin">
            <color indexed="64"/>
          </top>
          <bottom style="thin">
            <color indexed="64"/>
          </bottom>
        </border>
      </ndxf>
    </rcc>
    <rcc rId="0" sId="1" dxf="1">
      <nc r="D307"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07" t="inlineStr">
        <is>
          <t>FAW_TypeC2_BSL33_Security</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07" t="inlineStr">
        <is>
          <t>FAW_MainPath_V2.0_Int\MainstreamF30\rba\Bldr\config\ApplicationLayer\rba_BldrCmp\src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07">
        <v>1474054</v>
      </nc>
      <ndxf>
        <alignment horizontal="left" vertical="top" readingOrder="0"/>
        <border outline="0">
          <left style="thin">
            <color indexed="64"/>
          </left>
          <right style="thin">
            <color indexed="64"/>
          </right>
          <top style="thin">
            <color indexed="64"/>
          </top>
          <bottom style="thin">
            <color indexed="64"/>
          </bottom>
        </border>
      </ndxf>
    </rcc>
    <rcc rId="0" sId="1" dxf="1" quotePrefix="1">
      <nc r="H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07" t="inlineStr">
        <is>
          <t>rba_BldrCmp_Cfg_CheckMem.c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07"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07" t="inlineStr">
        <is>
          <t>BB99856, BB99857</t>
        </is>
      </nc>
      <ndxf>
        <alignment horizontal="left" vertical="top" readingOrder="0"/>
        <border outline="0">
          <left style="thin">
            <color indexed="64"/>
          </left>
          <right style="thin">
            <color indexed="64"/>
          </right>
          <top style="thin">
            <color indexed="64"/>
          </top>
          <bottom style="thin">
            <color indexed="64"/>
          </bottom>
        </border>
      </ndxf>
    </rcc>
    <rcc rId="0" sId="1" dxf="1">
      <nc r="M307"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07" t="inlineStr">
        <is>
          <t>FAW_MainPath_V2.0_Int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07"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07" t="inlineStr">
        <is>
          <t>Thangamani Shanmugam (RBEI/EBB7)</t>
        </is>
      </nc>
      <ndxf>
        <alignment horizontal="left" vertical="top" readingOrder="0"/>
        <border outline="0">
          <left style="thin">
            <color indexed="64"/>
          </left>
          <right style="thin">
            <color indexed="64"/>
          </right>
          <top style="thin">
            <color indexed="64"/>
          </top>
          <bottom style="thin">
            <color indexed="64"/>
          </bottom>
        </border>
      </ndxf>
    </rcc>
    <rfmt sheetId="1" sqref="Q30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07" t="inlineStr">
        <is>
          <t>phuong.nguyen-thanh</t>
        </is>
      </nc>
      <ndxf>
        <alignment horizontal="left" vertical="top" readingOrder="0"/>
        <border outline="0">
          <left style="thin">
            <color indexed="64"/>
          </left>
          <right style="thin">
            <color indexed="64"/>
          </right>
          <top style="thin">
            <color indexed="64"/>
          </top>
          <bottom style="thin">
            <color indexed="64"/>
          </bottom>
        </border>
      </ndxf>
    </rcc>
    <rfmt sheetId="1" sqref="T307" start="0" length="0">
      <dxf>
        <alignment horizontal="left" vertical="top" readingOrder="0"/>
        <border outline="0">
          <left style="thin">
            <color indexed="64"/>
          </left>
          <right style="thin">
            <color indexed="64"/>
          </right>
          <top style="thin">
            <color indexed="64"/>
          </top>
          <bottom style="thin">
            <color indexed="64"/>
          </bottom>
        </border>
      </dxf>
    </rfmt>
    <rfmt sheetId="1" sqref="U307" start="0" length="0">
      <dxf>
        <alignment horizontal="left" vertical="top" readingOrder="0"/>
        <border outline="0">
          <left style="thin">
            <color indexed="64"/>
          </left>
          <right style="thin">
            <color indexed="64"/>
          </right>
          <top style="thin">
            <color indexed="64"/>
          </top>
          <bottom style="thin">
            <color indexed="64"/>
          </bottom>
        </border>
      </dxf>
    </rfmt>
    <rcc rId="0" sId="1" dxf="1">
      <nc r="V307">
        <v>145</v>
      </nc>
      <ndxf>
        <alignment horizontal="left" vertical="top" readingOrder="0"/>
        <border outline="0">
          <left style="thin">
            <color indexed="64"/>
          </left>
          <right style="thin">
            <color indexed="64"/>
          </right>
          <top style="thin">
            <color indexed="64"/>
          </top>
          <bottom style="thin">
            <color indexed="64"/>
          </bottom>
        </border>
      </ndxf>
    </rcc>
    <rcc rId="0" sId="1" dxf="1">
      <nc r="W307">
        <v>355</v>
      </nc>
      <ndxf>
        <alignment horizontal="left" vertical="top" readingOrder="0"/>
        <border outline="0">
          <left style="thin">
            <color indexed="64"/>
          </left>
          <right style="thin">
            <color indexed="64"/>
          </right>
          <top style="thin">
            <color indexed="64"/>
          </top>
          <bottom style="thin">
            <color indexed="64"/>
          </bottom>
        </border>
      </ndxf>
    </rcc>
    <rfmt sheetId="1" sqref="X307" start="0" length="0">
      <dxf>
        <alignment horizontal="left" vertical="top" readingOrder="0"/>
        <border outline="0">
          <left style="thin">
            <color indexed="64"/>
          </left>
          <right style="thin">
            <color indexed="64"/>
          </right>
          <top style="thin">
            <color indexed="64"/>
          </top>
          <bottom style="thin">
            <color indexed="64"/>
          </bottom>
        </border>
      </dxf>
    </rfmt>
    <rcc rId="0" sId="1" dxf="1">
      <nc r="Y307">
        <f>ROUNDDOWN(W307/HLOOKUP(D307,Table!$C$3:$D$4,2,0)*8,2)</f>
      </nc>
      <ndxf>
        <alignment horizontal="left" vertical="top" readingOrder="0"/>
        <border outline="0">
          <left style="thin">
            <color indexed="64"/>
          </left>
          <right style="thin">
            <color indexed="64"/>
          </right>
          <top style="thin">
            <color indexed="64"/>
          </top>
          <bottom style="thin">
            <color indexed="64"/>
          </bottom>
        </border>
      </ndxf>
    </rcc>
    <rfmt sheetId="1" sqref="Z307" start="0" length="0">
      <dxf>
        <alignment horizontal="left" vertical="top" readingOrder="0"/>
        <border outline="0">
          <left style="thin">
            <color indexed="64"/>
          </left>
          <right style="thin">
            <color indexed="64"/>
          </right>
          <top style="thin">
            <color indexed="64"/>
          </top>
          <bottom style="thin">
            <color indexed="64"/>
          </bottom>
        </border>
      </dxf>
    </rfmt>
    <rfmt sheetId="1" sqref="AA307" start="0" length="0">
      <dxf>
        <alignment horizontal="left" vertical="top" readingOrder="0"/>
        <border outline="0">
          <left style="thin">
            <color indexed="64"/>
          </left>
          <right style="thin">
            <color indexed="64"/>
          </right>
          <top style="thin">
            <color indexed="64"/>
          </top>
          <bottom style="thin">
            <color indexed="64"/>
          </bottom>
        </border>
      </dxf>
    </rfmt>
    <rfmt sheetId="1" sqref="AB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07">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07">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F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7"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7"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7"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quotePrefix="1">
      <nc r="AL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AM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AN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rc>
  <rrc rId="1018" sId="1" ref="A307:XFD307" action="deleteRow">
    <undo index="0" exp="ref" v="1" dr="B307" r="B308" sId="1"/>
    <rfmt sheetId="1" xfDxf="1" sqref="A307:XFD307" start="0" length="0"/>
    <rcc rId="0" sId="1" dxf="1">
      <nc r="B307">
        <f>#REF!+1</f>
      </nc>
      <n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0" sId="1" dxf="1">
      <nc r="C307">
        <v>20200519</v>
      </nc>
      <ndxf>
        <alignment horizontal="left" vertical="top" readingOrder="0"/>
        <border outline="0">
          <left style="thin">
            <color indexed="64"/>
          </left>
          <right style="thin">
            <color indexed="64"/>
          </right>
          <top style="thin">
            <color indexed="64"/>
          </top>
          <bottom style="thin">
            <color indexed="64"/>
          </bottom>
        </border>
      </ndxf>
    </rcc>
    <rcc rId="0" sId="1" dxf="1">
      <nc r="D307"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07" t="inlineStr">
        <is>
          <t>FAW_TypeC2_BSL33_Security</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07" t="inlineStr">
        <is>
          <t>FAW_MainPath_V2.0_Int\MainstreamF30\rba\Bldr\config\ApplicationLayer\rba_BldrCmp\src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07">
        <v>1474054</v>
      </nc>
      <ndxf>
        <alignment horizontal="left" vertical="top" readingOrder="0"/>
        <border outline="0">
          <left style="thin">
            <color indexed="64"/>
          </left>
          <right style="thin">
            <color indexed="64"/>
          </right>
          <top style="thin">
            <color indexed="64"/>
          </top>
          <bottom style="thin">
            <color indexed="64"/>
          </bottom>
        </border>
      </ndxf>
    </rcc>
    <rcc rId="0" sId="1" dxf="1" quotePrefix="1">
      <nc r="H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07" t="inlineStr">
        <is>
          <t>rba_BldrCmp_Cfg_FlashIf.c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07"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07" t="inlineStr">
        <is>
          <t>BB99856, BB99857</t>
        </is>
      </nc>
      <ndxf>
        <alignment horizontal="left" vertical="top" readingOrder="0"/>
        <border outline="0">
          <left style="thin">
            <color indexed="64"/>
          </left>
          <right style="thin">
            <color indexed="64"/>
          </right>
          <top style="thin">
            <color indexed="64"/>
          </top>
          <bottom style="thin">
            <color indexed="64"/>
          </bottom>
        </border>
      </ndxf>
    </rcc>
    <rcc rId="0" sId="1" dxf="1">
      <nc r="M307"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07" t="inlineStr">
        <is>
          <t>FAW_MainPath_V2.0_Int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07"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07" t="inlineStr">
        <is>
          <t>Thangamani Shanmugam (RBEI/EBB7)</t>
        </is>
      </nc>
      <ndxf>
        <alignment horizontal="left" vertical="top" readingOrder="0"/>
        <border outline="0">
          <left style="thin">
            <color indexed="64"/>
          </left>
          <right style="thin">
            <color indexed="64"/>
          </right>
          <top style="thin">
            <color indexed="64"/>
          </top>
          <bottom style="thin">
            <color indexed="64"/>
          </bottom>
        </border>
      </ndxf>
    </rcc>
    <rfmt sheetId="1" sqref="Q30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07"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307" start="0" length="0">
      <dxf>
        <alignment horizontal="left" vertical="top" readingOrder="0"/>
        <border outline="0">
          <left style="thin">
            <color indexed="64"/>
          </left>
          <right style="thin">
            <color indexed="64"/>
          </right>
          <top style="thin">
            <color indexed="64"/>
          </top>
          <bottom style="thin">
            <color indexed="64"/>
          </bottom>
        </border>
      </dxf>
    </rfmt>
    <rfmt sheetId="1" sqref="U307" start="0" length="0">
      <dxf>
        <alignment horizontal="left" vertical="top" readingOrder="0"/>
        <border outline="0">
          <left style="thin">
            <color indexed="64"/>
          </left>
          <right style="thin">
            <color indexed="64"/>
          </right>
          <top style="thin">
            <color indexed="64"/>
          </top>
          <bottom style="thin">
            <color indexed="64"/>
          </bottom>
        </border>
      </dxf>
    </rfmt>
    <rcc rId="0" sId="1" dxf="1">
      <nc r="V307">
        <v>124</v>
      </nc>
      <ndxf>
        <alignment horizontal="left" vertical="top" readingOrder="0"/>
        <border outline="0">
          <left style="thin">
            <color indexed="64"/>
          </left>
          <right style="thin">
            <color indexed="64"/>
          </right>
          <top style="thin">
            <color indexed="64"/>
          </top>
          <bottom style="thin">
            <color indexed="64"/>
          </bottom>
        </border>
      </ndxf>
    </rcc>
    <rcc rId="0" sId="1" dxf="1">
      <nc r="W307">
        <f>V307</f>
      </nc>
      <ndxf>
        <alignment horizontal="left" vertical="top" readingOrder="0"/>
        <border outline="0">
          <left style="thin">
            <color indexed="64"/>
          </left>
          <right style="thin">
            <color indexed="64"/>
          </right>
          <top style="thin">
            <color indexed="64"/>
          </top>
          <bottom style="thin">
            <color indexed="64"/>
          </bottom>
        </border>
      </ndxf>
    </rcc>
    <rcc rId="0" sId="1" dxf="1">
      <nc r="X307">
        <f>W307</f>
      </nc>
      <ndxf>
        <alignment horizontal="left" vertical="top" readingOrder="0"/>
        <border outline="0">
          <left style="thin">
            <color indexed="64"/>
          </left>
          <right style="thin">
            <color indexed="64"/>
          </right>
          <top style="thin">
            <color indexed="64"/>
          </top>
          <bottom style="thin">
            <color indexed="64"/>
          </bottom>
        </border>
      </ndxf>
    </rcc>
    <rcc rId="0" sId="1" dxf="1">
      <nc r="Y307">
        <f>ROUNDDOWN(W307/HLOOKUP(D307,Table!$C$3:$D$4,2,0)*8,2)</f>
      </nc>
      <ndxf>
        <alignment horizontal="left" vertical="top" readingOrder="0"/>
        <border outline="0">
          <left style="thin">
            <color indexed="64"/>
          </left>
          <right style="thin">
            <color indexed="64"/>
          </right>
          <top style="thin">
            <color indexed="64"/>
          </top>
          <bottom style="thin">
            <color indexed="64"/>
          </bottom>
        </border>
      </ndxf>
    </rcc>
    <rcc rId="0" sId="1" dxf="1">
      <nc r="Z307">
        <v>2</v>
      </nc>
      <ndxf>
        <alignment horizontal="left" vertical="top" readingOrder="0"/>
        <border outline="0">
          <left style="thin">
            <color indexed="64"/>
          </left>
          <right style="thin">
            <color indexed="64"/>
          </right>
          <top style="thin">
            <color indexed="64"/>
          </top>
          <bottom style="thin">
            <color indexed="64"/>
          </bottom>
        </border>
      </ndxf>
    </rcc>
    <rcc rId="0" sId="1" dxf="1">
      <nc r="AA307"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07">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07" t="inlineStr">
        <is>
          <t>NG</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07">
        <v>0.75</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07" t="inlineStr">
        <is>
          <t>OPL</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L307" t="inlineStr">
        <is>
          <t>Can't cover for false case of 
if ((absoluteAddress_u32 &gt;= rba_BldrCmp_LogicalBlockTable_pst[rba_BldrCmp_BootCtrl_st.LogicalBlockIdx].BlockSegTable[rba_BldrCmp_BootCtrl_st.LogBlkCurSegment_u8].segment_begin) &amp;&amp;
                    (absoluteAddress_u32 &lt;= rba_BldrCmp_LogicalBlockTable_pst[rba_BldrCmp_BootCtrl_st.LogicalBlockIdx].BlockSegTable[rba_BldrCmp_BootCtrl_st.LogBlkCurSegment_u8].segment_end))
. Because absoluteAddress_u32 = rba_BldrCmp_LogicalBlockTable_pst[rba_BldrCmp_BootCtrl_st.LogicalBlockIdx].BlockSegTable[rba_BldrCmp_BootCtrl_st.LogBlkCurSegment_u8].segment_begin + relativeAddress_u32 and  relativeAddress_u32 &gt;=0.</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fmt sheetId="1" sqref="AM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N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rc>
  <rrc rId="1019" sId="1" ref="A307:XFD307" action="deleteRow">
    <undo index="0" exp="ref" v="1" dr="B307" r="B308" sId="1"/>
    <rfmt sheetId="1" xfDxf="1" sqref="A307:XFD307" start="0" length="0"/>
    <rcc rId="0" sId="1" dxf="1">
      <nc r="B307">
        <f>#REF!+1</f>
      </nc>
      <n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0" sId="1" dxf="1">
      <nc r="C307">
        <v>20200519</v>
      </nc>
      <ndxf>
        <alignment horizontal="left" vertical="top" readingOrder="0"/>
        <border outline="0">
          <left style="thin">
            <color indexed="64"/>
          </left>
          <right style="thin">
            <color indexed="64"/>
          </right>
          <top style="thin">
            <color indexed="64"/>
          </top>
          <bottom style="thin">
            <color indexed="64"/>
          </bottom>
        </border>
      </ndxf>
    </rcc>
    <rcc rId="0" sId="1" dxf="1">
      <nc r="D307"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07" t="inlineStr">
        <is>
          <t>FAW_TypeC2_BSL33_Security</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07" t="inlineStr">
        <is>
          <t>FAW_MainPath_V2.0_Int\MainstreamF30\rba\Bldr\config\ApplicationLayer\rba_BldrCmp\src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07">
        <v>1474054</v>
      </nc>
      <ndxf>
        <alignment horizontal="left" vertical="top" readingOrder="0"/>
        <border outline="0">
          <left style="thin">
            <color indexed="64"/>
          </left>
          <right style="thin">
            <color indexed="64"/>
          </right>
          <top style="thin">
            <color indexed="64"/>
          </top>
          <bottom style="thin">
            <color indexed="64"/>
          </bottom>
        </border>
      </ndxf>
    </rcc>
    <rcc rId="0" sId="1" dxf="1" quotePrefix="1">
      <nc r="H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07" t="inlineStr">
        <is>
          <t>rba_BldrCmp_Cfg_SecA.c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07"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07" t="inlineStr">
        <is>
          <t>BB99856, BB99857</t>
        </is>
      </nc>
      <ndxf>
        <alignment horizontal="left" vertical="top" readingOrder="0"/>
        <border outline="0">
          <left style="thin">
            <color indexed="64"/>
          </left>
          <right style="thin">
            <color indexed="64"/>
          </right>
          <top style="thin">
            <color indexed="64"/>
          </top>
          <bottom style="thin">
            <color indexed="64"/>
          </bottom>
        </border>
      </ndxf>
    </rcc>
    <rcc rId="0" sId="1" dxf="1">
      <nc r="M307"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07" t="inlineStr">
        <is>
          <t>FAW_MainPath_V2.0_Int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07"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07" t="inlineStr">
        <is>
          <t>Thangamani Shanmugam (RBEI/EBB7)</t>
        </is>
      </nc>
      <ndxf>
        <alignment horizontal="left" vertical="top" readingOrder="0"/>
        <border outline="0">
          <left style="thin">
            <color indexed="64"/>
          </left>
          <right style="thin">
            <color indexed="64"/>
          </right>
          <top style="thin">
            <color indexed="64"/>
          </top>
          <bottom style="thin">
            <color indexed="64"/>
          </bottom>
        </border>
      </ndxf>
    </rcc>
    <rfmt sheetId="1" sqref="Q30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07"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307" start="0" length="0">
      <dxf>
        <alignment horizontal="left" vertical="top" readingOrder="0"/>
        <border outline="0">
          <left style="thin">
            <color indexed="64"/>
          </left>
          <right style="thin">
            <color indexed="64"/>
          </right>
          <top style="thin">
            <color indexed="64"/>
          </top>
          <bottom style="thin">
            <color indexed="64"/>
          </bottom>
        </border>
      </dxf>
    </rfmt>
    <rfmt sheetId="1" sqref="U307" start="0" length="0">
      <dxf>
        <alignment horizontal="left" vertical="top" readingOrder="0"/>
        <border outline="0">
          <left style="thin">
            <color indexed="64"/>
          </left>
          <right style="thin">
            <color indexed="64"/>
          </right>
          <top style="thin">
            <color indexed="64"/>
          </top>
          <bottom style="thin">
            <color indexed="64"/>
          </bottom>
        </border>
      </dxf>
    </rfmt>
    <rcc rId="0" sId="1" dxf="1">
      <nc r="V307">
        <v>71</v>
      </nc>
      <ndxf>
        <alignment horizontal="left" vertical="top" readingOrder="0"/>
        <border outline="0">
          <left style="thin">
            <color indexed="64"/>
          </left>
          <right style="thin">
            <color indexed="64"/>
          </right>
          <top style="thin">
            <color indexed="64"/>
          </top>
          <bottom style="thin">
            <color indexed="64"/>
          </bottom>
        </border>
      </ndxf>
    </rcc>
    <rcc rId="0" sId="1" dxf="1">
      <nc r="W307">
        <f>V307</f>
      </nc>
      <ndxf>
        <alignment horizontal="left" vertical="top" readingOrder="0"/>
        <border outline="0">
          <left style="thin">
            <color indexed="64"/>
          </left>
          <right style="thin">
            <color indexed="64"/>
          </right>
          <top style="thin">
            <color indexed="64"/>
          </top>
          <bottom style="thin">
            <color indexed="64"/>
          </bottom>
        </border>
      </ndxf>
    </rcc>
    <rcc rId="0" sId="1" dxf="1">
      <nc r="X307">
        <f>W307</f>
      </nc>
      <ndxf>
        <alignment horizontal="left" vertical="top" readingOrder="0"/>
        <border outline="0">
          <left style="thin">
            <color indexed="64"/>
          </left>
          <right style="thin">
            <color indexed="64"/>
          </right>
          <top style="thin">
            <color indexed="64"/>
          </top>
          <bottom style="thin">
            <color indexed="64"/>
          </bottom>
        </border>
      </ndxf>
    </rcc>
    <rcc rId="0" sId="1" dxf="1">
      <nc r="Y307">
        <f>ROUNDDOWN(W307/HLOOKUP(D307,Table!$C$3:$D$4,2,0)*8,2)</f>
      </nc>
      <ndxf>
        <alignment horizontal="left" vertical="top" readingOrder="0"/>
        <border outline="0">
          <left style="thin">
            <color indexed="64"/>
          </left>
          <right style="thin">
            <color indexed="64"/>
          </right>
          <top style="thin">
            <color indexed="64"/>
          </top>
          <bottom style="thin">
            <color indexed="64"/>
          </bottom>
        </border>
      </ndxf>
    </rcc>
    <rcc rId="0" sId="1" dxf="1">
      <nc r="Z307">
        <v>1</v>
      </nc>
      <ndxf>
        <alignment horizontal="left" vertical="top" readingOrder="0"/>
        <border outline="0">
          <left style="thin">
            <color indexed="64"/>
          </left>
          <right style="thin">
            <color indexed="64"/>
          </right>
          <top style="thin">
            <color indexed="64"/>
          </top>
          <bottom style="thin">
            <color indexed="64"/>
          </bottom>
        </border>
      </ndxf>
    </rcc>
    <rcc rId="0" sId="1" dxf="1">
      <nc r="AA307"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07">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07">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07">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07" t="inlineStr">
        <is>
          <t>NG</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07">
        <v>0.89</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07">
        <v>0.78</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07" t="inlineStr">
        <is>
          <t>OPL</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L307" t="inlineStr">
        <is>
          <t>Can't cover for case case 0UL, case 1UL, case 2UL and case default of switch ( temp ) at line#98. Because RBA_BLDRCMP_SA_SECURITY_CONSTANT is a constant, so temp is a constant.
Can’t cover for true case of  if ((RBA_BLDRCMP_SA_SECURITY_CONSTANT &amp; 0x00000001UL) == 1UL) at line#134.</t>
        </is>
      </nc>
      <ndxf>
        <alignment horizontal="left" vertical="top" readingOrder="0"/>
        <border outline="0">
          <left style="thin">
            <color indexed="64"/>
          </left>
          <right style="thin">
            <color indexed="64"/>
          </right>
          <top style="thin">
            <color indexed="64"/>
          </top>
          <bottom style="thin">
            <color indexed="64"/>
          </bottom>
        </border>
      </ndxf>
    </rcc>
    <rfmt sheetId="1" sqref="AM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N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rc>
  <rrc rId="1020" sId="1" ref="A307:XFD307" action="deleteRow">
    <undo index="0" exp="ref" v="1" dr="B307" r="B308" sId="1"/>
    <rfmt sheetId="1" xfDxf="1" sqref="A307:XFD307" start="0" length="0"/>
    <rcc rId="0" sId="1" dxf="1">
      <nc r="B307">
        <f>#REF!+1</f>
      </nc>
      <n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0" sId="1" dxf="1">
      <nc r="C307">
        <v>20200519</v>
      </nc>
      <ndxf>
        <alignment horizontal="left" vertical="top" readingOrder="0"/>
        <border outline="0">
          <left style="thin">
            <color indexed="64"/>
          </left>
          <right style="thin">
            <color indexed="64"/>
          </right>
          <top style="thin">
            <color indexed="64"/>
          </top>
          <bottom style="thin">
            <color indexed="64"/>
          </bottom>
        </border>
      </ndxf>
    </rcc>
    <rcc rId="0" sId="1" dxf="1">
      <nc r="D307"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07" t="inlineStr">
        <is>
          <t>FAW_TypeC2_BSL33_Security</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07" t="inlineStr">
        <is>
          <t>FAW_MainPath_V2.0_Int\MainstreamF30\rba\Bldr\comps\ComplexDeviceDriver\rba_BldrFlsDrv\src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07">
        <v>1474054</v>
      </nc>
      <ndxf>
        <alignment horizontal="left" vertical="top" readingOrder="0"/>
        <border outline="0">
          <left style="thin">
            <color indexed="64"/>
          </left>
          <right style="thin">
            <color indexed="64"/>
          </right>
          <top style="thin">
            <color indexed="64"/>
          </top>
          <bottom style="thin">
            <color indexed="64"/>
          </bottom>
        </border>
      </ndxf>
    </rcc>
    <rcc rId="0" sId="1" dxf="1" quotePrefix="1">
      <nc r="H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07" t="inlineStr">
        <is>
          <t>rba_BldrFlsDrv.c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07"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07" t="inlineStr">
        <is>
          <t>BB99856, BB99857</t>
        </is>
      </nc>
      <ndxf>
        <alignment horizontal="left" vertical="top" readingOrder="0"/>
        <border outline="0">
          <left style="thin">
            <color indexed="64"/>
          </left>
          <right style="thin">
            <color indexed="64"/>
          </right>
          <top style="thin">
            <color indexed="64"/>
          </top>
          <bottom style="thin">
            <color indexed="64"/>
          </bottom>
        </border>
      </ndxf>
    </rcc>
    <rcc rId="0" sId="1" dxf="1">
      <nc r="M307"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07" t="inlineStr">
        <is>
          <t>FAW_MainPath_V2.0_Int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07"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07" t="inlineStr">
        <is>
          <t>Thangamani Shanmugam (RBEI/EBB7)</t>
        </is>
      </nc>
      <ndxf>
        <alignment horizontal="left" vertical="top" readingOrder="0"/>
        <border outline="0">
          <left style="thin">
            <color indexed="64"/>
          </left>
          <right style="thin">
            <color indexed="64"/>
          </right>
          <top style="thin">
            <color indexed="64"/>
          </top>
          <bottom style="thin">
            <color indexed="64"/>
          </bottom>
        </border>
      </ndxf>
    </rcc>
    <rfmt sheetId="1" sqref="Q30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07" t="inlineStr">
        <is>
          <t>duong.nguyen</t>
        </is>
      </nc>
      <ndxf>
        <alignment horizontal="left" vertical="top" readingOrder="0"/>
        <border outline="0">
          <left style="thin">
            <color indexed="64"/>
          </left>
          <right style="thin">
            <color indexed="64"/>
          </right>
          <top style="thin">
            <color indexed="64"/>
          </top>
          <bottom style="thin">
            <color indexed="64"/>
          </bottom>
        </border>
      </ndxf>
    </rcc>
    <rfmt sheetId="1" sqref="T307" start="0" length="0">
      <dxf>
        <alignment horizontal="left" vertical="top" readingOrder="0"/>
        <border outline="0">
          <left style="thin">
            <color indexed="64"/>
          </left>
          <right style="thin">
            <color indexed="64"/>
          </right>
          <top style="thin">
            <color indexed="64"/>
          </top>
          <bottom style="thin">
            <color indexed="64"/>
          </bottom>
        </border>
      </dxf>
    </rfmt>
    <rfmt sheetId="1" sqref="U307" start="0" length="0">
      <dxf>
        <alignment horizontal="left" vertical="top" readingOrder="0"/>
        <border outline="0">
          <left style="thin">
            <color indexed="64"/>
          </left>
          <right style="thin">
            <color indexed="64"/>
          </right>
          <top style="thin">
            <color indexed="64"/>
          </top>
          <bottom style="thin">
            <color indexed="64"/>
          </bottom>
        </border>
      </dxf>
    </rfmt>
    <rcc rId="0" sId="1" dxf="1">
      <nc r="V307">
        <v>200</v>
      </nc>
      <ndxf>
        <alignment horizontal="left" vertical="top" readingOrder="0"/>
        <border outline="0">
          <left style="thin">
            <color indexed="64"/>
          </left>
          <right style="thin">
            <color indexed="64"/>
          </right>
          <top style="thin">
            <color indexed="64"/>
          </top>
          <bottom style="thin">
            <color indexed="64"/>
          </bottom>
        </border>
      </ndxf>
    </rcc>
    <rcc rId="0" sId="1" dxf="1">
      <nc r="W307">
        <v>210</v>
      </nc>
      <ndxf>
        <alignment horizontal="left" vertical="top" readingOrder="0"/>
        <border outline="0">
          <left style="thin">
            <color indexed="64"/>
          </left>
          <right style="thin">
            <color indexed="64"/>
          </right>
          <top style="thin">
            <color indexed="64"/>
          </top>
          <bottom style="thin">
            <color indexed="64"/>
          </bottom>
        </border>
      </ndxf>
    </rcc>
    <rcc rId="0" sId="1" dxf="1">
      <nc r="X307">
        <f>W307</f>
      </nc>
      <ndxf>
        <alignment horizontal="left" vertical="top" readingOrder="0"/>
        <border outline="0">
          <left style="thin">
            <color indexed="64"/>
          </left>
          <right style="thin">
            <color indexed="64"/>
          </right>
          <top style="thin">
            <color indexed="64"/>
          </top>
          <bottom style="thin">
            <color indexed="64"/>
          </bottom>
        </border>
      </ndxf>
    </rcc>
    <rcc rId="0" sId="1" dxf="1">
      <nc r="Y307">
        <f>ROUNDDOWN(W307/HLOOKUP(D307,Table!$C$3:$D$4,2,0)*8,2)</f>
      </nc>
      <ndxf>
        <alignment horizontal="left" vertical="top" readingOrder="0"/>
        <border outline="0">
          <left style="thin">
            <color indexed="64"/>
          </left>
          <right style="thin">
            <color indexed="64"/>
          </right>
          <top style="thin">
            <color indexed="64"/>
          </top>
          <bottom style="thin">
            <color indexed="64"/>
          </bottom>
        </border>
      </ndxf>
    </rcc>
    <rcc rId="0" sId="1" dxf="1">
      <nc r="Z307">
        <v>2</v>
      </nc>
      <ndxf>
        <alignment horizontal="left" vertical="top" readingOrder="0"/>
        <border outline="0">
          <left style="thin">
            <color indexed="64"/>
          </left>
          <right style="thin">
            <color indexed="64"/>
          </right>
          <top style="thin">
            <color indexed="64"/>
          </top>
          <bottom style="thin">
            <color indexed="64"/>
          </bottom>
        </border>
      </ndxf>
    </rcc>
    <rfmt sheetId="1" sqref="AA307" start="0" length="0">
      <dxf>
        <alignment horizontal="left" vertical="top" readingOrder="0"/>
        <border outline="0">
          <left style="thin">
            <color indexed="64"/>
          </left>
          <right style="thin">
            <color indexed="64"/>
          </right>
          <top style="thin">
            <color indexed="64"/>
          </top>
          <bottom style="thin">
            <color indexed="64"/>
          </bottom>
        </border>
      </dxf>
    </rfmt>
    <rfmt sheetId="1" sqref="AB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07">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07">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07">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07"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07"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AM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AN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rc>
  <rrc rId="1021" sId="1" ref="A307:XFD307" action="deleteRow">
    <undo index="0" exp="ref" v="1" dr="B307" r="B308" sId="1"/>
    <rfmt sheetId="1" xfDxf="1" sqref="A307:XFD307" start="0" length="0"/>
    <rcc rId="0" sId="1" dxf="1">
      <nc r="B307">
        <f>#REF!+1</f>
      </nc>
      <n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0" sId="1" dxf="1">
      <nc r="C307">
        <v>20200519</v>
      </nc>
      <ndxf>
        <alignment horizontal="left" vertical="top" readingOrder="0"/>
        <border outline="0">
          <left style="thin">
            <color indexed="64"/>
          </left>
          <right style="thin">
            <color indexed="64"/>
          </right>
          <top style="thin">
            <color indexed="64"/>
          </top>
          <bottom style="thin">
            <color indexed="64"/>
          </bottom>
        </border>
      </ndxf>
    </rcc>
    <rcc rId="0" sId="1" dxf="1">
      <nc r="D307"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07" t="inlineStr">
        <is>
          <t>FAW_TypeC2_BSL33_Security</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07" t="inlineStr">
        <is>
          <t>FAW_MainPath_V2.0_Int\MainstreamF30\rba\Bldr\comps\ComplexDeviceDriver\rba_BldrBCLSigChk\src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07">
        <v>1474054</v>
      </nc>
      <ndxf>
        <alignment horizontal="left" vertical="top" readingOrder="0"/>
        <border outline="0">
          <left style="thin">
            <color indexed="64"/>
          </left>
          <right style="thin">
            <color indexed="64"/>
          </right>
          <top style="thin">
            <color indexed="64"/>
          </top>
          <bottom style="thin">
            <color indexed="64"/>
          </bottom>
        </border>
      </ndxf>
    </rcc>
    <rcc rId="0" sId="1" dxf="1" quotePrefix="1">
      <nc r="H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07" t="inlineStr">
        <is>
          <t>rba_BldrBCLSigChk.c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07"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07" t="inlineStr">
        <is>
          <t>BB99856, BB99857</t>
        </is>
      </nc>
      <ndxf>
        <alignment horizontal="left" vertical="top" readingOrder="0"/>
        <border outline="0">
          <left style="thin">
            <color indexed="64"/>
          </left>
          <right style="thin">
            <color indexed="64"/>
          </right>
          <top style="thin">
            <color indexed="64"/>
          </top>
          <bottom style="thin">
            <color indexed="64"/>
          </bottom>
        </border>
      </ndxf>
    </rcc>
    <rcc rId="0" sId="1" dxf="1">
      <nc r="M307"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07" t="inlineStr">
        <is>
          <t>FAW_MainPath_V2.0_Int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07"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07" t="inlineStr">
        <is>
          <t>Thangamani Shanmugam (RBEI/EBB7)</t>
        </is>
      </nc>
      <ndxf>
        <alignment horizontal="left" vertical="top" readingOrder="0"/>
        <border outline="0">
          <left style="thin">
            <color indexed="64"/>
          </left>
          <right style="thin">
            <color indexed="64"/>
          </right>
          <top style="thin">
            <color indexed="64"/>
          </top>
          <bottom style="thin">
            <color indexed="64"/>
          </bottom>
        </border>
      </ndxf>
    </rcc>
    <rfmt sheetId="1" sqref="Q30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07" t="inlineStr">
        <is>
          <t>duong.nguyen</t>
        </is>
      </nc>
      <ndxf>
        <alignment horizontal="left" vertical="top" readingOrder="0"/>
        <border outline="0">
          <left style="thin">
            <color indexed="64"/>
          </left>
          <right style="thin">
            <color indexed="64"/>
          </right>
          <top style="thin">
            <color indexed="64"/>
          </top>
          <bottom style="thin">
            <color indexed="64"/>
          </bottom>
        </border>
      </ndxf>
    </rcc>
    <rfmt sheetId="1" sqref="T307" start="0" length="0">
      <dxf>
        <alignment horizontal="left" vertical="top" readingOrder="0"/>
        <border outline="0">
          <left style="thin">
            <color indexed="64"/>
          </left>
          <right style="thin">
            <color indexed="64"/>
          </right>
          <top style="thin">
            <color indexed="64"/>
          </top>
          <bottom style="thin">
            <color indexed="64"/>
          </bottom>
        </border>
      </dxf>
    </rfmt>
    <rfmt sheetId="1" sqref="U307" start="0" length="0">
      <dxf>
        <alignment horizontal="left" vertical="top" readingOrder="0"/>
        <border outline="0">
          <left style="thin">
            <color indexed="64"/>
          </left>
          <right style="thin">
            <color indexed="64"/>
          </right>
          <top style="thin">
            <color indexed="64"/>
          </top>
          <bottom style="thin">
            <color indexed="64"/>
          </bottom>
        </border>
      </dxf>
    </rfmt>
    <rcc rId="0" sId="1" dxf="1">
      <nc r="V307">
        <v>134</v>
      </nc>
      <ndxf>
        <alignment horizontal="left" vertical="top" readingOrder="0"/>
        <border outline="0">
          <left style="thin">
            <color indexed="64"/>
          </left>
          <right style="thin">
            <color indexed="64"/>
          </right>
          <top style="thin">
            <color indexed="64"/>
          </top>
          <bottom style="thin">
            <color indexed="64"/>
          </bottom>
        </border>
      </ndxf>
    </rcc>
    <rcc rId="0" sId="1" dxf="1">
      <nc r="W307">
        <v>146</v>
      </nc>
      <ndxf>
        <alignment horizontal="left" vertical="top" readingOrder="0"/>
        <border outline="0">
          <left style="thin">
            <color indexed="64"/>
          </left>
          <right style="thin">
            <color indexed="64"/>
          </right>
          <top style="thin">
            <color indexed="64"/>
          </top>
          <bottom style="thin">
            <color indexed="64"/>
          </bottom>
        </border>
      </ndxf>
    </rcc>
    <rfmt sheetId="1" sqref="X307" start="0" length="0">
      <dxf>
        <alignment horizontal="left" vertical="top" readingOrder="0"/>
        <border outline="0">
          <left style="thin">
            <color indexed="64"/>
          </left>
          <right style="thin">
            <color indexed="64"/>
          </right>
          <top style="thin">
            <color indexed="64"/>
          </top>
          <bottom style="thin">
            <color indexed="64"/>
          </bottom>
        </border>
      </dxf>
    </rfmt>
    <rcc rId="0" sId="1" dxf="1">
      <nc r="Y307">
        <f>ROUNDDOWN(W307/HLOOKUP(D307,Table!$C$3:$D$4,2,0)*8,2)</f>
      </nc>
      <ndxf>
        <alignment horizontal="left" vertical="top" readingOrder="0"/>
        <border outline="0">
          <left style="thin">
            <color indexed="64"/>
          </left>
          <right style="thin">
            <color indexed="64"/>
          </right>
          <top style="thin">
            <color indexed="64"/>
          </top>
          <bottom style="thin">
            <color indexed="64"/>
          </bottom>
        </border>
      </ndxf>
    </rcc>
    <rfmt sheetId="1" sqref="Z307" start="0" length="0">
      <dxf>
        <alignment horizontal="left" vertical="top" readingOrder="0"/>
        <border outline="0">
          <left style="thin">
            <color indexed="64"/>
          </left>
          <right style="thin">
            <color indexed="64"/>
          </right>
          <top style="thin">
            <color indexed="64"/>
          </top>
          <bottom style="thin">
            <color indexed="64"/>
          </bottom>
        </border>
      </dxf>
    </rfmt>
    <rfmt sheetId="1" sqref="AA307" start="0" length="0">
      <dxf>
        <alignment horizontal="left" vertical="top" readingOrder="0"/>
        <border outline="0">
          <left style="thin">
            <color indexed="64"/>
          </left>
          <right style="thin">
            <color indexed="64"/>
          </right>
          <top style="thin">
            <color indexed="64"/>
          </top>
          <bottom style="thin">
            <color indexed="64"/>
          </bottom>
        </border>
      </dxf>
    </rfmt>
    <rfmt sheetId="1" sqref="AB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07">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7"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7"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7"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quotePrefix="1">
      <nc r="AL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AM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AN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rc>
  <rrc rId="1022" sId="1" ref="A307:XFD307" action="deleteRow">
    <undo index="0" exp="ref" v="1" dr="B307" r="B308" sId="1"/>
    <rfmt sheetId="1" xfDxf="1" sqref="A307:XFD307" start="0" length="0"/>
    <rcc rId="0" sId="1" dxf="1">
      <nc r="B307">
        <f>#REF!+1</f>
      </nc>
      <n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0" sId="1" dxf="1">
      <nc r="C307">
        <v>20200519</v>
      </nc>
      <ndxf>
        <alignment horizontal="left" vertical="top" readingOrder="0"/>
        <border outline="0">
          <left style="thin">
            <color indexed="64"/>
          </left>
          <right style="thin">
            <color indexed="64"/>
          </right>
          <top style="thin">
            <color indexed="64"/>
          </top>
          <bottom style="thin">
            <color indexed="64"/>
          </bottom>
        </border>
      </ndxf>
    </rcc>
    <rcc rId="0" sId="1" dxf="1">
      <nc r="D307"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07" t="inlineStr">
        <is>
          <t>FAW_TypeC2_BSL33_Security</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07" t="inlineStr">
        <is>
          <t>FAW_MainPath_V2.0_Int\MainstreamF30\rba\Bldr\config\ComplexDeviceDriver\rba_BldrFlsDrv\src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07">
        <v>1474054</v>
      </nc>
      <ndxf>
        <alignment horizontal="left" vertical="top" readingOrder="0"/>
        <border outline="0">
          <left style="thin">
            <color indexed="64"/>
          </left>
          <right style="thin">
            <color indexed="64"/>
          </right>
          <top style="thin">
            <color indexed="64"/>
          </top>
          <bottom style="thin">
            <color indexed="64"/>
          </bottom>
        </border>
      </ndxf>
    </rcc>
    <rcc rId="0" sId="1" dxf="1" quotePrefix="1">
      <nc r="H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07" t="inlineStr">
        <is>
          <t>rba_BldrFlsDrv_Cfg.c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07"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07" t="inlineStr">
        <is>
          <t>BB99856, BB99857</t>
        </is>
      </nc>
      <ndxf>
        <alignment horizontal="left" vertical="top" readingOrder="0"/>
        <border outline="0">
          <left style="thin">
            <color indexed="64"/>
          </left>
          <right style="thin">
            <color indexed="64"/>
          </right>
          <top style="thin">
            <color indexed="64"/>
          </top>
          <bottom style="thin">
            <color indexed="64"/>
          </bottom>
        </border>
      </ndxf>
    </rcc>
    <rcc rId="0" sId="1" dxf="1">
      <nc r="M307"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07" t="inlineStr">
        <is>
          <t>FAW_MainPath_V2.0_Int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07"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07" t="inlineStr">
        <is>
          <t>Thangamani Shanmugam (RBEI/EBB7)</t>
        </is>
      </nc>
      <ndxf>
        <alignment horizontal="left" vertical="top" readingOrder="0"/>
        <border outline="0">
          <left style="thin">
            <color indexed="64"/>
          </left>
          <right style="thin">
            <color indexed="64"/>
          </right>
          <top style="thin">
            <color indexed="64"/>
          </top>
          <bottom style="thin">
            <color indexed="64"/>
          </bottom>
        </border>
      </ndxf>
    </rcc>
    <rfmt sheetId="1" sqref="Q30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07"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307" start="0" length="0">
      <dxf>
        <alignment horizontal="left" vertical="top" readingOrder="0"/>
        <border outline="0">
          <left style="thin">
            <color indexed="64"/>
          </left>
          <right style="thin">
            <color indexed="64"/>
          </right>
          <top style="thin">
            <color indexed="64"/>
          </top>
          <bottom style="thin">
            <color indexed="64"/>
          </bottom>
        </border>
      </dxf>
    </rfmt>
    <rfmt sheetId="1" sqref="U307" start="0" length="0">
      <dxf>
        <alignment horizontal="left" vertical="top" readingOrder="0"/>
        <border outline="0">
          <left style="thin">
            <color indexed="64"/>
          </left>
          <right style="thin">
            <color indexed="64"/>
          </right>
          <top style="thin">
            <color indexed="64"/>
          </top>
          <bottom style="thin">
            <color indexed="64"/>
          </bottom>
        </border>
      </dxf>
    </rfmt>
    <rcc rId="0" sId="1" dxf="1">
      <nc r="V307">
        <v>39</v>
      </nc>
      <ndxf>
        <alignment horizontal="left" vertical="top" readingOrder="0"/>
        <border outline="0">
          <left style="thin">
            <color indexed="64"/>
          </left>
          <right style="thin">
            <color indexed="64"/>
          </right>
          <top style="thin">
            <color indexed="64"/>
          </top>
          <bottom style="thin">
            <color indexed="64"/>
          </bottom>
        </border>
      </ndxf>
    </rcc>
    <rcc rId="0" sId="1" dxf="1">
      <nc r="W307">
        <f>V307</f>
      </nc>
      <ndxf>
        <alignment horizontal="left" vertical="top" readingOrder="0"/>
        <border outline="0">
          <left style="thin">
            <color indexed="64"/>
          </left>
          <right style="thin">
            <color indexed="64"/>
          </right>
          <top style="thin">
            <color indexed="64"/>
          </top>
          <bottom style="thin">
            <color indexed="64"/>
          </bottom>
        </border>
      </ndxf>
    </rcc>
    <rcc rId="0" sId="1" dxf="1">
      <nc r="X307">
        <f>W307</f>
      </nc>
      <ndxf>
        <alignment horizontal="left" vertical="top" readingOrder="0"/>
        <border outline="0">
          <left style="thin">
            <color indexed="64"/>
          </left>
          <right style="thin">
            <color indexed="64"/>
          </right>
          <top style="thin">
            <color indexed="64"/>
          </top>
          <bottom style="thin">
            <color indexed="64"/>
          </bottom>
        </border>
      </ndxf>
    </rcc>
    <rcc rId="0" sId="1" dxf="1">
      <nc r="Y307">
        <f>ROUNDDOWN(W307/HLOOKUP(D307,Table!$C$3:$D$4,2,0)*8,2)</f>
      </nc>
      <ndxf>
        <alignment horizontal="left" vertical="top" readingOrder="0"/>
        <border outline="0">
          <left style="thin">
            <color indexed="64"/>
          </left>
          <right style="thin">
            <color indexed="64"/>
          </right>
          <top style="thin">
            <color indexed="64"/>
          </top>
          <bottom style="thin">
            <color indexed="64"/>
          </bottom>
        </border>
      </ndxf>
    </rcc>
    <rcc rId="0" sId="1" dxf="1">
      <nc r="Z307">
        <v>0.5</v>
      </nc>
      <ndxf>
        <alignment horizontal="left" vertical="top" readingOrder="0"/>
        <border outline="0">
          <left style="thin">
            <color indexed="64"/>
          </left>
          <right style="thin">
            <color indexed="64"/>
          </right>
          <top style="thin">
            <color indexed="64"/>
          </top>
          <bottom style="thin">
            <color indexed="64"/>
          </bottom>
        </border>
      </ndxf>
    </rcc>
    <rcc rId="0" sId="1" dxf="1">
      <nc r="AA307"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07">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07">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07">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07" t="inlineStr">
        <is>
          <t>NG</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07">
        <v>0.64</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07" t="inlineStr">
        <is>
          <t>OPL</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L307" t="inlineStr">
        <is>
          <t>Can’t cover for function rba_BldrFlsDrv_Cfg_Write atline#73 because address of pointer canCore_pvst is fixed (limit cantata, can’t set the fixed address).</t>
        </is>
      </nc>
      <ndxf>
        <alignment horizontal="left" vertical="top" readingOrder="0"/>
        <border outline="0">
          <left style="thin">
            <color indexed="64"/>
          </left>
          <right style="thin">
            <color indexed="64"/>
          </right>
          <top style="thin">
            <color indexed="64"/>
          </top>
          <bottom style="thin">
            <color indexed="64"/>
          </bottom>
        </border>
      </ndxf>
    </rcc>
    <rfmt sheetId="1" sqref="AM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N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rc>
  <rrc rId="1023" sId="1" ref="A307:XFD307" action="deleteRow">
    <undo index="0" exp="ref" v="1" dr="B307" r="B308" sId="1"/>
    <rfmt sheetId="1" xfDxf="1" sqref="A307:XFD307" start="0" length="0"/>
    <rcc rId="0" sId="1" dxf="1">
      <nc r="B307">
        <f>#REF!+1</f>
      </nc>
      <n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0" sId="1" dxf="1">
      <nc r="C307">
        <v>20200519</v>
      </nc>
      <ndxf>
        <alignment horizontal="left" vertical="top" readingOrder="0"/>
        <border outline="0">
          <left style="thin">
            <color indexed="64"/>
          </left>
          <right style="thin">
            <color indexed="64"/>
          </right>
          <top style="thin">
            <color indexed="64"/>
          </top>
          <bottom style="thin">
            <color indexed="64"/>
          </bottom>
        </border>
      </ndxf>
    </rcc>
    <rcc rId="0" sId="1" dxf="1">
      <nc r="D307"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307" t="inlineStr">
        <is>
          <t>FAW_TypeC2_BSL33_Security</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07" t="inlineStr">
        <is>
          <t>FAW_MainPath_V2.0_Int\MainstreamF30\rba\Bldr\config\Infrastruct\CubasAdapter\src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307">
        <v>1474054</v>
      </nc>
      <ndxf>
        <alignment horizontal="left" vertical="top" readingOrder="0"/>
        <border outline="0">
          <left style="thin">
            <color indexed="64"/>
          </left>
          <right style="thin">
            <color indexed="64"/>
          </right>
          <top style="thin">
            <color indexed="64"/>
          </top>
          <bottom style="thin">
            <color indexed="64"/>
          </bottom>
        </border>
      </ndxf>
    </rcc>
    <rcc rId="0" sId="1" dxf="1" quotePrefix="1">
      <nc r="H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07" t="inlineStr">
        <is>
          <t>CubasAdapter.c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07" t="inlineStr">
        <is>
          <t>Manual</t>
        </is>
      </nc>
      <ndxf>
        <alignment horizontal="left" vertical="top" readingOrder="0"/>
        <border outline="0">
          <left style="thin">
            <color indexed="64"/>
          </left>
          <right style="thin">
            <color indexed="64"/>
          </right>
          <top style="thin">
            <color indexed="64"/>
          </top>
          <bottom style="thin">
            <color indexed="64"/>
          </bottom>
        </border>
      </ndxf>
    </rcc>
    <rcc rId="0" sId="1" dxf="1">
      <nc r="L307" t="inlineStr">
        <is>
          <t>BB99856, BB99857</t>
        </is>
      </nc>
      <ndxf>
        <alignment horizontal="left" vertical="top" readingOrder="0"/>
        <border outline="0">
          <left style="thin">
            <color indexed="64"/>
          </left>
          <right style="thin">
            <color indexed="64"/>
          </right>
          <top style="thin">
            <color indexed="64"/>
          </top>
          <bottom style="thin">
            <color indexed="64"/>
          </bottom>
        </border>
      </ndxf>
    </rcc>
    <rcc rId="0" sId="1" dxf="1">
      <nc r="M307"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307" t="inlineStr">
        <is>
          <t>FAW_MainPath_V2.0_Int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07"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07" t="inlineStr">
        <is>
          <t>Thangamani Shanmugam (RBEI/EBB7)</t>
        </is>
      </nc>
      <ndxf>
        <alignment horizontal="left" vertical="top" readingOrder="0"/>
        <border outline="0">
          <left style="thin">
            <color indexed="64"/>
          </left>
          <right style="thin">
            <color indexed="64"/>
          </right>
          <top style="thin">
            <color indexed="64"/>
          </top>
          <bottom style="thin">
            <color indexed="64"/>
          </bottom>
        </border>
      </ndxf>
    </rcc>
    <rfmt sheetId="1" sqref="Q30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07" t="inlineStr">
        <is>
          <t>chung.ly</t>
        </is>
      </nc>
      <ndxf>
        <alignment horizontal="left" vertical="top" readingOrder="0"/>
        <border outline="0">
          <left style="thin">
            <color indexed="64"/>
          </left>
          <right style="thin">
            <color indexed="64"/>
          </right>
          <top style="thin">
            <color indexed="64"/>
          </top>
          <bottom style="thin">
            <color indexed="64"/>
          </bottom>
        </border>
      </ndxf>
    </rcc>
    <rfmt sheetId="1" sqref="T307" start="0" length="0">
      <dxf>
        <alignment horizontal="left" vertical="top" readingOrder="0"/>
        <border outline="0">
          <left style="thin">
            <color indexed="64"/>
          </left>
          <right style="thin">
            <color indexed="64"/>
          </right>
          <top style="thin">
            <color indexed="64"/>
          </top>
          <bottom style="thin">
            <color indexed="64"/>
          </bottom>
        </border>
      </dxf>
    </rfmt>
    <rfmt sheetId="1" sqref="U307" start="0" length="0">
      <dxf>
        <alignment horizontal="left" vertical="top" readingOrder="0"/>
        <border outline="0">
          <left style="thin">
            <color indexed="64"/>
          </left>
          <right style="thin">
            <color indexed="64"/>
          </right>
          <top style="thin">
            <color indexed="64"/>
          </top>
          <bottom style="thin">
            <color indexed="64"/>
          </bottom>
        </border>
      </dxf>
    </rfmt>
    <rcc rId="0" sId="1" dxf="1">
      <nc r="V307">
        <v>82</v>
      </nc>
      <ndxf>
        <alignment horizontal="left" vertical="top" readingOrder="0"/>
        <border outline="0">
          <left style="thin">
            <color indexed="64"/>
          </left>
          <right style="thin">
            <color indexed="64"/>
          </right>
          <top style="thin">
            <color indexed="64"/>
          </top>
          <bottom style="thin">
            <color indexed="64"/>
          </bottom>
        </border>
      </ndxf>
    </rcc>
    <rcc rId="0" sId="1" dxf="1">
      <nc r="W307">
        <f>V307</f>
      </nc>
      <ndxf>
        <alignment horizontal="left" vertical="top" readingOrder="0"/>
        <border outline="0">
          <left style="thin">
            <color indexed="64"/>
          </left>
          <right style="thin">
            <color indexed="64"/>
          </right>
          <top style="thin">
            <color indexed="64"/>
          </top>
          <bottom style="thin">
            <color indexed="64"/>
          </bottom>
        </border>
      </ndxf>
    </rcc>
    <rcc rId="0" sId="1" dxf="1">
      <nc r="X307">
        <f>W307</f>
      </nc>
      <ndxf>
        <alignment horizontal="left" vertical="top" readingOrder="0"/>
        <border outline="0">
          <left style="thin">
            <color indexed="64"/>
          </left>
          <right style="thin">
            <color indexed="64"/>
          </right>
          <top style="thin">
            <color indexed="64"/>
          </top>
          <bottom style="thin">
            <color indexed="64"/>
          </bottom>
        </border>
      </ndxf>
    </rcc>
    <rcc rId="0" sId="1" dxf="1">
      <nc r="Y307">
        <f>ROUNDDOWN(W307/HLOOKUP(D307,Table!$C$3:$D$4,2,0)*8,2)</f>
      </nc>
      <ndxf>
        <alignment horizontal="left" vertical="top" readingOrder="0"/>
        <border outline="0">
          <left style="thin">
            <color indexed="64"/>
          </left>
          <right style="thin">
            <color indexed="64"/>
          </right>
          <top style="thin">
            <color indexed="64"/>
          </top>
          <bottom style="thin">
            <color indexed="64"/>
          </bottom>
        </border>
      </ndxf>
    </rcc>
    <rcc rId="0" sId="1" dxf="1">
      <nc r="Z307">
        <v>1</v>
      </nc>
      <ndxf>
        <alignment horizontal="left" vertical="top" readingOrder="0"/>
        <border outline="0">
          <left style="thin">
            <color indexed="64"/>
          </left>
          <right style="thin">
            <color indexed="64"/>
          </right>
          <top style="thin">
            <color indexed="64"/>
          </top>
          <bottom style="thin">
            <color indexed="64"/>
          </bottom>
        </border>
      </ndxf>
    </rcc>
    <rcc rId="0" sId="1" dxf="1">
      <nc r="AA307"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07">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07">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07">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07"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07"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L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M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N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rc>
  <rrc rId="1024" sId="1" ref="A307:XFD307" action="deleteRow">
    <undo index="0" exp="ref" v="1" dr="B307" r="B308" sId="1"/>
    <rfmt sheetId="1" xfDxf="1" sqref="A307:XFD307" start="0" length="0"/>
    <rcc rId="0" sId="1" dxf="1">
      <nc r="B307">
        <f>#REF!+1</f>
      </nc>
      <n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0" sId="1" dxf="1">
      <nc r="C307">
        <v>20200519</v>
      </nc>
      <ndxf>
        <alignment horizontal="left" vertical="top" readingOrder="0"/>
        <border outline="0">
          <left style="thin">
            <color indexed="64"/>
          </left>
          <right style="thin">
            <color indexed="64"/>
          </right>
          <top style="thin">
            <color indexed="64"/>
          </top>
          <bottom style="thin">
            <color indexed="64"/>
          </bottom>
        </border>
      </ndxf>
    </rcc>
    <rcc rId="0" sId="1" dxf="1">
      <nc r="D307" t="inlineStr">
        <is>
          <t>ASW</t>
        </is>
      </nc>
      <ndxf>
        <alignment horizontal="left" vertical="top" readingOrder="0"/>
        <border outline="0">
          <left style="thin">
            <color indexed="64"/>
          </left>
          <right style="thin">
            <color indexed="64"/>
          </right>
          <top style="thin">
            <color indexed="64"/>
          </top>
          <bottom style="thin">
            <color indexed="64"/>
          </bottom>
        </border>
      </ndxf>
    </rcc>
    <rcc rId="0" sId="1" dxf="1">
      <nc r="E307"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07" t="inlineStr">
        <is>
          <t>-</t>
        </is>
      </nc>
      <ndxf>
        <alignment horizontal="left" vertical="top" readingOrder="0"/>
        <border outline="0">
          <left style="thin">
            <color indexed="64"/>
          </left>
          <right style="thin">
            <color indexed="64"/>
          </right>
          <top style="thin">
            <color indexed="64"/>
          </top>
          <bottom style="thin">
            <color indexed="64"/>
          </bottom>
        </border>
      </ndxf>
    </rcc>
    <rcc rId="0" sId="1" dxf="1">
      <nc r="G307">
        <v>1474071</v>
      </nc>
      <ndxf>
        <alignment horizontal="left" vertical="top" readingOrder="0"/>
        <border outline="0">
          <left style="thin">
            <color indexed="64"/>
          </left>
          <right style="thin">
            <color indexed="64"/>
          </right>
          <top style="thin">
            <color indexed="64"/>
          </top>
          <bottom style="thin">
            <color indexed="64"/>
          </bottom>
        </border>
      </ndxf>
    </rcc>
    <rcc rId="0" sId="1" dxf="1" quotePrefix="1">
      <nc r="H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07" t="inlineStr">
        <is>
          <t>EBC_RequestMode</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07"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07"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07"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307" t="inlineStr">
        <is>
          <t>ESP93hevXEncapSWCust_ECU_CSW_BB97468.axl</t>
        </is>
      </nc>
      <ndxf>
        <alignment horizontal="left" vertical="top" readingOrder="0"/>
        <border outline="0">
          <left style="thin">
            <color indexed="64"/>
          </left>
          <right style="thin">
            <color indexed="64"/>
          </right>
          <top style="thin">
            <color indexed="64"/>
          </top>
          <bottom style="thin">
            <color indexed="64"/>
          </bottom>
        </border>
      </ndxf>
    </rcc>
    <rcc rId="0" sId="1" dxf="1">
      <nc r="O307">
        <v>1.2</v>
      </nc>
      <ndxf>
        <alignment horizontal="left" vertical="top" readingOrder="0"/>
        <border outline="0">
          <left style="thin">
            <color indexed="64"/>
          </left>
          <right style="thin">
            <color indexed="64"/>
          </right>
          <top style="thin">
            <color indexed="64"/>
          </top>
          <bottom style="thin">
            <color indexed="64"/>
          </bottom>
        </border>
      </ndxf>
    </rcc>
    <rcc rId="0" sId="1" dxf="1" quotePrefix="1">
      <nc r="P307" t="inlineStr">
        <is>
          <t>CHENG Jie (CC-AS/EVA-SW1-CN)</t>
        </is>
      </nc>
      <ndxf>
        <alignment horizontal="left" vertical="top" readingOrder="0"/>
        <border outline="0">
          <left style="thin">
            <color indexed="64"/>
          </left>
          <right style="thin">
            <color indexed="64"/>
          </right>
          <top style="thin">
            <color indexed="64"/>
          </top>
          <bottom style="thin">
            <color indexed="64"/>
          </bottom>
        </border>
      </ndxf>
    </rcc>
    <rfmt sheetId="1" sqref="Q30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07" t="inlineStr">
        <is>
          <t>duong.nguyen</t>
        </is>
      </nc>
      <ndxf>
        <alignment horizontal="left" vertical="top" readingOrder="0"/>
        <border outline="0">
          <left style="thin">
            <color indexed="64"/>
          </left>
          <right style="thin">
            <color indexed="64"/>
          </right>
          <top style="thin">
            <color indexed="64"/>
          </top>
          <bottom style="thin">
            <color indexed="64"/>
          </bottom>
        </border>
      </ndxf>
    </rcc>
    <rfmt sheetId="1" sqref="T307" start="0" length="0">
      <dxf>
        <alignment horizontal="left" vertical="top" readingOrder="0"/>
        <border outline="0">
          <left style="thin">
            <color indexed="64"/>
          </left>
          <right style="thin">
            <color indexed="64"/>
          </right>
          <top style="thin">
            <color indexed="64"/>
          </top>
          <bottom style="thin">
            <color indexed="64"/>
          </bottom>
        </border>
      </dxf>
    </rfmt>
    <rfmt sheetId="1" sqref="U307" start="0" length="0">
      <dxf>
        <alignment horizontal="left" vertical="top" readingOrder="0"/>
        <border outline="0">
          <left style="thin">
            <color indexed="64"/>
          </left>
          <right style="thin">
            <color indexed="64"/>
          </right>
          <top style="thin">
            <color indexed="64"/>
          </top>
          <bottom style="thin">
            <color indexed="64"/>
          </bottom>
        </border>
      </dxf>
    </rfmt>
    <rcc rId="0" sId="1" dxf="1">
      <nc r="V307">
        <v>20</v>
      </nc>
      <ndxf>
        <alignment horizontal="left" vertical="top" readingOrder="0"/>
        <border outline="0">
          <left style="thin">
            <color indexed="64"/>
          </left>
          <right style="thin">
            <color indexed="64"/>
          </right>
          <top style="thin">
            <color indexed="64"/>
          </top>
          <bottom style="thin">
            <color indexed="64"/>
          </bottom>
        </border>
      </ndxf>
    </rcc>
    <rcc rId="0" sId="1" dxf="1">
      <nc r="W307">
        <f>V307</f>
      </nc>
      <ndxf>
        <alignment horizontal="left" vertical="top" readingOrder="0"/>
        <border outline="0">
          <left style="thin">
            <color indexed="64"/>
          </left>
          <right style="thin">
            <color indexed="64"/>
          </right>
          <top style="thin">
            <color indexed="64"/>
          </top>
          <bottom style="thin">
            <color indexed="64"/>
          </bottom>
        </border>
      </ndxf>
    </rcc>
    <rfmt sheetId="1" sqref="X307" start="0" length="0">
      <dxf>
        <alignment horizontal="left" vertical="top" readingOrder="0"/>
        <border outline="0">
          <left style="thin">
            <color indexed="64"/>
          </left>
          <right style="thin">
            <color indexed="64"/>
          </right>
          <top style="thin">
            <color indexed="64"/>
          </top>
          <bottom style="thin">
            <color indexed="64"/>
          </bottom>
        </border>
      </dxf>
    </rfmt>
    <rcc rId="0" sId="1" dxf="1">
      <nc r="Y307">
        <f>ROUNDDOWN(W307/HLOOKUP(D307,Table!$C$3:$D$4,2,0)*8,2)</f>
      </nc>
      <ndxf>
        <alignment horizontal="left" vertical="top" readingOrder="0"/>
        <border outline="0">
          <left style="thin">
            <color indexed="64"/>
          </left>
          <right style="thin">
            <color indexed="64"/>
          </right>
          <top style="thin">
            <color indexed="64"/>
          </top>
          <bottom style="thin">
            <color indexed="64"/>
          </bottom>
        </border>
      </ndxf>
    </rcc>
    <rfmt sheetId="1" sqref="Z307" start="0" length="0">
      <dxf>
        <alignment horizontal="left" vertical="top" readingOrder="0"/>
        <border outline="0">
          <left style="thin">
            <color indexed="64"/>
          </left>
          <right style="thin">
            <color indexed="64"/>
          </right>
          <top style="thin">
            <color indexed="64"/>
          </top>
          <bottom style="thin">
            <color indexed="64"/>
          </bottom>
        </border>
      </dxf>
    </rfmt>
    <rfmt sheetId="1" sqref="AA307" start="0" length="0">
      <dxf>
        <alignment horizontal="left" vertical="top" readingOrder="0"/>
        <border outline="0">
          <left style="thin">
            <color indexed="64"/>
          </left>
          <right style="thin">
            <color indexed="64"/>
          </right>
          <top style="thin">
            <color indexed="64"/>
          </top>
          <bottom style="thin">
            <color indexed="64"/>
          </bottom>
        </border>
      </dxf>
    </rfmt>
    <rfmt sheetId="1" sqref="AB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07">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E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7"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7"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7"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quotePrefix="1">
      <nc r="AL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AM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AN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rc>
  <rrc rId="1025" sId="1" ref="A307:XFD307" action="deleteRow">
    <undo index="0" exp="ref" v="1" dr="B307" r="B308" sId="1"/>
    <rfmt sheetId="1" xfDxf="1" sqref="A307:XFD307" start="0" length="0"/>
    <rcc rId="0" sId="1" dxf="1">
      <nc r="B307">
        <f>#REF!+1</f>
      </nc>
      <n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0" sId="1" dxf="1">
      <nc r="C307">
        <v>20200519</v>
      </nc>
      <ndxf>
        <alignment horizontal="left" vertical="top" readingOrder="0"/>
        <border outline="0">
          <left style="thin">
            <color indexed="64"/>
          </left>
          <right style="thin">
            <color indexed="64"/>
          </right>
          <top style="thin">
            <color indexed="64"/>
          </top>
          <bottom style="thin">
            <color indexed="64"/>
          </bottom>
        </border>
      </ndxf>
    </rcc>
    <rcc rId="0" sId="1" dxf="1">
      <nc r="D307" t="inlineStr">
        <is>
          <t>ASW</t>
        </is>
      </nc>
      <ndxf>
        <alignment horizontal="left" vertical="top" readingOrder="0"/>
        <border outline="0">
          <left style="thin">
            <color indexed="64"/>
          </left>
          <right style="thin">
            <color indexed="64"/>
          </right>
          <top style="thin">
            <color indexed="64"/>
          </top>
          <bottom style="thin">
            <color indexed="64"/>
          </bottom>
        </border>
      </ndxf>
    </rcc>
    <rcc rId="0" sId="1" dxf="1">
      <nc r="E307"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07" t="inlineStr">
        <is>
          <t>-</t>
        </is>
      </nc>
      <ndxf>
        <alignment horizontal="left" vertical="top" readingOrder="0"/>
        <border outline="0">
          <left style="thin">
            <color indexed="64"/>
          </left>
          <right style="thin">
            <color indexed="64"/>
          </right>
          <top style="thin">
            <color indexed="64"/>
          </top>
          <bottom style="thin">
            <color indexed="64"/>
          </bottom>
        </border>
      </ndxf>
    </rcc>
    <rcc rId="0" sId="1" dxf="1">
      <nc r="G307">
        <v>1475589</v>
      </nc>
      <ndxf>
        <alignment horizontal="left" vertical="top" readingOrder="0"/>
        <border outline="0">
          <left style="thin">
            <color indexed="64"/>
          </left>
          <right style="thin">
            <color indexed="64"/>
          </right>
          <top style="thin">
            <color indexed="64"/>
          </top>
          <bottom style="thin">
            <color indexed="64"/>
          </bottom>
        </border>
      </ndxf>
    </rcc>
    <rfmt sheetId="1" sqref="H307"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cc rId="0" sId="1" dxf="1">
      <nc r="I307" t="inlineStr">
        <is>
          <t>RDA_VlcTarAx</t>
        </is>
      </nc>
      <ndxf>
        <alignment horizontal="left" vertical="top" readingOrder="0"/>
        <border outline="0">
          <left style="thin">
            <color indexed="64"/>
          </left>
          <right style="thin">
            <color indexed="64"/>
          </right>
          <top style="thin">
            <color indexed="64"/>
          </top>
          <bottom style="thin">
            <color indexed="64"/>
          </bottom>
        </border>
      </ndxf>
    </rcc>
    <rfmt sheetId="1" sqref="J307"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cc rId="0" sId="1" dxf="1">
      <nc r="K307"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07"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07"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307" t="inlineStr">
        <is>
          <t>RPAESPHevXEncapSWCust_ECU_CSW_BB99704(1).axl</t>
        </is>
      </nc>
      <ndxf>
        <alignment horizontal="left" vertical="top" readingOrder="0"/>
        <border outline="0">
          <left style="thin">
            <color indexed="64"/>
          </left>
          <right style="thin">
            <color indexed="64"/>
          </right>
          <top style="thin">
            <color indexed="64"/>
          </top>
          <bottom style="thin">
            <color indexed="64"/>
          </bottom>
        </border>
      </ndxf>
    </rcc>
    <rcc rId="0" sId="1" dxf="1">
      <nc r="O307">
        <v>1.1000000000000001</v>
      </nc>
      <ndxf>
        <alignment horizontal="left" vertical="top" readingOrder="0"/>
        <border outline="0">
          <left style="thin">
            <color indexed="64"/>
          </left>
          <right style="thin">
            <color indexed="64"/>
          </right>
          <top style="thin">
            <color indexed="64"/>
          </top>
          <bottom style="thin">
            <color indexed="64"/>
          </bottom>
        </border>
      </ndxf>
    </rcc>
    <rcc rId="0" sId="1" dxf="1" quotePrefix="1">
      <nc r="P307" t="inlineStr">
        <is>
          <t>ZHONG Yan (CC-AS/EVA-SW2-CN)</t>
        </is>
      </nc>
      <ndxf>
        <alignment horizontal="left" vertical="top" readingOrder="0"/>
        <border outline="0">
          <left style="thin">
            <color indexed="64"/>
          </left>
          <right style="thin">
            <color indexed="64"/>
          </right>
          <top style="thin">
            <color indexed="64"/>
          </top>
          <bottom style="thin">
            <color indexed="64"/>
          </bottom>
        </border>
      </ndxf>
    </rcc>
    <rfmt sheetId="1" sqref="Q30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07" t="inlineStr">
        <is>
          <t>duong.nguyen</t>
        </is>
      </nc>
      <ndxf>
        <alignment horizontal="left" vertical="top" readingOrder="0"/>
        <border outline="0">
          <left style="thin">
            <color indexed="64"/>
          </left>
          <right style="thin">
            <color indexed="64"/>
          </right>
          <top style="thin">
            <color indexed="64"/>
          </top>
          <bottom style="thin">
            <color indexed="64"/>
          </bottom>
        </border>
      </ndxf>
    </rcc>
    <rfmt sheetId="1" sqref="T307" start="0" length="0">
      <dxf>
        <alignment horizontal="left" vertical="top" readingOrder="0"/>
        <border outline="0">
          <left style="thin">
            <color indexed="64"/>
          </left>
          <right style="thin">
            <color indexed="64"/>
          </right>
          <top style="thin">
            <color indexed="64"/>
          </top>
          <bottom style="thin">
            <color indexed="64"/>
          </bottom>
        </border>
      </dxf>
    </rfmt>
    <rfmt sheetId="1" sqref="U307" start="0" length="0">
      <dxf>
        <alignment horizontal="left" vertical="top" readingOrder="0"/>
        <border outline="0">
          <left style="thin">
            <color indexed="64"/>
          </left>
          <right style="thin">
            <color indexed="64"/>
          </right>
          <top style="thin">
            <color indexed="64"/>
          </top>
          <bottom style="thin">
            <color indexed="64"/>
          </bottom>
        </border>
      </dxf>
    </rfmt>
    <rcc rId="0" sId="1" dxf="1">
      <nc r="V307">
        <v>16</v>
      </nc>
      <ndxf>
        <alignment horizontal="left" vertical="top" readingOrder="0"/>
        <border outline="0">
          <left style="thin">
            <color indexed="64"/>
          </left>
          <right style="thin">
            <color indexed="64"/>
          </right>
          <top style="thin">
            <color indexed="64"/>
          </top>
          <bottom style="thin">
            <color indexed="64"/>
          </bottom>
        </border>
      </ndxf>
    </rcc>
    <rcc rId="0" sId="1" dxf="1">
      <nc r="W307">
        <f>V307</f>
      </nc>
      <ndxf>
        <alignment horizontal="left" vertical="top" readingOrder="0"/>
        <border outline="0">
          <left style="thin">
            <color indexed="64"/>
          </left>
          <right style="thin">
            <color indexed="64"/>
          </right>
          <top style="thin">
            <color indexed="64"/>
          </top>
          <bottom style="thin">
            <color indexed="64"/>
          </bottom>
        </border>
      </ndxf>
    </rcc>
    <rcc rId="0" sId="1" dxf="1">
      <nc r="X307">
        <f>W307</f>
      </nc>
      <ndxf>
        <alignment horizontal="left" vertical="top" readingOrder="0"/>
        <border outline="0">
          <left style="thin">
            <color indexed="64"/>
          </left>
          <right style="thin">
            <color indexed="64"/>
          </right>
          <top style="thin">
            <color indexed="64"/>
          </top>
          <bottom style="thin">
            <color indexed="64"/>
          </bottom>
        </border>
      </ndxf>
    </rcc>
    <rcc rId="0" sId="1" dxf="1">
      <nc r="Y307">
        <f>ROUNDDOWN(W307/HLOOKUP(D307,Table!$C$3:$D$4,2,0)*8,2)</f>
      </nc>
      <ndxf>
        <alignment horizontal="left" vertical="top" readingOrder="0"/>
        <border outline="0">
          <left style="thin">
            <color indexed="64"/>
          </left>
          <right style="thin">
            <color indexed="64"/>
          </right>
          <top style="thin">
            <color indexed="64"/>
          </top>
          <bottom style="thin">
            <color indexed="64"/>
          </bottom>
        </border>
      </ndxf>
    </rcc>
    <rcc rId="0" sId="1" dxf="1">
      <nc r="Z307">
        <v>1</v>
      </nc>
      <ndxf>
        <alignment horizontal="left" vertical="top" readingOrder="0"/>
        <border outline="0">
          <left style="thin">
            <color indexed="64"/>
          </left>
          <right style="thin">
            <color indexed="64"/>
          </right>
          <top style="thin">
            <color indexed="64"/>
          </top>
          <bottom style="thin">
            <color indexed="64"/>
          </bottom>
        </border>
      </ndxf>
    </rcc>
    <rcc rId="0" sId="1" dxf="1">
      <nc r="AA307"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07">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07">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07">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07"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07"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AM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AN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rc>
  <rrc rId="1026" sId="1" ref="A307:XFD307" action="deleteRow">
    <undo index="0" exp="ref" v="1" dr="B307" r="B308" sId="1"/>
    <rfmt sheetId="1" xfDxf="1" sqref="A307:XFD307" start="0" length="0"/>
    <rcc rId="0" sId="1" dxf="1">
      <nc r="B307">
        <f>#REF!+1</f>
      </nc>
      <n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0" sId="1" dxf="1">
      <nc r="C307">
        <v>20200519</v>
      </nc>
      <ndxf>
        <alignment horizontal="left" vertical="top" readingOrder="0"/>
        <border outline="0">
          <left style="thin">
            <color indexed="64"/>
          </left>
          <right style="thin">
            <color indexed="64"/>
          </right>
          <top style="thin">
            <color indexed="64"/>
          </top>
          <bottom style="thin">
            <color indexed="64"/>
          </bottom>
        </border>
      </ndxf>
    </rcc>
    <rcc rId="0" sId="1" dxf="1">
      <nc r="D307" t="inlineStr">
        <is>
          <t>ASW</t>
        </is>
      </nc>
      <ndxf>
        <alignment horizontal="left" vertical="top" readingOrder="0"/>
        <border outline="0">
          <left style="thin">
            <color indexed="64"/>
          </left>
          <right style="thin">
            <color indexed="64"/>
          </right>
          <top style="thin">
            <color indexed="64"/>
          </top>
          <bottom style="thin">
            <color indexed="64"/>
          </bottom>
        </border>
      </ndxf>
    </rcc>
    <rcc rId="0" sId="1" dxf="1">
      <nc r="E307"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07" t="inlineStr">
        <is>
          <t>-</t>
        </is>
      </nc>
      <ndxf>
        <alignment horizontal="left" vertical="top" readingOrder="0"/>
        <border outline="0">
          <left style="thin">
            <color indexed="64"/>
          </left>
          <right style="thin">
            <color indexed="64"/>
          </right>
          <top style="thin">
            <color indexed="64"/>
          </top>
          <bottom style="thin">
            <color indexed="64"/>
          </bottom>
        </border>
      </ndxf>
    </rcc>
    <rcc rId="0" sId="1" dxf="1">
      <nc r="G307">
        <v>1475589</v>
      </nc>
      <ndxf>
        <alignment horizontal="left" vertical="top" readingOrder="0"/>
        <border outline="0">
          <left style="thin">
            <color indexed="64"/>
          </left>
          <right style="thin">
            <color indexed="64"/>
          </right>
          <top style="thin">
            <color indexed="64"/>
          </top>
          <bottom style="thin">
            <color indexed="64"/>
          </bottom>
        </border>
      </ndxf>
    </rcc>
    <rcc rId="0" sId="1" dxf="1" quotePrefix="1">
      <nc r="H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07" t="inlineStr">
        <is>
          <t>CDD_AxTarLim</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07"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07"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07"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307" t="inlineStr">
        <is>
          <t>CDDiBooster_ECU_CSW_BB00001.axl</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307" t="inlineStr">
        <is>
          <t>1.2.146310.0</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307" t="inlineStr">
        <is>
          <t>ZHONG Yan (CC-AS/EVA-SW2-CN)</t>
        </is>
      </nc>
      <ndxf>
        <alignment horizontal="left" vertical="top" readingOrder="0"/>
        <border outline="0">
          <left style="thin">
            <color indexed="64"/>
          </left>
          <right style="thin">
            <color indexed="64"/>
          </right>
          <top style="thin">
            <color indexed="64"/>
          </top>
          <bottom style="thin">
            <color indexed="64"/>
          </bottom>
        </border>
      </ndxf>
    </rcc>
    <rfmt sheetId="1" sqref="Q30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07"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307" start="0" length="0">
      <dxf>
        <alignment horizontal="left" vertical="top" readingOrder="0"/>
        <border outline="0">
          <left style="thin">
            <color indexed="64"/>
          </left>
          <right style="thin">
            <color indexed="64"/>
          </right>
          <top style="thin">
            <color indexed="64"/>
          </top>
          <bottom style="thin">
            <color indexed="64"/>
          </bottom>
        </border>
      </dxf>
    </rfmt>
    <rfmt sheetId="1" sqref="U307" start="0" length="0">
      <dxf>
        <alignment horizontal="left" vertical="top" readingOrder="0"/>
        <border outline="0">
          <left style="thin">
            <color indexed="64"/>
          </left>
          <right style="thin">
            <color indexed="64"/>
          </right>
          <top style="thin">
            <color indexed="64"/>
          </top>
          <bottom style="thin">
            <color indexed="64"/>
          </bottom>
        </border>
      </dxf>
    </rfmt>
    <rcc rId="0" sId="1" dxf="1">
      <nc r="V307">
        <v>10</v>
      </nc>
      <ndxf>
        <alignment horizontal="left" vertical="top" readingOrder="0"/>
        <border outline="0">
          <left style="thin">
            <color indexed="64"/>
          </left>
          <right style="thin">
            <color indexed="64"/>
          </right>
          <top style="thin">
            <color indexed="64"/>
          </top>
          <bottom style="thin">
            <color indexed="64"/>
          </bottom>
        </border>
      </ndxf>
    </rcc>
    <rcc rId="0" sId="1" dxf="1">
      <nc r="W307">
        <f>V307</f>
      </nc>
      <ndxf>
        <alignment horizontal="left" vertical="top" readingOrder="0"/>
        <border outline="0">
          <left style="thin">
            <color indexed="64"/>
          </left>
          <right style="thin">
            <color indexed="64"/>
          </right>
          <top style="thin">
            <color indexed="64"/>
          </top>
          <bottom style="thin">
            <color indexed="64"/>
          </bottom>
        </border>
      </ndxf>
    </rcc>
    <rcc rId="0" sId="1" dxf="1">
      <nc r="X307">
        <f>W307</f>
      </nc>
      <ndxf>
        <alignment horizontal="left" vertical="top" readingOrder="0"/>
        <border outline="0">
          <left style="thin">
            <color indexed="64"/>
          </left>
          <right style="thin">
            <color indexed="64"/>
          </right>
          <top style="thin">
            <color indexed="64"/>
          </top>
          <bottom style="thin">
            <color indexed="64"/>
          </bottom>
        </border>
      </ndxf>
    </rcc>
    <rcc rId="0" sId="1" dxf="1">
      <nc r="Y307">
        <f>ROUNDDOWN(W307/HLOOKUP(D307,Table!$C$3:$D$4,2,0)*8,2)</f>
      </nc>
      <ndxf>
        <alignment horizontal="left" vertical="top" readingOrder="0"/>
        <border outline="0">
          <left style="thin">
            <color indexed="64"/>
          </left>
          <right style="thin">
            <color indexed="64"/>
          </right>
          <top style="thin">
            <color indexed="64"/>
          </top>
          <bottom style="thin">
            <color indexed="64"/>
          </bottom>
        </border>
      </ndxf>
    </rcc>
    <rcc rId="0" sId="1" dxf="1">
      <nc r="Z307">
        <v>0.5</v>
      </nc>
      <ndxf>
        <alignment horizontal="left" vertical="top" readingOrder="0"/>
        <border outline="0">
          <left style="thin">
            <color indexed="64"/>
          </left>
          <right style="thin">
            <color indexed="64"/>
          </right>
          <top style="thin">
            <color indexed="64"/>
          </top>
          <bottom style="thin">
            <color indexed="64"/>
          </bottom>
        </border>
      </ndxf>
    </rcc>
    <rcc rId="0" sId="1" dxf="1">
      <nc r="AA307"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07">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07">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07">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07" t="inlineStr">
        <is>
          <t>NG</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07">
        <v>0.83</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07">
        <v>0.83</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307">
        <v>0.71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07"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L307" t="inlineStr">
        <is>
          <t>Param1D C0,C1,MCDC not 100%.</t>
        </is>
      </nc>
      <ndxf>
        <alignment horizontal="left" vertical="top" readingOrder="0"/>
        <border outline="0">
          <left style="thin">
            <color indexed="64"/>
          </left>
          <right style="thin">
            <color indexed="64"/>
          </right>
          <top style="thin">
            <color indexed="64"/>
          </top>
          <bottom style="thin">
            <color indexed="64"/>
          </bottom>
        </border>
      </ndxf>
    </rcc>
    <rfmt sheetId="1" sqref="AM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N307"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rc>
  <rrc rId="1027" sId="1" ref="A307:XFD307" action="deleteRow">
    <undo index="0" exp="ref" v="1" dr="B307" r="B308" sId="1"/>
    <rfmt sheetId="1" xfDxf="1" sqref="A307:XFD307" start="0" length="0"/>
    <rcc rId="0" sId="1" dxf="1">
      <nc r="B307">
        <f>#REF!+1</f>
      </nc>
      <n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0" sId="1" dxf="1">
      <nc r="C307">
        <v>20200519</v>
      </nc>
      <ndxf>
        <alignment horizontal="left" vertical="top" readingOrder="0"/>
        <border outline="0">
          <left style="thin">
            <color indexed="64"/>
          </left>
          <right style="thin">
            <color indexed="64"/>
          </right>
          <top style="thin">
            <color indexed="64"/>
          </top>
          <bottom style="thin">
            <color indexed="64"/>
          </bottom>
        </border>
      </ndxf>
    </rcc>
    <rcc rId="0" sId="1" dxf="1">
      <nc r="D307" t="inlineStr">
        <is>
          <t>ASW</t>
        </is>
      </nc>
      <ndxf>
        <alignment horizontal="left" vertical="top" readingOrder="0"/>
        <border outline="0">
          <left style="thin">
            <color indexed="64"/>
          </left>
          <right style="thin">
            <color indexed="64"/>
          </right>
          <top style="thin">
            <color indexed="64"/>
          </top>
          <bottom style="thin">
            <color indexed="64"/>
          </bottom>
        </border>
      </ndxf>
    </rcc>
    <rcc rId="0" sId="1" dxf="1">
      <nc r="E307"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307" t="inlineStr">
        <is>
          <t>-</t>
        </is>
      </nc>
      <ndxf>
        <alignment horizontal="left" vertical="top" readingOrder="0"/>
        <border outline="0">
          <left style="thin">
            <color indexed="64"/>
          </left>
          <right style="thin">
            <color indexed="64"/>
          </right>
          <top style="thin">
            <color indexed="64"/>
          </top>
          <bottom style="thin">
            <color indexed="64"/>
          </bottom>
        </border>
      </ndxf>
    </rcc>
    <rcc rId="0" sId="1" dxf="1">
      <nc r="G307">
        <v>1475589</v>
      </nc>
      <ndxf>
        <alignment horizontal="left" vertical="top" readingOrder="0"/>
        <border outline="0">
          <left style="thin">
            <color indexed="64"/>
          </left>
          <right style="thin">
            <color indexed="64"/>
          </right>
          <top style="thin">
            <color indexed="64"/>
          </top>
          <bottom style="thin">
            <color indexed="64"/>
          </bottom>
        </border>
      </ndxf>
    </rcc>
    <rcc rId="0" sId="1" dxf="1" quotePrefix="1">
      <nc r="H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307" t="inlineStr">
        <is>
          <t>RDA_CustDegradationAvlDeter</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307"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307"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307"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307" t="inlineStr">
        <is>
          <t>RPAESPHevXEncapSWCust_ECU_CSW_BB99704.axl</t>
        </is>
      </nc>
      <ndxf>
        <alignment horizontal="left" vertical="top" readingOrder="0"/>
        <border outline="0">
          <left style="thin">
            <color indexed="64"/>
          </left>
          <right style="thin">
            <color indexed="64"/>
          </right>
          <top style="thin">
            <color indexed="64"/>
          </top>
          <bottom style="thin">
            <color indexed="64"/>
          </bottom>
        </border>
      </ndxf>
    </rcc>
    <rcc rId="0" sId="1" dxf="1">
      <nc r="O307">
        <v>1</v>
      </nc>
      <ndxf>
        <alignment horizontal="left" vertical="top" readingOrder="0"/>
        <border outline="0">
          <left style="thin">
            <color indexed="64"/>
          </left>
          <right style="thin">
            <color indexed="64"/>
          </right>
          <top style="thin">
            <color indexed="64"/>
          </top>
          <bottom style="thin">
            <color indexed="64"/>
          </bottom>
        </border>
      </ndxf>
    </rcc>
    <rcc rId="0" sId="1" dxf="1" quotePrefix="1">
      <nc r="P307" t="inlineStr">
        <is>
          <t>ZHONG Yan (CC-AS/EVA-SW2-CN)</t>
        </is>
      </nc>
      <ndxf>
        <alignment horizontal="left" vertical="top" readingOrder="0"/>
        <border outline="0">
          <left style="thin">
            <color indexed="64"/>
          </left>
          <right style="thin">
            <color indexed="64"/>
          </right>
          <top style="thin">
            <color indexed="64"/>
          </top>
          <bottom style="thin">
            <color indexed="64"/>
          </bottom>
        </border>
      </ndxf>
    </rcc>
    <rfmt sheetId="1" sqref="Q30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307" t="inlineStr">
        <is>
          <t>chung.ly</t>
        </is>
      </nc>
      <ndxf>
        <alignment horizontal="left" vertical="top" readingOrder="0"/>
        <border outline="0">
          <left style="thin">
            <color indexed="64"/>
          </left>
          <right style="thin">
            <color indexed="64"/>
          </right>
          <top style="thin">
            <color indexed="64"/>
          </top>
          <bottom style="thin">
            <color indexed="64"/>
          </bottom>
        </border>
      </ndxf>
    </rcc>
    <rfmt sheetId="1" sqref="T307" start="0" length="0">
      <dxf>
        <alignment horizontal="left" vertical="top" readingOrder="0"/>
        <border outline="0">
          <left style="thin">
            <color indexed="64"/>
          </left>
          <right style="thin">
            <color indexed="64"/>
          </right>
          <top style="thin">
            <color indexed="64"/>
          </top>
          <bottom style="thin">
            <color indexed="64"/>
          </bottom>
        </border>
      </dxf>
    </rfmt>
    <rfmt sheetId="1" sqref="U307" start="0" length="0">
      <dxf>
        <alignment horizontal="left" vertical="top" readingOrder="0"/>
        <border outline="0">
          <left style="thin">
            <color indexed="64"/>
          </left>
          <right style="thin">
            <color indexed="64"/>
          </right>
          <top style="thin">
            <color indexed="64"/>
          </top>
          <bottom style="thin">
            <color indexed="64"/>
          </bottom>
        </border>
      </dxf>
    </rfmt>
    <rcc rId="0" sId="1" dxf="1">
      <nc r="V307">
        <v>11</v>
      </nc>
      <ndxf>
        <alignment horizontal="left" vertical="top" readingOrder="0"/>
        <border outline="0">
          <left style="thin">
            <color indexed="64"/>
          </left>
          <right style="thin">
            <color indexed="64"/>
          </right>
          <top style="thin">
            <color indexed="64"/>
          </top>
          <bottom style="thin">
            <color indexed="64"/>
          </bottom>
        </border>
      </ndxf>
    </rcc>
    <rcc rId="0" sId="1" dxf="1">
      <nc r="W307">
        <f>V307</f>
      </nc>
      <ndxf>
        <alignment horizontal="left" vertical="top" readingOrder="0"/>
        <border outline="0">
          <left style="thin">
            <color indexed="64"/>
          </left>
          <right style="thin">
            <color indexed="64"/>
          </right>
          <top style="thin">
            <color indexed="64"/>
          </top>
          <bottom style="thin">
            <color indexed="64"/>
          </bottom>
        </border>
      </ndxf>
    </rcc>
    <rcc rId="0" sId="1" dxf="1">
      <nc r="X307">
        <f>W307</f>
      </nc>
      <ndxf>
        <alignment horizontal="left" vertical="top" readingOrder="0"/>
        <border outline="0">
          <left style="thin">
            <color indexed="64"/>
          </left>
          <right style="thin">
            <color indexed="64"/>
          </right>
          <top style="thin">
            <color indexed="64"/>
          </top>
          <bottom style="thin">
            <color indexed="64"/>
          </bottom>
        </border>
      </ndxf>
    </rcc>
    <rcc rId="0" sId="1" dxf="1">
      <nc r="Y307">
        <f>ROUNDDOWN(W307/HLOOKUP(D307,Table!$C$3:$D$4,2,0)*8,2)</f>
      </nc>
      <ndxf>
        <alignment horizontal="left" vertical="top" readingOrder="0"/>
        <border outline="0">
          <left style="thin">
            <color indexed="64"/>
          </left>
          <right style="thin">
            <color indexed="64"/>
          </right>
          <top style="thin">
            <color indexed="64"/>
          </top>
          <bottom style="thin">
            <color indexed="64"/>
          </bottom>
        </border>
      </ndxf>
    </rcc>
    <rcc rId="0" sId="1" dxf="1">
      <nc r="Z307">
        <v>0.5</v>
      </nc>
      <ndxf>
        <alignment horizontal="left" vertical="top" readingOrder="0"/>
        <border outline="0">
          <left style="thin">
            <color indexed="64"/>
          </left>
          <right style="thin">
            <color indexed="64"/>
          </right>
          <top style="thin">
            <color indexed="64"/>
          </top>
          <bottom style="thin">
            <color indexed="64"/>
          </bottom>
        </border>
      </ndxf>
    </rcc>
    <rcc rId="0" sId="1" dxf="1">
      <nc r="AA307"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30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30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307">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307">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07">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307" t="inlineStr">
        <is>
          <t>NG</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30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307">
        <v>0.85699999999999998</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J307" t="inlineStr">
        <is>
          <t>N/A</t>
        </is>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307"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307" t="inlineStr">
        <is>
          <t>-Can't cover for else condition</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M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N307"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rc>
  <rrc rId="1028" sId="1" ref="A288:XFD288" action="deleteRow">
    <undo index="0" exp="ref" v="1" dr="B288" r="B289" sId="1"/>
    <rfmt sheetId="1" xfDxf="1" sqref="A288:XFD288" start="0" length="0"/>
    <rcc rId="0" sId="1" dxf="1">
      <nc r="B288">
        <f>B287+1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88">
        <v>20200518</v>
      </nc>
      <ndxf>
        <alignment horizontal="left" vertical="top" readingOrder="0"/>
        <border outline="0">
          <left style="thin">
            <color indexed="64"/>
          </left>
          <right style="thin">
            <color indexed="64"/>
          </right>
          <top style="thin">
            <color indexed="64"/>
          </top>
          <bottom style="thin">
            <color indexed="64"/>
          </bottom>
        </border>
      </ndxf>
    </rcc>
    <rcc rId="0" sId="1" dxf="1">
      <nc r="D288"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88"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88" t="inlineStr">
        <is>
          <t>BAIC_MainPath_HevX_Int\BAICHevX\rb\as\baic\baic_core\app\dcom\RBAPLCust\src\common</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88">
        <v>1369873</v>
      </nc>
      <ndxf>
        <alignment horizontal="left" vertical="top" readingOrder="0"/>
        <border outline="0">
          <left style="thin">
            <color indexed="64"/>
          </left>
          <right style="thin">
            <color indexed="64"/>
          </right>
          <top style="thin">
            <color indexed="64"/>
          </top>
          <bottom style="thin">
            <color indexed="64"/>
          </bottom>
        </border>
      </ndxf>
    </rcc>
    <rcc rId="0" sId="1" dxf="1" quotePrefix="1">
      <nc r="H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88" t="inlineStr">
        <is>
          <t>RBAPLCUST_DiagnosticSessionControl.c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88"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88" t="inlineStr">
        <is>
          <t>BB98378, BB98379</t>
        </is>
      </nc>
      <ndxf>
        <alignment horizontal="left" vertical="top" readingOrder="0"/>
        <border outline="0">
          <left style="thin">
            <color indexed="64"/>
          </left>
          <right style="thin">
            <color indexed="64"/>
          </right>
          <top style="thin">
            <color indexed="64"/>
          </top>
          <bottom style="thin">
            <color indexed="64"/>
          </bottom>
        </border>
      </ndxf>
    </rcc>
    <rcc rId="0" sId="1" dxf="1">
      <nc r="M288"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88"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8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88" t="inlineStr">
        <is>
          <t>LIANG Xin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8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88" t="inlineStr">
        <is>
          <t>duong.nguyen</t>
        </is>
      </nc>
      <ndxf>
        <alignment horizontal="left" vertical="top" readingOrder="0"/>
        <border outline="0">
          <left style="thin">
            <color indexed="64"/>
          </left>
          <right style="thin">
            <color indexed="64"/>
          </right>
          <top style="thin">
            <color indexed="64"/>
          </top>
          <bottom style="thin">
            <color indexed="64"/>
          </bottom>
        </border>
      </ndxf>
    </rcc>
    <rfmt sheetId="1" sqref="T288" start="0" length="0">
      <dxf>
        <alignment horizontal="left" vertical="top" readingOrder="0"/>
        <border outline="0">
          <left style="thin">
            <color indexed="64"/>
          </left>
          <right style="thin">
            <color indexed="64"/>
          </right>
          <top style="thin">
            <color indexed="64"/>
          </top>
          <bottom style="thin">
            <color indexed="64"/>
          </bottom>
        </border>
      </dxf>
    </rfmt>
    <rfmt sheetId="1" sqref="U288" start="0" length="0">
      <dxf>
        <alignment horizontal="left" vertical="top" readingOrder="0"/>
        <border outline="0">
          <left style="thin">
            <color indexed="64"/>
          </left>
          <right style="thin">
            <color indexed="64"/>
          </right>
          <top style="thin">
            <color indexed="64"/>
          </top>
          <bottom style="thin">
            <color indexed="64"/>
          </bottom>
        </border>
      </dxf>
    </rfmt>
    <rcc rId="0" sId="1" dxf="1">
      <nc r="V288">
        <v>259</v>
      </nc>
      <ndxf>
        <alignment horizontal="left" vertical="top" readingOrder="0"/>
        <border outline="0">
          <left style="thin">
            <color indexed="64"/>
          </left>
          <right style="thin">
            <color indexed="64"/>
          </right>
          <top style="thin">
            <color indexed="64"/>
          </top>
          <bottom style="thin">
            <color indexed="64"/>
          </bottom>
        </border>
      </ndxf>
    </rcc>
    <rcc rId="0" sId="1" dxf="1">
      <nc r="W288">
        <f>V288</f>
      </nc>
      <ndxf>
        <alignment horizontal="left" vertical="top" readingOrder="0"/>
        <border outline="0">
          <left style="thin">
            <color indexed="64"/>
          </left>
          <right style="thin">
            <color indexed="64"/>
          </right>
          <top style="thin">
            <color indexed="64"/>
          </top>
          <bottom style="thin">
            <color indexed="64"/>
          </bottom>
        </border>
      </ndxf>
    </rcc>
    <rcc rId="0" sId="1" dxf="1">
      <nc r="X288">
        <f>W288</f>
      </nc>
      <ndxf>
        <alignment horizontal="left" vertical="top" readingOrder="0"/>
        <border outline="0">
          <left style="thin">
            <color indexed="64"/>
          </left>
          <right style="thin">
            <color indexed="64"/>
          </right>
          <top style="thin">
            <color indexed="64"/>
          </top>
          <bottom style="thin">
            <color indexed="64"/>
          </bottom>
        </border>
      </ndxf>
    </rcc>
    <rcc rId="0" sId="1" dxf="1">
      <nc r="Y288">
        <f>ROUNDDOWN(W288/HLOOKUP(D288,Table!$C$3:$D$4,2,0)*8,2)</f>
      </nc>
      <ndxf>
        <alignment horizontal="left" vertical="top" readingOrder="0"/>
        <border outline="0">
          <left style="thin">
            <color indexed="64"/>
          </left>
          <right style="thin">
            <color indexed="64"/>
          </right>
          <top style="thin">
            <color indexed="64"/>
          </top>
          <bottom style="thin">
            <color indexed="64"/>
          </bottom>
        </border>
      </ndxf>
    </rcc>
    <rcc rId="0" sId="1" dxf="1">
      <nc r="Z288">
        <v>2</v>
      </nc>
      <ndxf>
        <alignment horizontal="left" vertical="top" readingOrder="0"/>
        <border outline="0">
          <left style="thin">
            <color indexed="64"/>
          </left>
          <right style="thin">
            <color indexed="64"/>
          </right>
          <top style="thin">
            <color indexed="64"/>
          </top>
          <bottom style="thin">
            <color indexed="64"/>
          </bottom>
        </border>
      </ndxf>
    </rcc>
    <rcc rId="0" sId="1" dxf="1">
      <nc r="AA288"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88">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88">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88">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88">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88">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88" t="inlineStr">
        <is>
          <t>NG</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88">
        <v>0.87</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88" t="inlineStr">
        <is>
          <t>OPL</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88" t="inlineStr">
        <is>
          <t>Can't cover fully MCDC for condition at the line#140 and the line #145</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8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88" t="inlineStr">
        <is>
          <t>Have already confirm by owner at the previous phase</t>
        </is>
      </nc>
      <ndxf>
        <alignment horizontal="left" vertical="top" readingOrder="0"/>
        <border outline="0">
          <left style="thin">
            <color indexed="64"/>
          </left>
          <right style="thin">
            <color indexed="64"/>
          </right>
          <top style="thin">
            <color indexed="64"/>
          </top>
          <bottom style="thin">
            <color indexed="64"/>
          </bottom>
        </border>
      </ndxf>
    </rcc>
  </rrc>
  <rrc rId="1029" sId="1" ref="A288:XFD288" action="deleteRow">
    <undo index="0" exp="ref" v="1" dr="B288" r="B289" sId="1"/>
    <rfmt sheetId="1" xfDxf="1" sqref="A288:XFD288" start="0" length="0"/>
    <rcc rId="0" sId="1" dxf="1">
      <nc r="B288">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88">
        <v>20200518</v>
      </nc>
      <ndxf>
        <alignment horizontal="left" vertical="top" readingOrder="0"/>
        <border outline="0">
          <left style="thin">
            <color indexed="64"/>
          </left>
          <right style="thin">
            <color indexed="64"/>
          </right>
          <top style="thin">
            <color indexed="64"/>
          </top>
          <bottom style="thin">
            <color indexed="64"/>
          </bottom>
        </border>
      </ndxf>
    </rcc>
    <rcc rId="0" sId="1" dxf="1">
      <nc r="D288"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88"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88" t="inlineStr">
        <is>
          <t>BAIC_MainPath_HevX_Int\BAICHevX\rb\as\baic\baic_core\app\dcom\RBAPLCust\src\ESP</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88">
        <v>1369873</v>
      </nc>
      <ndxf>
        <alignment horizontal="left" vertical="top" readingOrder="0"/>
        <border outline="0">
          <left style="thin">
            <color indexed="64"/>
          </left>
          <right style="thin">
            <color indexed="64"/>
          </right>
          <top style="thin">
            <color indexed="64"/>
          </top>
          <bottom style="thin">
            <color indexed="64"/>
          </bottom>
        </border>
      </ndxf>
    </rcc>
    <rcc rId="0" sId="1" dxf="1" quotePrefix="1">
      <nc r="H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88" t="inlineStr">
        <is>
          <t>RBAPLCUST_RDBI_IOCtrlState.c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88"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88" t="inlineStr">
        <is>
          <t>BB98378, BB98379</t>
        </is>
      </nc>
      <ndxf>
        <alignment horizontal="left" vertical="top" readingOrder="0"/>
        <border outline="0">
          <left style="thin">
            <color indexed="64"/>
          </left>
          <right style="thin">
            <color indexed="64"/>
          </right>
          <top style="thin">
            <color indexed="64"/>
          </top>
          <bottom style="thin">
            <color indexed="64"/>
          </bottom>
        </border>
      </ndxf>
    </rcc>
    <rcc rId="0" sId="1" dxf="1">
      <nc r="M288"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88"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8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88" t="inlineStr">
        <is>
          <t>LIANG Xin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8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88" t="inlineStr">
        <is>
          <t>chung.ly</t>
        </is>
      </nc>
      <ndxf>
        <alignment horizontal="left" vertical="top" readingOrder="0"/>
        <border outline="0">
          <left style="thin">
            <color indexed="64"/>
          </left>
          <right style="thin">
            <color indexed="64"/>
          </right>
          <top style="thin">
            <color indexed="64"/>
          </top>
          <bottom style="thin">
            <color indexed="64"/>
          </bottom>
        </border>
      </ndxf>
    </rcc>
    <rfmt sheetId="1" sqref="T288" start="0" length="0">
      <dxf>
        <alignment horizontal="left" vertical="top" readingOrder="0"/>
        <border outline="0">
          <left style="thin">
            <color indexed="64"/>
          </left>
          <right style="thin">
            <color indexed="64"/>
          </right>
          <top style="thin">
            <color indexed="64"/>
          </top>
          <bottom style="thin">
            <color indexed="64"/>
          </bottom>
        </border>
      </dxf>
    </rfmt>
    <rfmt sheetId="1" sqref="U288" start="0" length="0">
      <dxf>
        <alignment horizontal="left" vertical="top" readingOrder="0"/>
        <border outline="0">
          <left style="thin">
            <color indexed="64"/>
          </left>
          <right style="thin">
            <color indexed="64"/>
          </right>
          <top style="thin">
            <color indexed="64"/>
          </top>
          <bottom style="thin">
            <color indexed="64"/>
          </bottom>
        </border>
      </dxf>
    </rfmt>
    <rcc rId="0" sId="1" dxf="1">
      <nc r="V288">
        <v>162</v>
      </nc>
      <ndxf>
        <alignment horizontal="left" vertical="top" readingOrder="0"/>
        <border outline="0">
          <left style="thin">
            <color indexed="64"/>
          </left>
          <right style="thin">
            <color indexed="64"/>
          </right>
          <top style="thin">
            <color indexed="64"/>
          </top>
          <bottom style="thin">
            <color indexed="64"/>
          </bottom>
        </border>
      </ndxf>
    </rcc>
    <rcc rId="0" sId="1" dxf="1">
      <nc r="W288">
        <f>V288</f>
      </nc>
      <ndxf>
        <alignment horizontal="left" vertical="top" readingOrder="0"/>
        <border outline="0">
          <left style="thin">
            <color indexed="64"/>
          </left>
          <right style="thin">
            <color indexed="64"/>
          </right>
          <top style="thin">
            <color indexed="64"/>
          </top>
          <bottom style="thin">
            <color indexed="64"/>
          </bottom>
        </border>
      </ndxf>
    </rcc>
    <rcc rId="0" sId="1" dxf="1">
      <nc r="X288">
        <f>W288</f>
      </nc>
      <ndxf>
        <alignment horizontal="left" vertical="top" readingOrder="0"/>
        <border outline="0">
          <left style="thin">
            <color indexed="64"/>
          </left>
          <right style="thin">
            <color indexed="64"/>
          </right>
          <top style="thin">
            <color indexed="64"/>
          </top>
          <bottom style="thin">
            <color indexed="64"/>
          </bottom>
        </border>
      </ndxf>
    </rcc>
    <rcc rId="0" sId="1" dxf="1">
      <nc r="Y288">
        <f>ROUNDDOWN(W288/HLOOKUP(D288,Table!$C$3:$D$4,2,0)*8,2)</f>
      </nc>
      <ndxf>
        <alignment horizontal="left" vertical="top" readingOrder="0"/>
        <border outline="0">
          <left style="thin">
            <color indexed="64"/>
          </left>
          <right style="thin">
            <color indexed="64"/>
          </right>
          <top style="thin">
            <color indexed="64"/>
          </top>
          <bottom style="thin">
            <color indexed="64"/>
          </bottom>
        </border>
      </ndxf>
    </rcc>
    <rcc rId="0" sId="1" dxf="1">
      <nc r="Z288">
        <v>1</v>
      </nc>
      <ndxf>
        <alignment horizontal="left" vertical="top" readingOrder="0"/>
        <border outline="0">
          <left style="thin">
            <color indexed="64"/>
          </left>
          <right style="thin">
            <color indexed="64"/>
          </right>
          <top style="thin">
            <color indexed="64"/>
          </top>
          <bottom style="thin">
            <color indexed="64"/>
          </bottom>
        </border>
      </ndxf>
    </rcc>
    <rcc rId="0" sId="1" dxf="1">
      <nc r="AA288"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88">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88">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88">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88">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88">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88"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88"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8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8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88" t="inlineStr">
        <is>
          <t>-</t>
        </is>
      </nc>
      <ndxf>
        <alignment horizontal="left" vertical="top" readingOrder="0"/>
        <border outline="0">
          <left style="thin">
            <color indexed="64"/>
          </left>
          <right style="thin">
            <color indexed="64"/>
          </right>
          <top style="thin">
            <color indexed="64"/>
          </top>
          <bottom style="thin">
            <color indexed="64"/>
          </bottom>
        </border>
      </ndxf>
    </rcc>
  </rrc>
  <rrc rId="1030" sId="1" ref="A288:XFD288" action="deleteRow">
    <undo index="0" exp="ref" v="1" dr="B288" r="B289" sId="1"/>
    <rfmt sheetId="1" xfDxf="1" sqref="A288:XFD288" start="0" length="0"/>
    <rcc rId="0" sId="1" dxf="1">
      <nc r="B288">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88">
        <v>20200518</v>
      </nc>
      <ndxf>
        <alignment horizontal="left" vertical="top" readingOrder="0"/>
        <border outline="0">
          <left style="thin">
            <color indexed="64"/>
          </left>
          <right style="thin">
            <color indexed="64"/>
          </right>
          <top style="thin">
            <color indexed="64"/>
          </top>
          <bottom style="thin">
            <color indexed="64"/>
          </bottom>
        </border>
      </ndxf>
    </rcc>
    <rcc rId="0" sId="1" dxf="1">
      <nc r="D288"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88"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88" t="inlineStr">
        <is>
          <t>BAIC_MainPath_HevX_Int\BAICHevX\rb\as\baic\baic_core\app\dcom\RBAPLCust\src\ESP</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88">
        <v>1369873</v>
      </nc>
      <ndxf>
        <alignment horizontal="left" vertical="top" readingOrder="0"/>
        <border outline="0">
          <left style="thin">
            <color indexed="64"/>
          </left>
          <right style="thin">
            <color indexed="64"/>
          </right>
          <top style="thin">
            <color indexed="64"/>
          </top>
          <bottom style="thin">
            <color indexed="64"/>
          </bottom>
        </border>
      </ndxf>
    </rcc>
    <rcc rId="0" sId="1" dxf="1" quotePrefix="1">
      <nc r="H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88" t="inlineStr">
        <is>
          <t>RBAPLCUST_RoutineControl_ConditionCheck.c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88"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88" t="inlineStr">
        <is>
          <t>BB98378, BB98379</t>
        </is>
      </nc>
      <ndxf>
        <alignment horizontal="left" vertical="top" readingOrder="0"/>
        <border outline="0">
          <left style="thin">
            <color indexed="64"/>
          </left>
          <right style="thin">
            <color indexed="64"/>
          </right>
          <top style="thin">
            <color indexed="64"/>
          </top>
          <bottom style="thin">
            <color indexed="64"/>
          </bottom>
        </border>
      </ndxf>
    </rcc>
    <rcc rId="0" sId="1" dxf="1">
      <nc r="M288"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88"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8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88" t="inlineStr">
        <is>
          <t>LIANG Xin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8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88"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288" start="0" length="0">
      <dxf>
        <alignment horizontal="left" vertical="top" readingOrder="0"/>
        <border outline="0">
          <left style="thin">
            <color indexed="64"/>
          </left>
          <right style="thin">
            <color indexed="64"/>
          </right>
          <top style="thin">
            <color indexed="64"/>
          </top>
          <bottom style="thin">
            <color indexed="64"/>
          </bottom>
        </border>
      </dxf>
    </rfmt>
    <rfmt sheetId="1" sqref="U288" start="0" length="0">
      <dxf>
        <alignment horizontal="left" vertical="top" readingOrder="0"/>
        <border outline="0">
          <left style="thin">
            <color indexed="64"/>
          </left>
          <right style="thin">
            <color indexed="64"/>
          </right>
          <top style="thin">
            <color indexed="64"/>
          </top>
          <bottom style="thin">
            <color indexed="64"/>
          </bottom>
        </border>
      </dxf>
    </rfmt>
    <rcc rId="0" sId="1" dxf="1">
      <nc r="V288">
        <v>55</v>
      </nc>
      <ndxf>
        <alignment horizontal="left" vertical="top" readingOrder="0"/>
        <border outline="0">
          <left style="thin">
            <color indexed="64"/>
          </left>
          <right style="thin">
            <color indexed="64"/>
          </right>
          <top style="thin">
            <color indexed="64"/>
          </top>
          <bottom style="thin">
            <color indexed="64"/>
          </bottom>
        </border>
      </ndxf>
    </rcc>
    <rcc rId="0" sId="1" dxf="1">
      <nc r="W288">
        <f>V288</f>
      </nc>
      <ndxf>
        <alignment horizontal="left" vertical="top" readingOrder="0"/>
        <border outline="0">
          <left style="thin">
            <color indexed="64"/>
          </left>
          <right style="thin">
            <color indexed="64"/>
          </right>
          <top style="thin">
            <color indexed="64"/>
          </top>
          <bottom style="thin">
            <color indexed="64"/>
          </bottom>
        </border>
      </ndxf>
    </rcc>
    <rcc rId="0" sId="1" dxf="1">
      <nc r="X288">
        <f>W288</f>
      </nc>
      <ndxf>
        <alignment horizontal="left" vertical="top" readingOrder="0"/>
        <border outline="0">
          <left style="thin">
            <color indexed="64"/>
          </left>
          <right style="thin">
            <color indexed="64"/>
          </right>
          <top style="thin">
            <color indexed="64"/>
          </top>
          <bottom style="thin">
            <color indexed="64"/>
          </bottom>
        </border>
      </ndxf>
    </rcc>
    <rcc rId="0" sId="1" dxf="1">
      <nc r="Y288">
        <f>ROUNDDOWN(W288/HLOOKUP(D288,Table!$C$3:$D$4,2,0)*8,2)</f>
      </nc>
      <ndxf>
        <alignment horizontal="left" vertical="top" readingOrder="0"/>
        <border outline="0">
          <left style="thin">
            <color indexed="64"/>
          </left>
          <right style="thin">
            <color indexed="64"/>
          </right>
          <top style="thin">
            <color indexed="64"/>
          </top>
          <bottom style="thin">
            <color indexed="64"/>
          </bottom>
        </border>
      </ndxf>
    </rcc>
    <rcc rId="0" sId="1" dxf="1">
      <nc r="Z288">
        <v>0.5</v>
      </nc>
      <ndxf>
        <alignment horizontal="left" vertical="top" readingOrder="0"/>
        <border outline="0">
          <left style="thin">
            <color indexed="64"/>
          </left>
          <right style="thin">
            <color indexed="64"/>
          </right>
          <top style="thin">
            <color indexed="64"/>
          </top>
          <bottom style="thin">
            <color indexed="64"/>
          </bottom>
        </border>
      </ndxf>
    </rcc>
    <rcc rId="0" sId="1" dxf="1">
      <nc r="AA288"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88">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88">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88">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88">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88">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88"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88"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8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8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88" t="inlineStr">
        <is>
          <t>-</t>
        </is>
      </nc>
      <ndxf>
        <alignment horizontal="left" vertical="top" readingOrder="0"/>
        <border outline="0">
          <left style="thin">
            <color indexed="64"/>
          </left>
          <right style="thin">
            <color indexed="64"/>
          </right>
          <top style="thin">
            <color indexed="64"/>
          </top>
          <bottom style="thin">
            <color indexed="64"/>
          </bottom>
        </border>
      </ndxf>
    </rcc>
  </rrc>
  <rrc rId="1031" sId="1" ref="A288:XFD288" action="deleteRow">
    <undo index="0" exp="ref" v="1" dr="B288" r="B289" sId="1"/>
    <rfmt sheetId="1" xfDxf="1" sqref="A288:XFD288" start="0" length="0"/>
    <rcc rId="0" sId="1" dxf="1">
      <nc r="B288">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88">
        <v>20200518</v>
      </nc>
      <ndxf>
        <alignment horizontal="left" vertical="top" readingOrder="0"/>
        <border outline="0">
          <left style="thin">
            <color indexed="64"/>
          </left>
          <right style="thin">
            <color indexed="64"/>
          </right>
          <top style="thin">
            <color indexed="64"/>
          </top>
          <bottom style="thin">
            <color indexed="64"/>
          </bottom>
        </border>
      </ndxf>
    </rcc>
    <rcc rId="0" sId="1" dxf="1">
      <nc r="D288"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88"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88" t="inlineStr">
        <is>
          <t>BAIC_MainPath_HevX_Int\BAICHevX\rb\as\baic\baic_core\app\dcom\RBAPLCust\src\ESP</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88">
        <v>1369873</v>
      </nc>
      <ndxf>
        <alignment horizontal="left" vertical="top" readingOrder="0"/>
        <border outline="0">
          <left style="thin">
            <color indexed="64"/>
          </left>
          <right style="thin">
            <color indexed="64"/>
          </right>
          <top style="thin">
            <color indexed="64"/>
          </top>
          <bottom style="thin">
            <color indexed="64"/>
          </bottom>
        </border>
      </ndxf>
    </rcc>
    <rcc rId="0" sId="1" dxf="1" quotePrefix="1">
      <nc r="H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88" t="inlineStr">
        <is>
          <t>RBAPLCUST_SpeedLimitForServices_BAIC_ESP.c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88"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88" t="inlineStr">
        <is>
          <t>BB98378, BB98379</t>
        </is>
      </nc>
      <ndxf>
        <alignment horizontal="left" vertical="top" readingOrder="0"/>
        <border outline="0">
          <left style="thin">
            <color indexed="64"/>
          </left>
          <right style="thin">
            <color indexed="64"/>
          </right>
          <top style="thin">
            <color indexed="64"/>
          </top>
          <bottom style="thin">
            <color indexed="64"/>
          </bottom>
        </border>
      </ndxf>
    </rcc>
    <rcc rId="0" sId="1" dxf="1">
      <nc r="M288"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88"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8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88" t="inlineStr">
        <is>
          <t>LIANG Xin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8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88" t="inlineStr">
        <is>
          <t>loc.do-phu</t>
        </is>
      </nc>
      <ndxf>
        <alignment horizontal="left" vertical="top" readingOrder="0"/>
        <border outline="0">
          <left style="thin">
            <color indexed="64"/>
          </left>
          <right style="thin">
            <color indexed="64"/>
          </right>
          <top style="thin">
            <color indexed="64"/>
          </top>
          <bottom style="thin">
            <color indexed="64"/>
          </bottom>
        </border>
      </ndxf>
    </rcc>
    <rfmt sheetId="1" sqref="T288" start="0" length="0">
      <dxf>
        <alignment horizontal="left" vertical="top" readingOrder="0"/>
        <border outline="0">
          <left style="thin">
            <color indexed="64"/>
          </left>
          <right style="thin">
            <color indexed="64"/>
          </right>
          <top style="thin">
            <color indexed="64"/>
          </top>
          <bottom style="thin">
            <color indexed="64"/>
          </bottom>
        </border>
      </dxf>
    </rfmt>
    <rfmt sheetId="1" sqref="U288" start="0" length="0">
      <dxf>
        <alignment horizontal="left" vertical="top" readingOrder="0"/>
        <border outline="0">
          <left style="thin">
            <color indexed="64"/>
          </left>
          <right style="thin">
            <color indexed="64"/>
          </right>
          <top style="thin">
            <color indexed="64"/>
          </top>
          <bottom style="thin">
            <color indexed="64"/>
          </bottom>
        </border>
      </dxf>
    </rfmt>
    <rcc rId="0" sId="1" dxf="1">
      <nc r="V288">
        <v>35</v>
      </nc>
      <ndxf>
        <alignment horizontal="left" vertical="top" readingOrder="0"/>
        <border outline="0">
          <left style="thin">
            <color indexed="64"/>
          </left>
          <right style="thin">
            <color indexed="64"/>
          </right>
          <top style="thin">
            <color indexed="64"/>
          </top>
          <bottom style="thin">
            <color indexed="64"/>
          </bottom>
        </border>
      </ndxf>
    </rcc>
    <rcc rId="0" sId="1" dxf="1">
      <nc r="W288">
        <f>V288</f>
      </nc>
      <ndxf>
        <alignment horizontal="left" vertical="top" readingOrder="0"/>
        <border outline="0">
          <left style="thin">
            <color indexed="64"/>
          </left>
          <right style="thin">
            <color indexed="64"/>
          </right>
          <top style="thin">
            <color indexed="64"/>
          </top>
          <bottom style="thin">
            <color indexed="64"/>
          </bottom>
        </border>
      </ndxf>
    </rcc>
    <rcc rId="0" sId="1" dxf="1">
      <nc r="X288">
        <f>W288</f>
      </nc>
      <ndxf>
        <alignment horizontal="left" vertical="top" readingOrder="0"/>
        <border outline="0">
          <left style="thin">
            <color indexed="64"/>
          </left>
          <right style="thin">
            <color indexed="64"/>
          </right>
          <top style="thin">
            <color indexed="64"/>
          </top>
          <bottom style="thin">
            <color indexed="64"/>
          </bottom>
        </border>
      </ndxf>
    </rcc>
    <rcc rId="0" sId="1" dxf="1">
      <nc r="Y288">
        <f>ROUNDDOWN(W288/HLOOKUP(D288,Table!$C$3:$D$4,2,0)*8,2)</f>
      </nc>
      <ndxf>
        <alignment horizontal="left" vertical="top" readingOrder="0"/>
        <border outline="0">
          <left style="thin">
            <color indexed="64"/>
          </left>
          <right style="thin">
            <color indexed="64"/>
          </right>
          <top style="thin">
            <color indexed="64"/>
          </top>
          <bottom style="thin">
            <color indexed="64"/>
          </bottom>
        </border>
      </ndxf>
    </rcc>
    <rcc rId="0" sId="1" dxf="1">
      <nc r="Z288">
        <f>Y288</f>
      </nc>
      <ndxf>
        <alignment horizontal="left" vertical="top" readingOrder="0"/>
        <border outline="0">
          <left style="thin">
            <color indexed="64"/>
          </left>
          <right style="thin">
            <color indexed="64"/>
          </right>
          <top style="thin">
            <color indexed="64"/>
          </top>
          <bottom style="thin">
            <color indexed="64"/>
          </bottom>
        </border>
      </ndxf>
    </rcc>
    <rcc rId="0" sId="1" dxf="1">
      <nc r="AA288"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88">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88">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88">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88">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88">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88"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88"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288" start="0" length="0">
      <dxf>
        <alignment horizontal="left" vertical="top" readingOrder="0"/>
        <border outline="0">
          <left style="thin">
            <color indexed="64"/>
          </left>
          <right style="thin">
            <color indexed="64"/>
          </right>
          <top style="thin">
            <color indexed="64"/>
          </top>
          <bottom style="thin">
            <color indexed="64"/>
          </bottom>
        </border>
      </dxf>
    </rfmt>
    <rfmt sheetId="1" sqref="AM288" start="0" length="0">
      <dxf>
        <alignment horizontal="left" vertical="top" readingOrder="0"/>
        <border outline="0">
          <left style="thin">
            <color indexed="64"/>
          </left>
          <right style="thin">
            <color indexed="64"/>
          </right>
          <top style="thin">
            <color indexed="64"/>
          </top>
          <bottom style="thin">
            <color indexed="64"/>
          </bottom>
        </border>
      </dxf>
    </rfmt>
    <rfmt sheetId="1" sqref="AN288" start="0" length="0">
      <dxf>
        <alignment horizontal="left" vertical="top" readingOrder="0"/>
        <border outline="0">
          <left style="thin">
            <color indexed="64"/>
          </left>
          <right style="thin">
            <color indexed="64"/>
          </right>
          <top style="thin">
            <color indexed="64"/>
          </top>
          <bottom style="thin">
            <color indexed="64"/>
          </bottom>
        </border>
      </dxf>
    </rfmt>
  </rrc>
  <rrc rId="1032" sId="1" ref="A288:XFD288" action="deleteRow">
    <undo index="0" exp="ref" v="1" dr="B288" r="B289" sId="1"/>
    <rfmt sheetId="1" xfDxf="1" sqref="A288:XFD288" start="0" length="0"/>
    <rcc rId="0" sId="1" dxf="1">
      <nc r="B288">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88">
        <v>20200518</v>
      </nc>
      <ndxf>
        <alignment horizontal="left" vertical="top" readingOrder="0"/>
        <border outline="0">
          <left style="thin">
            <color indexed="64"/>
          </left>
          <right style="thin">
            <color indexed="64"/>
          </right>
          <top style="thin">
            <color indexed="64"/>
          </top>
          <bottom style="thin">
            <color indexed="64"/>
          </bottom>
        </border>
      </ndxf>
    </rcc>
    <rcc rId="0" sId="1" dxf="1">
      <nc r="D288"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88"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88" t="inlineStr">
        <is>
          <t>BAIC_MainPath_HevX_Int\BAICHevX\rb\as\cnms_core\app\dcom\RBAPLCust\src\common</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88">
        <v>1369873</v>
      </nc>
      <ndxf>
        <alignment horizontal="left" vertical="top" readingOrder="0"/>
        <border outline="0">
          <left style="thin">
            <color indexed="64"/>
          </left>
          <right style="thin">
            <color indexed="64"/>
          </right>
          <top style="thin">
            <color indexed="64"/>
          </top>
          <bottom style="thin">
            <color indexed="64"/>
          </bottom>
        </border>
      </ndxf>
    </rcc>
    <rcc rId="0" sId="1" dxf="1" quotePrefix="1">
      <nc r="H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88" t="inlineStr">
        <is>
          <t>RBAPLCUST_RBDI_SWVersionNumber.c</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cc rId="0" sId="1" dxf="1" quotePrefix="1">
      <nc r="J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88"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88" t="inlineStr">
        <is>
          <t>BB98378, BB98379</t>
        </is>
      </nc>
      <ndxf>
        <alignment horizontal="left" vertical="top" readingOrder="0"/>
        <border outline="0">
          <left style="thin">
            <color indexed="64"/>
          </left>
          <right style="thin">
            <color indexed="64"/>
          </right>
          <top style="thin">
            <color indexed="64"/>
          </top>
          <bottom style="thin">
            <color indexed="64"/>
          </bottom>
        </border>
      </ndxf>
    </rcc>
    <rcc rId="0" sId="1" dxf="1">
      <nc r="M288"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88"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8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88" t="inlineStr">
        <is>
          <t>LIANG Xin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8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88"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288" start="0" length="0">
      <dxf>
        <alignment horizontal="left" vertical="top" readingOrder="0"/>
        <border outline="0">
          <left style="thin">
            <color indexed="64"/>
          </left>
          <right style="thin">
            <color indexed="64"/>
          </right>
          <top style="thin">
            <color indexed="64"/>
          </top>
          <bottom style="thin">
            <color indexed="64"/>
          </bottom>
        </border>
      </dxf>
    </rfmt>
    <rfmt sheetId="1" sqref="U288" start="0" length="0">
      <dxf>
        <alignment horizontal="left" vertical="top" readingOrder="0"/>
        <border outline="0">
          <left style="thin">
            <color indexed="64"/>
          </left>
          <right style="thin">
            <color indexed="64"/>
          </right>
          <top style="thin">
            <color indexed="64"/>
          </top>
          <bottom style="thin">
            <color indexed="64"/>
          </bottom>
        </border>
      </dxf>
    </rfmt>
    <rcc rId="0" sId="1" dxf="1">
      <nc r="V288">
        <v>25</v>
      </nc>
      <ndxf>
        <alignment horizontal="left" vertical="top" readingOrder="0"/>
        <border outline="0">
          <left style="thin">
            <color indexed="64"/>
          </left>
          <right style="thin">
            <color indexed="64"/>
          </right>
          <top style="thin">
            <color indexed="64"/>
          </top>
          <bottom style="thin">
            <color indexed="64"/>
          </bottom>
        </border>
      </ndxf>
    </rcc>
    <rcc rId="0" sId="1" dxf="1">
      <nc r="W288">
        <f>V288</f>
      </nc>
      <ndxf>
        <alignment horizontal="left" vertical="top" readingOrder="0"/>
        <border outline="0">
          <left style="thin">
            <color indexed="64"/>
          </left>
          <right style="thin">
            <color indexed="64"/>
          </right>
          <top style="thin">
            <color indexed="64"/>
          </top>
          <bottom style="thin">
            <color indexed="64"/>
          </bottom>
        </border>
      </ndxf>
    </rcc>
    <rcc rId="0" sId="1" dxf="1">
      <nc r="X288">
        <f>W288</f>
      </nc>
      <ndxf>
        <alignment horizontal="left" vertical="top" readingOrder="0"/>
        <border outline="0">
          <left style="thin">
            <color indexed="64"/>
          </left>
          <right style="thin">
            <color indexed="64"/>
          </right>
          <top style="thin">
            <color indexed="64"/>
          </top>
          <bottom style="thin">
            <color indexed="64"/>
          </bottom>
        </border>
      </ndxf>
    </rcc>
    <rcc rId="0" sId="1" dxf="1">
      <nc r="Y288">
        <f>ROUNDDOWN(W288/HLOOKUP(D288,Table!$C$3:$D$4,2,0)*8,2)</f>
      </nc>
      <ndxf>
        <alignment horizontal="left" vertical="top" readingOrder="0"/>
        <border outline="0">
          <left style="thin">
            <color indexed="64"/>
          </left>
          <right style="thin">
            <color indexed="64"/>
          </right>
          <top style="thin">
            <color indexed="64"/>
          </top>
          <bottom style="thin">
            <color indexed="64"/>
          </bottom>
        </border>
      </ndxf>
    </rcc>
    <rcc rId="0" sId="1" dxf="1">
      <nc r="Z288">
        <v>0.3</v>
      </nc>
      <ndxf>
        <alignment horizontal="left" vertical="top" readingOrder="0"/>
        <border outline="0">
          <left style="thin">
            <color indexed="64"/>
          </left>
          <right style="thin">
            <color indexed="64"/>
          </right>
          <top style="thin">
            <color indexed="64"/>
          </top>
          <bottom style="thin">
            <color indexed="64"/>
          </bottom>
        </border>
      </ndxf>
    </rcc>
    <rcc rId="0" sId="1" dxf="1">
      <nc r="AA288"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88">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88">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88">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88">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88">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88"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88"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8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8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88" t="inlineStr">
        <is>
          <t>-</t>
        </is>
      </nc>
      <ndxf>
        <alignment horizontal="left" vertical="top" readingOrder="0"/>
        <border outline="0">
          <left style="thin">
            <color indexed="64"/>
          </left>
          <right style="thin">
            <color indexed="64"/>
          </right>
          <top style="thin">
            <color indexed="64"/>
          </top>
          <bottom style="thin">
            <color indexed="64"/>
          </bottom>
        </border>
      </ndxf>
    </rcc>
  </rrc>
  <rrc rId="1033" sId="1" ref="A288:XFD288" action="deleteRow">
    <undo index="0" exp="ref" v="1" dr="B288" r="B289" sId="1"/>
    <rfmt sheetId="1" xfDxf="1" sqref="A288:XFD288" start="0" length="0"/>
    <rcc rId="0" sId="1" dxf="1">
      <nc r="B288">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88">
        <v>20200518</v>
      </nc>
      <ndxf>
        <alignment horizontal="left" vertical="top" readingOrder="0"/>
        <border outline="0">
          <left style="thin">
            <color indexed="64"/>
          </left>
          <right style="thin">
            <color indexed="64"/>
          </right>
          <top style="thin">
            <color indexed="64"/>
          </top>
          <bottom style="thin">
            <color indexed="64"/>
          </bottom>
        </border>
      </ndxf>
    </rcc>
    <rcc rId="0" sId="1" dxf="1">
      <nc r="D288"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88"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88" t="inlineStr">
        <is>
          <t>BAIC_MainPath_HevX_Int\BAICHevX\rb\as\baic\baic_core\app\dcom\RBAPLCust\src\ESP</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88">
        <v>1369873</v>
      </nc>
      <ndxf>
        <alignment horizontal="left" vertical="top" readingOrder="0"/>
        <border outline="0">
          <left style="thin">
            <color indexed="64"/>
          </left>
          <right style="thin">
            <color indexed="64"/>
          </right>
          <top style="thin">
            <color indexed="64"/>
          </top>
          <bottom style="thin">
            <color indexed="64"/>
          </bottom>
        </border>
      </ndxf>
    </rcc>
    <rcc rId="0" sId="1" dxf="1" quotePrefix="1">
      <nc r="H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88" t="inlineStr">
        <is>
          <t>RBAPLCUST_SnapshotChecksumAlivecounter_ESP.c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88"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88" t="inlineStr">
        <is>
          <t>BB98378, BB98379</t>
        </is>
      </nc>
      <ndxf>
        <alignment horizontal="left" vertical="top" readingOrder="0"/>
        <border outline="0">
          <left style="thin">
            <color indexed="64"/>
          </left>
          <right style="thin">
            <color indexed="64"/>
          </right>
          <top style="thin">
            <color indexed="64"/>
          </top>
          <bottom style="thin">
            <color indexed="64"/>
          </bottom>
        </border>
      </ndxf>
    </rcc>
    <rcc rId="0" sId="1" dxf="1">
      <nc r="M288"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88"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8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88" t="inlineStr">
        <is>
          <t>LIANG Xin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8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88"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288" start="0" length="0">
      <dxf>
        <alignment horizontal="left" vertical="top" readingOrder="0"/>
        <border outline="0">
          <left style="thin">
            <color indexed="64"/>
          </left>
          <right style="thin">
            <color indexed="64"/>
          </right>
          <top style="thin">
            <color indexed="64"/>
          </top>
          <bottom style="thin">
            <color indexed="64"/>
          </bottom>
        </border>
      </dxf>
    </rfmt>
    <rfmt sheetId="1" sqref="U288" start="0" length="0">
      <dxf>
        <alignment horizontal="left" vertical="top" readingOrder="0"/>
        <border outline="0">
          <left style="thin">
            <color indexed="64"/>
          </left>
          <right style="thin">
            <color indexed="64"/>
          </right>
          <top style="thin">
            <color indexed="64"/>
          </top>
          <bottom style="thin">
            <color indexed="64"/>
          </bottom>
        </border>
      </dxf>
    </rfmt>
    <rcc rId="0" sId="1" dxf="1">
      <nc r="V288">
        <v>60</v>
      </nc>
      <ndxf>
        <alignment horizontal="left" vertical="top" readingOrder="0"/>
        <border outline="0">
          <left style="thin">
            <color indexed="64"/>
          </left>
          <right style="thin">
            <color indexed="64"/>
          </right>
          <top style="thin">
            <color indexed="64"/>
          </top>
          <bottom style="thin">
            <color indexed="64"/>
          </bottom>
        </border>
      </ndxf>
    </rcc>
    <rcc rId="0" sId="1" dxf="1">
      <nc r="W288">
        <f>V288</f>
      </nc>
      <ndxf>
        <alignment horizontal="left" vertical="top" readingOrder="0"/>
        <border outline="0">
          <left style="thin">
            <color indexed="64"/>
          </left>
          <right style="thin">
            <color indexed="64"/>
          </right>
          <top style="thin">
            <color indexed="64"/>
          </top>
          <bottom style="thin">
            <color indexed="64"/>
          </bottom>
        </border>
      </ndxf>
    </rcc>
    <rcc rId="0" sId="1" dxf="1">
      <nc r="X288">
        <f>W288</f>
      </nc>
      <ndxf>
        <alignment horizontal="left" vertical="top" readingOrder="0"/>
        <border outline="0">
          <left style="thin">
            <color indexed="64"/>
          </left>
          <right style="thin">
            <color indexed="64"/>
          </right>
          <top style="thin">
            <color indexed="64"/>
          </top>
          <bottom style="thin">
            <color indexed="64"/>
          </bottom>
        </border>
      </ndxf>
    </rcc>
    <rcc rId="0" sId="1" dxf="1">
      <nc r="Y288">
        <f>ROUNDDOWN(W288/HLOOKUP(D288,Table!$C$3:$D$4,2,0)*8,2)</f>
      </nc>
      <ndxf>
        <alignment horizontal="left" vertical="top" readingOrder="0"/>
        <border outline="0">
          <left style="thin">
            <color indexed="64"/>
          </left>
          <right style="thin">
            <color indexed="64"/>
          </right>
          <top style="thin">
            <color indexed="64"/>
          </top>
          <bottom style="thin">
            <color indexed="64"/>
          </bottom>
        </border>
      </ndxf>
    </rcc>
    <rcc rId="0" sId="1" dxf="1">
      <nc r="Z288">
        <v>1</v>
      </nc>
      <ndxf>
        <alignment horizontal="left" vertical="top" readingOrder="0"/>
        <border outline="0">
          <left style="thin">
            <color indexed="64"/>
          </left>
          <right style="thin">
            <color indexed="64"/>
          </right>
          <top style="thin">
            <color indexed="64"/>
          </top>
          <bottom style="thin">
            <color indexed="64"/>
          </bottom>
        </border>
      </ndxf>
    </rcc>
    <rcc rId="0" sId="1" dxf="1">
      <nc r="AA288"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88">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88">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88">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88">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88">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88"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88"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8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8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88" t="inlineStr">
        <is>
          <t>-</t>
        </is>
      </nc>
      <ndxf>
        <alignment horizontal="left" vertical="top" readingOrder="0"/>
        <border outline="0">
          <left style="thin">
            <color indexed="64"/>
          </left>
          <right style="thin">
            <color indexed="64"/>
          </right>
          <top style="thin">
            <color indexed="64"/>
          </top>
          <bottom style="thin">
            <color indexed="64"/>
          </bottom>
        </border>
      </ndxf>
    </rcc>
  </rrc>
  <rrc rId="1034" sId="1" ref="A288:XFD288" action="deleteRow">
    <undo index="0" exp="ref" v="1" dr="B288" r="B289" sId="1"/>
    <rfmt sheetId="1" xfDxf="1" sqref="A288:XFD288" start="0" length="0"/>
    <rcc rId="0" sId="1" dxf="1">
      <nc r="B288">
        <f>#REF!+1</f>
      </nc>
      <ndxf>
        <font>
          <sz val="11"/>
          <color auto="1"/>
          <name val="Calibri"/>
          <scheme val="minor"/>
        </font>
        <fill>
          <patternFill patternType="solid">
            <bgColor rgb="FF1B6FB5"/>
          </patternFill>
        </fill>
        <alignment horizontal="left" vertical="top" readingOrder="0"/>
        <border outline="0">
          <left style="thin">
            <color indexed="64"/>
          </left>
          <right style="thin">
            <color indexed="64"/>
          </right>
          <top style="thin">
            <color indexed="64"/>
          </top>
          <bottom style="thin">
            <color indexed="64"/>
          </bottom>
        </border>
      </ndxf>
    </rcc>
    <rcc rId="0" sId="1" dxf="1">
      <nc r="C288">
        <v>20200518</v>
      </nc>
      <ndxf>
        <alignment horizontal="left" vertical="top" readingOrder="0"/>
        <border outline="0">
          <left style="thin">
            <color indexed="64"/>
          </left>
          <right style="thin">
            <color indexed="64"/>
          </right>
          <top style="thin">
            <color indexed="64"/>
          </top>
          <bottom style="thin">
            <color indexed="64"/>
          </bottom>
        </border>
      </ndxf>
    </rcc>
    <rcc rId="0" sId="1" dxf="1">
      <nc r="D288"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88" t="inlineStr">
        <is>
          <t>GEELY_FS11_ESP9.3HD_BSS05_SP05</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88" t="inlineStr">
        <is>
          <t>Geely_ESP93_Carbon_Int\MainstreamF30\rb\as\geely\CpiwAPB\app\dsm\RBHMI\src\RBHMI_Synchronisation_F30.C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88">
        <v>1473225</v>
      </nc>
      <ndxf>
        <alignment horizontal="left" vertical="top" readingOrder="0"/>
        <border outline="0">
          <left style="thin">
            <color indexed="64"/>
          </left>
          <right style="thin">
            <color indexed="64"/>
          </right>
          <top style="thin">
            <color indexed="64"/>
          </top>
          <bottom style="thin">
            <color indexed="64"/>
          </bottom>
        </border>
      </ndxf>
    </rcc>
    <rcc rId="0" sId="1" dxf="1" quotePrefix="1">
      <nc r="H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88" t="inlineStr">
        <is>
          <t>RBHMI_Synchronisation_F30.C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88"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88" t="inlineStr">
        <is>
          <t>BB98153 &amp; BB97958 &amp; BB80790 &amp; BB80795</t>
        </is>
      </nc>
      <ndxf>
        <alignment horizontal="left" vertical="top" readingOrder="0"/>
        <border outline="0">
          <left style="thin">
            <color indexed="64"/>
          </left>
          <right style="thin">
            <color indexed="64"/>
          </right>
          <top style="thin">
            <color indexed="64"/>
          </top>
          <bottom style="thin">
            <color indexed="64"/>
          </bottom>
        </border>
      </ndxf>
    </rcc>
    <rcc rId="0" sId="1" dxf="1">
      <nc r="M288" t="inlineStr">
        <is>
          <t>BSS05_SP05</t>
        </is>
      </nc>
      <ndxf>
        <fill>
          <patternFill patternType="solid">
            <bgColor rgb="FFFFC000"/>
          </patternFill>
        </fill>
        <alignment horizontal="left" vertical="top" readingOrder="0"/>
        <border outline="0">
          <left style="thin">
            <color indexed="64"/>
          </left>
          <right style="thin">
            <color indexed="64"/>
          </right>
          <top style="thin">
            <color indexed="64"/>
          </top>
          <bottom style="thin">
            <color indexed="64"/>
          </bottom>
        </border>
      </ndxf>
    </rcc>
    <rcc rId="0" sId="1" dxf="1">
      <nc r="N288" t="inlineStr">
        <is>
          <t>Geely_ESP93_Carbon_Int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8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88" t="inlineStr">
        <is>
          <t>MIAO Huafeng (CC-AS/EVA-SW32-CN)</t>
        </is>
      </nc>
      <ndxf>
        <alignment horizontal="left" vertical="top" readingOrder="0"/>
        <border outline="0">
          <left style="thin">
            <color indexed="64"/>
          </left>
          <right style="thin">
            <color indexed="64"/>
          </right>
          <top style="thin">
            <color indexed="64"/>
          </top>
          <bottom style="thin">
            <color indexed="64"/>
          </bottom>
        </border>
      </ndxf>
    </rcc>
    <rfmt sheetId="1" sqref="Q28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88" t="inlineStr">
        <is>
          <t>phuong.nguyen-thanh</t>
        </is>
      </nc>
      <ndxf>
        <alignment horizontal="left" vertical="top" readingOrder="0"/>
        <border outline="0">
          <left style="thin">
            <color indexed="64"/>
          </left>
          <right style="thin">
            <color indexed="64"/>
          </right>
          <top style="thin">
            <color indexed="64"/>
          </top>
          <bottom style="thin">
            <color indexed="64"/>
          </bottom>
        </border>
      </ndxf>
    </rcc>
    <rfmt sheetId="1" sqref="T288" start="0" length="0">
      <dxf>
        <alignment horizontal="left" vertical="top" readingOrder="0"/>
        <border outline="0">
          <left style="thin">
            <color indexed="64"/>
          </left>
          <right style="thin">
            <color indexed="64"/>
          </right>
          <top style="thin">
            <color indexed="64"/>
          </top>
          <bottom style="thin">
            <color indexed="64"/>
          </bottom>
        </border>
      </dxf>
    </rfmt>
    <rfmt sheetId="1" sqref="U288" start="0" length="0">
      <dxf>
        <alignment horizontal="left" vertical="top" readingOrder="0"/>
        <border outline="0">
          <left style="thin">
            <color indexed="64"/>
          </left>
          <right style="thin">
            <color indexed="64"/>
          </right>
          <top style="thin">
            <color indexed="64"/>
          </top>
          <bottom style="thin">
            <color indexed="64"/>
          </bottom>
        </border>
      </dxf>
    </rfmt>
    <rcc rId="0" sId="1" dxf="1">
      <nc r="V288">
        <v>86</v>
      </nc>
      <ndxf>
        <alignment horizontal="left" vertical="top" readingOrder="0"/>
        <border outline="0">
          <left style="thin">
            <color indexed="64"/>
          </left>
          <right style="thin">
            <color indexed="64"/>
          </right>
          <top style="thin">
            <color indexed="64"/>
          </top>
          <bottom style="thin">
            <color indexed="64"/>
          </bottom>
        </border>
      </ndxf>
    </rcc>
    <rcc rId="0" sId="1" dxf="1">
      <nc r="W288">
        <f>V288</f>
      </nc>
      <ndxf>
        <alignment horizontal="left" vertical="top" readingOrder="0"/>
        <border outline="0">
          <left style="thin">
            <color indexed="64"/>
          </left>
          <right style="thin">
            <color indexed="64"/>
          </right>
          <top style="thin">
            <color indexed="64"/>
          </top>
          <bottom style="thin">
            <color indexed="64"/>
          </bottom>
        </border>
      </ndxf>
    </rcc>
    <rcc rId="0" sId="1" dxf="1">
      <nc r="X288">
        <f>W288</f>
      </nc>
      <ndxf>
        <alignment horizontal="left" vertical="top" readingOrder="0"/>
        <border outline="0">
          <left style="thin">
            <color indexed="64"/>
          </left>
          <right style="thin">
            <color indexed="64"/>
          </right>
          <top style="thin">
            <color indexed="64"/>
          </top>
          <bottom style="thin">
            <color indexed="64"/>
          </bottom>
        </border>
      </ndxf>
    </rcc>
    <rcc rId="0" sId="1" dxf="1">
      <nc r="Y288">
        <f>ROUNDDOWN(W288/HLOOKUP(D288,Table!$C$3:$D$4,2,0)*8,2)</f>
      </nc>
      <ndxf>
        <alignment horizontal="left" vertical="top" readingOrder="0"/>
        <border outline="0">
          <left style="thin">
            <color indexed="64"/>
          </left>
          <right style="thin">
            <color indexed="64"/>
          </right>
          <top style="thin">
            <color indexed="64"/>
          </top>
          <bottom style="thin">
            <color indexed="64"/>
          </bottom>
        </border>
      </ndxf>
    </rcc>
    <rcc rId="0" sId="1" dxf="1">
      <nc r="Z288">
        <v>0.5</v>
      </nc>
      <ndxf>
        <alignment horizontal="left" vertical="top" readingOrder="0"/>
        <border outline="0">
          <left style="thin">
            <color indexed="64"/>
          </left>
          <right style="thin">
            <color indexed="64"/>
          </right>
          <top style="thin">
            <color indexed="64"/>
          </top>
          <bottom style="thin">
            <color indexed="64"/>
          </bottom>
        </border>
      </ndxf>
    </rcc>
    <rcc rId="0" sId="1" dxf="1">
      <nc r="AA288"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28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288">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88">
        <v>43978</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88">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88">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88"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88"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L288" t="inlineStr">
        <is>
          <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AM28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nc r="AN288" t="inlineStr">
        <is>
          <t>-</t>
        </is>
      </nc>
      <ndxf>
        <alignment horizontal="left" vertical="top" readingOrder="0"/>
        <border outline="0">
          <left style="thin">
            <color indexed="64"/>
          </left>
          <right style="thin">
            <color indexed="64"/>
          </right>
          <top style="thin">
            <color indexed="64"/>
          </top>
          <bottom style="thin">
            <color indexed="64"/>
          </bottom>
        </border>
      </ndxf>
    </rcc>
  </rrc>
  <rrc rId="1035" sId="1" ref="A288:XFD288" action="deleteRow">
    <undo index="0" exp="ref" v="1" dr="B288" r="B289" sId="1"/>
    <rfmt sheetId="1" xfDxf="1" sqref="A288:XFD288" start="0" length="0"/>
    <rcc rId="0" sId="1" dxf="1">
      <nc r="B288">
        <f>#REF!+1</f>
      </nc>
      <ndxf>
        <font>
          <sz val="11"/>
          <color auto="1"/>
          <name val="Calibri"/>
          <scheme val="minor"/>
        </font>
        <fill>
          <patternFill patternType="solid">
            <bgColor rgb="FF1B6FB5"/>
          </patternFill>
        </fill>
        <alignment horizontal="left" vertical="top" readingOrder="0"/>
        <border outline="0">
          <left style="thin">
            <color indexed="64"/>
          </left>
          <right style="thin">
            <color indexed="64"/>
          </right>
          <top style="thin">
            <color indexed="64"/>
          </top>
          <bottom style="thin">
            <color indexed="64"/>
          </bottom>
        </border>
      </ndxf>
    </rcc>
    <rcc rId="0" sId="1" dxf="1">
      <nc r="C288">
        <v>20200518</v>
      </nc>
      <ndxf>
        <alignment horizontal="left" vertical="top" readingOrder="0"/>
        <border outline="0">
          <left style="thin">
            <color indexed="64"/>
          </left>
          <right style="thin">
            <color indexed="64"/>
          </right>
          <top style="thin">
            <color indexed="64"/>
          </top>
          <bottom style="thin">
            <color indexed="64"/>
          </bottom>
        </border>
      </ndxf>
    </rcc>
    <rcc rId="0" sId="1" dxf="1">
      <nc r="D288"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88" t="inlineStr">
        <is>
          <t>SGMW CN202M 208T CPi ACC 242139 BB81871</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88" t="inlineStr">
        <is>
          <t>SGMW_ESP93_Mainstream_Int\MainstreamF30\rb\as\sgmw\CN210S\app\net\RBScl\RBScl_SGMW\src\NET_SCL_Rx_SGMW.c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88">
        <v>1472050</v>
      </nc>
      <ndxf>
        <alignment horizontal="left" vertical="top" readingOrder="0"/>
        <border outline="0">
          <left style="thin">
            <color indexed="64"/>
          </left>
          <right style="thin">
            <color indexed="64"/>
          </right>
          <top style="thin">
            <color indexed="64"/>
          </top>
          <bottom style="thin">
            <color indexed="64"/>
          </bottom>
        </border>
      </ndxf>
    </rcc>
    <rcc rId="0" sId="1" dxf="1" quotePrefix="1">
      <nc r="H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88" t="inlineStr">
        <is>
          <t>NET_SCL_Rx_SGMW.c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88"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88" t="inlineStr">
        <is>
          <t>BB81871</t>
        </is>
      </nc>
      <ndxf>
        <alignment horizontal="left" vertical="top" readingOrder="0"/>
        <border outline="0">
          <left style="thin">
            <color indexed="64"/>
          </left>
          <right style="thin">
            <color indexed="64"/>
          </right>
          <top style="thin">
            <color indexed="64"/>
          </top>
          <bottom style="thin">
            <color indexed="64"/>
          </bottom>
        </border>
      </ndxf>
    </rcc>
    <rcc rId="0" sId="1" dxf="1">
      <nc r="M288"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288" t="inlineStr">
        <is>
          <t>SGMW_ESP93_Mainstream_Int</t>
        </is>
      </nc>
      <ndxf>
        <fill>
          <patternFill patternType="solid">
            <bgColor rgb="FFFFC000"/>
          </patternFill>
        </fill>
        <alignment horizontal="left" vertical="top" readingOrder="0"/>
        <border outline="0">
          <left style="thin">
            <color indexed="64"/>
          </left>
          <right style="thin">
            <color indexed="64"/>
          </right>
          <top style="thin">
            <color indexed="64"/>
          </top>
          <bottom style="thin">
            <color indexed="64"/>
          </bottom>
        </border>
      </ndxf>
    </rcc>
    <rcc rId="0" sId="1" dxf="1" quotePrefix="1">
      <nc r="O28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88" t="inlineStr">
        <is>
          <t>To Trong Khoa (RBVH/EAS11)</t>
        </is>
      </nc>
      <ndxf>
        <alignment horizontal="left" vertical="top" readingOrder="0"/>
        <border outline="0">
          <left style="thin">
            <color indexed="64"/>
          </left>
          <right style="thin">
            <color indexed="64"/>
          </right>
          <top style="thin">
            <color indexed="64"/>
          </top>
          <bottom style="thin">
            <color indexed="64"/>
          </bottom>
        </border>
      </ndxf>
    </rcc>
    <rfmt sheetId="1" sqref="Q28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88" t="inlineStr">
        <is>
          <t>bang.nguyen-duy</t>
        </is>
      </nc>
      <ndxf>
        <alignment horizontal="left" vertical="top" readingOrder="0"/>
        <border outline="0">
          <left style="thin">
            <color indexed="64"/>
          </left>
          <right style="thin">
            <color indexed="64"/>
          </right>
          <top style="thin">
            <color indexed="64"/>
          </top>
          <bottom style="thin">
            <color indexed="64"/>
          </bottom>
        </border>
      </ndxf>
    </rcc>
    <rfmt sheetId="1" sqref="T288" start="0" length="0">
      <dxf>
        <alignment horizontal="left" vertical="top" readingOrder="0"/>
        <border outline="0">
          <left style="thin">
            <color indexed="64"/>
          </left>
          <right style="thin">
            <color indexed="64"/>
          </right>
          <top style="thin">
            <color indexed="64"/>
          </top>
          <bottom style="thin">
            <color indexed="64"/>
          </bottom>
        </border>
      </dxf>
    </rfmt>
    <rfmt sheetId="1" sqref="U288" start="0" length="0">
      <dxf>
        <alignment horizontal="left" vertical="top" readingOrder="0"/>
        <border outline="0">
          <left style="thin">
            <color indexed="64"/>
          </left>
          <right style="thin">
            <color indexed="64"/>
          </right>
          <top style="thin">
            <color indexed="64"/>
          </top>
          <bottom style="thin">
            <color indexed="64"/>
          </bottom>
        </border>
      </dxf>
    </rfmt>
    <rcc rId="0" sId="1" dxf="1">
      <nc r="V288">
        <v>641</v>
      </nc>
      <ndxf>
        <alignment horizontal="left" vertical="top" readingOrder="0"/>
        <border outline="0">
          <left style="thin">
            <color indexed="64"/>
          </left>
          <right style="thin">
            <color indexed="64"/>
          </right>
          <top style="thin">
            <color indexed="64"/>
          </top>
          <bottom style="thin">
            <color indexed="64"/>
          </bottom>
        </border>
      </ndxf>
    </rcc>
    <rcc rId="0" sId="1" dxf="1">
      <nc r="W288">
        <f>V288</f>
      </nc>
      <ndxf>
        <alignment horizontal="left" vertical="top" readingOrder="0"/>
        <border outline="0">
          <left style="thin">
            <color indexed="64"/>
          </left>
          <right style="thin">
            <color indexed="64"/>
          </right>
          <top style="thin">
            <color indexed="64"/>
          </top>
          <bottom style="thin">
            <color indexed="64"/>
          </bottom>
        </border>
      </ndxf>
    </rcc>
    <rcc rId="0" sId="1" dxf="1">
      <nc r="X288">
        <f>W288</f>
      </nc>
      <ndxf>
        <alignment horizontal="left" vertical="top" readingOrder="0"/>
        <border outline="0">
          <left style="thin">
            <color indexed="64"/>
          </left>
          <right style="thin">
            <color indexed="64"/>
          </right>
          <top style="thin">
            <color indexed="64"/>
          </top>
          <bottom style="thin">
            <color indexed="64"/>
          </bottom>
        </border>
      </ndxf>
    </rcc>
    <rcc rId="0" sId="1" dxf="1">
      <nc r="Y288">
        <f>ROUNDDOWN(W288/HLOOKUP(D288,Table!$C$3:$D$4,2,0)*8,2)</f>
      </nc>
      <ndxf>
        <alignment horizontal="left" vertical="top" readingOrder="0"/>
        <border outline="0">
          <left style="thin">
            <color indexed="64"/>
          </left>
          <right style="thin">
            <color indexed="64"/>
          </right>
          <top style="thin">
            <color indexed="64"/>
          </top>
          <bottom style="thin">
            <color indexed="64"/>
          </bottom>
        </border>
      </ndxf>
    </rcc>
    <rcc rId="0" sId="1" dxf="1">
      <nc r="Z288">
        <v>2</v>
      </nc>
      <ndxf>
        <alignment horizontal="left" vertical="top" readingOrder="0"/>
        <border outline="0">
          <left style="thin">
            <color indexed="64"/>
          </left>
          <right style="thin">
            <color indexed="64"/>
          </right>
          <top style="thin">
            <color indexed="64"/>
          </top>
          <bottom style="thin">
            <color indexed="64"/>
          </bottom>
        </border>
      </ndxf>
    </rcc>
    <rcc rId="0" sId="1" dxf="1">
      <nc r="AA288"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28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288">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88">
        <v>43978</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88">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88">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88"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88"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288" start="0" length="0">
      <dxf>
        <alignment horizontal="left" vertical="top" readingOrder="0"/>
        <border outline="0">
          <left style="thin">
            <color indexed="64"/>
          </left>
          <right style="thin">
            <color indexed="64"/>
          </right>
          <top style="thin">
            <color indexed="64"/>
          </top>
          <bottom style="thin">
            <color indexed="64"/>
          </bottom>
        </border>
      </dxf>
    </rfmt>
    <rfmt sheetId="1" sqref="AM288" start="0" length="0">
      <dxf>
        <alignment horizontal="left" vertical="top" readingOrder="0"/>
        <border outline="0">
          <left style="thin">
            <color indexed="64"/>
          </left>
          <right style="thin">
            <color indexed="64"/>
          </right>
          <top style="thin">
            <color indexed="64"/>
          </top>
          <bottom style="thin">
            <color indexed="64"/>
          </bottom>
        </border>
      </dxf>
    </rfmt>
    <rcc rId="0" sId="1" dxf="1">
      <nc r="AN288" t="inlineStr">
        <is>
          <t>Wrong databasse =&gt; Fixed</t>
        </is>
      </nc>
      <ndxf>
        <alignment horizontal="left" vertical="top" readingOrder="0"/>
        <border outline="0">
          <left style="thin">
            <color indexed="64"/>
          </left>
          <right style="thin">
            <color indexed="64"/>
          </right>
          <top style="thin">
            <color indexed="64"/>
          </top>
          <bottom style="thin">
            <color indexed="64"/>
          </bottom>
        </border>
      </ndxf>
    </rcc>
  </rrc>
  <rrc rId="1036" sId="1" ref="A288:XFD288" action="deleteRow">
    <undo index="0" exp="ref" v="1" dr="B288" r="B289" sId="1"/>
    <rfmt sheetId="1" xfDxf="1" sqref="A288:XFD288" start="0" length="0"/>
    <rcc rId="0" sId="1" dxf="1">
      <nc r="B288">
        <f>#REF!+1</f>
      </nc>
      <ndxf>
        <font>
          <sz val="11"/>
          <color auto="1"/>
          <name val="Calibri"/>
          <scheme val="minor"/>
        </font>
        <fill>
          <patternFill patternType="solid">
            <bgColor rgb="FF1B6FB5"/>
          </patternFill>
        </fill>
        <alignment horizontal="left" vertical="top" readingOrder="0"/>
        <border outline="0">
          <left style="thin">
            <color indexed="64"/>
          </left>
          <right style="thin">
            <color indexed="64"/>
          </right>
          <top style="thin">
            <color indexed="64"/>
          </top>
          <bottom style="thin">
            <color indexed="64"/>
          </bottom>
        </border>
      </ndxf>
    </rcc>
    <rcc rId="0" sId="1" dxf="1">
      <nc r="C288">
        <v>20200518</v>
      </nc>
      <ndxf>
        <alignment horizontal="left" vertical="top" readingOrder="0"/>
        <border outline="0">
          <left style="thin">
            <color indexed="64"/>
          </left>
          <right style="thin">
            <color indexed="64"/>
          </right>
          <top style="thin">
            <color indexed="64"/>
          </top>
          <bottom style="thin">
            <color indexed="64"/>
          </bottom>
        </border>
      </ndxf>
    </rcc>
    <rcc rId="0" sId="1" dxf="1">
      <nc r="D288"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88" t="inlineStr">
        <is>
          <t>SGMW CN202M 208T CPi ACC 242139 BB81871</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88" t="inlineStr">
        <is>
          <t>SGMW_ESP93_Mainstream_Int\MainstreamF30\rb\as\sgmw\CN210S\app\net\RBScl\RBScl_SGMW\src\NET_SCL_Tx_SGMW.c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88">
        <v>1472050</v>
      </nc>
      <ndxf>
        <alignment horizontal="left" vertical="top" readingOrder="0"/>
        <border outline="0">
          <left style="thin">
            <color indexed="64"/>
          </left>
          <right style="thin">
            <color indexed="64"/>
          </right>
          <top style="thin">
            <color indexed="64"/>
          </top>
          <bottom style="thin">
            <color indexed="64"/>
          </bottom>
        </border>
      </ndxf>
    </rcc>
    <rcc rId="0" sId="1" dxf="1" quotePrefix="1">
      <nc r="H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88" t="inlineStr">
        <is>
          <t>NET_SCL_Tx_SGMW.c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88"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88" t="inlineStr">
        <is>
          <t>BB81871</t>
        </is>
      </nc>
      <ndxf>
        <alignment horizontal="left" vertical="top" readingOrder="0"/>
        <border outline="0">
          <left style="thin">
            <color indexed="64"/>
          </left>
          <right style="thin">
            <color indexed="64"/>
          </right>
          <top style="thin">
            <color indexed="64"/>
          </top>
          <bottom style="thin">
            <color indexed="64"/>
          </bottom>
        </border>
      </ndxf>
    </rcc>
    <rcc rId="0" sId="1" dxf="1">
      <nc r="M288"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288" t="inlineStr">
        <is>
          <t>SGMW_ESP93_Mainstream_Int</t>
        </is>
      </nc>
      <ndxf>
        <fill>
          <patternFill patternType="solid">
            <bgColor rgb="FFFFC000"/>
          </patternFill>
        </fill>
        <alignment horizontal="left" vertical="top" readingOrder="0"/>
        <border outline="0">
          <left style="thin">
            <color indexed="64"/>
          </left>
          <right style="thin">
            <color indexed="64"/>
          </right>
          <top style="thin">
            <color indexed="64"/>
          </top>
          <bottom style="thin">
            <color indexed="64"/>
          </bottom>
        </border>
      </ndxf>
    </rcc>
    <rcc rId="0" sId="1" dxf="1" quotePrefix="1">
      <nc r="O28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88" t="inlineStr">
        <is>
          <t>To Trong Khoa (RBVH/EAS11)</t>
        </is>
      </nc>
      <ndxf>
        <alignment horizontal="left" vertical="top" readingOrder="0"/>
        <border outline="0">
          <left style="thin">
            <color indexed="64"/>
          </left>
          <right style="thin">
            <color indexed="64"/>
          </right>
          <top style="thin">
            <color indexed="64"/>
          </top>
          <bottom style="thin">
            <color indexed="64"/>
          </bottom>
        </border>
      </ndxf>
    </rcc>
    <rfmt sheetId="1" sqref="Q28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88" t="inlineStr">
        <is>
          <t>bang.nguyen-duy</t>
        </is>
      </nc>
      <ndxf>
        <alignment horizontal="left" vertical="top" readingOrder="0"/>
        <border outline="0">
          <left style="thin">
            <color indexed="64"/>
          </left>
          <right style="thin">
            <color indexed="64"/>
          </right>
          <top style="thin">
            <color indexed="64"/>
          </top>
          <bottom style="thin">
            <color indexed="64"/>
          </bottom>
        </border>
      </ndxf>
    </rcc>
    <rfmt sheetId="1" sqref="T288" start="0" length="0">
      <dxf>
        <alignment horizontal="left" vertical="top" readingOrder="0"/>
        <border outline="0">
          <left style="thin">
            <color indexed="64"/>
          </left>
          <right style="thin">
            <color indexed="64"/>
          </right>
          <top style="thin">
            <color indexed="64"/>
          </top>
          <bottom style="thin">
            <color indexed="64"/>
          </bottom>
        </border>
      </dxf>
    </rfmt>
    <rfmt sheetId="1" sqref="U288" start="0" length="0">
      <dxf>
        <alignment horizontal="left" vertical="top" readingOrder="0"/>
        <border outline="0">
          <left style="thin">
            <color indexed="64"/>
          </left>
          <right style="thin">
            <color indexed="64"/>
          </right>
          <top style="thin">
            <color indexed="64"/>
          </top>
          <bottom style="thin">
            <color indexed="64"/>
          </bottom>
        </border>
      </dxf>
    </rfmt>
    <rcc rId="0" sId="1" dxf="1">
      <nc r="V288">
        <v>296</v>
      </nc>
      <ndxf>
        <alignment horizontal="left" vertical="top" readingOrder="0"/>
        <border outline="0">
          <left style="thin">
            <color indexed="64"/>
          </left>
          <right style="thin">
            <color indexed="64"/>
          </right>
          <top style="thin">
            <color indexed="64"/>
          </top>
          <bottom style="thin">
            <color indexed="64"/>
          </bottom>
        </border>
      </ndxf>
    </rcc>
    <rcc rId="0" sId="1" dxf="1">
      <nc r="W288">
        <f>V288</f>
      </nc>
      <ndxf>
        <alignment horizontal="left" vertical="top" readingOrder="0"/>
        <border outline="0">
          <left style="thin">
            <color indexed="64"/>
          </left>
          <right style="thin">
            <color indexed="64"/>
          </right>
          <top style="thin">
            <color indexed="64"/>
          </top>
          <bottom style="thin">
            <color indexed="64"/>
          </bottom>
        </border>
      </ndxf>
    </rcc>
    <rcc rId="0" sId="1" dxf="1">
      <nc r="X288">
        <f>W288</f>
      </nc>
      <ndxf>
        <alignment horizontal="left" vertical="top" readingOrder="0"/>
        <border outline="0">
          <left style="thin">
            <color indexed="64"/>
          </left>
          <right style="thin">
            <color indexed="64"/>
          </right>
          <top style="thin">
            <color indexed="64"/>
          </top>
          <bottom style="thin">
            <color indexed="64"/>
          </bottom>
        </border>
      </ndxf>
    </rcc>
    <rcc rId="0" sId="1" dxf="1">
      <nc r="Y288">
        <f>ROUNDDOWN(W288/HLOOKUP(D288,Table!$C$3:$D$4,2,0)*8,2)</f>
      </nc>
      <ndxf>
        <alignment horizontal="left" vertical="top" readingOrder="0"/>
        <border outline="0">
          <left style="thin">
            <color indexed="64"/>
          </left>
          <right style="thin">
            <color indexed="64"/>
          </right>
          <top style="thin">
            <color indexed="64"/>
          </top>
          <bottom style="thin">
            <color indexed="64"/>
          </bottom>
        </border>
      </ndxf>
    </rcc>
    <rcc rId="0" sId="1" dxf="1">
      <nc r="Z288">
        <v>2</v>
      </nc>
      <ndxf>
        <alignment horizontal="left" vertical="top" readingOrder="0"/>
        <border outline="0">
          <left style="thin">
            <color indexed="64"/>
          </left>
          <right style="thin">
            <color indexed="64"/>
          </right>
          <top style="thin">
            <color indexed="64"/>
          </top>
          <bottom style="thin">
            <color indexed="64"/>
          </bottom>
        </border>
      </ndxf>
    </rcc>
    <rcc rId="0" sId="1" dxf="1">
      <nc r="AA288"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28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288">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88">
        <v>43978</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88">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88">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88"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88"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288" start="0" length="0">
      <dxf>
        <alignment horizontal="left" vertical="top" readingOrder="0"/>
        <border outline="0">
          <left style="thin">
            <color indexed="64"/>
          </left>
          <right style="thin">
            <color indexed="64"/>
          </right>
          <top style="thin">
            <color indexed="64"/>
          </top>
          <bottom style="thin">
            <color indexed="64"/>
          </bottom>
        </border>
      </dxf>
    </rfmt>
    <rfmt sheetId="1" sqref="AM288" start="0" length="0">
      <dxf>
        <alignment horizontal="left" vertical="top" readingOrder="0"/>
        <border outline="0">
          <left style="thin">
            <color indexed="64"/>
          </left>
          <right style="thin">
            <color indexed="64"/>
          </right>
          <top style="thin">
            <color indexed="64"/>
          </top>
          <bottom style="thin">
            <color indexed="64"/>
          </bottom>
        </border>
      </dxf>
    </rfmt>
    <rcc rId="0" sId="1" dxf="1">
      <nc r="AN288" t="inlineStr">
        <is>
          <t>Wrong databasse =&gt; Fixed</t>
        </is>
      </nc>
      <ndxf>
        <alignment horizontal="left" vertical="top" readingOrder="0"/>
        <border outline="0">
          <left style="thin">
            <color indexed="64"/>
          </left>
          <right style="thin">
            <color indexed="64"/>
          </right>
          <top style="thin">
            <color indexed="64"/>
          </top>
          <bottom style="thin">
            <color indexed="64"/>
          </bottom>
        </border>
      </ndxf>
    </rcc>
  </rrc>
  <rrc rId="1037" sId="1" ref="A288:XFD288" action="deleteRow">
    <undo index="0" exp="ref" v="1" dr="B288" r="B289" sId="1"/>
    <rfmt sheetId="1" xfDxf="1" sqref="A288:XFD288" start="0" length="0"/>
    <rcc rId="0" sId="1" dxf="1">
      <nc r="B288">
        <f>#REF!+1</f>
      </nc>
      <ndxf>
        <font>
          <sz val="11"/>
          <color auto="1"/>
          <name val="Calibri"/>
          <scheme val="minor"/>
        </font>
        <fill>
          <patternFill patternType="solid">
            <bgColor rgb="FF1B6FB5"/>
          </patternFill>
        </fill>
        <alignment horizontal="left" vertical="top" readingOrder="0"/>
        <border outline="0">
          <left style="thin">
            <color indexed="64"/>
          </left>
          <right style="thin">
            <color indexed="64"/>
          </right>
          <top style="thin">
            <color indexed="64"/>
          </top>
          <bottom style="thin">
            <color indexed="64"/>
          </bottom>
        </border>
      </ndxf>
    </rcc>
    <rcc rId="0" sId="1" dxf="1">
      <nc r="C288">
        <v>20200518</v>
      </nc>
      <ndxf>
        <alignment horizontal="left" vertical="top" readingOrder="0"/>
        <border outline="0">
          <left style="thin">
            <color indexed="64"/>
          </left>
          <right style="thin">
            <color indexed="64"/>
          </right>
          <top style="thin">
            <color indexed="64"/>
          </top>
          <bottom style="thin">
            <color indexed="64"/>
          </bottom>
        </border>
      </ndxf>
    </rcc>
    <rcc rId="0" sId="1" dxf="1">
      <nc r="D288"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88" t="inlineStr">
        <is>
          <t>SGMW CN202M 208T CPi ACC 242139 BB81871</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88" t="inlineStr">
        <is>
          <t>SGMW_ESP93_Mainstream_Int\MainstreamF30\rb\as\sgmw\core\app\dcom\RBAPLCust\src\RBAPLCUST_DiagnosticSessionControl.c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88">
        <v>1472050</v>
      </nc>
      <ndxf>
        <alignment horizontal="left" vertical="top" readingOrder="0"/>
        <border outline="0">
          <left style="thin">
            <color indexed="64"/>
          </left>
          <right style="thin">
            <color indexed="64"/>
          </right>
          <top style="thin">
            <color indexed="64"/>
          </top>
          <bottom style="thin">
            <color indexed="64"/>
          </bottom>
        </border>
      </ndxf>
    </rcc>
    <rcc rId="0" sId="1" dxf="1" quotePrefix="1">
      <nc r="H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88" t="inlineStr">
        <is>
          <t>RBAPLCUST_DiagnosticSessionControl.c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88"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88" t="inlineStr">
        <is>
          <t>BB81871</t>
        </is>
      </nc>
      <ndxf>
        <alignment horizontal="left" vertical="top" readingOrder="0"/>
        <border outline="0">
          <left style="thin">
            <color indexed="64"/>
          </left>
          <right style="thin">
            <color indexed="64"/>
          </right>
          <top style="thin">
            <color indexed="64"/>
          </top>
          <bottom style="thin">
            <color indexed="64"/>
          </bottom>
        </border>
      </ndxf>
    </rcc>
    <rcc rId="0" sId="1" dxf="1">
      <nc r="M288"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288" t="inlineStr">
        <is>
          <t>SGMW_ESP93_Mainstream_Int</t>
        </is>
      </nc>
      <ndxf>
        <fill>
          <patternFill patternType="solid">
            <bgColor rgb="FFFFC000"/>
          </patternFill>
        </fill>
        <alignment horizontal="left" vertical="top" readingOrder="0"/>
        <border outline="0">
          <left style="thin">
            <color indexed="64"/>
          </left>
          <right style="thin">
            <color indexed="64"/>
          </right>
          <top style="thin">
            <color indexed="64"/>
          </top>
          <bottom style="thin">
            <color indexed="64"/>
          </bottom>
        </border>
      </ndxf>
    </rcc>
    <rcc rId="0" sId="1" dxf="1" quotePrefix="1">
      <nc r="O28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88" t="inlineStr">
        <is>
          <t>To Trong Khoa (RBVH/EAS11)</t>
        </is>
      </nc>
      <ndxf>
        <alignment horizontal="left" vertical="top" readingOrder="0"/>
        <border outline="0">
          <left style="thin">
            <color indexed="64"/>
          </left>
          <right style="thin">
            <color indexed="64"/>
          </right>
          <top style="thin">
            <color indexed="64"/>
          </top>
          <bottom style="thin">
            <color indexed="64"/>
          </bottom>
        </border>
      </ndxf>
    </rcc>
    <rfmt sheetId="1" sqref="Q28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88" t="inlineStr">
        <is>
          <t>bang.nguyen-duy</t>
        </is>
      </nc>
      <ndxf>
        <alignment horizontal="left" vertical="top" readingOrder="0"/>
        <border outline="0">
          <left style="thin">
            <color indexed="64"/>
          </left>
          <right style="thin">
            <color indexed="64"/>
          </right>
          <top style="thin">
            <color indexed="64"/>
          </top>
          <bottom style="thin">
            <color indexed="64"/>
          </bottom>
        </border>
      </ndxf>
    </rcc>
    <rfmt sheetId="1" sqref="T288" start="0" length="0">
      <dxf>
        <alignment horizontal="left" vertical="top" readingOrder="0"/>
        <border outline="0">
          <left style="thin">
            <color indexed="64"/>
          </left>
          <right style="thin">
            <color indexed="64"/>
          </right>
          <top style="thin">
            <color indexed="64"/>
          </top>
          <bottom style="thin">
            <color indexed="64"/>
          </bottom>
        </border>
      </dxf>
    </rfmt>
    <rfmt sheetId="1" sqref="U288" start="0" length="0">
      <dxf>
        <alignment horizontal="left" vertical="top" readingOrder="0"/>
        <border outline="0">
          <left style="thin">
            <color indexed="64"/>
          </left>
          <right style="thin">
            <color indexed="64"/>
          </right>
          <top style="thin">
            <color indexed="64"/>
          </top>
          <bottom style="thin">
            <color indexed="64"/>
          </bottom>
        </border>
      </dxf>
    </rfmt>
    <rcc rId="0" sId="1" dxf="1">
      <nc r="V288">
        <v>259</v>
      </nc>
      <ndxf>
        <alignment horizontal="left" vertical="top" readingOrder="0"/>
        <border outline="0">
          <left style="thin">
            <color indexed="64"/>
          </left>
          <right style="thin">
            <color indexed="64"/>
          </right>
          <top style="thin">
            <color indexed="64"/>
          </top>
          <bottom style="thin">
            <color indexed="64"/>
          </bottom>
        </border>
      </ndxf>
    </rcc>
    <rcc rId="0" sId="1" dxf="1">
      <nc r="W288">
        <f>V288</f>
      </nc>
      <ndxf>
        <alignment horizontal="left" vertical="top" readingOrder="0"/>
        <border outline="0">
          <left style="thin">
            <color indexed="64"/>
          </left>
          <right style="thin">
            <color indexed="64"/>
          </right>
          <top style="thin">
            <color indexed="64"/>
          </top>
          <bottom style="thin">
            <color indexed="64"/>
          </bottom>
        </border>
      </ndxf>
    </rcc>
    <rcc rId="0" sId="1" dxf="1">
      <nc r="X288">
        <f>W288</f>
      </nc>
      <ndxf>
        <alignment horizontal="left" vertical="top" readingOrder="0"/>
        <border outline="0">
          <left style="thin">
            <color indexed="64"/>
          </left>
          <right style="thin">
            <color indexed="64"/>
          </right>
          <top style="thin">
            <color indexed="64"/>
          </top>
          <bottom style="thin">
            <color indexed="64"/>
          </bottom>
        </border>
      </ndxf>
    </rcc>
    <rcc rId="0" sId="1" dxf="1">
      <nc r="Y288">
        <f>ROUNDDOWN(W288/HLOOKUP(D288,Table!$C$3:$D$4,2,0)*8,2)</f>
      </nc>
      <ndxf>
        <alignment horizontal="left" vertical="top" readingOrder="0"/>
        <border outline="0">
          <left style="thin">
            <color indexed="64"/>
          </left>
          <right style="thin">
            <color indexed="64"/>
          </right>
          <top style="thin">
            <color indexed="64"/>
          </top>
          <bottom style="thin">
            <color indexed="64"/>
          </bottom>
        </border>
      </ndxf>
    </rcc>
    <rcc rId="0" sId="1" dxf="1">
      <nc r="Z288">
        <v>1</v>
      </nc>
      <ndxf>
        <alignment horizontal="left" vertical="top" readingOrder="0"/>
        <border outline="0">
          <left style="thin">
            <color indexed="64"/>
          </left>
          <right style="thin">
            <color indexed="64"/>
          </right>
          <top style="thin">
            <color indexed="64"/>
          </top>
          <bottom style="thin">
            <color indexed="64"/>
          </bottom>
        </border>
      </ndxf>
    </rcc>
    <rcc rId="0" sId="1" dxf="1">
      <nc r="AA288"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28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288">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88">
        <v>43978</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88">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88">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88" t="inlineStr">
        <is>
          <t>NG</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88">
        <v>0.91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88" t="inlineStr">
        <is>
          <t>OPL</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288" start="0" length="0">
      <dxf>
        <alignment horizontal="left" vertical="top" readingOrder="0"/>
        <border outline="0">
          <left style="thin">
            <color indexed="64"/>
          </left>
          <right style="thin">
            <color indexed="64"/>
          </right>
          <top style="thin">
            <color indexed="64"/>
          </top>
          <bottom style="thin">
            <color indexed="64"/>
          </bottom>
        </border>
      </dxf>
    </rfmt>
    <rfmt sheetId="1" sqref="AM288" start="0" length="0">
      <dxf>
        <alignment horizontal="left" vertical="top" readingOrder="0"/>
        <border outline="0">
          <left style="thin">
            <color indexed="64"/>
          </left>
          <right style="thin">
            <color indexed="64"/>
          </right>
          <top style="thin">
            <color indexed="64"/>
          </top>
          <bottom style="thin">
            <color indexed="64"/>
          </bottom>
        </border>
      </dxf>
    </rfmt>
    <rcc rId="0" sId="1" dxf="1">
      <nc r="AN288" t="inlineStr">
        <is>
          <t>Wrong databasse =&gt; Fixed</t>
        </is>
      </nc>
      <ndxf>
        <alignment horizontal="left" vertical="top" readingOrder="0"/>
        <border outline="0">
          <left style="thin">
            <color indexed="64"/>
          </left>
          <right style="thin">
            <color indexed="64"/>
          </right>
          <top style="thin">
            <color indexed="64"/>
          </top>
          <bottom style="thin">
            <color indexed="64"/>
          </bottom>
        </border>
      </ndxf>
    </rcc>
  </rrc>
  <rrc rId="1038" sId="1" ref="A288:XFD288" action="deleteRow">
    <undo index="0" exp="ref" v="1" dr="B288" r="B289" sId="1"/>
    <rfmt sheetId="1" xfDxf="1" sqref="A288:XFD288" start="0" length="0"/>
    <rcc rId="0" sId="1" dxf="1">
      <nc r="B288">
        <f>#REF!+1</f>
      </nc>
      <ndxf>
        <font>
          <sz val="11"/>
          <color auto="1"/>
          <name val="Calibri"/>
          <scheme val="minor"/>
        </font>
        <fill>
          <patternFill patternType="solid">
            <bgColor rgb="FF1B6FB5"/>
          </patternFill>
        </fill>
        <alignment horizontal="left" vertical="top" readingOrder="0"/>
        <border outline="0">
          <left style="thin">
            <color indexed="64"/>
          </left>
          <right style="thin">
            <color indexed="64"/>
          </right>
          <top style="thin">
            <color indexed="64"/>
          </top>
          <bottom style="thin">
            <color indexed="64"/>
          </bottom>
        </border>
      </ndxf>
    </rcc>
    <rcc rId="0" sId="1" dxf="1">
      <nc r="C288">
        <v>20200518</v>
      </nc>
      <ndxf>
        <alignment horizontal="left" vertical="top" readingOrder="0"/>
        <border outline="0">
          <left style="thin">
            <color indexed="64"/>
          </left>
          <right style="thin">
            <color indexed="64"/>
          </right>
          <top style="thin">
            <color indexed="64"/>
          </top>
          <bottom style="thin">
            <color indexed="64"/>
          </bottom>
        </border>
      </ndxf>
    </rcc>
    <rcc rId="0" sId="1" dxf="1">
      <nc r="D288"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88" t="inlineStr">
        <is>
          <t>SGMW CN202M 208T CPi ACC 242139 BB81871</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88" t="inlineStr">
        <is>
          <t>SGMW_ESP93_Mainstream_Int\MainstreamF30\rb\as\sgmw\core\app\dcom\RBAPLCust\src\RBAPLCUST_RBDI_NVMData.c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88">
        <v>1472050</v>
      </nc>
      <ndxf>
        <alignment horizontal="left" vertical="top" readingOrder="0"/>
        <border outline="0">
          <left style="thin">
            <color indexed="64"/>
          </left>
          <right style="thin">
            <color indexed="64"/>
          </right>
          <top style="thin">
            <color indexed="64"/>
          </top>
          <bottom style="thin">
            <color indexed="64"/>
          </bottom>
        </border>
      </ndxf>
    </rcc>
    <rcc rId="0" sId="1" dxf="1" quotePrefix="1">
      <nc r="H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88" t="inlineStr">
        <is>
          <t>RBAPLCUST_RBDI_NVMData.c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88"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88" t="inlineStr">
        <is>
          <t>BB81871</t>
        </is>
      </nc>
      <ndxf>
        <alignment horizontal="left" vertical="top" readingOrder="0"/>
        <border outline="0">
          <left style="thin">
            <color indexed="64"/>
          </left>
          <right style="thin">
            <color indexed="64"/>
          </right>
          <top style="thin">
            <color indexed="64"/>
          </top>
          <bottom style="thin">
            <color indexed="64"/>
          </bottom>
        </border>
      </ndxf>
    </rcc>
    <rcc rId="0" sId="1" dxf="1">
      <nc r="M288"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288" t="inlineStr">
        <is>
          <t>SGMW_ESP93_Mainstream_Int</t>
        </is>
      </nc>
      <ndxf>
        <fill>
          <patternFill patternType="solid">
            <bgColor rgb="FFFFC000"/>
          </patternFill>
        </fill>
        <alignment horizontal="left" vertical="top" readingOrder="0"/>
        <border outline="0">
          <left style="thin">
            <color indexed="64"/>
          </left>
          <right style="thin">
            <color indexed="64"/>
          </right>
          <top style="thin">
            <color indexed="64"/>
          </top>
          <bottom style="thin">
            <color indexed="64"/>
          </bottom>
        </border>
      </ndxf>
    </rcc>
    <rcc rId="0" sId="1" dxf="1" quotePrefix="1">
      <nc r="O28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88" t="inlineStr">
        <is>
          <t>To Trong Khoa (RBVH/EAS11)</t>
        </is>
      </nc>
      <ndxf>
        <alignment horizontal="left" vertical="top" readingOrder="0"/>
        <border outline="0">
          <left style="thin">
            <color indexed="64"/>
          </left>
          <right style="thin">
            <color indexed="64"/>
          </right>
          <top style="thin">
            <color indexed="64"/>
          </top>
          <bottom style="thin">
            <color indexed="64"/>
          </bottom>
        </border>
      </ndxf>
    </rcc>
    <rfmt sheetId="1" sqref="Q28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8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88" t="inlineStr">
        <is>
          <t>bang.nguyen-duy</t>
        </is>
      </nc>
      <ndxf>
        <alignment horizontal="left" vertical="top" readingOrder="0"/>
        <border outline="0">
          <left style="thin">
            <color indexed="64"/>
          </left>
          <right style="thin">
            <color indexed="64"/>
          </right>
          <top style="thin">
            <color indexed="64"/>
          </top>
          <bottom style="thin">
            <color indexed="64"/>
          </bottom>
        </border>
      </ndxf>
    </rcc>
    <rfmt sheetId="1" sqref="T288" start="0" length="0">
      <dxf>
        <alignment horizontal="left" vertical="top" readingOrder="0"/>
        <border outline="0">
          <left style="thin">
            <color indexed="64"/>
          </left>
          <right style="thin">
            <color indexed="64"/>
          </right>
          <top style="thin">
            <color indexed="64"/>
          </top>
          <bottom style="thin">
            <color indexed="64"/>
          </bottom>
        </border>
      </dxf>
    </rfmt>
    <rfmt sheetId="1" sqref="U288" start="0" length="0">
      <dxf>
        <alignment horizontal="left" vertical="top" readingOrder="0"/>
        <border outline="0">
          <left style="thin">
            <color indexed="64"/>
          </left>
          <right style="thin">
            <color indexed="64"/>
          </right>
          <top style="thin">
            <color indexed="64"/>
          </top>
          <bottom style="thin">
            <color indexed="64"/>
          </bottom>
        </border>
      </dxf>
    </rfmt>
    <rcc rId="0" sId="1" dxf="1">
      <nc r="V288">
        <v>371</v>
      </nc>
      <ndxf>
        <alignment horizontal="left" vertical="top" readingOrder="0"/>
        <border outline="0">
          <left style="thin">
            <color indexed="64"/>
          </left>
          <right style="thin">
            <color indexed="64"/>
          </right>
          <top style="thin">
            <color indexed="64"/>
          </top>
          <bottom style="thin">
            <color indexed="64"/>
          </bottom>
        </border>
      </ndxf>
    </rcc>
    <rcc rId="0" sId="1" dxf="1">
      <nc r="W288">
        <f>V288</f>
      </nc>
      <ndxf>
        <alignment horizontal="left" vertical="top" readingOrder="0"/>
        <border outline="0">
          <left style="thin">
            <color indexed="64"/>
          </left>
          <right style="thin">
            <color indexed="64"/>
          </right>
          <top style="thin">
            <color indexed="64"/>
          </top>
          <bottom style="thin">
            <color indexed="64"/>
          </bottom>
        </border>
      </ndxf>
    </rcc>
    <rcc rId="0" sId="1" dxf="1">
      <nc r="X288">
        <f>W288</f>
      </nc>
      <ndxf>
        <alignment horizontal="left" vertical="top" readingOrder="0"/>
        <border outline="0">
          <left style="thin">
            <color indexed="64"/>
          </left>
          <right style="thin">
            <color indexed="64"/>
          </right>
          <top style="thin">
            <color indexed="64"/>
          </top>
          <bottom style="thin">
            <color indexed="64"/>
          </bottom>
        </border>
      </ndxf>
    </rcc>
    <rcc rId="0" sId="1" dxf="1">
      <nc r="Y288">
        <f>ROUNDDOWN(W288/HLOOKUP(D288,Table!$C$3:$D$4,2,0)*8,2)</f>
      </nc>
      <ndxf>
        <alignment horizontal="left" vertical="top" readingOrder="0"/>
        <border outline="0">
          <left style="thin">
            <color indexed="64"/>
          </left>
          <right style="thin">
            <color indexed="64"/>
          </right>
          <top style="thin">
            <color indexed="64"/>
          </top>
          <bottom style="thin">
            <color indexed="64"/>
          </bottom>
        </border>
      </ndxf>
    </rcc>
    <rcc rId="0" sId="1" dxf="1">
      <nc r="Z288">
        <v>2</v>
      </nc>
      <ndxf>
        <alignment horizontal="left" vertical="top" readingOrder="0"/>
        <border outline="0">
          <left style="thin">
            <color indexed="64"/>
          </left>
          <right style="thin">
            <color indexed="64"/>
          </right>
          <top style="thin">
            <color indexed="64"/>
          </top>
          <bottom style="thin">
            <color indexed="64"/>
          </bottom>
        </border>
      </ndxf>
    </rcc>
    <rcc rId="0" sId="1" dxf="1">
      <nc r="AA288"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28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288">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88">
        <v>43978</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88">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88">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88"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8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88"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288" start="0" length="0">
      <dxf>
        <alignment horizontal="left" vertical="top" readingOrder="0"/>
        <border outline="0">
          <left style="thin">
            <color indexed="64"/>
          </left>
          <right style="thin">
            <color indexed="64"/>
          </right>
          <top style="thin">
            <color indexed="64"/>
          </top>
          <bottom style="thin">
            <color indexed="64"/>
          </bottom>
        </border>
      </dxf>
    </rfmt>
    <rfmt sheetId="1" sqref="AM288" start="0" length="0">
      <dxf>
        <alignment horizontal="left" vertical="top" readingOrder="0"/>
        <border outline="0">
          <left style="thin">
            <color indexed="64"/>
          </left>
          <right style="thin">
            <color indexed="64"/>
          </right>
          <top style="thin">
            <color indexed="64"/>
          </top>
          <bottom style="thin">
            <color indexed="64"/>
          </bottom>
        </border>
      </dxf>
    </rfmt>
    <rcc rId="0" sId="1" dxf="1">
      <nc r="AN288" t="inlineStr">
        <is>
          <t>Wrong databasse =&gt; Fixed</t>
        </is>
      </nc>
      <ndxf>
        <alignment horizontal="left" vertical="top" readingOrder="0"/>
        <border outline="0">
          <left style="thin">
            <color indexed="64"/>
          </left>
          <right style="thin">
            <color indexed="64"/>
          </right>
          <top style="thin">
            <color indexed="64"/>
          </top>
          <bottom style="thin">
            <color indexed="64"/>
          </bottom>
        </border>
      </ndxf>
    </rcc>
  </rrc>
  <rrc rId="1039" sId="1" ref="A249:XFD249" action="deleteRow">
    <undo index="0" exp="ref" v="1" dr="B249" r="B250" sId="1"/>
    <rfmt sheetId="1" xfDxf="1" sqref="A249:XFD249" start="0" length="0"/>
    <rcc rId="0" sId="1" dxf="1">
      <nc r="B249">
        <f>B248+1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BAIC_MainPath_HevX_Int\BAICHevX\rb\as\baic\baic_core\app\net\RBScl\src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1452946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ComScl_Scl_Complex_proc.c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BB98378</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loc.do-phu</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109</v>
      </nc>
      <ndxf>
        <alignment horizontal="left" vertical="top" readingOrder="0"/>
        <border outline="0">
          <left style="thin">
            <color indexed="64"/>
          </left>
          <right style="thin">
            <color indexed="64"/>
          </right>
          <top style="thin">
            <color indexed="64"/>
          </top>
          <bottom style="thin">
            <color indexed="64"/>
          </bottom>
        </border>
      </ndxf>
    </rcc>
    <rcc rId="0" sId="1" dxf="1">
      <nc r="W249">
        <f>V249</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f>Y249</f>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40"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BAIC_MainPath_HevX_Int\BAICHevX\rb\as\baic\baic_core\app\net\RbNetPrj\RBNet_Can\src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1452946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NET_AliveCounterLib_BAIC.c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BB98378</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loc.do-phu</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59</v>
      </nc>
      <ndxf>
        <alignment horizontal="left" vertical="top" readingOrder="0"/>
        <border outline="0">
          <left style="thin">
            <color indexed="64"/>
          </left>
          <right style="thin">
            <color indexed="64"/>
          </right>
          <top style="thin">
            <color indexed="64"/>
          </top>
          <bottom style="thin">
            <color indexed="64"/>
          </bottom>
        </border>
      </ndxf>
    </rcc>
    <rcc rId="0" sId="1" dxf="1">
      <nc r="W249">
        <f>V249</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f>Y249</f>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41"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BAIC_MainPath_HevX_Int\BAICHevX\rb\as\baic\baic_core\app\net\RBScl\src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1452946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NET_Monitoring.c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BB98378</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125</v>
      </nc>
      <ndxf>
        <alignment horizontal="left" vertical="top" readingOrder="0"/>
        <border outline="0">
          <left style="thin">
            <color indexed="64"/>
          </left>
          <right style="thin">
            <color indexed="64"/>
          </right>
          <top style="thin">
            <color indexed="64"/>
          </top>
          <bottom style="thin">
            <color indexed="64"/>
          </bottom>
        </border>
      </ndxf>
    </rcc>
    <rcc rId="0" sId="1" dxf="1">
      <nc r="W249">
        <f>V249</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v>2</v>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42" sId="1" ref="A249:XFD249" action="deleteRow">
    <undo index="0" exp="ref" v="1" dr="B249" r="B250" sId="1"/>
    <rfmt sheetId="1" xfDxf="1" sqref="A249:XFD249" start="0" length="0">
      <dxf>
        <font/>
      </dxf>
    </rfmt>
    <rcc rId="0" sId="1" dxf="1">
      <nc r="B249">
        <f>#REF!+1</f>
      </nc>
      <ndxf>
        <font>
          <color auto="1"/>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BAIC_MainPath_HevX_Int\BAICHevX\rb\as\baic\baic_core\app\net\RbNetPrj\RBNet_Can\src</t>
        </is>
      </nc>
      <ndxf>
        <font>
          <b/>
        </font>
        <alignment horizontal="left" vertical="top" readingOrder="0"/>
        <border outline="0">
          <left style="thin">
            <color indexed="64"/>
          </left>
          <right style="thin">
            <color indexed="64"/>
          </right>
          <top style="thin">
            <color indexed="64"/>
          </top>
          <bottom style="thin">
            <color indexed="64"/>
          </bottom>
        </border>
      </ndxf>
    </rcc>
    <rcc rId="0" sId="1" dxf="1">
      <nc r="G249">
        <v>1452946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ont/>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NET_MonitoringClasses_F30.c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ont/>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BB98378</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ont>
          <sz val="11"/>
          <color theme="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ont>
          <sz val="11"/>
          <color theme="1"/>
          <name val="Calibri"/>
          <scheme val="minor"/>
        </font>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loc.do-phu</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18</v>
      </nc>
      <ndxf>
        <alignment horizontal="left" vertical="top" readingOrder="0"/>
        <border outline="0">
          <left style="thin">
            <color indexed="64"/>
          </left>
          <right style="thin">
            <color indexed="64"/>
          </right>
          <top style="thin">
            <color indexed="64"/>
          </top>
          <bottom style="thin">
            <color indexed="64"/>
          </bottom>
        </border>
      </ndxf>
    </rcc>
    <rcc rId="0" sId="1" dxf="1">
      <nc r="W249">
        <f>V249</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f>Y249</f>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font>
          <sz val="11"/>
          <color theme="1"/>
          <name val="Calibri"/>
          <scheme val="minor"/>
        </font>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43"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BAIC_MainPath_HevX_Int\BAICHevX\rb\as\baic\prj\dsmpr\src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1452946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RBPduHandler_Callouts.c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BB98378</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duong.nguyen</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220</v>
      </nc>
      <ndxf>
        <alignment horizontal="left" vertical="top" readingOrder="0"/>
        <border outline="0">
          <left style="thin">
            <color indexed="64"/>
          </left>
          <right style="thin">
            <color indexed="64"/>
          </right>
          <top style="thin">
            <color indexed="64"/>
          </top>
          <bottom style="thin">
            <color indexed="64"/>
          </bottom>
        </border>
      </ndxf>
    </rcc>
    <rcc rId="0" sId="1" dxf="1">
      <nc r="W249">
        <f>V249</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v>3</v>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44" sId="1" ref="A249:XFD249" action="deleteRow">
    <undo index="0" exp="ref" v="1" dr="B249" r="B250" sId="1"/>
    <rfmt sheetId="1" xfDxf="1" sqref="A249:XFD249" start="0" length="0">
      <dxf>
        <font/>
      </dxf>
    </rfmt>
    <rcc rId="0" sId="1" dxf="1">
      <nc r="B249">
        <f>#REF!+1</f>
      </nc>
      <ndxf>
        <font>
          <color auto="1"/>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BAIC_MainPath_HevX_Int\BAICHevX\rb\as\cnms_core\app\net\scl_callout\src</t>
        </is>
      </nc>
      <ndxf>
        <font>
          <b/>
        </font>
        <alignment horizontal="left" vertical="top" readingOrder="0"/>
        <border outline="0">
          <left style="thin">
            <color indexed="64"/>
          </left>
          <right style="thin">
            <color indexed="64"/>
          </right>
          <top style="thin">
            <color indexed="64"/>
          </top>
          <bottom style="thin">
            <color indexed="64"/>
          </bottom>
        </border>
      </ndxf>
    </rcc>
    <rcc rId="0" sId="1" dxf="1">
      <nc r="G249">
        <v>1452946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ont/>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RBA_NDS_CIM_0x310_Callout.c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ont/>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BB98378</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ont>
          <sz val="11"/>
          <color theme="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ont>
          <sz val="11"/>
          <color theme="1"/>
          <name val="Calibri"/>
          <scheme val="minor"/>
        </font>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loc.do-phu</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117</v>
      </nc>
      <ndxf>
        <alignment horizontal="left" vertical="top" readingOrder="0"/>
        <border outline="0">
          <left style="thin">
            <color indexed="64"/>
          </left>
          <right style="thin">
            <color indexed="64"/>
          </right>
          <top style="thin">
            <color indexed="64"/>
          </top>
          <bottom style="thin">
            <color indexed="64"/>
          </bottom>
        </border>
      </ndxf>
    </rcc>
    <rcc rId="0" sId="1" dxf="1">
      <nc r="W249">
        <f>V249</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f>Y249</f>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font>
          <sz val="11"/>
          <color theme="1"/>
          <name val="Calibri"/>
          <scheme val="minor"/>
        </font>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fmt sheetId="1" sqref="AN249" start="0" length="0">
      <dxf>
        <alignment horizontal="left" vertical="top" readingOrder="0"/>
        <border outline="0">
          <left style="thin">
            <color indexed="64"/>
          </left>
          <right style="thin">
            <color indexed="64"/>
          </right>
          <top style="thin">
            <color indexed="64"/>
          </top>
          <bottom style="thin">
            <color indexed="64"/>
          </bottom>
        </border>
      </dxf>
    </rfmt>
  </rrc>
  <rrc rId="1045"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BAIC_MainPath_HevX_Int\BAICHevX\rb\as\cnms_core\app\net\scl_callout\src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1452946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RBA_NDS_EPS_0x1C2_Callout.c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BB98378</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18</v>
      </nc>
      <ndxf>
        <alignment horizontal="left" vertical="top" readingOrder="0"/>
        <border outline="0">
          <left style="thin">
            <color indexed="64"/>
          </left>
          <right style="thin">
            <color indexed="64"/>
          </right>
          <top style="thin">
            <color indexed="64"/>
          </top>
          <bottom style="thin">
            <color indexed="64"/>
          </bottom>
        </border>
      </ndxf>
    </rcc>
    <rcc rId="0" sId="1" dxf="1">
      <nc r="W249">
        <f>V249</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v>0.3</v>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46"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BAIC_MainPath_HevX_Int\BAICHevX\rb\as\cnms_core\app\net\scl_callout\src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1452946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RBA_NDS_EPS_0x217_Callout.c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BB98378</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loc.do-phu</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49</v>
      </nc>
      <ndxf>
        <alignment horizontal="left" vertical="top" readingOrder="0"/>
        <border outline="0">
          <left style="thin">
            <color indexed="64"/>
          </left>
          <right style="thin">
            <color indexed="64"/>
          </right>
          <top style="thin">
            <color indexed="64"/>
          </top>
          <bottom style="thin">
            <color indexed="64"/>
          </bottom>
        </border>
      </ndxf>
    </rcc>
    <rcc rId="0" sId="1" dxf="1">
      <nc r="W249">
        <f>V249</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f>Y249</f>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47"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BAIC_MainPath_HevX_Int\BAICHevX\rb\as\cnms_core\app\net\scl_callout\src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1452946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RBA_NDS_EPS_0x242_Callout.c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BB98378</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175</v>
      </nc>
      <ndxf>
        <alignment horizontal="left" vertical="top" readingOrder="0"/>
        <border outline="0">
          <left style="thin">
            <color indexed="64"/>
          </left>
          <right style="thin">
            <color indexed="64"/>
          </right>
          <top style="thin">
            <color indexed="64"/>
          </top>
          <bottom style="thin">
            <color indexed="64"/>
          </bottom>
        </border>
      </ndxf>
    </rcc>
    <rcc rId="0" sId="1" dxf="1">
      <nc r="W249">
        <f>V249</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v>3</v>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48"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BAIC_MainPath_HevX_Int\BAICHevX\rb\as\cnms_core\app\net\scl_callout\src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1452946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RBA_NDS_EPS_0x246_Callout.c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BB98378</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76</v>
      </nc>
      <ndxf>
        <alignment horizontal="left" vertical="top" readingOrder="0"/>
        <border outline="0">
          <left style="thin">
            <color indexed="64"/>
          </left>
          <right style="thin">
            <color indexed="64"/>
          </right>
          <top style="thin">
            <color indexed="64"/>
          </top>
          <bottom style="thin">
            <color indexed="64"/>
          </bottom>
        </border>
      </ndxf>
    </rcc>
    <rcc rId="0" sId="1" dxf="1">
      <nc r="W249">
        <f>V249</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v>1</v>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49"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BAIC_MainPath_HevX_Int\BAICHevX\rb\as\cnms_core\app\net\scl_callout\src</t>
        </is>
      </nc>
      <ndxf>
        <font>
          <b/>
          <sz val="10"/>
          <color rgb="FF9C6500"/>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1452946</v>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ont>
          <sz val="11"/>
          <color theme="1"/>
          <name val="Calibri"/>
          <scheme val="minor"/>
        </font>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RBA_NDS_EPS_0x261_Callout.c</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BB98378</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loc.do-phu</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124</v>
      </nc>
      <ndxf>
        <alignment horizontal="left" vertical="top" readingOrder="0"/>
        <border outline="0">
          <left style="thin">
            <color indexed="64"/>
          </left>
          <right style="thin">
            <color indexed="64"/>
          </right>
          <top style="thin">
            <color indexed="64"/>
          </top>
          <bottom style="thin">
            <color indexed="64"/>
          </bottom>
        </border>
      </ndxf>
    </rcc>
    <rcc rId="0" sId="1" dxf="1">
      <nc r="W249">
        <f>V249</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f>Y249</f>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50"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BAIC_MainPath_HevX_Int\BAICHevX\rb\as\cnms_core\app\net\scl_callout\src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1452946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RBA_NDS_EPS_0x318_Callout.c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BB98378</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duong.nguyen</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29</v>
      </nc>
      <ndxf>
        <alignment horizontal="left" vertical="top" readingOrder="0"/>
        <border outline="0">
          <left style="thin">
            <color indexed="64"/>
          </left>
          <right style="thin">
            <color indexed="64"/>
          </right>
          <top style="thin">
            <color indexed="64"/>
          </top>
          <bottom style="thin">
            <color indexed="64"/>
          </bottom>
        </border>
      </ndxf>
    </rcc>
    <rcc rId="0" sId="1" dxf="1">
      <nc r="W249">
        <f>V249</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v>0.5</v>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51"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BAIC_MainPath_HevX_Int\BAICHevX\rb\as\cnms_core\app\net\scl_callout\src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1452946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RBA_NDS_ESP_0x1B8_Callout.c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BB98378</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chung.ly</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17</v>
      </nc>
      <ndxf>
        <alignment horizontal="left" vertical="top" readingOrder="0"/>
        <border outline="0">
          <left style="thin">
            <color indexed="64"/>
          </left>
          <right style="thin">
            <color indexed="64"/>
          </right>
          <top style="thin">
            <color indexed="64"/>
          </top>
          <bottom style="thin">
            <color indexed="64"/>
          </bottom>
        </border>
      </ndxf>
    </rcc>
    <rcc rId="0" sId="1" dxf="1">
      <nc r="W249">
        <f>V249</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v>0.5</v>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52"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BAIC_MainPath_HevX_Int\BAICHevX\rb\as\cnms_core\app\net\scl_callout\src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1452946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RBA_NDS_ESP_0x264_Callout.c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BB98378</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90</v>
      </nc>
      <ndxf>
        <alignment horizontal="left" vertical="top" readingOrder="0"/>
        <border outline="0">
          <left style="thin">
            <color indexed="64"/>
          </left>
          <right style="thin">
            <color indexed="64"/>
          </right>
          <top style="thin">
            <color indexed="64"/>
          </top>
          <bottom style="thin">
            <color indexed="64"/>
          </bottom>
        </border>
      </ndxf>
    </rcc>
    <rcc rId="0" sId="1" dxf="1">
      <nc r="W249">
        <f>V249</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v>0.5</v>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53"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BAIC_MainPath_HevX_Int\BAICHevX\rb\as\cnms_core\app\net\scl_callout\src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1452946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RBA_NDS_ESP_0x266_Callout.c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BB98378</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48</v>
      </nc>
      <ndxf>
        <alignment horizontal="left" vertical="top" readingOrder="0"/>
        <border outline="0">
          <left style="thin">
            <color indexed="64"/>
          </left>
          <right style="thin">
            <color indexed="64"/>
          </right>
          <top style="thin">
            <color indexed="64"/>
          </top>
          <bottom style="thin">
            <color indexed="64"/>
          </bottom>
        </border>
      </ndxf>
    </rcc>
    <rcc rId="0" sId="1" dxf="1">
      <nc r="W249">
        <f>V249</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v>0.5</v>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54"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BAIC_MainPath_HevX_Int\BAICHevX\rb\as\cnms_core\app\net\scl_callout\src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1452946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RBA_NDS_ESP_0x332_Callout.c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BB98378</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chung.ly</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125</v>
      </nc>
      <ndxf>
        <alignment horizontal="left" vertical="top" readingOrder="0"/>
        <border outline="0">
          <left style="thin">
            <color indexed="64"/>
          </left>
          <right style="thin">
            <color indexed="64"/>
          </right>
          <top style="thin">
            <color indexed="64"/>
          </top>
          <bottom style="thin">
            <color indexed="64"/>
          </bottom>
        </border>
      </ndxf>
    </rcc>
    <rcc rId="0" sId="1" dxf="1">
      <nc r="W249">
        <f>V249</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v>0.5</v>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55"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BAIC_MainPath_HevX_Int\BAICHevX\rb\as\cnms_core\app\net\scl_callout\src</t>
        </is>
      </nc>
      <ndxf>
        <font>
          <b/>
          <sz val="10"/>
          <color rgb="FF9C6500"/>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1452946</v>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ont>
          <sz val="11"/>
          <color theme="1"/>
          <name val="Calibri"/>
          <scheme val="minor"/>
        </font>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RBA_NDS_ESP_0x658_Callout.c</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BB98378</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loc.do-phu</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58</v>
      </nc>
      <ndxf>
        <alignment horizontal="left" vertical="top" readingOrder="0"/>
        <border outline="0">
          <left style="thin">
            <color indexed="64"/>
          </left>
          <right style="thin">
            <color indexed="64"/>
          </right>
          <top style="thin">
            <color indexed="64"/>
          </top>
          <bottom style="thin">
            <color indexed="64"/>
          </bottom>
        </border>
      </ndxf>
    </rcc>
    <rcc rId="0" sId="1" dxf="1">
      <nc r="W249">
        <f>V249</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f>Y249</f>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56"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BAIC_MainPath_HevX_Int\BAICHevX\rb\as\cnms_core\app\net\scl_callout\src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1452946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RBA_NDS_ESP_Common_Callout.c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BB98378</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98</v>
      </nc>
      <ndxf>
        <alignment horizontal="left" vertical="top" readingOrder="0"/>
        <border outline="0">
          <left style="thin">
            <color indexed="64"/>
          </left>
          <right style="thin">
            <color indexed="64"/>
          </right>
          <top style="thin">
            <color indexed="64"/>
          </top>
          <bottom style="thin">
            <color indexed="64"/>
          </bottom>
        </border>
      </ndxf>
    </rcc>
    <rcc rId="0" sId="1" dxf="1">
      <nc r="W249">
        <f>V249</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v>1</v>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57"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BAIC_MainPath_HevX_Int\BAICHevX\rb\as\cnms_core\app\net\scl_callout\src</t>
        </is>
      </nc>
      <ndxf>
        <font>
          <b/>
          <sz val="10"/>
          <color rgb="FF9C6500"/>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1452946</v>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ont>
          <sz val="11"/>
          <color theme="1"/>
          <name val="Calibri"/>
          <scheme val="minor"/>
        </font>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RBA_NDS_MCU_F_0x150_Callout.c</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BB98378</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loc.do-phu</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58</v>
      </nc>
      <ndxf>
        <alignment horizontal="left" vertical="top" readingOrder="0"/>
        <border outline="0">
          <left style="thin">
            <color indexed="64"/>
          </left>
          <right style="thin">
            <color indexed="64"/>
          </right>
          <top style="thin">
            <color indexed="64"/>
          </top>
          <bottom style="thin">
            <color indexed="64"/>
          </bottom>
        </border>
      </ndxf>
    </rcc>
    <rcc rId="0" sId="1" dxf="1">
      <nc r="W249">
        <f>V249</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f>Y249</f>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58"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BAIC_MainPath_HevX_Int\BAICHevX\rb\as\cnms_core\app\net\scl_callout\src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1452946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RBA_NDS_PAS_0x1BC_Callout.c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BB98378</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duong.nguyen</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12</v>
      </nc>
      <ndxf>
        <alignment horizontal="left" vertical="top" readingOrder="0"/>
        <border outline="0">
          <left style="thin">
            <color indexed="64"/>
          </left>
          <right style="thin">
            <color indexed="64"/>
          </right>
          <top style="thin">
            <color indexed="64"/>
          </top>
          <bottom style="thin">
            <color indexed="64"/>
          </bottom>
        </border>
      </ndxf>
    </rcc>
    <rcc rId="0" sId="1" dxf="1">
      <nc r="W249">
        <f>V249</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v>0.2</v>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59"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BAIC_MainPath_HevX_Int\BAICHevX\rb\as\cnms_core\app\net\scl_callout\src</t>
        </is>
      </nc>
      <ndxf>
        <font>
          <b/>
          <sz val="10"/>
          <color rgb="FF9C6500"/>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1452946</v>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ont>
          <sz val="11"/>
          <color theme="1"/>
          <name val="Calibri"/>
          <scheme val="minor"/>
        </font>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RBA_NDS_VCU_0x102_Callout.c</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BB98378</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loc.do-phu</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73</v>
      </nc>
      <ndxf>
        <alignment horizontal="left" vertical="top" readingOrder="0"/>
        <border outline="0">
          <left style="thin">
            <color indexed="64"/>
          </left>
          <right style="thin">
            <color indexed="64"/>
          </right>
          <top style="thin">
            <color indexed="64"/>
          </top>
          <bottom style="thin">
            <color indexed="64"/>
          </bottom>
        </border>
      </ndxf>
    </rcc>
    <rcc rId="0" sId="1" dxf="1">
      <nc r="W249">
        <f>V249</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f>Y249</f>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60"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BAIC_MainPath_HevX_Int\BAICHevX\rb\as\cnms_core\app\net\scl_callout\src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1452946</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RBA_NDS_VCU_0x226_Callout.c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BB98378</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thanh.nguyen-kim</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72</v>
      </nc>
      <ndxf>
        <alignment horizontal="left" vertical="top" readingOrder="0"/>
        <border outline="0">
          <left style="thin">
            <color indexed="64"/>
          </left>
          <right style="thin">
            <color indexed="64"/>
          </right>
          <top style="thin">
            <color indexed="64"/>
          </top>
          <bottom style="thin">
            <color indexed="64"/>
          </bottom>
        </border>
      </ndxf>
    </rcc>
    <rcc rId="0" sId="1" dxf="1">
      <nc r="W249">
        <f>V249</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v>0.5</v>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61"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BAIC_MainPath_HevX_Int\BAICHevX\rb\as\cnms_core\app\net\scl_callout\src</t>
        </is>
      </nc>
      <ndxf>
        <font>
          <b/>
          <sz val="10"/>
          <color rgb="FF9C6500"/>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1452946</v>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ont>
          <sz val="11"/>
          <color theme="1"/>
          <name val="Calibri"/>
          <scheme val="minor"/>
        </font>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RBA_NDS_VCU_0x245_Callout.c</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BB98378</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loc.do-phu</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14</v>
      </nc>
      <ndxf>
        <alignment horizontal="left" vertical="top" readingOrder="0"/>
        <border outline="0">
          <left style="thin">
            <color indexed="64"/>
          </left>
          <right style="thin">
            <color indexed="64"/>
          </right>
          <top style="thin">
            <color indexed="64"/>
          </top>
          <bottom style="thin">
            <color indexed="64"/>
          </bottom>
        </border>
      </ndxf>
    </rcc>
    <rcc rId="0" sId="1" dxf="1">
      <nc r="W249">
        <f>V249</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f>Y249</f>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62"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BAIC_MainPath_HevX_Int\BAICHevX\rb\as\core\app\sec\security\src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1472741</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RBSEC_Sec.c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SUN Nan (CC-AS/EVA-SW1-CN)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duong.nguyen</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3</v>
      </nc>
      <ndxf>
        <alignment horizontal="left" vertical="top" readingOrder="0"/>
        <border outline="0">
          <left style="thin">
            <color indexed="64"/>
          </left>
          <right style="thin">
            <color indexed="64"/>
          </right>
          <top style="thin">
            <color indexed="64"/>
          </top>
          <bottom style="thin">
            <color indexed="64"/>
          </bottom>
        </border>
      </ndxf>
    </rcc>
    <rcc rId="0" sId="1" dxf="1">
      <nc r="W249">
        <v>355</v>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v>4</v>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63"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BAIC_MainPath_HevX_Int\BAICHevX\rb\as\baic\baic_core\app\dsm\RBVAR\src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1472757</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RBVAR_OutputDriver_PROJECT.c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ZHU Anlin (CC-AS/EVA-SW2-CN)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duong.nguyen</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3</v>
      </nc>
      <ndxf>
        <alignment horizontal="left" vertical="top" readingOrder="0"/>
        <border outline="0">
          <left style="thin">
            <color indexed="64"/>
          </left>
          <right style="thin">
            <color indexed="64"/>
          </right>
          <top style="thin">
            <color indexed="64"/>
          </top>
          <bottom style="thin">
            <color indexed="64"/>
          </bottom>
        </border>
      </ndxf>
    </rcc>
    <rcc rId="0" sId="1" dxf="1">
      <nc r="W249">
        <v>92</v>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v>2</v>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64"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BAIC_MainPath_HevX_Int\BAICHevX\rb\as\baic\baic_core\app\dsm\RBVAR\src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1472757</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RBVAR_StateMachine_CustomerProject.c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ZHU Anlin (CC-AS/EVA-SW2-CN)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duong.nguyen</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3</v>
      </nc>
      <ndxf>
        <alignment horizontal="left" vertical="top" readingOrder="0"/>
        <border outline="0">
          <left style="thin">
            <color indexed="64"/>
          </left>
          <right style="thin">
            <color indexed="64"/>
          </right>
          <top style="thin">
            <color indexed="64"/>
          </top>
          <bottom style="thin">
            <color indexed="64"/>
          </bottom>
        </border>
      </ndxf>
    </rcc>
    <rcc rId="0" sId="1" dxf="1">
      <nc r="W249">
        <f>V249</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f>Y249</f>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H249" t="inlineStr">
        <is>
          <t>-</t>
        </is>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quotePrefix="1">
      <nc r="AI249" t="inlineStr">
        <is>
          <t>-</t>
        </is>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quotePrefix="1">
      <nc r="AJ249" t="inlineStr">
        <is>
          <t>-</t>
        </is>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nc r="AN249" t="inlineStr">
        <is>
          <t>No function to test</t>
        </is>
      </nc>
      <ndxf>
        <alignment horizontal="left" vertical="top" readingOrder="0"/>
        <border outline="0">
          <left style="thin">
            <color indexed="64"/>
          </left>
          <right style="thin">
            <color indexed="64"/>
          </right>
          <top style="thin">
            <color indexed="64"/>
          </top>
          <bottom style="thin">
            <color indexed="64"/>
          </bottom>
        </border>
      </ndxf>
    </rcc>
  </rrc>
  <rrc rId="1065"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BAIC_MainPath_HevX_Int\BAICHevX\rb\as\baic\baic_core\app\dsm\RBVAR\src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1472757</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RBVAR_VarCode_PROJECT.c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ZHU Anlin (CC-AS/EVA-SW2-CN)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duong.nguyen</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3</v>
      </nc>
      <ndxf>
        <alignment horizontal="left" vertical="top" readingOrder="0"/>
        <border outline="0">
          <left style="thin">
            <color indexed="64"/>
          </left>
          <right style="thin">
            <color indexed="64"/>
          </right>
          <top style="thin">
            <color indexed="64"/>
          </top>
          <bottom style="thin">
            <color indexed="64"/>
          </bottom>
        </border>
      </ndxf>
    </rcc>
    <rcc rId="0" sId="1" dxf="1">
      <nc r="W249">
        <v>95</v>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v>1</v>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NG</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0.87</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OPL</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Can't cover branch "else" of condition if (1) at line #144</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66"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BAIC_MainPath_HevX_Int\BAICHevX\rb\as\baic\baic_core\app\dsm\RBHMI\src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1472757</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RBHMI_ConfigOutputDriver_PRJ.c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ZHU Anlin (CC-AS/EVA-SW2-CN)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duong.nguyen</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3</v>
      </nc>
      <ndxf>
        <alignment horizontal="left" vertical="top" readingOrder="0"/>
        <border outline="0">
          <left style="thin">
            <color indexed="64"/>
          </left>
          <right style="thin">
            <color indexed="64"/>
          </right>
          <top style="thin">
            <color indexed="64"/>
          </top>
          <bottom style="thin">
            <color indexed="64"/>
          </bottom>
        </border>
      </ndxf>
    </rcc>
    <rcc rId="0" sId="1" dxf="1">
      <nc r="W249">
        <f>157</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v>2</v>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67"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BAIC_MainPath_HevX_Int\BAICHevX\rb\as\baic\baic_core\app\dsm\RBWarningIndicator\src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1472757</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Dem_PrjSpecificIndiHandling.c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ZHU Anlin (CC-AS/EVA-SW2-CN)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duong.nguyen</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3</v>
      </nc>
      <ndxf>
        <alignment horizontal="left" vertical="top" readingOrder="0"/>
        <border outline="0">
          <left style="thin">
            <color indexed="64"/>
          </left>
          <right style="thin">
            <color indexed="64"/>
          </right>
          <top style="thin">
            <color indexed="64"/>
          </top>
          <bottom style="thin">
            <color indexed="64"/>
          </bottom>
        </border>
      </ndxf>
    </rcc>
    <rcc rId="0" sId="1" dxf="1">
      <nc r="W249">
        <f>165</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v>2</v>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68"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BAIC_MainPath_HevX_Int\BAICHevX\rb\as\baic\prj\dsmpr\src\RBHMI\src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1472757</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RBHMI_LDMLamp_FAW.c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ZHU Anlin (CC-AS/EVA-SW2-CN)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duong.nguyen</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3</v>
      </nc>
      <ndxf>
        <alignment horizontal="left" vertical="top" readingOrder="0"/>
        <border outline="0">
          <left style="thin">
            <color indexed="64"/>
          </left>
          <right style="thin">
            <color indexed="64"/>
          </right>
          <top style="thin">
            <color indexed="64"/>
          </top>
          <bottom style="thin">
            <color indexed="64"/>
          </bottom>
        </border>
      </ndxf>
    </rcc>
    <rcc rId="0" sId="1" dxf="1">
      <nc r="W249">
        <f>63</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v>1</v>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rc rId="1069" sId="1" ref="A249:XFD249" action="deleteRow">
    <undo index="0" exp="ref" v="1" dr="B249" r="B250" sId="1"/>
    <rfmt sheetId="1" xfDxf="1" sqref="A249:XFD249" start="0" length="0"/>
    <rcc rId="0" sId="1" dxf="1">
      <nc r="B249">
        <f>#REF!+1</f>
      </nc>
      <ndxf>
        <font>
          <sz val="11"/>
          <color auto="1"/>
          <name val="Calibri"/>
          <scheme val="minor"/>
        </font>
        <fill>
          <patternFill patternType="solid">
            <bgColor theme="9"/>
          </patternFill>
        </fill>
        <alignment horizontal="left" vertical="top" readingOrder="0"/>
        <border outline="0">
          <left style="thin">
            <color indexed="64"/>
          </left>
          <right style="thin">
            <color indexed="64"/>
          </right>
          <top style="thin">
            <color indexed="64"/>
          </top>
          <bottom style="thin">
            <color indexed="64"/>
          </bottom>
        </border>
      </ndxf>
    </rcc>
    <rcc rId="0" sId="1" dxf="1">
      <nc r="C249">
        <v>20200518</v>
      </nc>
      <ndxf>
        <alignment horizontal="left" vertical="top" readingOrder="0"/>
        <border outline="0">
          <left style="thin">
            <color indexed="64"/>
          </left>
          <right style="thin">
            <color indexed="64"/>
          </right>
          <top style="thin">
            <color indexed="64"/>
          </top>
          <bottom style="thin">
            <color indexed="64"/>
          </bottom>
        </border>
      </ndxf>
    </rcc>
    <rcc rId="0" sId="1" dxf="1">
      <nc r="D249"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24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249" t="inlineStr">
        <is>
          <t>BAIC_MainPath_HevX_Int\BAICHevX\rb\as\baic\prj\dsmpr\cfg\Diamant_Cfg\BB97468\Project_Overwritten\src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249">
        <v>1472757</v>
      </nc>
      <ndxf>
        <alignment horizontal="left" vertical="top" readingOrder="0"/>
        <border outline="0">
          <left style="thin">
            <color indexed="64"/>
          </left>
          <right style="thin">
            <color indexed="64"/>
          </right>
          <top style="thin">
            <color indexed="64"/>
          </top>
          <bottom style="thin">
            <color indexed="64"/>
          </bottom>
        </border>
      </ndxf>
    </rcc>
    <rcc rId="0" sId="1" dxf="1" quotePrefix="1">
      <nc r="H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249" t="inlineStr">
        <is>
          <t>RBNET_ESPiB_Monitoring.c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249"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249"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249" t="inlineStr">
        <is>
          <t>BL73_SP02</t>
        </is>
      </nc>
      <ndxf>
        <alignment horizontal="left" vertical="top" readingOrder="0"/>
        <border outline="0">
          <left style="thin">
            <color indexed="64"/>
          </left>
          <right style="thin">
            <color indexed="64"/>
          </right>
          <top style="thin">
            <color indexed="64"/>
          </top>
          <bottom style="thin">
            <color indexed="64"/>
          </bottom>
        </border>
      </ndxf>
    </rcc>
    <rcc rId="0" sId="1" dxf="1">
      <nc r="N249" t="inlineStr">
        <is>
          <t>BAIC_MainPath_HevX_Int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O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P249" t="inlineStr">
        <is>
          <t>ZHU Anlin (CC-AS/EVA-SW2-CN)</t>
        </is>
      </nc>
      <ndxf>
        <alignment horizontal="left" vertical="top" readingOrder="0"/>
        <border outline="0">
          <left style="thin">
            <color indexed="64"/>
          </left>
          <right style="thin">
            <color indexed="64"/>
          </right>
          <top style="thin">
            <color indexed="64"/>
          </top>
          <bottom style="thin">
            <color indexed="64"/>
          </bottom>
        </border>
      </ndxf>
    </rcc>
    <rfmt sheetId="1" sqref="Q249"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249"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249" t="inlineStr">
        <is>
          <t>duong.nguyen</t>
        </is>
      </nc>
      <ndxf>
        <alignment horizontal="left" vertical="top" readingOrder="0"/>
        <border outline="0">
          <left style="thin">
            <color indexed="64"/>
          </left>
          <right style="thin">
            <color indexed="64"/>
          </right>
          <top style="thin">
            <color indexed="64"/>
          </top>
          <bottom style="thin">
            <color indexed="64"/>
          </bottom>
        </border>
      </ndxf>
    </rcc>
    <rfmt sheetId="1" sqref="T249" start="0" length="0">
      <dxf>
        <alignment horizontal="left" vertical="top" readingOrder="0"/>
        <border outline="0">
          <left style="thin">
            <color indexed="64"/>
          </left>
          <right style="thin">
            <color indexed="64"/>
          </right>
          <top style="thin">
            <color indexed="64"/>
          </top>
          <bottom style="thin">
            <color indexed="64"/>
          </bottom>
        </border>
      </dxf>
    </rfmt>
    <rfmt sheetId="1" sqref="U249" start="0" length="0">
      <dxf>
        <alignment horizontal="left" vertical="top" readingOrder="0"/>
        <border outline="0">
          <left style="thin">
            <color indexed="64"/>
          </left>
          <right style="thin">
            <color indexed="64"/>
          </right>
          <top style="thin">
            <color indexed="64"/>
          </top>
          <bottom style="thin">
            <color indexed="64"/>
          </bottom>
        </border>
      </dxf>
    </rfmt>
    <rcc rId="0" sId="1" dxf="1">
      <nc r="V249">
        <v>5</v>
      </nc>
      <ndxf>
        <alignment horizontal="left" vertical="top" readingOrder="0"/>
        <border outline="0">
          <left style="thin">
            <color indexed="64"/>
          </left>
          <right style="thin">
            <color indexed="64"/>
          </right>
          <top style="thin">
            <color indexed="64"/>
          </top>
          <bottom style="thin">
            <color indexed="64"/>
          </bottom>
        </border>
      </ndxf>
    </rcc>
    <rcc rId="0" sId="1" dxf="1">
      <nc r="W249">
        <f>167</f>
      </nc>
      <ndxf>
        <alignment horizontal="left" vertical="top" readingOrder="0"/>
        <border outline="0">
          <left style="thin">
            <color indexed="64"/>
          </left>
          <right style="thin">
            <color indexed="64"/>
          </right>
          <top style="thin">
            <color indexed="64"/>
          </top>
          <bottom style="thin">
            <color indexed="64"/>
          </bottom>
        </border>
      </ndxf>
    </rcc>
    <rcc rId="0" sId="1" dxf="1">
      <nc r="X249">
        <f>W249</f>
      </nc>
      <ndxf>
        <alignment horizontal="left" vertical="top" readingOrder="0"/>
        <border outline="0">
          <left style="thin">
            <color indexed="64"/>
          </left>
          <right style="thin">
            <color indexed="64"/>
          </right>
          <top style="thin">
            <color indexed="64"/>
          </top>
          <bottom style="thin">
            <color indexed="64"/>
          </bottom>
        </border>
      </ndxf>
    </rcc>
    <rcc rId="0" sId="1" dxf="1">
      <nc r="Y249">
        <f>ROUNDDOWN(W249/HLOOKUP(D249,Table!$C$3:$D$4,2,0)*8,2)</f>
      </nc>
      <ndxf>
        <alignment horizontal="left" vertical="top" readingOrder="0"/>
        <border outline="0">
          <left style="thin">
            <color indexed="64"/>
          </left>
          <right style="thin">
            <color indexed="64"/>
          </right>
          <top style="thin">
            <color indexed="64"/>
          </top>
          <bottom style="thin">
            <color indexed="64"/>
          </bottom>
        </border>
      </ndxf>
    </rcc>
    <rcc rId="0" sId="1" dxf="1">
      <nc r="Z249">
        <v>2</v>
      </nc>
      <ndxf>
        <alignment horizontal="left" vertical="top" readingOrder="0"/>
        <border outline="0">
          <left style="thin">
            <color indexed="64"/>
          </left>
          <right style="thin">
            <color indexed="64"/>
          </right>
          <top style="thin">
            <color indexed="64"/>
          </top>
          <bottom style="thin">
            <color indexed="64"/>
          </bottom>
        </border>
      </ndxf>
    </rcc>
    <rcc rId="0" sId="1" dxf="1">
      <nc r="AA249"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1" dxf="1" numFmtId="19">
      <nc r="AB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C249">
        <v>43969</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249">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249">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249">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249"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2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249"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quotePrefix="1">
      <nc r="AL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249"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249" t="inlineStr">
        <is>
          <t>-</t>
        </is>
      </nc>
      <ndxf>
        <alignment horizontal="left" vertical="top" readingOrder="0"/>
        <border outline="0">
          <left style="thin">
            <color indexed="64"/>
          </left>
          <right style="thin">
            <color indexed="64"/>
          </right>
          <top style="thin">
            <color indexed="64"/>
          </top>
          <bottom style="thin">
            <color indexed="64"/>
          </bottom>
        </border>
      </ndxf>
    </rcc>
  </rrc>
  <rcv guid="{250915DF-0B97-45D7-B29D-7EED4C89C1C1}" action="delete"/>
  <rdn rId="0" localSheetId="1" customView="1" name="Z_250915DF_0B97_45D7_B29D_7EED4C89C1C1_.wvu.FilterData" hidden="1" oldHidden="1">
    <formula>Merged_COEM!$B$47:$AO$308</formula>
    <oldFormula>Merged_COEM!$B$47:$AO$308</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72" sId="1">
    <oc r="B50">
      <f>B49+1</f>
    </oc>
    <nc r="B50">
      <f>B49+1</f>
    </nc>
  </rcc>
  <rcc rId="1073" sId="1">
    <oc r="B51">
      <f>B50+1</f>
    </oc>
    <nc r="B51">
      <f>B50+1</f>
    </nc>
  </rcc>
  <rcc rId="1074" sId="1">
    <oc r="B52">
      <f>B51+1</f>
    </oc>
    <nc r="B52">
      <f>B51+1</f>
    </nc>
  </rcc>
  <rcc rId="1075" sId="1">
    <oc r="B53">
      <f>B52+1</f>
    </oc>
    <nc r="B53">
      <f>B52+1</f>
    </nc>
  </rcc>
  <rcc rId="1076" sId="1">
    <oc r="B54">
      <f>B53+1</f>
    </oc>
    <nc r="B54">
      <f>B53+1</f>
    </nc>
  </rcc>
  <rcc rId="1077" sId="1">
    <oc r="B55">
      <f>B54+1</f>
    </oc>
    <nc r="B55">
      <f>B54+1</f>
    </nc>
  </rcc>
  <rcc rId="1078" sId="1">
    <oc r="B56">
      <f>B55+1</f>
    </oc>
    <nc r="B56">
      <f>B55+1</f>
    </nc>
  </rcc>
  <rcc rId="1079" sId="1">
    <oc r="B57">
      <f>B56+1</f>
    </oc>
    <nc r="B57">
      <f>B56+1</f>
    </nc>
  </rcc>
  <rcc rId="1080" sId="1">
    <oc r="B58">
      <f>B57+1</f>
    </oc>
    <nc r="B58">
      <f>B57+1</f>
    </nc>
  </rcc>
  <rcc rId="1081" sId="1">
    <oc r="B59">
      <f>B58+1</f>
    </oc>
    <nc r="B59">
      <f>B58+1</f>
    </nc>
  </rcc>
  <rcc rId="1082" sId="1">
    <oc r="B60">
      <f>B59+1</f>
    </oc>
    <nc r="B60">
      <f>B59+1</f>
    </nc>
  </rcc>
  <rcc rId="1083" sId="1">
    <oc r="B61">
      <f>B60+1</f>
    </oc>
    <nc r="B61">
      <f>B60+1</f>
    </nc>
  </rcc>
  <rcc rId="1084" sId="1">
    <oc r="B62">
      <f>B61+1</f>
    </oc>
    <nc r="B62">
      <f>B61+1</f>
    </nc>
  </rcc>
  <rcc rId="1085" sId="1">
    <oc r="B63">
      <f>B62+1</f>
    </oc>
    <nc r="B63">
      <f>B62+1</f>
    </nc>
  </rcc>
  <rcc rId="1086" sId="1">
    <oc r="B64">
      <f>B63+1</f>
    </oc>
    <nc r="B64">
      <f>B63+1</f>
    </nc>
  </rcc>
  <rcc rId="1087" sId="1">
    <oc r="B65">
      <f>B64+1</f>
    </oc>
    <nc r="B65">
      <f>B64+1</f>
    </nc>
  </rcc>
  <rcc rId="1088" sId="1">
    <oc r="B66">
      <f>B65+1</f>
    </oc>
    <nc r="B66">
      <f>B65+1</f>
    </nc>
  </rcc>
  <rcc rId="1089" sId="1">
    <oc r="B67">
      <f>B66+1</f>
    </oc>
    <nc r="B67">
      <f>B66+1</f>
    </nc>
  </rcc>
  <rcc rId="1090" sId="1">
    <oc r="B68">
      <f>B67+1</f>
    </oc>
    <nc r="B68">
      <f>B67+1</f>
    </nc>
  </rcc>
  <rcc rId="1091" sId="1">
    <oc r="B69">
      <f>B68+1</f>
    </oc>
    <nc r="B69">
      <f>B68+1</f>
    </nc>
  </rcc>
  <rcc rId="1092" sId="1">
    <oc r="B70">
      <f>B69+1</f>
    </oc>
    <nc r="B70">
      <f>B69+1</f>
    </nc>
  </rcc>
  <rcc rId="1093" sId="1">
    <oc r="B71">
      <f>B70+1</f>
    </oc>
    <nc r="B71">
      <f>B70+1</f>
    </nc>
  </rcc>
  <rcc rId="1094" sId="1">
    <oc r="B72">
      <f>B71+1</f>
    </oc>
    <nc r="B72">
      <f>B71+1</f>
    </nc>
  </rcc>
  <rcc rId="1095" sId="1">
    <oc r="B73">
      <f>B72+1</f>
    </oc>
    <nc r="B73">
      <f>B72+1</f>
    </nc>
  </rcc>
  <rcc rId="1096" sId="1">
    <oc r="B74">
      <f>B73+1</f>
    </oc>
    <nc r="B74">
      <f>B73+1</f>
    </nc>
  </rcc>
  <rcc rId="1097" sId="1">
    <oc r="B75">
      <f>B74+1</f>
    </oc>
    <nc r="B75">
      <f>B74+1</f>
    </nc>
  </rcc>
  <rcc rId="1098" sId="1">
    <oc r="B76">
      <f>B75+1</f>
    </oc>
    <nc r="B76">
      <f>B75+1</f>
    </nc>
  </rcc>
  <rcc rId="1099" sId="1">
    <oc r="B77">
      <f>B76+1</f>
    </oc>
    <nc r="B77">
      <f>B76+1</f>
    </nc>
  </rcc>
  <rcc rId="1100" sId="1">
    <oc r="B78">
      <f>B77+1</f>
    </oc>
    <nc r="B78">
      <f>B77+1</f>
    </nc>
  </rcc>
  <rcc rId="1101" sId="1">
    <oc r="B79">
      <f>B78+1</f>
    </oc>
    <nc r="B79">
      <f>B78+1</f>
    </nc>
  </rcc>
  <rcc rId="1102" sId="1">
    <oc r="B80">
      <f>B79+1</f>
    </oc>
    <nc r="B80">
      <f>B79+1</f>
    </nc>
  </rcc>
  <rcc rId="1103" sId="1">
    <oc r="B81">
      <f>B80+1</f>
    </oc>
    <nc r="B81">
      <f>B80+1</f>
    </nc>
  </rcc>
  <rcc rId="1104" sId="1">
    <oc r="B82">
      <f>B81+1</f>
    </oc>
    <nc r="B82">
      <f>B81+1</f>
    </nc>
  </rcc>
  <rcc rId="1105" sId="1">
    <oc r="B83">
      <f>B82+1</f>
    </oc>
    <nc r="B83">
      <f>B82+1</f>
    </nc>
  </rcc>
  <rcc rId="1106" sId="1">
    <oc r="B84">
      <f>B83+1</f>
    </oc>
    <nc r="B84">
      <f>B83+1</f>
    </nc>
  </rcc>
  <rcc rId="1107" sId="1">
    <oc r="B85">
      <f>B84+1</f>
    </oc>
    <nc r="B85">
      <f>B84+1</f>
    </nc>
  </rcc>
  <rcc rId="1108" sId="1">
    <oc r="B86">
      <f>B85+1</f>
    </oc>
    <nc r="B86">
      <f>B85+1</f>
    </nc>
  </rcc>
  <rcc rId="1109" sId="1">
    <oc r="B87">
      <f>B86+1</f>
    </oc>
    <nc r="B87">
      <f>B86+1</f>
    </nc>
  </rcc>
  <rcc rId="1110" sId="1">
    <oc r="B88">
      <f>B87+1</f>
    </oc>
    <nc r="B88">
      <f>B87+1</f>
    </nc>
  </rcc>
  <rcc rId="1111" sId="1">
    <oc r="B89">
      <f>B88+1</f>
    </oc>
    <nc r="B89">
      <f>B88+1</f>
    </nc>
  </rcc>
  <rcc rId="1112" sId="1">
    <oc r="B90">
      <f>B89+1</f>
    </oc>
    <nc r="B90">
      <f>B89+1</f>
    </nc>
  </rcc>
  <rcc rId="1113" sId="1">
    <oc r="B91">
      <f>B90+1</f>
    </oc>
    <nc r="B91">
      <f>B90+1</f>
    </nc>
  </rcc>
  <rcc rId="1114" sId="1">
    <oc r="B92">
      <f>B91+1</f>
    </oc>
    <nc r="B92">
      <f>B91+1</f>
    </nc>
  </rcc>
  <rcc rId="1115" sId="1">
    <oc r="B93">
      <f>B92+1</f>
    </oc>
    <nc r="B93">
      <f>B92+1</f>
    </nc>
  </rcc>
  <rcc rId="1116" sId="1">
    <oc r="B94">
      <f>B93+1</f>
    </oc>
    <nc r="B94">
      <f>B93+1</f>
    </nc>
  </rcc>
  <rcc rId="1117" sId="1">
    <oc r="B95">
      <f>B94+1</f>
    </oc>
    <nc r="B95">
      <f>B94+1</f>
    </nc>
  </rcc>
  <rcc rId="1118" sId="1">
    <oc r="B96">
      <f>B95+1</f>
    </oc>
    <nc r="B96">
      <f>B95+1</f>
    </nc>
  </rcc>
  <rcc rId="1119" sId="1">
    <oc r="B97">
      <f>B96+1</f>
    </oc>
    <nc r="B97">
      <f>B96+1</f>
    </nc>
  </rcc>
  <rcc rId="1120" sId="1">
    <oc r="B98">
      <f>B97+1</f>
    </oc>
    <nc r="B98">
      <f>B97+1</f>
    </nc>
  </rcc>
  <rcc rId="1121" sId="1">
    <oc r="B99">
      <f>B98+1</f>
    </oc>
    <nc r="B99">
      <f>B98+1</f>
    </nc>
  </rcc>
  <rcc rId="1122" sId="1">
    <oc r="B100">
      <f>B99+1</f>
    </oc>
    <nc r="B100">
      <f>B99+1</f>
    </nc>
  </rcc>
  <rcc rId="1123" sId="1">
    <oc r="B101">
      <f>B100+1</f>
    </oc>
    <nc r="B101">
      <f>B100+1</f>
    </nc>
  </rcc>
  <rcc rId="1124" sId="1">
    <oc r="B102">
      <f>B101+1</f>
    </oc>
    <nc r="B102">
      <f>B101+1</f>
    </nc>
  </rcc>
  <rcc rId="1125" sId="1">
    <oc r="B103">
      <f>B102+1</f>
    </oc>
    <nc r="B103">
      <f>B102+1</f>
    </nc>
  </rcc>
  <rcc rId="1126" sId="1">
    <oc r="B104">
      <f>B103+1</f>
    </oc>
    <nc r="B104">
      <f>B103+1</f>
    </nc>
  </rcc>
  <rcc rId="1127" sId="1">
    <oc r="B105">
      <f>B104+1</f>
    </oc>
    <nc r="B105">
      <f>B104+1</f>
    </nc>
  </rcc>
  <rcc rId="1128" sId="1">
    <oc r="B106">
      <f>B105+1</f>
    </oc>
    <nc r="B106">
      <f>B105+1</f>
    </nc>
  </rcc>
  <rcc rId="1129" sId="1">
    <oc r="B107">
      <f>B106+1</f>
    </oc>
    <nc r="B107">
      <f>B106+1</f>
    </nc>
  </rcc>
  <rcc rId="1130" sId="1">
    <oc r="B108">
      <f>B107+1</f>
    </oc>
    <nc r="B108">
      <f>B107+1</f>
    </nc>
  </rcc>
  <rcc rId="1131" sId="1">
    <oc r="B109">
      <f>B108+1</f>
    </oc>
    <nc r="B109">
      <f>B108+1</f>
    </nc>
  </rcc>
  <rcc rId="1132" sId="1">
    <oc r="B110">
      <f>B109+1</f>
    </oc>
    <nc r="B110">
      <f>B109+1</f>
    </nc>
  </rcc>
  <rcc rId="1133" sId="1">
    <oc r="B111">
      <f>B110+1</f>
    </oc>
    <nc r="B111">
      <f>B110+1</f>
    </nc>
  </rcc>
  <rcc rId="1134" sId="1">
    <oc r="B112">
      <f>B111+1</f>
    </oc>
    <nc r="B112">
      <f>B111+1</f>
    </nc>
  </rcc>
  <rcc rId="1135" sId="1">
    <oc r="B113">
      <f>B112+1</f>
    </oc>
    <nc r="B113">
      <f>B112+1</f>
    </nc>
  </rcc>
  <rcc rId="1136" sId="1">
    <oc r="B114">
      <f>B113+1</f>
    </oc>
    <nc r="B114">
      <f>B113+1</f>
    </nc>
  </rcc>
  <rcc rId="1137" sId="1">
    <oc r="B115">
      <f>B114+1</f>
    </oc>
    <nc r="B115">
      <f>B114+1</f>
    </nc>
  </rcc>
  <rcc rId="1138" sId="1">
    <oc r="B116">
      <f>B115+1</f>
    </oc>
    <nc r="B116">
      <f>B115+1</f>
    </nc>
  </rcc>
  <rcc rId="1139" sId="1">
    <oc r="B117">
      <f>B116+1</f>
    </oc>
    <nc r="B117">
      <f>B116+1</f>
    </nc>
  </rcc>
  <rcc rId="1140" sId="1">
    <oc r="B118">
      <f>B117+1</f>
    </oc>
    <nc r="B118">
      <f>B117+1</f>
    </nc>
  </rcc>
  <rcc rId="1141" sId="1">
    <oc r="B119">
      <f>B118+1</f>
    </oc>
    <nc r="B119">
      <f>B118+1</f>
    </nc>
  </rcc>
  <rcc rId="1142" sId="1">
    <oc r="B120">
      <f>B119+1</f>
    </oc>
    <nc r="B120">
      <f>B119+1</f>
    </nc>
  </rcc>
  <rcc rId="1143" sId="1">
    <oc r="B121">
      <f>B120+1</f>
    </oc>
    <nc r="B121">
      <f>B120+1</f>
    </nc>
  </rcc>
  <rcc rId="1144" sId="1">
    <oc r="B122">
      <f>B121+1</f>
    </oc>
    <nc r="B122">
      <f>B121+1</f>
    </nc>
  </rcc>
  <rcc rId="1145" sId="1">
    <oc r="B123">
      <f>B122+1</f>
    </oc>
    <nc r="B123">
      <f>B122+1</f>
    </nc>
  </rcc>
  <rcc rId="1146" sId="1">
    <oc r="B124">
      <f>B123+1</f>
    </oc>
    <nc r="B124">
      <f>B123+1</f>
    </nc>
  </rcc>
  <rcc rId="1147" sId="1">
    <oc r="B125">
      <f>B124+1</f>
    </oc>
    <nc r="B125">
      <f>B124+1</f>
    </nc>
  </rcc>
  <rcc rId="1148" sId="1">
    <oc r="B126">
      <f>B125+1</f>
    </oc>
    <nc r="B126">
      <f>B125+1</f>
    </nc>
  </rcc>
  <rcc rId="1149" sId="1">
    <oc r="B127">
      <f>B126+1</f>
    </oc>
    <nc r="B127">
      <f>B126+1</f>
    </nc>
  </rcc>
  <rcc rId="1150" sId="1">
    <oc r="B128">
      <f>B127+1</f>
    </oc>
    <nc r="B128">
      <f>B127+1</f>
    </nc>
  </rcc>
  <rcc rId="1151" sId="1">
    <oc r="B129">
      <f>B128+1</f>
    </oc>
    <nc r="B129">
      <f>B128+1</f>
    </nc>
  </rcc>
  <rcc rId="1152" sId="1">
    <oc r="B130">
      <f>B129+1</f>
    </oc>
    <nc r="B130">
      <f>B129+1</f>
    </nc>
  </rcc>
  <rcc rId="1153" sId="1">
    <oc r="B131">
      <f>B130+1</f>
    </oc>
    <nc r="B131">
      <f>B130+1</f>
    </nc>
  </rcc>
  <rcc rId="1154" sId="1">
    <oc r="B132">
      <f>B131+1</f>
    </oc>
    <nc r="B132">
      <f>B131+1</f>
    </nc>
  </rcc>
  <rcc rId="1155" sId="1">
    <oc r="B133">
      <f>B132+1</f>
    </oc>
    <nc r="B133">
      <f>B132+1</f>
    </nc>
  </rcc>
  <rcc rId="1156" sId="1">
    <oc r="B134">
      <f>B133+1</f>
    </oc>
    <nc r="B134">
      <f>B133+1</f>
    </nc>
  </rcc>
  <rcc rId="1157" sId="1">
    <oc r="B135">
      <f>B134+1</f>
    </oc>
    <nc r="B135">
      <f>B134+1</f>
    </nc>
  </rcc>
  <rcc rId="1158" sId="1">
    <oc r="B136">
      <f>B135+1</f>
    </oc>
    <nc r="B136">
      <f>B135+1</f>
    </nc>
  </rcc>
  <rcc rId="1159" sId="1">
    <oc r="B137">
      <f>B136+1</f>
    </oc>
    <nc r="B137">
      <f>B136+1</f>
    </nc>
  </rcc>
  <rcc rId="1160" sId="1">
    <oc r="B138">
      <f>B137+1</f>
    </oc>
    <nc r="B138">
      <f>B137+1</f>
    </nc>
  </rcc>
  <rcc rId="1161" sId="1">
    <oc r="B139">
      <f>B138+1</f>
    </oc>
    <nc r="B139">
      <f>B138+1</f>
    </nc>
  </rcc>
  <rcc rId="1162" sId="1">
    <oc r="B140">
      <f>B139+1</f>
    </oc>
    <nc r="B140">
      <f>B139+1</f>
    </nc>
  </rcc>
  <rcc rId="1163" sId="1">
    <oc r="B141">
      <f>B140+1</f>
    </oc>
    <nc r="B141">
      <f>B140+1</f>
    </nc>
  </rcc>
  <rcc rId="1164" sId="1">
    <oc r="B142">
      <f>B141+1</f>
    </oc>
    <nc r="B142">
      <f>B141+1</f>
    </nc>
  </rcc>
  <rcc rId="1165" sId="1">
    <oc r="B143">
      <f>B142+1</f>
    </oc>
    <nc r="B143">
      <f>B142+1</f>
    </nc>
  </rcc>
  <rcc rId="1166" sId="1">
    <oc r="B144">
      <f>B143+1</f>
    </oc>
    <nc r="B144">
      <f>B143+1</f>
    </nc>
  </rcc>
  <rcc rId="1167" sId="1">
    <oc r="B145">
      <f>B144+1</f>
    </oc>
    <nc r="B145">
      <f>B144+1</f>
    </nc>
  </rcc>
  <rcc rId="1168" sId="1">
    <oc r="B146">
      <f>B145+1</f>
    </oc>
    <nc r="B146">
      <f>B145+1</f>
    </nc>
  </rcc>
  <rcc rId="1169" sId="1">
    <oc r="B147">
      <f>B146+1</f>
    </oc>
    <nc r="B147">
      <f>B146+1</f>
    </nc>
  </rcc>
  <rcc rId="1170" sId="1">
    <oc r="B148">
      <f>B147+1</f>
    </oc>
    <nc r="B148">
      <f>B147+1</f>
    </nc>
  </rcc>
  <rcc rId="1171" sId="1">
    <oc r="B149">
      <f>B148+1</f>
    </oc>
    <nc r="B149">
      <f>B148+1</f>
    </nc>
  </rcc>
  <rcc rId="1172" sId="1">
    <oc r="B150">
      <f>B149+1</f>
    </oc>
    <nc r="B150">
      <f>B149+1</f>
    </nc>
  </rcc>
  <rcc rId="1173" sId="1">
    <oc r="B151">
      <f>B150+1</f>
    </oc>
    <nc r="B151">
      <f>B150+1</f>
    </nc>
  </rcc>
  <rcc rId="1174" sId="1">
    <oc r="B152">
      <f>B151+1</f>
    </oc>
    <nc r="B152">
      <f>B151+1</f>
    </nc>
  </rcc>
  <rcc rId="1175" sId="1">
    <oc r="B153">
      <f>B152+1</f>
    </oc>
    <nc r="B153">
      <f>B152+1</f>
    </nc>
  </rcc>
  <rcc rId="1176" sId="1">
    <oc r="B154">
      <f>B153+1</f>
    </oc>
    <nc r="B154">
      <f>B153+1</f>
    </nc>
  </rcc>
  <rcc rId="1177" sId="1">
    <oc r="B155">
      <f>B154+1</f>
    </oc>
    <nc r="B155">
      <f>B154+1</f>
    </nc>
  </rcc>
  <rcc rId="1178" sId="1">
    <oc r="B156">
      <f>B155+1</f>
    </oc>
    <nc r="B156">
      <f>B155+1</f>
    </nc>
  </rcc>
  <rcc rId="1179" sId="1">
    <oc r="B157">
      <f>B156+1</f>
    </oc>
    <nc r="B157">
      <f>B156+1</f>
    </nc>
  </rcc>
  <rcc rId="1180" sId="1">
    <oc r="B158">
      <f>B157+1</f>
    </oc>
    <nc r="B158">
      <f>B157+1</f>
    </nc>
  </rcc>
  <rcc rId="1181" sId="1">
    <oc r="B159">
      <f>B158+1</f>
    </oc>
    <nc r="B159">
      <f>B158+1</f>
    </nc>
  </rcc>
  <rcc rId="1182" sId="1">
    <oc r="B160">
      <f>B159+1</f>
    </oc>
    <nc r="B160">
      <f>B159+1</f>
    </nc>
  </rcc>
  <rcc rId="1183" sId="1">
    <oc r="B161">
      <f>B160+1</f>
    </oc>
    <nc r="B161">
      <f>B160+1</f>
    </nc>
  </rcc>
  <rcc rId="1184" sId="1">
    <oc r="B162">
      <f>B161+1</f>
    </oc>
    <nc r="B162">
      <f>B161+1</f>
    </nc>
  </rcc>
  <rcc rId="1185" sId="1">
    <oc r="B163">
      <f>B162+1</f>
    </oc>
    <nc r="B163">
      <f>B162+1</f>
    </nc>
  </rcc>
  <rcc rId="1186" sId="1">
    <oc r="B164">
      <f>B163+1</f>
    </oc>
    <nc r="B164">
      <f>B163+1</f>
    </nc>
  </rcc>
  <rcc rId="1187" sId="1">
    <oc r="B165">
      <f>B164+1</f>
    </oc>
    <nc r="B165">
      <f>B164+1</f>
    </nc>
  </rcc>
  <rcc rId="1188" sId="1">
    <oc r="B166">
      <f>B165+1</f>
    </oc>
    <nc r="B166">
      <f>B165+1</f>
    </nc>
  </rcc>
  <rcc rId="1189" sId="1">
    <oc r="B167">
      <f>B166+1</f>
    </oc>
    <nc r="B167">
      <f>B166+1</f>
    </nc>
  </rcc>
  <rcc rId="1190" sId="1">
    <oc r="B168">
      <f>B167+1</f>
    </oc>
    <nc r="B168">
      <f>B167+1</f>
    </nc>
  </rcc>
  <rcc rId="1191" sId="1">
    <oc r="B169">
      <f>B168+1</f>
    </oc>
    <nc r="B169">
      <f>B168+1</f>
    </nc>
  </rcc>
  <rcc rId="1192" sId="1">
    <oc r="B170">
      <f>B169+1</f>
    </oc>
    <nc r="B170">
      <f>B169+1</f>
    </nc>
  </rcc>
  <rcc rId="1193" sId="1">
    <oc r="B171">
      <f>B170+1</f>
    </oc>
    <nc r="B171">
      <f>B170+1</f>
    </nc>
  </rcc>
  <rcc rId="1194" sId="1">
    <oc r="B172">
      <f>B171+1</f>
    </oc>
    <nc r="B172">
      <f>B171+1</f>
    </nc>
  </rcc>
  <rcc rId="1195" sId="1">
    <oc r="B173">
      <f>B172+1</f>
    </oc>
    <nc r="B173">
      <f>B172+1</f>
    </nc>
  </rcc>
  <rcc rId="1196" sId="1">
    <oc r="B174">
      <f>B173+1</f>
    </oc>
    <nc r="B174">
      <f>B173+1</f>
    </nc>
  </rcc>
  <rcc rId="1197" sId="1">
    <oc r="B175">
      <f>B174+1</f>
    </oc>
    <nc r="B175">
      <f>B174+1</f>
    </nc>
  </rcc>
  <rcc rId="1198" sId="1">
    <oc r="B176">
      <f>B175+1</f>
    </oc>
    <nc r="B176">
      <f>B175+1</f>
    </nc>
  </rcc>
  <rcc rId="1199" sId="1">
    <oc r="B177">
      <f>B176+1</f>
    </oc>
    <nc r="B177">
      <f>B176+1</f>
    </nc>
  </rcc>
  <rcc rId="1200" sId="1">
    <oc r="B178">
      <f>B177+1</f>
    </oc>
    <nc r="B178">
      <f>B177+1</f>
    </nc>
  </rcc>
  <rcc rId="1201" sId="1">
    <oc r="B179">
      <f>B178+1</f>
    </oc>
    <nc r="B179">
      <f>B178+1</f>
    </nc>
  </rcc>
  <rcc rId="1202" sId="1">
    <oc r="B180">
      <f>B179+1</f>
    </oc>
    <nc r="B180">
      <f>B179+1</f>
    </nc>
  </rcc>
  <rcc rId="1203" sId="1">
    <oc r="B181">
      <f>B180+1</f>
    </oc>
    <nc r="B181">
      <f>B180+1</f>
    </nc>
  </rcc>
  <rcc rId="1204" sId="1">
    <oc r="B182">
      <f>B181+1</f>
    </oc>
    <nc r="B182">
      <f>B181+1</f>
    </nc>
  </rcc>
  <rcc rId="1205" sId="1">
    <oc r="B183">
      <f>B182+1</f>
    </oc>
    <nc r="B183">
      <f>B182+1</f>
    </nc>
  </rcc>
  <rcc rId="1206" sId="1">
    <oc r="B184">
      <f>B183+1</f>
    </oc>
    <nc r="B184">
      <f>B183+1</f>
    </nc>
  </rcc>
  <rcc rId="1207" sId="1">
    <oc r="B185">
      <f>B184+1</f>
    </oc>
    <nc r="B185">
      <f>B184+1</f>
    </nc>
  </rcc>
  <rcc rId="1208" sId="1">
    <oc r="B186">
      <f>B185+1</f>
    </oc>
    <nc r="B186">
      <f>B185+1</f>
    </nc>
  </rcc>
  <rcc rId="1209" sId="1">
    <oc r="B187">
      <f>B186+1</f>
    </oc>
    <nc r="B187">
      <f>B186+1</f>
    </nc>
  </rcc>
  <rcc rId="1210" sId="1">
    <oc r="B188">
      <f>B187+1</f>
    </oc>
    <nc r="B188">
      <f>B187+1</f>
    </nc>
  </rcc>
  <rcc rId="1211" sId="1">
    <oc r="B189">
      <f>B188+1</f>
    </oc>
    <nc r="B189">
      <f>B188+1</f>
    </nc>
  </rcc>
  <rcc rId="1212" sId="1">
    <oc r="B190">
      <f>B189+1</f>
    </oc>
    <nc r="B190">
      <f>B189+1</f>
    </nc>
  </rcc>
  <rcc rId="1213" sId="1">
    <oc r="B191">
      <f>B190+1</f>
    </oc>
    <nc r="B191">
      <f>B190+1</f>
    </nc>
  </rcc>
  <rcc rId="1214" sId="1">
    <oc r="B192">
      <f>B191+1</f>
    </oc>
    <nc r="B192">
      <f>B191+1</f>
    </nc>
  </rcc>
  <rcc rId="1215" sId="1">
    <oc r="B193">
      <f>B192+1</f>
    </oc>
    <nc r="B193">
      <f>B192+1</f>
    </nc>
  </rcc>
  <rcc rId="1216" sId="1">
    <oc r="B194">
      <f>B193+1</f>
    </oc>
    <nc r="B194">
      <f>B193+1</f>
    </nc>
  </rcc>
  <rcc rId="1217" sId="1">
    <oc r="B195">
      <f>B194+1</f>
    </oc>
    <nc r="B195">
      <f>B194+1</f>
    </nc>
  </rcc>
  <rcc rId="1218" sId="1">
    <oc r="B196">
      <f>B195+1</f>
    </oc>
    <nc r="B196">
      <f>B195+1</f>
    </nc>
  </rcc>
  <rcc rId="1219" sId="1">
    <oc r="B197">
      <f>B196+1</f>
    </oc>
    <nc r="B197">
      <f>B196+1</f>
    </nc>
  </rcc>
  <rcc rId="1220" sId="1">
    <oc r="B198">
      <f>B197+1</f>
    </oc>
    <nc r="B198">
      <f>B197+1</f>
    </nc>
  </rcc>
  <rcc rId="1221" sId="1">
    <oc r="B199">
      <f>B198+1</f>
    </oc>
    <nc r="B199">
      <f>B198+1</f>
    </nc>
  </rcc>
  <rcc rId="1222" sId="1">
    <oc r="B200">
      <f>B199+1</f>
    </oc>
    <nc r="B200">
      <f>B199+1</f>
    </nc>
  </rcc>
  <rcc rId="1223" sId="1">
    <oc r="B201">
      <f>B200+1</f>
    </oc>
    <nc r="B201">
      <f>B200+1</f>
    </nc>
  </rcc>
  <rcc rId="1224" sId="1">
    <oc r="B202">
      <f>B201+1</f>
    </oc>
    <nc r="B202">
      <f>B201+1</f>
    </nc>
  </rcc>
  <rcc rId="1225" sId="1">
    <oc r="B203">
      <f>B202+1</f>
    </oc>
    <nc r="B203">
      <f>B202+1</f>
    </nc>
  </rcc>
  <rcc rId="1226" sId="1">
    <oc r="B204">
      <f>B203+1</f>
    </oc>
    <nc r="B204">
      <f>B203+1</f>
    </nc>
  </rcc>
  <rcc rId="1227" sId="1">
    <oc r="B205">
      <f>B204+1</f>
    </oc>
    <nc r="B205">
      <f>B204+1</f>
    </nc>
  </rcc>
  <rcc rId="1228" sId="1">
    <oc r="B206">
      <f>B205+1</f>
    </oc>
    <nc r="B206">
      <f>B205+1</f>
    </nc>
  </rcc>
  <rcc rId="1229" sId="1">
    <oc r="B207">
      <f>B206+1</f>
    </oc>
    <nc r="B207">
      <f>B206+1</f>
    </nc>
  </rcc>
  <rcc rId="1230" sId="1">
    <oc r="B208">
      <f>B207+1</f>
    </oc>
    <nc r="B208">
      <f>B207+1</f>
    </nc>
  </rcc>
  <rcc rId="1231" sId="1">
    <oc r="B209">
      <f>B208+1</f>
    </oc>
    <nc r="B209">
      <f>B208+1</f>
    </nc>
  </rcc>
  <rcc rId="1232" sId="1">
    <oc r="B210">
      <f>B209+1</f>
    </oc>
    <nc r="B210">
      <f>B209+1</f>
    </nc>
  </rcc>
  <rcc rId="1233" sId="1">
    <oc r="B211">
      <f>B210+1</f>
    </oc>
    <nc r="B211">
      <f>B210+1</f>
    </nc>
  </rcc>
  <rcc rId="1234" sId="1">
    <oc r="B212">
      <f>B211+1</f>
    </oc>
    <nc r="B212">
      <f>B211+1</f>
    </nc>
  </rcc>
  <rcc rId="1235" sId="1">
    <oc r="B213">
      <f>B212+1</f>
    </oc>
    <nc r="B213">
      <f>B212+1</f>
    </nc>
  </rcc>
  <rcc rId="1236" sId="1">
    <oc r="B214">
      <f>B213+1</f>
    </oc>
    <nc r="B214">
      <f>B213+1</f>
    </nc>
  </rcc>
  <rcc rId="1237" sId="1">
    <oc r="B215">
      <f>B214+1</f>
    </oc>
    <nc r="B215">
      <f>B214+1</f>
    </nc>
  </rcc>
  <rcc rId="1238" sId="1">
    <oc r="B216">
      <f>B215+1</f>
    </oc>
    <nc r="B216">
      <f>B215+1</f>
    </nc>
  </rcc>
  <rcc rId="1239" sId="1">
    <oc r="B217">
      <f>B216+1</f>
    </oc>
    <nc r="B217">
      <f>B216+1</f>
    </nc>
  </rcc>
  <rcc rId="1240" sId="1">
    <oc r="B218">
      <f>B217+1</f>
    </oc>
    <nc r="B218">
      <f>B217+1</f>
    </nc>
  </rcc>
  <rcc rId="1241" sId="1">
    <oc r="B219">
      <f>B218+1</f>
    </oc>
    <nc r="B219">
      <f>B218+1</f>
    </nc>
  </rcc>
  <rcc rId="1242" sId="1">
    <oc r="B220">
      <f>B219+1</f>
    </oc>
    <nc r="B220">
      <f>B219+1</f>
    </nc>
  </rcc>
  <rcc rId="1243" sId="1">
    <oc r="B221">
      <f>B220+1</f>
    </oc>
    <nc r="B221">
      <f>B220+1</f>
    </nc>
  </rcc>
  <rcc rId="1244" sId="1">
    <oc r="B222">
      <f>B221+1</f>
    </oc>
    <nc r="B222">
      <f>B221+1</f>
    </nc>
  </rcc>
  <rcc rId="1245" sId="1">
    <oc r="B223">
      <f>B222+1</f>
    </oc>
    <nc r="B223">
      <f>B222+1</f>
    </nc>
  </rcc>
  <rcc rId="1246" sId="1">
    <oc r="B224">
      <f>B223+1</f>
    </oc>
    <nc r="B224">
      <f>B223+1</f>
    </nc>
  </rcc>
  <rcc rId="1247" sId="1">
    <oc r="B225">
      <f>B224+1</f>
    </oc>
    <nc r="B225">
      <f>B224+1</f>
    </nc>
  </rcc>
  <rcc rId="1248" sId="1">
    <oc r="B226">
      <f>B225+1</f>
    </oc>
    <nc r="B226">
      <f>B225+1</f>
    </nc>
  </rcc>
  <rcc rId="1249" sId="1">
    <oc r="B227">
      <f>B226+1</f>
    </oc>
    <nc r="B227">
      <f>B226+1</f>
    </nc>
  </rcc>
  <rcc rId="1250" sId="1">
    <oc r="B228">
      <f>B227+1</f>
    </oc>
    <nc r="B228">
      <f>B227+1</f>
    </nc>
  </rcc>
  <rcc rId="1251" sId="1">
    <oc r="B229">
      <f>B228+1</f>
    </oc>
    <nc r="B229">
      <f>B228+1</f>
    </nc>
  </rcc>
  <rcc rId="1252" sId="1">
    <oc r="B230">
      <f>B229+1</f>
    </oc>
    <nc r="B230">
      <f>B229+1</f>
    </nc>
  </rcc>
  <rcc rId="1253" sId="1">
    <oc r="B231">
      <f>B230+1</f>
    </oc>
    <nc r="B231">
      <f>B230+1</f>
    </nc>
  </rcc>
  <rcc rId="1254" sId="1">
    <oc r="B232">
      <f>B231+1</f>
    </oc>
    <nc r="B232">
      <f>B231+1</f>
    </nc>
  </rcc>
  <rcc rId="1255" sId="1">
    <oc r="B233">
      <f>B232+1</f>
    </oc>
    <nc r="B233">
      <f>B232+1</f>
    </nc>
  </rcc>
  <rcc rId="1256" sId="1">
    <oc r="B234">
      <f>B233+1</f>
    </oc>
    <nc r="B234">
      <f>B233+1</f>
    </nc>
  </rcc>
  <rcc rId="1257" sId="1">
    <oc r="B235">
      <f>B234+1</f>
    </oc>
    <nc r="B235">
      <f>B234+1</f>
    </nc>
  </rcc>
  <rcc rId="1258" sId="1">
    <oc r="B236">
      <f>B235+1</f>
    </oc>
    <nc r="B236">
      <f>B235+1</f>
    </nc>
  </rcc>
  <rcc rId="1259" sId="1">
    <oc r="B237">
      <f>B236+1</f>
    </oc>
    <nc r="B237">
      <f>B236+1</f>
    </nc>
  </rcc>
  <rcc rId="1260" sId="1">
    <oc r="B238">
      <f>B237+1</f>
    </oc>
    <nc r="B238">
      <f>B237+1</f>
    </nc>
  </rcc>
  <rcc rId="1261" sId="1">
    <oc r="B239">
      <f>B238+1</f>
    </oc>
    <nc r="B239">
      <f>B238+1</f>
    </nc>
  </rcc>
  <rcc rId="1262" sId="1">
    <oc r="B240">
      <f>B239+1</f>
    </oc>
    <nc r="B240">
      <f>B239+1</f>
    </nc>
  </rcc>
  <rcc rId="1263" sId="1">
    <oc r="B241">
      <f>B240+1</f>
    </oc>
    <nc r="B241">
      <f>B240+1</f>
    </nc>
  </rcc>
  <rcc rId="1264" sId="1">
    <oc r="B242">
      <f>B241+1</f>
    </oc>
    <nc r="B242">
      <f>B241+1</f>
    </nc>
  </rcc>
  <rcc rId="1265" sId="1">
    <oc r="B243">
      <f>B242+1</f>
    </oc>
    <nc r="B243">
      <f>B242+1</f>
    </nc>
  </rcc>
  <rcc rId="1266" sId="1">
    <oc r="B244">
      <f>B243+1</f>
    </oc>
    <nc r="B244">
      <f>B243+1</f>
    </nc>
  </rcc>
  <rcc rId="1267" sId="1">
    <oc r="B245">
      <f>B244+1</f>
    </oc>
    <nc r="B245">
      <f>B244+1</f>
    </nc>
  </rcc>
  <rcc rId="1268" sId="1">
    <oc r="B246">
      <f>B245+1</f>
    </oc>
    <nc r="B246">
      <f>B245+1</f>
    </nc>
  </rcc>
  <rcc rId="1269" sId="1">
    <oc r="B247">
      <f>B246+1</f>
    </oc>
    <nc r="B247">
      <f>B246+1</f>
    </nc>
  </rcc>
  <rcc rId="1270" sId="1">
    <oc r="B248">
      <f>B247+1</f>
    </oc>
    <nc r="B248">
      <f>B247+1</f>
    </nc>
  </rcc>
  <rcc rId="1271" sId="1">
    <oc r="B249">
      <f>#REF!+1</f>
    </oc>
    <nc r="B249">
      <f>B248+1</f>
    </nc>
  </rcc>
  <rcc rId="1272" sId="1">
    <oc r="B250">
      <f>B249+1</f>
    </oc>
    <nc r="B250">
      <f>B249+1</f>
    </nc>
  </rcc>
  <rcc rId="1273" sId="1">
    <oc r="B251">
      <f>B250+1</f>
    </oc>
    <nc r="B251">
      <f>B250+1</f>
    </nc>
  </rcc>
  <rcc rId="1274" sId="1">
    <oc r="B252">
      <f>B251+1</f>
    </oc>
    <nc r="B252">
      <f>B251+1</f>
    </nc>
  </rcc>
  <rcc rId="1275" sId="1">
    <oc r="B253">
      <f>B252+1</f>
    </oc>
    <nc r="B253">
      <f>B252+1</f>
    </nc>
  </rcc>
  <rcc rId="1276" sId="1">
    <oc r="B254">
      <f>B253+1</f>
    </oc>
    <nc r="B254">
      <f>B253+1</f>
    </nc>
  </rcc>
  <rcc rId="1277" sId="1">
    <oc r="B255">
      <f>B254+1</f>
    </oc>
    <nc r="B255">
      <f>B254+1</f>
    </nc>
  </rcc>
  <rcc rId="1278" sId="1">
    <oc r="B256">
      <f>B255+1</f>
    </oc>
    <nc r="B256">
      <f>B255+1</f>
    </nc>
  </rcc>
  <rcc rId="1279" sId="1">
    <oc r="B257">
      <f>#REF!+1</f>
    </oc>
    <nc r="B257">
      <f>B256+1</f>
    </nc>
  </rcc>
  <rcc rId="1280" sId="1">
    <oc r="B258">
      <f>B257+1</f>
    </oc>
    <nc r="B258">
      <f>B257+1</f>
    </nc>
  </rcc>
  <rcc rId="1281" sId="1">
    <oc r="B259">
      <f>B258+1</f>
    </oc>
    <nc r="B259">
      <f>B258+1</f>
    </nc>
  </rcc>
  <rcc rId="1282" sId="1">
    <oc r="B260">
      <f>B259+1</f>
    </oc>
    <nc r="B260">
      <f>B259+1</f>
    </nc>
  </rcc>
  <rcc rId="1283" sId="1">
    <oc r="B261">
      <f>B260+1</f>
    </oc>
    <nc r="B261">
      <f>B260+1</f>
    </nc>
  </rcc>
  <rcc rId="1284" sId="1">
    <oc r="B262">
      <f>B261+1</f>
    </oc>
    <nc r="B262">
      <f>B261+1</f>
    </nc>
  </rcc>
  <rcc rId="1285" sId="1">
    <oc r="B263">
      <f>B262+1</f>
    </oc>
    <nc r="B263">
      <f>B262+1</f>
    </nc>
  </rcc>
  <rcc rId="1286" sId="1">
    <oc r="B264">
      <f>B263+1</f>
    </oc>
    <nc r="B264">
      <f>B263+1</f>
    </nc>
  </rcc>
  <rcc rId="1287" sId="1">
    <oc r="B265">
      <f>#REF!+1</f>
    </oc>
    <nc r="B265">
      <f>B264+1</f>
    </nc>
  </rcc>
  <rcc rId="1288" sId="1">
    <oc r="B266">
      <f>B265+1</f>
    </oc>
    <nc r="B266">
      <f>B265+1</f>
    </nc>
  </rcc>
  <rcc rId="1289" sId="1">
    <oc r="B267">
      <f>B266+1</f>
    </oc>
    <nc r="B267">
      <f>B266+1</f>
    </nc>
  </rcc>
  <rcc rId="1290" sId="1">
    <oc r="B268">
      <f>B267+1</f>
    </oc>
    <nc r="B268">
      <f>B267+1</f>
    </nc>
  </rcc>
</revisions>
</file>

<file path=xl/revisions/revisionLog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291" sId="2" ref="A146:XFD146" action="deleteRow">
    <undo index="0" exp="ref" v="1" dr="B146" r="B147" sId="2"/>
    <rfmt sheetId="2" xfDxf="1" sqref="A146:XFD146" start="0" length="0"/>
    <rcc rId="0" sId="2" dxf="1">
      <nc r="B146">
        <f>B145+1</f>
      </nc>
      <ndxf>
        <font>
          <sz val="11"/>
          <color auto="1"/>
          <name val="Calibri"/>
          <scheme val="minor"/>
        </font>
        <fill>
          <patternFill patternType="solid">
            <bgColor rgb="FF92D050"/>
          </patternFill>
        </fill>
        <alignment horizontal="left" vertical="top" readingOrder="0"/>
        <border outline="0">
          <left style="thin">
            <color indexed="64"/>
          </left>
          <right style="thin">
            <color indexed="64"/>
          </right>
          <top style="thin">
            <color indexed="64"/>
          </top>
          <bottom style="thin">
            <color indexed="64"/>
          </bottom>
        </border>
      </ndxf>
    </rcc>
    <rcc rId="0" sId="2" dxf="1">
      <nc r="C146">
        <v>20200511</v>
      </nc>
      <ndxf>
        <fill>
          <patternFill patternType="solid">
            <bgColor rgb="FFFFC000"/>
          </patternFill>
        </fill>
        <alignment horizontal="left" vertical="top" readingOrder="0"/>
        <border outline="0">
          <left style="thin">
            <color indexed="64"/>
          </left>
          <right style="thin">
            <color indexed="64"/>
          </right>
          <top style="thin">
            <color indexed="64"/>
          </top>
          <bottom style="thin">
            <color indexed="64"/>
          </bottom>
        </border>
      </ndxf>
    </rcc>
    <rcc rId="0" sId="2" dxf="1">
      <nc r="D146" t="inlineStr">
        <is>
          <t>ASW</t>
        </is>
      </nc>
      <ndxf>
        <alignment horizontal="left" vertical="top" readingOrder="0"/>
        <border outline="0">
          <left style="thin">
            <color indexed="64"/>
          </left>
          <right style="thin">
            <color indexed="64"/>
          </right>
          <top style="thin">
            <color indexed="64"/>
          </top>
          <bottom style="thin">
            <color indexed="64"/>
          </bottom>
        </border>
      </ndxf>
    </rcc>
    <rcc rId="0" sId="2" dxf="1">
      <nc r="E146" t="inlineStr">
        <is>
          <t>HONDA_CMP_BL11sp02_snapshot05</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F146" t="inlineStr">
        <is>
          <t>rb.as.core.app.asw.dtc.dtfdtcdte20msesp</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G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H146" t="inlineStr">
        <is>
          <t>MT_224</t>
        </is>
      </nc>
      <ndxf>
        <alignment horizontal="left" vertical="top" readingOrder="0"/>
        <border outline="0">
          <left style="thin">
            <color indexed="64"/>
          </left>
          <right style="thin">
            <color indexed="64"/>
          </right>
          <top style="thin">
            <color indexed="64"/>
          </top>
          <bottom style="thin">
            <color indexed="64"/>
          </bottom>
        </border>
      </ndxf>
    </rcc>
    <rcc rId="0" sId="2" dxf="1">
      <nc r="I146" t="inlineStr">
        <is>
          <t>DTCActionNoTrq</t>
        </is>
      </nc>
      <ndxf>
        <alignment horizontal="left" vertical="top" readingOrder="0"/>
        <border outline="0">
          <left style="thin">
            <color indexed="64"/>
          </left>
          <right style="thin">
            <color indexed="64"/>
          </right>
          <top style="thin">
            <color indexed="64"/>
          </top>
          <bottom style="thin">
            <color indexed="64"/>
          </bottom>
        </border>
      </ndxf>
    </rcc>
    <rcc rId="0" sId="2" dxf="1">
      <nc r="J146" t="inlineStr">
        <is>
          <t>Delta/New</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K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L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M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N146" t="inlineStr">
        <is>
          <t>CSMosarASWMainstream93_Honda</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O146" t="inlineStr">
        <is>
          <t>4.2.131.1</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P146" t="inlineStr">
        <is>
          <t>Contact point: Iwase Megumi (CC-AS/ESJ2-JP) ; EXTERNAL Motoyoshi Kazuyuki (VSN, CC-AS/ESJ2-JP)</t>
        </is>
      </nc>
      <ndxf>
        <alignment horizontal="left" vertical="top" readingOrder="0"/>
        <border outline="0">
          <left style="thin">
            <color indexed="64"/>
          </left>
          <right style="thin">
            <color indexed="64"/>
          </right>
          <top style="thin">
            <color indexed="64"/>
          </top>
          <bottom style="thin">
            <color indexed="64"/>
          </bottom>
        </border>
      </ndxf>
    </rcc>
    <rfmt sheetId="2" sqref="Q14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2" dxf="1">
      <nc r="R146" t="inlineStr">
        <is>
          <t>T500</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2" dxf="1">
      <nc r="S146" t="inlineStr">
        <is>
          <t>dac.luu-cong</t>
        </is>
      </nc>
      <ndxf>
        <alignment horizontal="left" vertical="top" readingOrder="0"/>
        <border outline="0">
          <left style="thin">
            <color indexed="64"/>
          </left>
          <right style="thin">
            <color indexed="64"/>
          </right>
          <top style="thin">
            <color indexed="64"/>
          </top>
          <bottom style="thin">
            <color indexed="64"/>
          </bottom>
        </border>
      </ndxf>
    </rcc>
    <rfmt sheetId="2" sqref="T146" start="0" length="0">
      <dxf>
        <alignment horizontal="left" vertical="top" readingOrder="0"/>
        <border outline="0">
          <left style="thin">
            <color indexed="64"/>
          </left>
          <right style="thin">
            <color indexed="64"/>
          </right>
          <top style="thin">
            <color indexed="64"/>
          </top>
          <bottom style="thin">
            <color indexed="64"/>
          </bottom>
        </border>
      </dxf>
    </rfmt>
    <rfmt sheetId="2" sqref="U146" start="0" length="0">
      <dxf>
        <alignment horizontal="left" vertical="top" readingOrder="0"/>
        <border outline="0">
          <left style="thin">
            <color indexed="64"/>
          </left>
          <right style="thin">
            <color indexed="64"/>
          </right>
          <top style="thin">
            <color indexed="64"/>
          </top>
          <bottom style="thin">
            <color indexed="64"/>
          </bottom>
        </border>
      </dxf>
    </rfmt>
    <rcc rId="0" sId="2" dxf="1">
      <nc r="V146">
        <v>165</v>
      </nc>
      <ndxf>
        <alignment horizontal="left" vertical="top" readingOrder="0"/>
        <border outline="0">
          <left style="thin">
            <color indexed="64"/>
          </left>
          <right style="thin">
            <color indexed="64"/>
          </right>
          <top style="thin">
            <color indexed="64"/>
          </top>
          <bottom style="thin">
            <color indexed="64"/>
          </bottom>
        </border>
      </ndxf>
    </rcc>
    <rcc rId="0" sId="2" dxf="1">
      <nc r="W146">
        <f>ROUND(IF(D146=Table!$C$3,Y146*Table!$C$4/8,Y146*Table!$D$4/8),3)</f>
      </nc>
      <ndxf>
        <alignment horizontal="left" vertical="top" readingOrder="0"/>
        <border outline="0">
          <left style="thin">
            <color indexed="64"/>
          </left>
          <right style="thin">
            <color indexed="64"/>
          </right>
          <top style="thin">
            <color indexed="64"/>
          </top>
          <bottom style="thin">
            <color indexed="64"/>
          </bottom>
        </border>
      </ndxf>
    </rcc>
    <rcc rId="0" sId="2" dxf="1">
      <nc r="X146">
        <f>W146</f>
      </nc>
      <ndxf>
        <alignment horizontal="left" vertical="top" readingOrder="0"/>
        <border outline="0">
          <left style="thin">
            <color indexed="64"/>
          </left>
          <right style="thin">
            <color indexed="64"/>
          </right>
          <top style="thin">
            <color indexed="64"/>
          </top>
          <bottom style="thin">
            <color indexed="64"/>
          </bottom>
        </border>
      </ndxf>
    </rcc>
    <rcc rId="0" sId="2" dxf="1">
      <nc r="Y146">
        <v>7.84</v>
      </nc>
      <ndxf>
        <alignment horizontal="left" vertical="top" readingOrder="0"/>
        <border outline="0">
          <left style="thin">
            <color indexed="64"/>
          </left>
          <right style="thin">
            <color indexed="64"/>
          </right>
          <top style="thin">
            <color indexed="64"/>
          </top>
          <bottom style="thin">
            <color indexed="64"/>
          </bottom>
        </border>
      </ndxf>
    </rcc>
    <rcc rId="0" sId="2" dxf="1">
      <nc r="Z146">
        <v>8</v>
      </nc>
      <ndxf>
        <alignment horizontal="left" vertical="top" readingOrder="0"/>
        <border outline="0">
          <left style="thin">
            <color indexed="64"/>
          </left>
          <right style="thin">
            <color indexed="64"/>
          </right>
          <top style="thin">
            <color indexed="64"/>
          </top>
          <bottom style="thin">
            <color indexed="64"/>
          </bottom>
        </border>
      </ndxf>
    </rcc>
    <rcc rId="0" sId="2" dxf="1">
      <nc r="AA146"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2" sqref="AB14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2" dxf="1" numFmtId="19">
      <nc r="AC146">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D146">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E14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F14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c r="AG14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c r="AH146">
        <v>97.6</v>
      </nc>
      <ndxf/>
    </rcc>
    <rcc rId="0" sId="2" dxf="1">
      <nc r="AI146">
        <v>97.7</v>
      </nc>
      <ndxf/>
    </rcc>
    <rcc rId="0" sId="2" dxf="1">
      <nc r="AJ146">
        <v>100</v>
      </nc>
      <ndxf/>
    </rcc>
    <rcc rId="0" sId="2" dxf="1">
      <nc r="AK14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c r="AL146" t="inlineStr">
        <is>
          <t>cannot cover full C0/C1 because of param1D</t>
        </is>
      </nc>
      <ndxf>
        <font>
          <sz val="10"/>
          <color auto="1"/>
          <name val="Arial"/>
          <scheme val="none"/>
        </font>
        <border outline="0">
          <left style="thin">
            <color indexed="64"/>
          </left>
          <right style="thin">
            <color indexed="64"/>
          </right>
          <top style="thin">
            <color indexed="64"/>
          </top>
          <bottom style="thin">
            <color indexed="64"/>
          </bottom>
        </border>
      </ndxf>
    </rcc>
    <rfmt sheetId="2" sqref="AM146" start="0" length="0">
      <dxf>
        <alignment horizontal="left" vertical="top" readingOrder="0"/>
        <border outline="0">
          <left style="thin">
            <color indexed="64"/>
          </left>
          <right style="thin">
            <color indexed="64"/>
          </right>
          <top style="thin">
            <color indexed="64"/>
          </top>
          <bottom style="thin">
            <color indexed="64"/>
          </bottom>
        </border>
      </dxf>
    </rfmt>
    <rfmt sheetId="2" sqref="AN146" start="0" length="0">
      <dxf>
        <alignment horizontal="left" vertical="top" readingOrder="0"/>
        <border outline="0">
          <left style="thin">
            <color indexed="64"/>
          </left>
          <right style="thin">
            <color indexed="64"/>
          </right>
          <top style="thin">
            <color indexed="64"/>
          </top>
          <bottom style="thin">
            <color indexed="64"/>
          </bottom>
        </border>
      </dxf>
    </rfmt>
  </rrc>
  <rrc rId="1292" sId="2" ref="A146:XFD146" action="deleteRow">
    <undo index="0" exp="ref" v="1" dr="B146" r="B147" sId="2"/>
    <rfmt sheetId="2" xfDxf="1" sqref="A146:XFD146" start="0" length="0"/>
    <rcc rId="0" sId="2" dxf="1">
      <nc r="B146">
        <f>#REF!+1</f>
      </nc>
      <ndxf>
        <font>
          <sz val="11"/>
          <color auto="1"/>
          <name val="Calibri"/>
          <scheme val="minor"/>
        </font>
        <fill>
          <patternFill patternType="solid">
            <bgColor rgb="FF92D050"/>
          </patternFill>
        </fill>
        <alignment horizontal="left" vertical="top" readingOrder="0"/>
        <border outline="0">
          <left style="thin">
            <color indexed="64"/>
          </left>
          <right style="thin">
            <color indexed="64"/>
          </right>
          <top style="thin">
            <color indexed="64"/>
          </top>
          <bottom style="thin">
            <color indexed="64"/>
          </bottom>
        </border>
      </ndxf>
    </rcc>
    <rcc rId="0" sId="2" dxf="1">
      <nc r="C146">
        <v>20200511</v>
      </nc>
      <ndxf>
        <fill>
          <patternFill patternType="solid">
            <bgColor rgb="FFFFC000"/>
          </patternFill>
        </fill>
        <alignment horizontal="left" vertical="top" readingOrder="0"/>
        <border outline="0">
          <left style="thin">
            <color indexed="64"/>
          </left>
          <right style="thin">
            <color indexed="64"/>
          </right>
          <top style="thin">
            <color indexed="64"/>
          </top>
          <bottom style="thin">
            <color indexed="64"/>
          </bottom>
        </border>
      </ndxf>
    </rcc>
    <rcc rId="0" sId="2" dxf="1">
      <nc r="D146" t="inlineStr">
        <is>
          <t>ASW</t>
        </is>
      </nc>
      <ndxf>
        <alignment horizontal="left" vertical="top" readingOrder="0"/>
        <border outline="0">
          <left style="thin">
            <color indexed="64"/>
          </left>
          <right style="thin">
            <color indexed="64"/>
          </right>
          <top style="thin">
            <color indexed="64"/>
          </top>
          <bottom style="thin">
            <color indexed="64"/>
          </bottom>
        </border>
      </ndxf>
    </rcc>
    <rcc rId="0" sId="2" dxf="1">
      <nc r="E146" t="inlineStr">
        <is>
          <t>HONDA_CMP_BL11sp02_snapshot05</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F146" t="inlineStr">
        <is>
          <t>rb.as.core.app.asw.ldm.lfc</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G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H146" t="inlineStr">
        <is>
          <t>MT_208</t>
        </is>
      </nc>
      <ndxf>
        <alignment horizontal="left" vertical="top" readingOrder="0"/>
        <border outline="0">
          <left style="thin">
            <color indexed="64"/>
          </left>
          <right style="thin">
            <color indexed="64"/>
          </right>
          <top style="thin">
            <color indexed="64"/>
          </top>
          <bottom style="thin">
            <color indexed="64"/>
          </bottom>
        </border>
      </ndxf>
    </rcc>
    <rcc rId="0" sId="2" dxf="1">
      <nc r="I146" t="inlineStr">
        <is>
          <t>LFC_Exe</t>
        </is>
      </nc>
      <ndxf>
        <alignment horizontal="left" vertical="top" readingOrder="0"/>
        <border outline="0">
          <left style="thin">
            <color indexed="64"/>
          </left>
          <right style="thin">
            <color indexed="64"/>
          </right>
          <top style="thin">
            <color indexed="64"/>
          </top>
          <bottom style="thin">
            <color indexed="64"/>
          </bottom>
        </border>
      </ndxf>
    </rcc>
    <rcc rId="0" sId="2" dxf="1">
      <nc r="J146" t="inlineStr">
        <is>
          <t>Delta &gt; New</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K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L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M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N146" t="inlineStr">
        <is>
          <t>CSMosarASWMainstream93_Honda</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O146" t="inlineStr">
        <is>
          <t>4.10.131.0</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P146" t="inlineStr">
        <is>
          <t>Contact point: Iwase Megumi (CC-AS/ESJ2-JP) ; EXTERNAL Motoyoshi Kazuyuki (VSN, CC-AS/ESJ2-JP)</t>
        </is>
      </nc>
      <ndxf>
        <alignment horizontal="left" vertical="top" readingOrder="0"/>
        <border outline="0">
          <left style="thin">
            <color indexed="64"/>
          </left>
          <right style="thin">
            <color indexed="64"/>
          </right>
          <top style="thin">
            <color indexed="64"/>
          </top>
          <bottom style="thin">
            <color indexed="64"/>
          </bottom>
        </border>
      </ndxf>
    </rcc>
    <rfmt sheetId="2" sqref="Q14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2" dxf="1">
      <nc r="R146" t="inlineStr">
        <is>
          <t>T501</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2" dxf="1">
      <nc r="S146" t="inlineStr">
        <is>
          <t>huy.do-anh</t>
        </is>
      </nc>
      <ndxf>
        <alignment horizontal="left" vertical="top" readingOrder="0"/>
        <border outline="0">
          <left style="thin">
            <color indexed="64"/>
          </left>
          <right style="thin">
            <color indexed="64"/>
          </right>
          <top style="thin">
            <color indexed="64"/>
          </top>
          <bottom style="thin">
            <color indexed="64"/>
          </bottom>
        </border>
      </ndxf>
    </rcc>
    <rfmt sheetId="2" sqref="T146" start="0" length="0">
      <dxf>
        <alignment horizontal="left" vertical="top" readingOrder="0"/>
        <border outline="0">
          <left style="thin">
            <color indexed="64"/>
          </left>
          <right style="thin">
            <color indexed="64"/>
          </right>
          <top style="thin">
            <color indexed="64"/>
          </top>
          <bottom style="thin">
            <color indexed="64"/>
          </bottom>
        </border>
      </dxf>
    </rfmt>
    <rfmt sheetId="2" sqref="U146" start="0" length="0">
      <dxf>
        <alignment horizontal="left" vertical="top" readingOrder="0"/>
        <border outline="0">
          <left style="thin">
            <color indexed="64"/>
          </left>
          <right style="thin">
            <color indexed="64"/>
          </right>
          <top style="thin">
            <color indexed="64"/>
          </top>
          <bottom style="thin">
            <color indexed="64"/>
          </bottom>
        </border>
      </dxf>
    </rfmt>
    <rcc rId="0" sId="2" dxf="1">
      <nc r="V146">
        <v>418</v>
      </nc>
      <ndxf>
        <alignment horizontal="left" vertical="top" readingOrder="0"/>
        <border outline="0">
          <left style="thin">
            <color indexed="64"/>
          </left>
          <right style="thin">
            <color indexed="64"/>
          </right>
          <top style="thin">
            <color indexed="64"/>
          </top>
          <bottom style="thin">
            <color indexed="64"/>
          </bottom>
        </border>
      </ndxf>
    </rcc>
    <rcc rId="0" sId="2" dxf="1">
      <nc r="W146">
        <f>ROUND(IF(D146=Table!$C$3,Y146*Table!$C$4/8,Y146*Table!$D$4/8),3)</f>
      </nc>
      <ndxf>
        <alignment horizontal="left" vertical="top" readingOrder="0"/>
        <border outline="0">
          <left style="thin">
            <color indexed="64"/>
          </left>
          <right style="thin">
            <color indexed="64"/>
          </right>
          <top style="thin">
            <color indexed="64"/>
          </top>
          <bottom style="thin">
            <color indexed="64"/>
          </bottom>
        </border>
      </ndxf>
    </rcc>
    <rfmt sheetId="2" sqref="X146" start="0" length="0">
      <dxf>
        <alignment horizontal="left" vertical="top" readingOrder="0"/>
        <border outline="0">
          <left style="thin">
            <color indexed="64"/>
          </left>
          <right style="thin">
            <color indexed="64"/>
          </right>
          <top style="thin">
            <color indexed="64"/>
          </top>
          <bottom style="thin">
            <color indexed="64"/>
          </bottom>
        </border>
      </dxf>
    </rfmt>
    <rcc rId="0" sId="2" dxf="1">
      <nc r="Y146">
        <v>22.4</v>
      </nc>
      <ndxf>
        <alignment horizontal="left" vertical="top" readingOrder="0"/>
        <border outline="0">
          <left style="thin">
            <color indexed="64"/>
          </left>
          <right style="thin">
            <color indexed="64"/>
          </right>
          <top style="thin">
            <color indexed="64"/>
          </top>
          <bottom style="thin">
            <color indexed="64"/>
          </bottom>
        </border>
      </ndxf>
    </rcc>
    <rfmt sheetId="2" sqref="Z146" start="0" length="0">
      <dxf>
        <alignment horizontal="left" vertical="top" readingOrder="0"/>
        <border outline="0">
          <left style="thin">
            <color indexed="64"/>
          </left>
          <right style="thin">
            <color indexed="64"/>
          </right>
          <top style="thin">
            <color indexed="64"/>
          </top>
          <bottom style="thin">
            <color indexed="64"/>
          </bottom>
        </border>
      </dxf>
    </rfmt>
    <rfmt sheetId="2" sqref="AA146" start="0" length="0">
      <dxf>
        <alignment horizontal="left" vertical="top" readingOrder="0"/>
        <border outline="0">
          <left style="thin">
            <color indexed="64"/>
          </left>
          <right style="thin">
            <color indexed="64"/>
          </right>
          <top style="thin">
            <color indexed="64"/>
          </top>
          <bottom style="thin">
            <color indexed="64"/>
          </bottom>
        </border>
      </dxf>
    </rfmt>
    <rfmt sheetId="2" sqref="AB14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2" dxf="1" numFmtId="19">
      <nc r="AC146">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D146">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2" sqref="AE14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2" sqref="AF14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2" sqref="AG14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2" sqref="AH14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sqref="AI14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sqref="AJ146"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sqref="AK14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2" sqref="AL146" start="0" length="0">
      <dxf>
        <alignment horizontal="left" vertical="top" readingOrder="0"/>
        <border outline="0">
          <left style="thin">
            <color indexed="64"/>
          </left>
          <right style="thin">
            <color indexed="64"/>
          </right>
          <top style="thin">
            <color indexed="64"/>
          </top>
          <bottom style="thin">
            <color indexed="64"/>
          </bottom>
        </border>
      </dxf>
    </rfmt>
    <rfmt sheetId="2" sqref="AM146" start="0" length="0">
      <dxf>
        <alignment horizontal="left" vertical="top" readingOrder="0"/>
        <border outline="0">
          <left style="thin">
            <color indexed="64"/>
          </left>
          <right style="thin">
            <color indexed="64"/>
          </right>
          <top style="thin">
            <color indexed="64"/>
          </top>
          <bottom style="thin">
            <color indexed="64"/>
          </bottom>
        </border>
      </dxf>
    </rfmt>
    <rfmt sheetId="2" sqref="AN146" start="0" length="0">
      <dxf>
        <alignment horizontal="left" vertical="top" readingOrder="0"/>
        <border outline="0">
          <left style="thin">
            <color indexed="64"/>
          </left>
          <right style="thin">
            <color indexed="64"/>
          </right>
          <top style="thin">
            <color indexed="64"/>
          </top>
          <bottom style="thin">
            <color indexed="64"/>
          </bottom>
        </border>
      </dxf>
    </rfmt>
  </rrc>
  <rrc rId="1293" sId="2" ref="A146:XFD146" action="deleteRow">
    <undo index="0" exp="ref" v="1" dr="B146" r="B147" sId="2"/>
    <rfmt sheetId="2" xfDxf="1" sqref="A146:XFD146" start="0" length="0"/>
    <rcc rId="0" sId="2" dxf="1">
      <nc r="B146">
        <f>#REF!+1</f>
      </nc>
      <ndxf>
        <font>
          <sz val="11"/>
          <color auto="1"/>
          <name val="Calibri"/>
          <scheme val="minor"/>
        </font>
        <fill>
          <patternFill patternType="solid">
            <bgColor rgb="FF92D050"/>
          </patternFill>
        </fill>
        <alignment horizontal="left" vertical="top" readingOrder="0"/>
        <border outline="0">
          <left style="thin">
            <color indexed="64"/>
          </left>
          <right style="thin">
            <color indexed="64"/>
          </right>
          <top style="thin">
            <color indexed="64"/>
          </top>
          <bottom style="thin">
            <color indexed="64"/>
          </bottom>
        </border>
      </ndxf>
    </rcc>
    <rcc rId="0" sId="2" dxf="1">
      <nc r="C146">
        <v>20200511</v>
      </nc>
      <ndxf>
        <fill>
          <patternFill patternType="solid">
            <bgColor rgb="FFFFC000"/>
          </patternFill>
        </fill>
        <alignment horizontal="left" vertical="top" readingOrder="0"/>
        <border outline="0">
          <left style="thin">
            <color indexed="64"/>
          </left>
          <right style="thin">
            <color indexed="64"/>
          </right>
          <top style="thin">
            <color indexed="64"/>
          </top>
          <bottom style="thin">
            <color indexed="64"/>
          </bottom>
        </border>
      </ndxf>
    </rcc>
    <rcc rId="0" sId="2" dxf="1">
      <nc r="D146" t="inlineStr">
        <is>
          <t>PSW</t>
        </is>
      </nc>
      <ndxf>
        <alignment horizontal="left" vertical="top" readingOrder="0"/>
        <border outline="0">
          <left style="thin">
            <color indexed="64"/>
          </left>
          <right style="thin">
            <color indexed="64"/>
          </right>
          <top style="thin">
            <color indexed="64"/>
          </top>
          <bottom style="thin">
            <color indexed="64"/>
          </bottom>
        </border>
      </ndxf>
    </rcc>
    <rcc rId="0" sId="2" dxf="1">
      <nc r="E146" t="inlineStr">
        <is>
          <t>HONDA_CMP_BL11sp02_snapshot05</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F146" t="inlineStr">
        <is>
          <t>rb.as.core.hwp.cubas.CanStack</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G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H146" t="inlineStr">
        <is>
          <t>MT_003</t>
        </is>
      </nc>
      <ndxf>
        <alignment horizontal="left" vertical="top" readingOrder="0"/>
        <border outline="0">
          <left style="thin">
            <color indexed="64"/>
          </left>
          <right style="thin">
            <color indexed="64"/>
          </right>
          <top style="thin">
            <color indexed="64"/>
          </top>
          <bottom style="thin">
            <color indexed="64"/>
          </bottom>
        </border>
      </ndxf>
    </rcc>
    <rcc rId="0" sId="2" dxf="1">
      <nc r="I146" t="inlineStr">
        <is>
          <t>CUBAS_Comstack_Can</t>
        </is>
      </nc>
      <ndxf>
        <alignment horizontal="left" vertical="top" readingOrder="0"/>
        <border outline="0">
          <left style="thin">
            <color indexed="64"/>
          </left>
          <right style="thin">
            <color indexed="64"/>
          </right>
          <top style="thin">
            <color indexed="64"/>
          </top>
          <bottom style="thin">
            <color indexed="64"/>
          </bottom>
        </border>
      </ndxf>
    </rcc>
    <rcc rId="0" sId="2" dxf="1">
      <nc r="J146" t="inlineStr">
        <is>
          <t>Delta</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K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L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M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N146" t="inlineStr">
        <is>
          <t>RB_HONDA_ESP</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O146" t="inlineStr">
        <is>
          <t>-</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P146" t="inlineStr">
        <is>
          <t>Contact point: Iwase Megumi (CC-AS/ESJ2-JP) ; EXTERNAL Motoyoshi Kazuyuki (VSN, CC-AS/ESJ2-JP)</t>
        </is>
      </nc>
      <ndxf>
        <alignment horizontal="left" vertical="top" readingOrder="0"/>
        <border outline="0">
          <left style="thin">
            <color indexed="64"/>
          </left>
          <right style="thin">
            <color indexed="64"/>
          </right>
          <top style="thin">
            <color indexed="64"/>
          </top>
          <bottom style="thin">
            <color indexed="64"/>
          </bottom>
        </border>
      </ndxf>
    </rcc>
    <rfmt sheetId="2" sqref="Q14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2" dxf="1">
      <nc r="R146" t="inlineStr">
        <is>
          <t>T501</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2" dxf="1">
      <nc r="S146" t="inlineStr">
        <is>
          <t>huy.do-anh</t>
        </is>
      </nc>
      <ndxf>
        <alignment horizontal="left" vertical="top" readingOrder="0"/>
        <border outline="0">
          <left style="thin">
            <color indexed="64"/>
          </left>
          <right style="thin">
            <color indexed="64"/>
          </right>
          <top style="thin">
            <color indexed="64"/>
          </top>
          <bottom style="thin">
            <color indexed="64"/>
          </bottom>
        </border>
      </ndxf>
    </rcc>
    <rfmt sheetId="2" sqref="T146" start="0" length="0">
      <dxf>
        <alignment horizontal="left" vertical="top" readingOrder="0"/>
        <border outline="0">
          <left style="thin">
            <color indexed="64"/>
          </left>
          <right style="thin">
            <color indexed="64"/>
          </right>
          <top style="thin">
            <color indexed="64"/>
          </top>
          <bottom style="thin">
            <color indexed="64"/>
          </bottom>
        </border>
      </dxf>
    </rfmt>
    <rfmt sheetId="2" sqref="U146" start="0" length="0">
      <dxf>
        <alignment horizontal="left" vertical="top" readingOrder="0"/>
        <border outline="0">
          <left style="thin">
            <color indexed="64"/>
          </left>
          <right style="thin">
            <color indexed="64"/>
          </right>
          <top style="thin">
            <color indexed="64"/>
          </top>
          <bottom style="thin">
            <color indexed="64"/>
          </bottom>
        </border>
      </dxf>
    </rfmt>
    <rcc rId="0" sId="2" dxf="1">
      <nc r="V146">
        <v>90</v>
      </nc>
      <ndxf>
        <alignment horizontal="left" vertical="top" readingOrder="0"/>
        <border outline="0">
          <left style="thin">
            <color indexed="64"/>
          </left>
          <right style="thin">
            <color indexed="64"/>
          </right>
          <top style="thin">
            <color indexed="64"/>
          </top>
          <bottom style="thin">
            <color indexed="64"/>
          </bottom>
        </border>
      </ndxf>
    </rcc>
    <rcc rId="0" sId="2" dxf="1">
      <nc r="W146">
        <f>ROUND(IF(D146=Table!$C$3,Y146*Table!$C$4/8,Y146*Table!$D$4/8),3)</f>
      </nc>
      <ndxf>
        <alignment horizontal="left" vertical="top" readingOrder="0"/>
        <border outline="0">
          <left style="thin">
            <color indexed="64"/>
          </left>
          <right style="thin">
            <color indexed="64"/>
          </right>
          <top style="thin">
            <color indexed="64"/>
          </top>
          <bottom style="thin">
            <color indexed="64"/>
          </bottom>
        </border>
      </ndxf>
    </rcc>
    <rcc rId="0" sId="2" dxf="1">
      <nc r="X146">
        <f>W146</f>
      </nc>
      <ndxf>
        <alignment horizontal="left" vertical="top" readingOrder="0"/>
        <border outline="0">
          <left style="thin">
            <color indexed="64"/>
          </left>
          <right style="thin">
            <color indexed="64"/>
          </right>
          <top style="thin">
            <color indexed="64"/>
          </top>
          <bottom style="thin">
            <color indexed="64"/>
          </bottom>
        </border>
      </ndxf>
    </rcc>
    <rcc rId="0" sId="2" dxf="1">
      <nc r="Y146">
        <v>1.6</v>
      </nc>
      <ndxf>
        <alignment horizontal="left" vertical="top" readingOrder="0"/>
        <border outline="0">
          <left style="thin">
            <color indexed="64"/>
          </left>
          <right style="thin">
            <color indexed="64"/>
          </right>
          <top style="thin">
            <color indexed="64"/>
          </top>
          <bottom style="thin">
            <color indexed="64"/>
          </bottom>
        </border>
      </ndxf>
    </rcc>
    <rcc rId="0" sId="2" dxf="1">
      <nc r="Z146">
        <v>0.5</v>
      </nc>
      <ndxf>
        <alignment horizontal="left" vertical="top" readingOrder="0"/>
        <border outline="0">
          <left style="thin">
            <color indexed="64"/>
          </left>
          <right style="thin">
            <color indexed="64"/>
          </right>
          <top style="thin">
            <color indexed="64"/>
          </top>
          <bottom style="thin">
            <color indexed="64"/>
          </bottom>
        </border>
      </ndxf>
    </rcc>
    <rcc rId="0" sId="2" dxf="1">
      <nc r="AA146"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2" sqref="AB14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2" dxf="1" numFmtId="19">
      <nc r="AC146">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D146">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E14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F14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c r="AG14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4">
      <nc r="AH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umFmtId="14">
      <nc r="AI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umFmtId="14">
      <nc r="AJ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c r="AK14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2" sqref="AL146" start="0" length="0">
      <dxf>
        <alignment horizontal="left" vertical="top" readingOrder="0"/>
        <border outline="0">
          <left style="thin">
            <color indexed="64"/>
          </left>
          <right style="thin">
            <color indexed="64"/>
          </right>
          <top style="thin">
            <color indexed="64"/>
          </top>
          <bottom style="thin">
            <color indexed="64"/>
          </bottom>
        </border>
      </dxf>
    </rfmt>
    <rfmt sheetId="2" sqref="AM146" start="0" length="0">
      <dxf>
        <alignment horizontal="left" vertical="top" readingOrder="0"/>
        <border outline="0">
          <left style="thin">
            <color indexed="64"/>
          </left>
          <right style="thin">
            <color indexed="64"/>
          </right>
          <top style="thin">
            <color indexed="64"/>
          </top>
          <bottom style="thin">
            <color indexed="64"/>
          </bottom>
        </border>
      </dxf>
    </rfmt>
    <rfmt sheetId="2" sqref="AN146" start="0" length="0">
      <dxf>
        <alignment horizontal="left" vertical="top" readingOrder="0"/>
        <border outline="0">
          <left style="thin">
            <color indexed="64"/>
          </left>
          <right style="thin">
            <color indexed="64"/>
          </right>
          <top style="thin">
            <color indexed="64"/>
          </top>
          <bottom style="thin">
            <color indexed="64"/>
          </bottom>
        </border>
      </dxf>
    </rfmt>
  </rrc>
  <rrc rId="1294" sId="2" ref="A146:XFD146" action="deleteRow">
    <undo index="0" exp="ref" v="1" dr="B146" r="B147" sId="2"/>
    <rfmt sheetId="2" xfDxf="1" sqref="A146:XFD146" start="0" length="0"/>
    <rcc rId="0" sId="2" dxf="1">
      <nc r="B146">
        <f>#REF!+1</f>
      </nc>
      <ndxf>
        <font>
          <sz val="11"/>
          <color auto="1"/>
          <name val="Calibri"/>
          <scheme val="minor"/>
        </font>
        <fill>
          <patternFill patternType="solid">
            <bgColor rgb="FF92D050"/>
          </patternFill>
        </fill>
        <alignment horizontal="left" vertical="top" readingOrder="0"/>
        <border outline="0">
          <left style="thin">
            <color indexed="64"/>
          </left>
          <right style="thin">
            <color indexed="64"/>
          </right>
          <top style="thin">
            <color indexed="64"/>
          </top>
          <bottom style="thin">
            <color indexed="64"/>
          </bottom>
        </border>
      </ndxf>
    </rcc>
    <rcc rId="0" sId="2" dxf="1">
      <nc r="C146">
        <v>20200511</v>
      </nc>
      <ndxf>
        <fill>
          <patternFill patternType="solid">
            <bgColor rgb="FFFFC000"/>
          </patternFill>
        </fill>
        <alignment horizontal="left" vertical="top" readingOrder="0"/>
        <border outline="0">
          <left style="thin">
            <color indexed="64"/>
          </left>
          <right style="thin">
            <color indexed="64"/>
          </right>
          <top style="thin">
            <color indexed="64"/>
          </top>
          <bottom style="thin">
            <color indexed="64"/>
          </bottom>
        </border>
      </ndxf>
    </rcc>
    <rcc rId="0" sId="2" dxf="1">
      <nc r="D146" t="inlineStr">
        <is>
          <t>ASW</t>
        </is>
      </nc>
      <ndxf>
        <alignment horizontal="left" vertical="top" readingOrder="0"/>
        <border outline="0">
          <left style="thin">
            <color indexed="64"/>
          </left>
          <right style="thin">
            <color indexed="64"/>
          </right>
          <top style="thin">
            <color indexed="64"/>
          </top>
          <bottom style="thin">
            <color indexed="64"/>
          </bottom>
        </border>
      </ndxf>
    </rcc>
    <rcc rId="0" sId="2" dxf="1">
      <nc r="E146" t="inlineStr">
        <is>
          <t>HONDA_CMP_BL11sp02_snapshot05</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F146" t="inlineStr">
        <is>
          <t>rb.as.honda.cmp.app.asw.custtarball</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G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H146" t="inlineStr">
        <is>
          <t>MT_209</t>
        </is>
      </nc>
      <ndxf>
        <alignment horizontal="left" vertical="top" readingOrder="0"/>
        <border outline="0">
          <left style="thin">
            <color indexed="64"/>
          </left>
          <right style="thin">
            <color indexed="64"/>
          </right>
          <top style="thin">
            <color indexed="64"/>
          </top>
          <bottom style="thin">
            <color indexed="64"/>
          </bottom>
        </border>
      </ndxf>
    </rcc>
    <rcc rId="0" sId="2" dxf="1">
      <nc r="I146" t="inlineStr">
        <is>
          <t>CM_Honda_LFC5ms_LFC20msV1_3_4_0</t>
        </is>
      </nc>
      <ndxf>
        <alignment horizontal="left" vertical="top" readingOrder="0"/>
        <border outline="0">
          <left style="thin">
            <color indexed="64"/>
          </left>
          <right style="thin">
            <color indexed="64"/>
          </right>
          <top style="thin">
            <color indexed="64"/>
          </top>
          <bottom style="thin">
            <color indexed="64"/>
          </bottom>
        </border>
      </ndxf>
    </rcc>
    <rcc rId="0" sId="2" dxf="1">
      <nc r="J146" t="inlineStr">
        <is>
          <t>New</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K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L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M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N146" t="inlineStr">
        <is>
          <t>CSMosarASWMainstream93_Honda</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O146" t="inlineStr">
        <is>
          <t>1.1</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P146" t="inlineStr">
        <is>
          <t>Contact point: Iwase Megumi (CC-AS/ESJ2-JP) ; EXTERNAL Motoyoshi Kazuyuki (VSN, CC-AS/ESJ2-JP)</t>
        </is>
      </nc>
      <ndxf>
        <alignment horizontal="left" vertical="top" readingOrder="0"/>
        <border outline="0">
          <left style="thin">
            <color indexed="64"/>
          </left>
          <right style="thin">
            <color indexed="64"/>
          </right>
          <top style="thin">
            <color indexed="64"/>
          </top>
          <bottom style="thin">
            <color indexed="64"/>
          </bottom>
        </border>
      </ndxf>
    </rcc>
    <rfmt sheetId="2" sqref="Q14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2" dxf="1">
      <nc r="R146" t="inlineStr">
        <is>
          <t>T500</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2" dxf="1">
      <nc r="S146" t="inlineStr">
        <is>
          <t>dac.luu-cong</t>
        </is>
      </nc>
      <ndxf>
        <alignment horizontal="left" vertical="top" readingOrder="0"/>
        <border outline="0">
          <left style="thin">
            <color indexed="64"/>
          </left>
          <right style="thin">
            <color indexed="64"/>
          </right>
          <top style="thin">
            <color indexed="64"/>
          </top>
          <bottom style="thin">
            <color indexed="64"/>
          </bottom>
        </border>
      </ndxf>
    </rcc>
    <rfmt sheetId="2" sqref="T146" start="0" length="0">
      <dxf>
        <alignment horizontal="left" vertical="top" readingOrder="0"/>
        <border outline="0">
          <left style="thin">
            <color indexed="64"/>
          </left>
          <right style="thin">
            <color indexed="64"/>
          </right>
          <top style="thin">
            <color indexed="64"/>
          </top>
          <bottom style="thin">
            <color indexed="64"/>
          </bottom>
        </border>
      </dxf>
    </rfmt>
    <rfmt sheetId="2" sqref="U146" start="0" length="0">
      <dxf>
        <alignment horizontal="left" vertical="top" readingOrder="0"/>
        <border outline="0">
          <left style="thin">
            <color indexed="64"/>
          </left>
          <right style="thin">
            <color indexed="64"/>
          </right>
          <top style="thin">
            <color indexed="64"/>
          </top>
          <bottom style="thin">
            <color indexed="64"/>
          </bottom>
        </border>
      </dxf>
    </rfmt>
    <rcc rId="0" sId="2" dxf="1">
      <nc r="V146">
        <v>92</v>
      </nc>
      <ndxf>
        <alignment horizontal="left" vertical="top" readingOrder="0"/>
        <border outline="0">
          <left style="thin">
            <color indexed="64"/>
          </left>
          <right style="thin">
            <color indexed="64"/>
          </right>
          <top style="thin">
            <color indexed="64"/>
          </top>
          <bottom style="thin">
            <color indexed="64"/>
          </bottom>
        </border>
      </ndxf>
    </rcc>
    <rcc rId="0" sId="2" dxf="1">
      <nc r="W146">
        <f>ROUND(IF(D146=Table!$C$3,Y146*Table!$C$4/8,Y146*Table!$D$4/8),3)</f>
      </nc>
      <ndxf>
        <alignment horizontal="left" vertical="top" readingOrder="0"/>
        <border outline="0">
          <left style="thin">
            <color indexed="64"/>
          </left>
          <right style="thin">
            <color indexed="64"/>
          </right>
          <top style="thin">
            <color indexed="64"/>
          </top>
          <bottom style="thin">
            <color indexed="64"/>
          </bottom>
        </border>
      </ndxf>
    </rcc>
    <rcc rId="0" sId="2" dxf="1">
      <nc r="X146">
        <f>W146</f>
      </nc>
      <ndxf>
        <alignment horizontal="left" vertical="top" readingOrder="0"/>
        <border outline="0">
          <left style="thin">
            <color indexed="64"/>
          </left>
          <right style="thin">
            <color indexed="64"/>
          </right>
          <top style="thin">
            <color indexed="64"/>
          </top>
          <bottom style="thin">
            <color indexed="64"/>
          </bottom>
        </border>
      </ndxf>
    </rcc>
    <rcc rId="0" sId="2" dxf="1">
      <nc r="Y146">
        <v>3.2</v>
      </nc>
      <ndxf>
        <alignment horizontal="left" vertical="top" readingOrder="0"/>
        <border outline="0">
          <left style="thin">
            <color indexed="64"/>
          </left>
          <right style="thin">
            <color indexed="64"/>
          </right>
          <top style="thin">
            <color indexed="64"/>
          </top>
          <bottom style="thin">
            <color indexed="64"/>
          </bottom>
        </border>
      </ndxf>
    </rcc>
    <rcc rId="0" sId="2" dxf="1">
      <nc r="Z146">
        <v>3</v>
      </nc>
      <ndxf>
        <alignment horizontal="left" vertical="top" readingOrder="0"/>
        <border outline="0">
          <left style="thin">
            <color indexed="64"/>
          </left>
          <right style="thin">
            <color indexed="64"/>
          </right>
          <top style="thin">
            <color indexed="64"/>
          </top>
          <bottom style="thin">
            <color indexed="64"/>
          </bottom>
        </border>
      </ndxf>
    </rcc>
    <rcc rId="0" sId="2" dxf="1">
      <nc r="AA146"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2" sqref="AB14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2" dxf="1" numFmtId="19">
      <nc r="AC146">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D146">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E146">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F146">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c r="AG14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c r="AH146" t="inlineStr">
        <is>
          <t>NA</t>
        </is>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c r="AI146" t="inlineStr">
        <is>
          <t>NA</t>
        </is>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c r="AJ146" t="inlineStr">
        <is>
          <t>NA</t>
        </is>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c r="AK14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c r="AL146" t="inlineStr">
        <is>
          <t>Message Class</t>
        </is>
      </nc>
      <ndxf>
        <alignment horizontal="left" vertical="top" readingOrder="0"/>
        <border outline="0">
          <left style="thin">
            <color indexed="64"/>
          </left>
          <right style="thin">
            <color indexed="64"/>
          </right>
          <top style="thin">
            <color indexed="64"/>
          </top>
          <bottom style="thin">
            <color indexed="64"/>
          </bottom>
        </border>
      </ndxf>
    </rcc>
    <rfmt sheetId="2" sqref="AM146" start="0" length="0">
      <dxf>
        <alignment horizontal="left" vertical="top" readingOrder="0"/>
        <border outline="0">
          <left style="thin">
            <color indexed="64"/>
          </left>
          <right style="thin">
            <color indexed="64"/>
          </right>
          <top style="thin">
            <color indexed="64"/>
          </top>
          <bottom style="thin">
            <color indexed="64"/>
          </bottom>
        </border>
      </dxf>
    </rfmt>
    <rfmt sheetId="2" sqref="AN146" start="0" length="0">
      <dxf>
        <alignment horizontal="left" vertical="top" readingOrder="0"/>
        <border outline="0">
          <left style="thin">
            <color indexed="64"/>
          </left>
          <right style="thin">
            <color indexed="64"/>
          </right>
          <top style="thin">
            <color indexed="64"/>
          </top>
          <bottom style="thin">
            <color indexed="64"/>
          </bottom>
        </border>
      </dxf>
    </rfmt>
  </rrc>
  <rrc rId="1295" sId="2" ref="A146:XFD146" action="deleteRow">
    <undo index="0" exp="ref" v="1" dr="B146" r="B147" sId="2"/>
    <rfmt sheetId="2" xfDxf="1" sqref="A146:XFD146" start="0" length="0"/>
    <rcc rId="0" sId="2" dxf="1">
      <nc r="B146">
        <f>#REF!+1</f>
      </nc>
      <ndxf>
        <font>
          <sz val="11"/>
          <color auto="1"/>
          <name val="Calibri"/>
          <scheme val="minor"/>
        </font>
        <fill>
          <patternFill patternType="solid">
            <bgColor rgb="FF92D050"/>
          </patternFill>
        </fill>
        <alignment horizontal="left" vertical="top" readingOrder="0"/>
        <border outline="0">
          <left style="thin">
            <color indexed="64"/>
          </left>
          <right style="thin">
            <color indexed="64"/>
          </right>
          <top style="thin">
            <color indexed="64"/>
          </top>
          <bottom style="thin">
            <color indexed="64"/>
          </bottom>
        </border>
      </ndxf>
    </rcc>
    <rcc rId="0" sId="2" dxf="1">
      <nc r="C146">
        <v>20200511</v>
      </nc>
      <ndxf>
        <fill>
          <patternFill patternType="solid">
            <bgColor rgb="FFFFC000"/>
          </patternFill>
        </fill>
        <alignment horizontal="left" vertical="top" readingOrder="0"/>
        <border outline="0">
          <left style="thin">
            <color indexed="64"/>
          </left>
          <right style="thin">
            <color indexed="64"/>
          </right>
          <top style="thin">
            <color indexed="64"/>
          </top>
          <bottom style="thin">
            <color indexed="64"/>
          </bottom>
        </border>
      </ndxf>
    </rcc>
    <rcc rId="0" sId="2" dxf="1">
      <nc r="D146" t="inlineStr">
        <is>
          <t>ASW</t>
        </is>
      </nc>
      <ndxf>
        <alignment horizontal="left" vertical="top" readingOrder="0"/>
        <border outline="0">
          <left style="thin">
            <color indexed="64"/>
          </left>
          <right style="thin">
            <color indexed="64"/>
          </right>
          <top style="thin">
            <color indexed="64"/>
          </top>
          <bottom style="thin">
            <color indexed="64"/>
          </bottom>
        </border>
      </ndxf>
    </rcc>
    <rcc rId="0" sId="2" dxf="1">
      <nc r="E146" t="inlineStr">
        <is>
          <t>HONDA_CMP_BL11sp02_snapshot05</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F146" t="inlineStr">
        <is>
          <t>rb.as.honda.cmp.app.asw.custtarball</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G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H146" t="inlineStr">
        <is>
          <t>MT_210</t>
        </is>
      </nc>
      <ndxf>
        <alignment horizontal="left" vertical="top" readingOrder="0"/>
        <border outline="0">
          <left style="thin">
            <color indexed="64"/>
          </left>
          <right style="thin">
            <color indexed="64"/>
          </right>
          <top style="thin">
            <color indexed="64"/>
          </top>
          <bottom style="thin">
            <color indexed="64"/>
          </bottom>
        </border>
      </ndxf>
    </rcc>
    <rcc rId="0" sId="2" dxf="1">
      <nc r="I146" t="inlineStr">
        <is>
          <t>CVSA_Control</t>
        </is>
      </nc>
      <ndxf>
        <alignment horizontal="left" vertical="top" readingOrder="0"/>
        <border outline="0">
          <left style="thin">
            <color indexed="64"/>
          </left>
          <right style="thin">
            <color indexed="64"/>
          </right>
          <top style="thin">
            <color indexed="64"/>
          </top>
          <bottom style="thin">
            <color indexed="64"/>
          </bottom>
        </border>
      </ndxf>
    </rcc>
    <rcc rId="0" sId="2" dxf="1">
      <nc r="J146" t="inlineStr">
        <is>
          <t>New</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K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L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M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N146" t="inlineStr">
        <is>
          <t>CSMosarASWMainstream93_Honda</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O146" t="inlineStr">
        <is>
          <t>2.2</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P146" t="inlineStr">
        <is>
          <t>Contact point: Iwase Megumi (CC-AS/ESJ2-JP) ; EXTERNAL Motoyoshi Kazuyuki (VSN, CC-AS/ESJ2-JP)</t>
        </is>
      </nc>
      <ndxf>
        <alignment horizontal="left" vertical="top" readingOrder="0"/>
        <border outline="0">
          <left style="thin">
            <color indexed="64"/>
          </left>
          <right style="thin">
            <color indexed="64"/>
          </right>
          <top style="thin">
            <color indexed="64"/>
          </top>
          <bottom style="thin">
            <color indexed="64"/>
          </bottom>
        </border>
      </ndxf>
    </rcc>
    <rfmt sheetId="2" sqref="Q14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2" dxf="1">
      <nc r="R146" t="inlineStr">
        <is>
          <t>T500</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2" dxf="1">
      <nc r="S146" t="inlineStr">
        <is>
          <t>dac.luu-cong</t>
        </is>
      </nc>
      <ndxf>
        <alignment horizontal="left" vertical="top" readingOrder="0"/>
        <border outline="0">
          <left style="thin">
            <color indexed="64"/>
          </left>
          <right style="thin">
            <color indexed="64"/>
          </right>
          <top style="thin">
            <color indexed="64"/>
          </top>
          <bottom style="thin">
            <color indexed="64"/>
          </bottom>
        </border>
      </ndxf>
    </rcc>
    <rfmt sheetId="2" sqref="T146" start="0" length="0">
      <dxf>
        <alignment horizontal="left" vertical="top" readingOrder="0"/>
        <border outline="0">
          <left style="thin">
            <color indexed="64"/>
          </left>
          <right style="thin">
            <color indexed="64"/>
          </right>
          <top style="thin">
            <color indexed="64"/>
          </top>
          <bottom style="thin">
            <color indexed="64"/>
          </bottom>
        </border>
      </dxf>
    </rfmt>
    <rfmt sheetId="2" sqref="U146" start="0" length="0">
      <dxf>
        <alignment horizontal="left" vertical="top" readingOrder="0"/>
        <border outline="0">
          <left style="thin">
            <color indexed="64"/>
          </left>
          <right style="thin">
            <color indexed="64"/>
          </right>
          <top style="thin">
            <color indexed="64"/>
          </top>
          <bottom style="thin">
            <color indexed="64"/>
          </bottom>
        </border>
      </dxf>
    </rfmt>
    <rcc rId="0" sId="2" dxf="1">
      <nc r="V146">
        <v>35</v>
      </nc>
      <ndxf>
        <alignment horizontal="left" vertical="top" readingOrder="0"/>
        <border outline="0">
          <left style="thin">
            <color indexed="64"/>
          </left>
          <right style="thin">
            <color indexed="64"/>
          </right>
          <top style="thin">
            <color indexed="64"/>
          </top>
          <bottom style="thin">
            <color indexed="64"/>
          </bottom>
        </border>
      </ndxf>
    </rcc>
    <rcc rId="0" sId="2" dxf="1">
      <nc r="W146">
        <f>ROUND(IF(D146=Table!$C$3,Y146*Table!$C$4/8,Y146*Table!$D$4/8),3)</f>
      </nc>
      <ndxf>
        <alignment horizontal="left" vertical="top" readingOrder="0"/>
        <border outline="0">
          <left style="thin">
            <color indexed="64"/>
          </left>
          <right style="thin">
            <color indexed="64"/>
          </right>
          <top style="thin">
            <color indexed="64"/>
          </top>
          <bottom style="thin">
            <color indexed="64"/>
          </bottom>
        </border>
      </ndxf>
    </rcc>
    <rcc rId="0" sId="2" dxf="1">
      <nc r="X146">
        <f>W146</f>
      </nc>
      <ndxf>
        <alignment horizontal="left" vertical="top" readingOrder="0"/>
        <border outline="0">
          <left style="thin">
            <color indexed="64"/>
          </left>
          <right style="thin">
            <color indexed="64"/>
          </right>
          <top style="thin">
            <color indexed="64"/>
          </top>
          <bottom style="thin">
            <color indexed="64"/>
          </bottom>
        </border>
      </ndxf>
    </rcc>
    <rcc rId="0" sId="2" dxf="1">
      <nc r="Y146">
        <v>1.6</v>
      </nc>
      <ndxf>
        <alignment horizontal="left" vertical="top" readingOrder="0"/>
        <border outline="0">
          <left style="thin">
            <color indexed="64"/>
          </left>
          <right style="thin">
            <color indexed="64"/>
          </right>
          <top style="thin">
            <color indexed="64"/>
          </top>
          <bottom style="thin">
            <color indexed="64"/>
          </bottom>
        </border>
      </ndxf>
    </rcc>
    <rcc rId="0" sId="2" dxf="1">
      <nc r="Z146">
        <v>2</v>
      </nc>
      <ndxf>
        <alignment horizontal="left" vertical="top" readingOrder="0"/>
        <border outline="0">
          <left style="thin">
            <color indexed="64"/>
          </left>
          <right style="thin">
            <color indexed="64"/>
          </right>
          <top style="thin">
            <color indexed="64"/>
          </top>
          <bottom style="thin">
            <color indexed="64"/>
          </bottom>
        </border>
      </ndxf>
    </rcc>
    <rcc rId="0" sId="2" dxf="1">
      <nc r="AA146"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2" sqref="AB14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2" dxf="1" numFmtId="19">
      <nc r="AC146">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D146">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E146">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F146">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c r="AG14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4">
      <nc r="AH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umFmtId="14">
      <nc r="AI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c r="AJ146" t="inlineStr">
        <is>
          <t>NA</t>
        </is>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c r="AK14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2" sqref="AL146" start="0" length="0">
      <dxf>
        <alignment horizontal="left" vertical="top" readingOrder="0"/>
        <border outline="0">
          <left style="thin">
            <color indexed="64"/>
          </left>
          <right style="thin">
            <color indexed="64"/>
          </right>
          <top style="thin">
            <color indexed="64"/>
          </top>
          <bottom style="thin">
            <color indexed="64"/>
          </bottom>
        </border>
      </dxf>
    </rfmt>
    <rfmt sheetId="2" sqref="AM146" start="0" length="0">
      <dxf>
        <alignment horizontal="left" vertical="top" readingOrder="0"/>
        <border outline="0">
          <left style="thin">
            <color indexed="64"/>
          </left>
          <right style="thin">
            <color indexed="64"/>
          </right>
          <top style="thin">
            <color indexed="64"/>
          </top>
          <bottom style="thin">
            <color indexed="64"/>
          </bottom>
        </border>
      </dxf>
    </rfmt>
    <rfmt sheetId="2" sqref="AN146" start="0" length="0">
      <dxf>
        <alignment horizontal="left" vertical="top" readingOrder="0"/>
        <border outline="0">
          <left style="thin">
            <color indexed="64"/>
          </left>
          <right style="thin">
            <color indexed="64"/>
          </right>
          <top style="thin">
            <color indexed="64"/>
          </top>
          <bottom style="thin">
            <color indexed="64"/>
          </bottom>
        </border>
      </dxf>
    </rfmt>
  </rrc>
  <rrc rId="1296" sId="2" ref="A146:XFD146" action="deleteRow">
    <undo index="0" exp="ref" v="1" dr="B146" r="B147" sId="2"/>
    <rfmt sheetId="2" xfDxf="1" sqref="A146:XFD146" start="0" length="0"/>
    <rcc rId="0" sId="2" dxf="1">
      <nc r="B146">
        <f>#REF!+1</f>
      </nc>
      <ndxf>
        <font>
          <sz val="11"/>
          <color auto="1"/>
          <name val="Calibri"/>
          <scheme val="minor"/>
        </font>
        <fill>
          <patternFill patternType="solid">
            <bgColor rgb="FF92D050"/>
          </patternFill>
        </fill>
        <alignment horizontal="left" vertical="top" readingOrder="0"/>
        <border outline="0">
          <left style="thin">
            <color indexed="64"/>
          </left>
          <right style="thin">
            <color indexed="64"/>
          </right>
          <top style="thin">
            <color indexed="64"/>
          </top>
          <bottom style="thin">
            <color indexed="64"/>
          </bottom>
        </border>
      </ndxf>
    </rcc>
    <rcc rId="0" sId="2" dxf="1">
      <nc r="C146">
        <v>20200511</v>
      </nc>
      <ndxf>
        <fill>
          <patternFill patternType="solid">
            <bgColor rgb="FFFFC000"/>
          </patternFill>
        </fill>
        <alignment horizontal="left" vertical="top" readingOrder="0"/>
        <border outline="0">
          <left style="thin">
            <color indexed="64"/>
          </left>
          <right style="thin">
            <color indexed="64"/>
          </right>
          <top style="thin">
            <color indexed="64"/>
          </top>
          <bottom style="thin">
            <color indexed="64"/>
          </bottom>
        </border>
      </ndxf>
    </rcc>
    <rcc rId="0" sId="2" dxf="1">
      <nc r="D146" t="inlineStr">
        <is>
          <t>ASW</t>
        </is>
      </nc>
      <ndxf>
        <alignment horizontal="left" vertical="top" readingOrder="0"/>
        <border outline="0">
          <left style="thin">
            <color indexed="64"/>
          </left>
          <right style="thin">
            <color indexed="64"/>
          </right>
          <top style="thin">
            <color indexed="64"/>
          </top>
          <bottom style="thin">
            <color indexed="64"/>
          </bottom>
        </border>
      </ndxf>
    </rcc>
    <rcc rId="0" sId="2" dxf="1">
      <nc r="E146" t="inlineStr">
        <is>
          <t>HONDA_CMP_BL11sp02_snapshot05</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F146" t="inlineStr">
        <is>
          <t>rb.as.honda.cmp.app.asw.custtarball</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G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H146" t="inlineStr">
        <is>
          <t>MT_211</t>
        </is>
      </nc>
      <ndxf>
        <alignment horizontal="left" vertical="top" readingOrder="0"/>
        <border outline="0">
          <left style="thin">
            <color indexed="64"/>
          </left>
          <right style="thin">
            <color indexed="64"/>
          </right>
          <top style="thin">
            <color indexed="64"/>
          </top>
          <bottom style="thin">
            <color indexed="64"/>
          </bottom>
        </border>
      </ndxf>
    </rcc>
    <rcc rId="0" sId="2" dxf="1">
      <nc r="I146" t="inlineStr">
        <is>
          <t>CVSA_PataAndLampStrategy</t>
        </is>
      </nc>
      <ndxf>
        <alignment horizontal="left" vertical="top" readingOrder="0"/>
        <border outline="0">
          <left style="thin">
            <color indexed="64"/>
          </left>
          <right style="thin">
            <color indexed="64"/>
          </right>
          <top style="thin">
            <color indexed="64"/>
          </top>
          <bottom style="thin">
            <color indexed="64"/>
          </bottom>
        </border>
      </ndxf>
    </rcc>
    <rcc rId="0" sId="2" dxf="1">
      <nc r="J146" t="inlineStr">
        <is>
          <t>New</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K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L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M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N146" t="inlineStr">
        <is>
          <t>CSMosarASWMainstream93_Honda</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O146" t="inlineStr">
        <is>
          <t>2.1</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P146" t="inlineStr">
        <is>
          <t>Contact point: Iwase Megumi (CC-AS/ESJ2-JP) ; EXTERNAL Motoyoshi Kazuyuki (VSN, CC-AS/ESJ2-JP)</t>
        </is>
      </nc>
      <ndxf>
        <alignment horizontal="left" vertical="top" readingOrder="0"/>
        <border outline="0">
          <left style="thin">
            <color indexed="64"/>
          </left>
          <right style="thin">
            <color indexed="64"/>
          </right>
          <top style="thin">
            <color indexed="64"/>
          </top>
          <bottom style="thin">
            <color indexed="64"/>
          </bottom>
        </border>
      </ndxf>
    </rcc>
    <rfmt sheetId="2" sqref="Q14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2" dxf="1">
      <nc r="R146" t="inlineStr">
        <is>
          <t>T500</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2" dxf="1">
      <nc r="S146" t="inlineStr">
        <is>
          <t>dac.luu-cong</t>
        </is>
      </nc>
      <ndxf>
        <alignment horizontal="left" vertical="top" readingOrder="0"/>
        <border outline="0">
          <left style="thin">
            <color indexed="64"/>
          </left>
          <right style="thin">
            <color indexed="64"/>
          </right>
          <top style="thin">
            <color indexed="64"/>
          </top>
          <bottom style="thin">
            <color indexed="64"/>
          </bottom>
        </border>
      </ndxf>
    </rcc>
    <rfmt sheetId="2" sqref="T146" start="0" length="0">
      <dxf>
        <alignment horizontal="left" vertical="top" readingOrder="0"/>
        <border outline="0">
          <left style="thin">
            <color indexed="64"/>
          </left>
          <right style="thin">
            <color indexed="64"/>
          </right>
          <top style="thin">
            <color indexed="64"/>
          </top>
          <bottom style="thin">
            <color indexed="64"/>
          </bottom>
        </border>
      </dxf>
    </rfmt>
    <rfmt sheetId="2" sqref="U146" start="0" length="0">
      <dxf>
        <alignment horizontal="left" vertical="top" readingOrder="0"/>
        <border outline="0">
          <left style="thin">
            <color indexed="64"/>
          </left>
          <right style="thin">
            <color indexed="64"/>
          </right>
          <top style="thin">
            <color indexed="64"/>
          </top>
          <bottom style="thin">
            <color indexed="64"/>
          </bottom>
        </border>
      </dxf>
    </rfmt>
    <rcc rId="0" sId="2" dxf="1">
      <nc r="V146">
        <v>17</v>
      </nc>
      <ndxf>
        <alignment horizontal="left" vertical="top" readingOrder="0"/>
        <border outline="0">
          <left style="thin">
            <color indexed="64"/>
          </left>
          <right style="thin">
            <color indexed="64"/>
          </right>
          <top style="thin">
            <color indexed="64"/>
          </top>
          <bottom style="thin">
            <color indexed="64"/>
          </bottom>
        </border>
      </ndxf>
    </rcc>
    <rcc rId="0" sId="2" dxf="1">
      <nc r="W146">
        <f>ROUND(IF(D146=Table!$C$3,Y146*Table!$C$4/8,Y146*Table!$D$4/8),3)</f>
      </nc>
      <ndxf>
        <alignment horizontal="left" vertical="top" readingOrder="0"/>
        <border outline="0">
          <left style="thin">
            <color indexed="64"/>
          </left>
          <right style="thin">
            <color indexed="64"/>
          </right>
          <top style="thin">
            <color indexed="64"/>
          </top>
          <bottom style="thin">
            <color indexed="64"/>
          </bottom>
        </border>
      </ndxf>
    </rcc>
    <rcc rId="0" sId="2" dxf="1">
      <nc r="X146">
        <f>W146</f>
      </nc>
      <ndxf>
        <alignment horizontal="left" vertical="top" readingOrder="0"/>
        <border outline="0">
          <left style="thin">
            <color indexed="64"/>
          </left>
          <right style="thin">
            <color indexed="64"/>
          </right>
          <top style="thin">
            <color indexed="64"/>
          </top>
          <bottom style="thin">
            <color indexed="64"/>
          </bottom>
        </border>
      </ndxf>
    </rcc>
    <rcc rId="0" sId="2" dxf="1">
      <nc r="Y146">
        <v>1.6</v>
      </nc>
      <ndxf>
        <alignment horizontal="left" vertical="top" readingOrder="0"/>
        <border outline="0">
          <left style="thin">
            <color indexed="64"/>
          </left>
          <right style="thin">
            <color indexed="64"/>
          </right>
          <top style="thin">
            <color indexed="64"/>
          </top>
          <bottom style="thin">
            <color indexed="64"/>
          </bottom>
        </border>
      </ndxf>
    </rcc>
    <rcc rId="0" sId="2" dxf="1">
      <nc r="Z146">
        <v>2</v>
      </nc>
      <ndxf>
        <alignment horizontal="left" vertical="top" readingOrder="0"/>
        <border outline="0">
          <left style="thin">
            <color indexed="64"/>
          </left>
          <right style="thin">
            <color indexed="64"/>
          </right>
          <top style="thin">
            <color indexed="64"/>
          </top>
          <bottom style="thin">
            <color indexed="64"/>
          </bottom>
        </border>
      </ndxf>
    </rcc>
    <rcc rId="0" sId="2" dxf="1">
      <nc r="AA146"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2" sqref="AB14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2" dxf="1" numFmtId="19">
      <nc r="AC146">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D146">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E146">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F146">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c r="AG14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4">
      <nc r="AH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umFmtId="14">
      <nc r="AI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c r="AJ146" t="inlineStr">
        <is>
          <t>NA</t>
        </is>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c r="AK14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2" sqref="AL146" start="0" length="0">
      <dxf>
        <alignment horizontal="left" vertical="top" readingOrder="0"/>
        <border outline="0">
          <left style="thin">
            <color indexed="64"/>
          </left>
          <right style="thin">
            <color indexed="64"/>
          </right>
          <top style="thin">
            <color indexed="64"/>
          </top>
          <bottom style="thin">
            <color indexed="64"/>
          </bottom>
        </border>
      </dxf>
    </rfmt>
    <rfmt sheetId="2" sqref="AM146" start="0" length="0">
      <dxf>
        <alignment horizontal="left" vertical="top" readingOrder="0"/>
        <border outline="0">
          <left style="thin">
            <color indexed="64"/>
          </left>
          <right style="thin">
            <color indexed="64"/>
          </right>
          <top style="thin">
            <color indexed="64"/>
          </top>
          <bottom style="thin">
            <color indexed="64"/>
          </bottom>
        </border>
      </dxf>
    </rfmt>
    <rfmt sheetId="2" sqref="AN146" start="0" length="0">
      <dxf>
        <alignment horizontal="left" vertical="top" readingOrder="0"/>
        <border outline="0">
          <left style="thin">
            <color indexed="64"/>
          </left>
          <right style="thin">
            <color indexed="64"/>
          </right>
          <top style="thin">
            <color indexed="64"/>
          </top>
          <bottom style="thin">
            <color indexed="64"/>
          </bottom>
        </border>
      </dxf>
    </rfmt>
  </rrc>
  <rrc rId="1297" sId="2" ref="A146:XFD146" action="deleteRow">
    <undo index="0" exp="ref" v="1" dr="B146" r="B147" sId="2"/>
    <rfmt sheetId="2" xfDxf="1" sqref="A146:XFD146" start="0" length="0"/>
    <rcc rId="0" sId="2" dxf="1">
      <nc r="B146">
        <f>#REF!+1</f>
      </nc>
      <ndxf>
        <font>
          <sz val="11"/>
          <color auto="1"/>
          <name val="Calibri"/>
          <scheme val="minor"/>
        </font>
        <fill>
          <patternFill patternType="solid">
            <bgColor rgb="FF92D050"/>
          </patternFill>
        </fill>
        <alignment horizontal="left" vertical="top" readingOrder="0"/>
        <border outline="0">
          <left style="thin">
            <color indexed="64"/>
          </left>
          <right style="thin">
            <color indexed="64"/>
          </right>
          <top style="thin">
            <color indexed="64"/>
          </top>
          <bottom style="thin">
            <color indexed="64"/>
          </bottom>
        </border>
      </ndxf>
    </rcc>
    <rcc rId="0" sId="2" dxf="1">
      <nc r="C146">
        <v>20200511</v>
      </nc>
      <ndxf>
        <fill>
          <patternFill patternType="solid">
            <bgColor rgb="FFFFC000"/>
          </patternFill>
        </fill>
        <alignment horizontal="left" vertical="top" readingOrder="0"/>
        <border outline="0">
          <left style="thin">
            <color indexed="64"/>
          </left>
          <right style="thin">
            <color indexed="64"/>
          </right>
          <top style="thin">
            <color indexed="64"/>
          </top>
          <bottom style="thin">
            <color indexed="64"/>
          </bottom>
        </border>
      </ndxf>
    </rcc>
    <rcc rId="0" sId="2" dxf="1">
      <nc r="D146" t="inlineStr">
        <is>
          <t>ASW</t>
        </is>
      </nc>
      <ndxf>
        <alignment horizontal="left" vertical="top" readingOrder="0"/>
        <border outline="0">
          <left style="thin">
            <color indexed="64"/>
          </left>
          <right style="thin">
            <color indexed="64"/>
          </right>
          <top style="thin">
            <color indexed="64"/>
          </top>
          <bottom style="thin">
            <color indexed="64"/>
          </bottom>
        </border>
      </ndxf>
    </rcc>
    <rcc rId="0" sId="2" dxf="1">
      <nc r="E146" t="inlineStr">
        <is>
          <t>HONDA_CMP_BL11sp02_snapshot05</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F146" t="inlineStr">
        <is>
          <t>rb.as.honda.cmp.app.asw.custtarball</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G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H146" t="inlineStr">
        <is>
          <t>MT_214</t>
        </is>
      </nc>
      <ndxf>
        <alignment horizontal="left" vertical="top" readingOrder="0"/>
        <border outline="0">
          <left style="thin">
            <color indexed="64"/>
          </left>
          <right style="thin">
            <color indexed="64"/>
          </right>
          <top style="thin">
            <color indexed="64"/>
          </top>
          <bottom style="thin">
            <color indexed="64"/>
          </bottom>
        </border>
      </ndxf>
    </rcc>
    <rcc rId="0" sId="2" dxf="1">
      <nc r="I146" t="inlineStr">
        <is>
          <t>Honda_LfcMTarLim_FunctionSafety</t>
        </is>
      </nc>
      <ndxf>
        <alignment horizontal="left" vertical="top" readingOrder="0"/>
        <border outline="0">
          <left style="thin">
            <color indexed="64"/>
          </left>
          <right style="thin">
            <color indexed="64"/>
          </right>
          <top style="thin">
            <color indexed="64"/>
          </top>
          <bottom style="thin">
            <color indexed="64"/>
          </bottom>
        </border>
      </ndxf>
    </rcc>
    <rcc rId="0" sId="2" dxf="1">
      <nc r="J146" t="inlineStr">
        <is>
          <t>New</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K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L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M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N146" t="inlineStr">
        <is>
          <t>CSMosarASWMainstream93_Honda</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O146" t="inlineStr">
        <is>
          <t>1.7</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P146" t="inlineStr">
        <is>
          <t>Contact point: Iwase Megumi (CC-AS/ESJ2-JP) ; EXTERNAL Motoyoshi Kazuyuki (VSN, CC-AS/ESJ2-JP)</t>
        </is>
      </nc>
      <ndxf>
        <alignment horizontal="left" vertical="top" readingOrder="0"/>
        <border outline="0">
          <left style="thin">
            <color indexed="64"/>
          </left>
          <right style="thin">
            <color indexed="64"/>
          </right>
          <top style="thin">
            <color indexed="64"/>
          </top>
          <bottom style="thin">
            <color indexed="64"/>
          </bottom>
        </border>
      </ndxf>
    </rcc>
    <rfmt sheetId="2" sqref="Q14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2" dxf="1">
      <nc r="R146" t="inlineStr">
        <is>
          <t>T500</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2" dxf="1">
      <nc r="S146" t="inlineStr">
        <is>
          <t>dac.luu-cong</t>
        </is>
      </nc>
      <ndxf>
        <alignment horizontal="left" vertical="top" readingOrder="0"/>
        <border outline="0">
          <left style="thin">
            <color indexed="64"/>
          </left>
          <right style="thin">
            <color indexed="64"/>
          </right>
          <top style="thin">
            <color indexed="64"/>
          </top>
          <bottom style="thin">
            <color indexed="64"/>
          </bottom>
        </border>
      </ndxf>
    </rcc>
    <rfmt sheetId="2" sqref="T146" start="0" length="0">
      <dxf>
        <alignment horizontal="left" vertical="top" readingOrder="0"/>
        <border outline="0">
          <left style="thin">
            <color indexed="64"/>
          </left>
          <right style="thin">
            <color indexed="64"/>
          </right>
          <top style="thin">
            <color indexed="64"/>
          </top>
          <bottom style="thin">
            <color indexed="64"/>
          </bottom>
        </border>
      </dxf>
    </rfmt>
    <rfmt sheetId="2" sqref="U146" start="0" length="0">
      <dxf>
        <alignment horizontal="left" vertical="top" readingOrder="0"/>
        <border outline="0">
          <left style="thin">
            <color indexed="64"/>
          </left>
          <right style="thin">
            <color indexed="64"/>
          </right>
          <top style="thin">
            <color indexed="64"/>
          </top>
          <bottom style="thin">
            <color indexed="64"/>
          </bottom>
        </border>
      </dxf>
    </rfmt>
    <rcc rId="0" sId="2" dxf="1">
      <nc r="V146">
        <v>1358</v>
      </nc>
      <ndxf>
        <alignment horizontal="left" vertical="top" readingOrder="0"/>
        <border outline="0">
          <left style="thin">
            <color indexed="64"/>
          </left>
          <right style="thin">
            <color indexed="64"/>
          </right>
          <top style="thin">
            <color indexed="64"/>
          </top>
          <bottom style="thin">
            <color indexed="64"/>
          </bottom>
        </border>
      </ndxf>
    </rcc>
    <rcc rId="0" sId="2" dxf="1">
      <nc r="W146">
        <f>ROUND(IF(D146=Table!$C$3,Y146*Table!$C$4/8,Y146*Table!$D$4/8),3)</f>
      </nc>
      <ndxf>
        <alignment horizontal="left" vertical="top" readingOrder="0"/>
        <border outline="0">
          <left style="thin">
            <color indexed="64"/>
          </left>
          <right style="thin">
            <color indexed="64"/>
          </right>
          <top style="thin">
            <color indexed="64"/>
          </top>
          <bottom style="thin">
            <color indexed="64"/>
          </bottom>
        </border>
      </ndxf>
    </rcc>
    <rcc rId="0" sId="2" dxf="1">
      <nc r="X146">
        <f>W146</f>
      </nc>
      <ndxf>
        <alignment horizontal="left" vertical="top" readingOrder="0"/>
        <border outline="0">
          <left style="thin">
            <color indexed="64"/>
          </left>
          <right style="thin">
            <color indexed="64"/>
          </right>
          <top style="thin">
            <color indexed="64"/>
          </top>
          <bottom style="thin">
            <color indexed="64"/>
          </bottom>
        </border>
      </ndxf>
    </rcc>
    <rcc rId="0" sId="2" dxf="1">
      <nc r="Y146">
        <v>18.8</v>
      </nc>
      <ndxf>
        <alignment horizontal="left" vertical="top" readingOrder="0"/>
        <border outline="0">
          <left style="thin">
            <color indexed="64"/>
          </left>
          <right style="thin">
            <color indexed="64"/>
          </right>
          <top style="thin">
            <color indexed="64"/>
          </top>
          <bottom style="thin">
            <color indexed="64"/>
          </bottom>
        </border>
      </ndxf>
    </rcc>
    <rcc rId="0" sId="2" dxf="1">
      <nc r="Z146">
        <v>8</v>
      </nc>
      <ndxf>
        <alignment horizontal="left" vertical="top" readingOrder="0"/>
        <border outline="0">
          <left style="thin">
            <color indexed="64"/>
          </left>
          <right style="thin">
            <color indexed="64"/>
          </right>
          <top style="thin">
            <color indexed="64"/>
          </top>
          <bottom style="thin">
            <color indexed="64"/>
          </bottom>
        </border>
      </ndxf>
    </rcc>
    <rcc rId="0" sId="2" dxf="1">
      <nc r="AA146"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2" sqref="AB14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2" dxf="1" numFmtId="19">
      <nc r="AC146">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D146">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E14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F14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c r="AG14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4">
      <nc r="AH146">
        <v>0.98899999999999999</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umFmtId="14">
      <nc r="AI146">
        <v>0.98699999999999999</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umFmtId="14">
      <nc r="AJ146">
        <v>0.52600000000000002</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c r="AK14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c r="AL146" t="inlineStr">
        <is>
          <t>[No1]: cannot cover full C0/C1 because of param1D
[No2]: cannot cover MCDC case F-X at line 43 because of previous condtion at line 36 true =&gt; line 43 never reach
=&gt;similar case for cover MCDC case F-X at:   Line 54 , Line 65 , Line 76 , Line 87 , Line 98 , Line 109, Line 120, Line 131, Line 142, Line 153, Line 164, Line 175, Line 186, Line 197, Line 208, Line 219, Line 230, Line 241, Line 252, Line 263, Line 274, Line 285, Line 296, Line 307, Line 318, Line 329, Line 340, Line 351, Line 362, Line 373, Line 384, Line 395, Line 406, Line 417, Line 428, Line 439, Line 450, Line 461, Line 472, Line 483, Line 494, Line 505, Line 516, Line 527, Line 538, Line 549, Line 560, Line 571, Line 582, Line 593, Line 604, Line 615, Line 626, Line 637, Line 648, Line 659, Line 670, Line 681, Line 692, Line 703, Line 714, Line 725, Line 736, Line 747, Line 758, Line 769, Line 780, Line 791, Line 878, Line 883, Line 888, Line 893, Line 898, Line 903, Line 908, Line 913, Line 918, Line 923, Line 928, Line 933, Line 938, Line 943, Line 948, Line 953, Line 958, Line 963, Line 968, Line 973, Line 978, Line 983, Line 988, Line 993.</t>
        </is>
      </nc>
      <ndxf>
        <font>
          <sz val="10"/>
          <color auto="1"/>
          <name val="Arial"/>
          <scheme val="none"/>
        </font>
        <border outline="0">
          <left style="thin">
            <color indexed="64"/>
          </left>
          <right style="thin">
            <color indexed="64"/>
          </right>
          <top style="thin">
            <color indexed="64"/>
          </top>
          <bottom style="thin">
            <color indexed="64"/>
          </bottom>
        </border>
      </ndxf>
    </rcc>
    <rfmt sheetId="2" sqref="AM146" start="0" length="0">
      <dxf>
        <alignment horizontal="left" vertical="top" readingOrder="0"/>
        <border outline="0">
          <left style="thin">
            <color indexed="64"/>
          </left>
          <right style="thin">
            <color indexed="64"/>
          </right>
          <top style="thin">
            <color indexed="64"/>
          </top>
          <bottom style="thin">
            <color indexed="64"/>
          </bottom>
        </border>
      </dxf>
    </rfmt>
    <rfmt sheetId="2" sqref="AN146" start="0" length="0">
      <dxf>
        <alignment horizontal="left" vertical="top" readingOrder="0"/>
        <border outline="0">
          <left style="thin">
            <color indexed="64"/>
          </left>
          <right style="thin">
            <color indexed="64"/>
          </right>
          <top style="thin">
            <color indexed="64"/>
          </top>
          <bottom style="thin">
            <color indexed="64"/>
          </bottom>
        </border>
      </dxf>
    </rfmt>
  </rrc>
  <rrc rId="1298" sId="2" ref="A146:XFD146" action="deleteRow">
    <undo index="0" exp="ref" v="1" dr="B146" r="B147" sId="2"/>
    <rfmt sheetId="2" xfDxf="1" sqref="A146:XFD146" start="0" length="0"/>
    <rcc rId="0" sId="2" dxf="1">
      <nc r="B146">
        <f>#REF!+1</f>
      </nc>
      <ndxf>
        <font>
          <sz val="11"/>
          <color auto="1"/>
          <name val="Calibri"/>
          <scheme val="minor"/>
        </font>
        <fill>
          <patternFill patternType="solid">
            <bgColor rgb="FF92D050"/>
          </patternFill>
        </fill>
        <alignment horizontal="left" vertical="top" readingOrder="0"/>
        <border outline="0">
          <left style="thin">
            <color indexed="64"/>
          </left>
          <right style="thin">
            <color indexed="64"/>
          </right>
          <top style="thin">
            <color indexed="64"/>
          </top>
          <bottom style="thin">
            <color indexed="64"/>
          </bottom>
        </border>
      </ndxf>
    </rcc>
    <rcc rId="0" sId="2" dxf="1">
      <nc r="C146">
        <v>20200511</v>
      </nc>
      <ndxf>
        <fill>
          <patternFill patternType="solid">
            <bgColor rgb="FFFFC000"/>
          </patternFill>
        </fill>
        <alignment horizontal="left" vertical="top" readingOrder="0"/>
        <border outline="0">
          <left style="thin">
            <color indexed="64"/>
          </left>
          <right style="thin">
            <color indexed="64"/>
          </right>
          <top style="thin">
            <color indexed="64"/>
          </top>
          <bottom style="thin">
            <color indexed="64"/>
          </bottom>
        </border>
      </ndxf>
    </rcc>
    <rcc rId="0" sId="2" dxf="1">
      <nc r="D146" t="inlineStr">
        <is>
          <t>PSW</t>
        </is>
      </nc>
      <ndxf>
        <alignment horizontal="left" vertical="top" readingOrder="0"/>
        <border outline="0">
          <left style="thin">
            <color indexed="64"/>
          </left>
          <right style="thin">
            <color indexed="64"/>
          </right>
          <top style="thin">
            <color indexed="64"/>
          </top>
          <bottom style="thin">
            <color indexed="64"/>
          </bottom>
        </border>
      </ndxf>
    </rcc>
    <rcc rId="0" sId="2" dxf="1">
      <nc r="E146" t="inlineStr">
        <is>
          <t>HONDA_CMP_BL11sp02_snapshot05</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F146" t="inlineStr">
        <is>
          <t>rb.as.honda.cmp.app.dsm</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G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H146" t="inlineStr">
        <is>
          <t>MT_014</t>
        </is>
      </nc>
      <ndxf>
        <alignment horizontal="left" vertical="top" readingOrder="0"/>
        <border outline="0">
          <left style="thin">
            <color indexed="64"/>
          </left>
          <right style="thin">
            <color indexed="64"/>
          </right>
          <top style="thin">
            <color indexed="64"/>
          </top>
          <bottom style="thin">
            <color indexed="64"/>
          </bottom>
        </border>
      </ndxf>
    </rcc>
    <rcc rId="0" sId="2" dxf="1">
      <nc r="I146" t="inlineStr">
        <is>
          <t>RBHMI_ConfigOutput_ESP_Status</t>
        </is>
      </nc>
      <ndxf>
        <alignment horizontal="left" vertical="top" readingOrder="0"/>
        <border outline="0">
          <left style="thin">
            <color indexed="64"/>
          </left>
          <right style="thin">
            <color indexed="64"/>
          </right>
          <top style="thin">
            <color indexed="64"/>
          </top>
          <bottom style="thin">
            <color indexed="64"/>
          </bottom>
        </border>
      </ndxf>
    </rcc>
    <rcc rId="0" sId="2" dxf="1">
      <nc r="J146" t="inlineStr">
        <is>
          <t>Delta</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K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L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M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N146" t="inlineStr">
        <is>
          <t>RB_HONDA_ESP</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O146" t="inlineStr">
        <is>
          <t>-</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P146" t="inlineStr">
        <is>
          <t>Contact point: Iwase Megumi (CC-AS/ESJ2-JP) ; EXTERNAL Motoyoshi Kazuyuki (VSN, CC-AS/ESJ2-JP)</t>
        </is>
      </nc>
      <ndxf>
        <alignment horizontal="left" vertical="top" readingOrder="0"/>
        <border outline="0">
          <left style="thin">
            <color indexed="64"/>
          </left>
          <right style="thin">
            <color indexed="64"/>
          </right>
          <top style="thin">
            <color indexed="64"/>
          </top>
          <bottom style="thin">
            <color indexed="64"/>
          </bottom>
        </border>
      </ndxf>
    </rcc>
    <rfmt sheetId="2" sqref="Q14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2" dxf="1">
      <nc r="R146" t="inlineStr">
        <is>
          <t>T501</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2" dxf="1">
      <nc r="S146" t="inlineStr">
        <is>
          <t>huy.do-anh</t>
        </is>
      </nc>
      <ndxf>
        <alignment horizontal="left" vertical="top" readingOrder="0"/>
        <border outline="0">
          <left style="thin">
            <color indexed="64"/>
          </left>
          <right style="thin">
            <color indexed="64"/>
          </right>
          <top style="thin">
            <color indexed="64"/>
          </top>
          <bottom style="thin">
            <color indexed="64"/>
          </bottom>
        </border>
      </ndxf>
    </rcc>
    <rfmt sheetId="2" sqref="T146" start="0" length="0">
      <dxf>
        <alignment horizontal="left" vertical="top" readingOrder="0"/>
        <border outline="0">
          <left style="thin">
            <color indexed="64"/>
          </left>
          <right style="thin">
            <color indexed="64"/>
          </right>
          <top style="thin">
            <color indexed="64"/>
          </top>
          <bottom style="thin">
            <color indexed="64"/>
          </bottom>
        </border>
      </dxf>
    </rfmt>
    <rfmt sheetId="2" sqref="U146" start="0" length="0">
      <dxf>
        <alignment horizontal="left" vertical="top" readingOrder="0"/>
        <border outline="0">
          <left style="thin">
            <color indexed="64"/>
          </left>
          <right style="thin">
            <color indexed="64"/>
          </right>
          <top style="thin">
            <color indexed="64"/>
          </top>
          <bottom style="thin">
            <color indexed="64"/>
          </bottom>
        </border>
      </dxf>
    </rfmt>
    <rcc rId="0" sId="2" dxf="1">
      <nc r="V146">
        <v>67</v>
      </nc>
      <ndxf>
        <alignment horizontal="left" vertical="top" readingOrder="0"/>
        <border outline="0">
          <left style="thin">
            <color indexed="64"/>
          </left>
          <right style="thin">
            <color indexed="64"/>
          </right>
          <top style="thin">
            <color indexed="64"/>
          </top>
          <bottom style="thin">
            <color indexed="64"/>
          </bottom>
        </border>
      </ndxf>
    </rcc>
    <rcc rId="0" sId="2" dxf="1">
      <nc r="W146">
        <f>ROUND(IF(D146=Table!$C$3,Y146*Table!$C$4/8,Y146*Table!$D$4/8),3)</f>
      </nc>
      <ndxf>
        <alignment horizontal="left" vertical="top" readingOrder="0"/>
        <border outline="0">
          <left style="thin">
            <color indexed="64"/>
          </left>
          <right style="thin">
            <color indexed="64"/>
          </right>
          <top style="thin">
            <color indexed="64"/>
          </top>
          <bottom style="thin">
            <color indexed="64"/>
          </bottom>
        </border>
      </ndxf>
    </rcc>
    <rcc rId="0" sId="2" dxf="1">
      <nc r="X146">
        <f>W146</f>
      </nc>
      <ndxf>
        <alignment horizontal="left" vertical="top" readingOrder="0"/>
        <border outline="0">
          <left style="thin">
            <color indexed="64"/>
          </left>
          <right style="thin">
            <color indexed="64"/>
          </right>
          <top style="thin">
            <color indexed="64"/>
          </top>
          <bottom style="thin">
            <color indexed="64"/>
          </bottom>
        </border>
      </ndxf>
    </rcc>
    <rcc rId="0" sId="2" dxf="1">
      <nc r="Y146">
        <v>1.6</v>
      </nc>
      <ndxf>
        <alignment horizontal="left" vertical="top" readingOrder="0"/>
        <border outline="0">
          <left style="thin">
            <color indexed="64"/>
          </left>
          <right style="thin">
            <color indexed="64"/>
          </right>
          <top style="thin">
            <color indexed="64"/>
          </top>
          <bottom style="thin">
            <color indexed="64"/>
          </bottom>
        </border>
      </ndxf>
    </rcc>
    <rcc rId="0" sId="2" dxf="1">
      <nc r="Z146">
        <v>0.5</v>
      </nc>
      <ndxf>
        <alignment horizontal="left" vertical="top" readingOrder="0"/>
        <border outline="0">
          <left style="thin">
            <color indexed="64"/>
          </left>
          <right style="thin">
            <color indexed="64"/>
          </right>
          <top style="thin">
            <color indexed="64"/>
          </top>
          <bottom style="thin">
            <color indexed="64"/>
          </bottom>
        </border>
      </ndxf>
    </rcc>
    <rcc rId="0" sId="2" dxf="1">
      <nc r="AA146"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2" sqref="AB14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2" dxf="1" numFmtId="19">
      <nc r="AC146">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D146">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E14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F14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c r="AG14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4">
      <nc r="AH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umFmtId="14">
      <nc r="AI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umFmtId="14">
      <nc r="AJ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c r="AK14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2" sqref="AL146" start="0" length="0">
      <dxf>
        <alignment horizontal="left" vertical="top" readingOrder="0"/>
        <border outline="0">
          <left style="thin">
            <color indexed="64"/>
          </left>
          <right style="thin">
            <color indexed="64"/>
          </right>
          <top style="thin">
            <color indexed="64"/>
          </top>
          <bottom style="thin">
            <color indexed="64"/>
          </bottom>
        </border>
      </dxf>
    </rfmt>
    <rfmt sheetId="2" sqref="AM146" start="0" length="0">
      <dxf>
        <alignment horizontal="left" vertical="top" readingOrder="0"/>
        <border outline="0">
          <left style="thin">
            <color indexed="64"/>
          </left>
          <right style="thin">
            <color indexed="64"/>
          </right>
          <top style="thin">
            <color indexed="64"/>
          </top>
          <bottom style="thin">
            <color indexed="64"/>
          </bottom>
        </border>
      </dxf>
    </rfmt>
    <rfmt sheetId="2" sqref="AN146" start="0" length="0">
      <dxf>
        <alignment horizontal="left" vertical="top" readingOrder="0"/>
        <border outline="0">
          <left style="thin">
            <color indexed="64"/>
          </left>
          <right style="thin">
            <color indexed="64"/>
          </right>
          <top style="thin">
            <color indexed="64"/>
          </top>
          <bottom style="thin">
            <color indexed="64"/>
          </bottom>
        </border>
      </dxf>
    </rfmt>
  </rrc>
  <rrc rId="1299" sId="2" ref="A146:XFD146" action="deleteRow">
    <undo index="0" exp="ref" v="1" dr="B146" r="B147" sId="2"/>
    <rfmt sheetId="2" xfDxf="1" sqref="A146:XFD146" start="0" length="0"/>
    <rcc rId="0" sId="2" dxf="1">
      <nc r="B146">
        <f>#REF!+1</f>
      </nc>
      <ndxf>
        <font>
          <sz val="11"/>
          <color auto="1"/>
          <name val="Calibri"/>
          <scheme val="minor"/>
        </font>
        <fill>
          <patternFill patternType="solid">
            <bgColor rgb="FF92D050"/>
          </patternFill>
        </fill>
        <alignment horizontal="left" vertical="top" readingOrder="0"/>
        <border outline="0">
          <left style="thin">
            <color indexed="64"/>
          </left>
          <right style="thin">
            <color indexed="64"/>
          </right>
          <top style="thin">
            <color indexed="64"/>
          </top>
          <bottom style="thin">
            <color indexed="64"/>
          </bottom>
        </border>
      </ndxf>
    </rcc>
    <rcc rId="0" sId="2" dxf="1">
      <nc r="C146">
        <v>20200511</v>
      </nc>
      <ndxf>
        <fill>
          <patternFill patternType="solid">
            <bgColor rgb="FFFFC000"/>
          </patternFill>
        </fill>
        <alignment horizontal="left" vertical="top" readingOrder="0"/>
        <border outline="0">
          <left style="thin">
            <color indexed="64"/>
          </left>
          <right style="thin">
            <color indexed="64"/>
          </right>
          <top style="thin">
            <color indexed="64"/>
          </top>
          <bottom style="thin">
            <color indexed="64"/>
          </bottom>
        </border>
      </ndxf>
    </rcc>
    <rcc rId="0" sId="2" dxf="1">
      <nc r="D146" t="inlineStr">
        <is>
          <t>PSW</t>
        </is>
      </nc>
      <ndxf>
        <alignment horizontal="left" vertical="top" readingOrder="0"/>
        <border outline="0">
          <left style="thin">
            <color indexed="64"/>
          </left>
          <right style="thin">
            <color indexed="64"/>
          </right>
          <top style="thin">
            <color indexed="64"/>
          </top>
          <bottom style="thin">
            <color indexed="64"/>
          </bottom>
        </border>
      </ndxf>
    </rcc>
    <rcc rId="0" sId="2" dxf="1">
      <nc r="E146" t="inlineStr">
        <is>
          <t>HONDA_CMP_BL11sp02_snapshot05</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F146" t="inlineStr">
        <is>
          <t>rb.as.honda.cmp.app.net</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G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H146" t="inlineStr">
        <is>
          <t>MT_026</t>
        </is>
      </nc>
      <ndxf>
        <alignment horizontal="left" vertical="top" readingOrder="0"/>
        <border outline="0">
          <left style="thin">
            <color indexed="64"/>
          </left>
          <right style="thin">
            <color indexed="64"/>
          </right>
          <top style="thin">
            <color indexed="64"/>
          </top>
          <bottom style="thin">
            <color indexed="64"/>
          </bottom>
        </border>
      </ndxf>
    </rcc>
    <rcc rId="0" sId="2" dxf="1">
      <nc r="I146" t="inlineStr">
        <is>
          <t>rba_ComScl_Scl_ENG_17C_CH1_Rx</t>
        </is>
      </nc>
      <ndxf>
        <alignment horizontal="left" vertical="top" readingOrder="0"/>
        <border outline="0">
          <left style="thin">
            <color indexed="64"/>
          </left>
          <right style="thin">
            <color indexed="64"/>
          </right>
          <top style="thin">
            <color indexed="64"/>
          </top>
          <bottom style="thin">
            <color indexed="64"/>
          </bottom>
        </border>
      </ndxf>
    </rcc>
    <rcc rId="0" sId="2" dxf="1">
      <nc r="J146" t="inlineStr">
        <is>
          <t>Delta</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K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L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M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N146" t="inlineStr">
        <is>
          <t>RB_HONDA_ESP</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O146" t="inlineStr">
        <is>
          <t>-</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P146" t="inlineStr">
        <is>
          <t>Contact point: Iwase Megumi (CC-AS/ESJ2-JP) ; EXTERNAL Motoyoshi Kazuyuki (VSN, CC-AS/ESJ2-JP)</t>
        </is>
      </nc>
      <ndxf>
        <alignment horizontal="left" vertical="top" readingOrder="0"/>
        <border outline="0">
          <left style="thin">
            <color indexed="64"/>
          </left>
          <right style="thin">
            <color indexed="64"/>
          </right>
          <top style="thin">
            <color indexed="64"/>
          </top>
          <bottom style="thin">
            <color indexed="64"/>
          </bottom>
        </border>
      </ndxf>
    </rcc>
    <rfmt sheetId="2" sqref="Q14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2" dxf="1">
      <nc r="R146" t="inlineStr">
        <is>
          <t>T501</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2" dxf="1">
      <nc r="S146" t="inlineStr">
        <is>
          <t>huy.do-anh</t>
        </is>
      </nc>
      <ndxf>
        <alignment horizontal="left" vertical="top" readingOrder="0"/>
        <border outline="0">
          <left style="thin">
            <color indexed="64"/>
          </left>
          <right style="thin">
            <color indexed="64"/>
          </right>
          <top style="thin">
            <color indexed="64"/>
          </top>
          <bottom style="thin">
            <color indexed="64"/>
          </bottom>
        </border>
      </ndxf>
    </rcc>
    <rfmt sheetId="2" sqref="T146" start="0" length="0">
      <dxf>
        <alignment horizontal="left" vertical="top" readingOrder="0"/>
        <border outline="0">
          <left style="thin">
            <color indexed="64"/>
          </left>
          <right style="thin">
            <color indexed="64"/>
          </right>
          <top style="thin">
            <color indexed="64"/>
          </top>
          <bottom style="thin">
            <color indexed="64"/>
          </bottom>
        </border>
      </dxf>
    </rfmt>
    <rfmt sheetId="2" sqref="U146" start="0" length="0">
      <dxf>
        <alignment horizontal="left" vertical="top" readingOrder="0"/>
        <border outline="0">
          <left style="thin">
            <color indexed="64"/>
          </left>
          <right style="thin">
            <color indexed="64"/>
          </right>
          <top style="thin">
            <color indexed="64"/>
          </top>
          <bottom style="thin">
            <color indexed="64"/>
          </bottom>
        </border>
      </dxf>
    </rfmt>
    <rcc rId="0" sId="2" dxf="1">
      <nc r="V146">
        <v>64</v>
      </nc>
      <ndxf>
        <alignment horizontal="left" vertical="top" readingOrder="0"/>
        <border outline="0">
          <left style="thin">
            <color indexed="64"/>
          </left>
          <right style="thin">
            <color indexed="64"/>
          </right>
          <top style="thin">
            <color indexed="64"/>
          </top>
          <bottom style="thin">
            <color indexed="64"/>
          </bottom>
        </border>
      </ndxf>
    </rcc>
    <rcc rId="0" sId="2" dxf="1">
      <nc r="W146">
        <f>ROUND(IF(D146=Table!$C$3,Y146*Table!$C$4/8,Y146*Table!$D$4/8),3)</f>
      </nc>
      <ndxf>
        <alignment horizontal="left" vertical="top" readingOrder="0"/>
        <border outline="0">
          <left style="thin">
            <color indexed="64"/>
          </left>
          <right style="thin">
            <color indexed="64"/>
          </right>
          <top style="thin">
            <color indexed="64"/>
          </top>
          <bottom style="thin">
            <color indexed="64"/>
          </bottom>
        </border>
      </ndxf>
    </rcc>
    <rcc rId="0" sId="2" dxf="1">
      <nc r="X146">
        <f>W146</f>
      </nc>
      <ndxf>
        <alignment horizontal="left" vertical="top" readingOrder="0"/>
        <border outline="0">
          <left style="thin">
            <color indexed="64"/>
          </left>
          <right style="thin">
            <color indexed="64"/>
          </right>
          <top style="thin">
            <color indexed="64"/>
          </top>
          <bottom style="thin">
            <color indexed="64"/>
          </bottom>
        </border>
      </ndxf>
    </rcc>
    <rcc rId="0" sId="2" dxf="1">
      <nc r="Y146">
        <v>1.6</v>
      </nc>
      <ndxf>
        <alignment horizontal="left" vertical="top" readingOrder="0"/>
        <border outline="0">
          <left style="thin">
            <color indexed="64"/>
          </left>
          <right style="thin">
            <color indexed="64"/>
          </right>
          <top style="thin">
            <color indexed="64"/>
          </top>
          <bottom style="thin">
            <color indexed="64"/>
          </bottom>
        </border>
      </ndxf>
    </rcc>
    <rcc rId="0" sId="2" dxf="1">
      <nc r="Z146">
        <v>1</v>
      </nc>
      <ndxf>
        <alignment horizontal="left" vertical="top" readingOrder="0"/>
        <border outline="0">
          <left style="thin">
            <color indexed="64"/>
          </left>
          <right style="thin">
            <color indexed="64"/>
          </right>
          <top style="thin">
            <color indexed="64"/>
          </top>
          <bottom style="thin">
            <color indexed="64"/>
          </bottom>
        </border>
      </ndxf>
    </rcc>
    <rcc rId="0" sId="2" dxf="1">
      <nc r="AA146"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2" sqref="AB14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2" dxf="1" numFmtId="19">
      <nc r="AC146">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D146">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E14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F146">
        <v>43971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c r="AG14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4">
      <nc r="AH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umFmtId="14">
      <nc r="AI146">
        <v>0.87</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umFmtId="14">
      <nc r="AJ146">
        <v>0.5</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c r="AK14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c r="AL146" t="inlineStr">
        <is>
          <t>Can't cover false case of if(RBFS_HondaCANRxENG13B == RBFS_HondaCANRxENG13B_NONE ) at line  #291 because RBFS_HondaCANRxENG13B is always equal to RBFS_HondaCANRxENG13B_NONE.Can't cover MCDC F&amp;&amp;T, T&amp;&amp;F of (rba_ComScl_EvaluateRxPdu_ENG_17C_CH1 &amp;&amp; (RBNet_Variant_ENG_17C_CH1_Rx_b()) at line #403 because rba_ComScl_EvaluateRxPdu_ENG_17C_CH1 and RBNet_Variant_ENG_17C_CH1_Rx_b() must be equals to TRUE to access the condition TRUE at line #239</t>
        </is>
      </nc>
      <ndxf>
        <alignment horizontal="left" vertical="top" readingOrder="0"/>
        <border outline="0">
          <left style="thin">
            <color indexed="64"/>
          </left>
          <right style="thin">
            <color indexed="64"/>
          </right>
          <top style="thin">
            <color indexed="64"/>
          </top>
          <bottom style="thin">
            <color indexed="64"/>
          </bottom>
        </border>
      </ndxf>
    </rcc>
    <rfmt sheetId="2" sqref="AM146" start="0" length="0">
      <dxf>
        <alignment horizontal="left" vertical="top" readingOrder="0"/>
        <border outline="0">
          <left style="thin">
            <color indexed="64"/>
          </left>
          <right style="thin">
            <color indexed="64"/>
          </right>
          <top style="thin">
            <color indexed="64"/>
          </top>
          <bottom style="thin">
            <color indexed="64"/>
          </bottom>
        </border>
      </dxf>
    </rfmt>
    <rfmt sheetId="2" sqref="AN146" start="0" length="0">
      <dxf>
        <alignment horizontal="left" vertical="top" readingOrder="0"/>
        <border outline="0">
          <left style="thin">
            <color indexed="64"/>
          </left>
          <right style="thin">
            <color indexed="64"/>
          </right>
          <top style="thin">
            <color indexed="64"/>
          </top>
          <bottom style="thin">
            <color indexed="64"/>
          </bottom>
        </border>
      </dxf>
    </rfmt>
  </rrc>
  <rrc rId="1300" sId="2" ref="A146:XFD146" action="deleteRow">
    <undo index="0" exp="ref" v="1" dr="B146" r="B147" sId="2"/>
    <rfmt sheetId="2" xfDxf="1" sqref="A146:XFD146" start="0" length="0"/>
    <rcc rId="0" sId="2" dxf="1">
      <nc r="B146">
        <f>#REF!+1</f>
      </nc>
      <ndxf>
        <font>
          <sz val="11"/>
          <color auto="1"/>
          <name val="Calibri"/>
          <scheme val="minor"/>
        </font>
        <fill>
          <patternFill patternType="solid">
            <bgColor rgb="FF92D050"/>
          </patternFill>
        </fill>
        <alignment horizontal="left" vertical="top" readingOrder="0"/>
        <border outline="0">
          <left style="thin">
            <color indexed="64"/>
          </left>
          <right style="thin">
            <color indexed="64"/>
          </right>
          <top style="thin">
            <color indexed="64"/>
          </top>
          <bottom style="thin">
            <color indexed="64"/>
          </bottom>
        </border>
      </ndxf>
    </rcc>
    <rcc rId="0" sId="2" dxf="1">
      <nc r="C146">
        <v>20200511</v>
      </nc>
      <ndxf>
        <fill>
          <patternFill patternType="solid">
            <bgColor rgb="FFFFC000"/>
          </patternFill>
        </fill>
        <alignment horizontal="left" vertical="top" readingOrder="0"/>
        <border outline="0">
          <left style="thin">
            <color indexed="64"/>
          </left>
          <right style="thin">
            <color indexed="64"/>
          </right>
          <top style="thin">
            <color indexed="64"/>
          </top>
          <bottom style="thin">
            <color indexed="64"/>
          </bottom>
        </border>
      </ndxf>
    </rcc>
    <rcc rId="0" sId="2" dxf="1">
      <nc r="D146" t="inlineStr">
        <is>
          <t>PSW</t>
        </is>
      </nc>
      <ndxf>
        <alignment horizontal="left" vertical="top" readingOrder="0"/>
        <border outline="0">
          <left style="thin">
            <color indexed="64"/>
          </left>
          <right style="thin">
            <color indexed="64"/>
          </right>
          <top style="thin">
            <color indexed="64"/>
          </top>
          <bottom style="thin">
            <color indexed="64"/>
          </bottom>
        </border>
      </ndxf>
    </rcc>
    <rcc rId="0" sId="2" dxf="1">
      <nc r="E146" t="inlineStr">
        <is>
          <t>HONDA_CMP_BL11sp02_snapshot05</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F146" t="inlineStr">
        <is>
          <t>rb.as.honda.cmp.app.net</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G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H146" t="inlineStr">
        <is>
          <t>MT_035</t>
        </is>
      </nc>
      <ndxf>
        <alignment horizontal="left" vertical="top" readingOrder="0"/>
        <border outline="0">
          <left style="thin">
            <color indexed="64"/>
          </left>
          <right style="thin">
            <color indexed="64"/>
          </right>
          <top style="thin">
            <color indexed="64"/>
          </top>
          <bottom style="thin">
            <color indexed="64"/>
          </bottom>
        </border>
      </ndxf>
    </rcc>
    <rcc rId="0" sId="2" dxf="1">
      <nc r="I146" t="inlineStr">
        <is>
          <t>rba_ComScl_Scl_SRS_094_CH2_Rx</t>
        </is>
      </nc>
      <ndxf>
        <alignment horizontal="left" vertical="top" readingOrder="0"/>
        <border outline="0">
          <left style="thin">
            <color indexed="64"/>
          </left>
          <right style="thin">
            <color indexed="64"/>
          </right>
          <top style="thin">
            <color indexed="64"/>
          </top>
          <bottom style="thin">
            <color indexed="64"/>
          </bottom>
        </border>
      </ndxf>
    </rcc>
    <rcc rId="0" sId="2" dxf="1">
      <nc r="J146" t="inlineStr">
        <is>
          <t>Delta</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K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L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M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N146" t="inlineStr">
        <is>
          <t>RB_HONDA_ESP</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O146" t="inlineStr">
        <is>
          <t>-</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P146" t="inlineStr">
        <is>
          <t>Contact point: Iwase Megumi (CC-AS/ESJ2-JP) ; EXTERNAL Motoyoshi Kazuyuki (VSN, CC-AS/ESJ2-JP)</t>
        </is>
      </nc>
      <ndxf>
        <alignment horizontal="left" vertical="top" readingOrder="0"/>
        <border outline="0">
          <left style="thin">
            <color indexed="64"/>
          </left>
          <right style="thin">
            <color indexed="64"/>
          </right>
          <top style="thin">
            <color indexed="64"/>
          </top>
          <bottom style="thin">
            <color indexed="64"/>
          </bottom>
        </border>
      </ndxf>
    </rcc>
    <rfmt sheetId="2" sqref="Q14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2" dxf="1">
      <nc r="R146" t="inlineStr">
        <is>
          <t>T501</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2" dxf="1">
      <nc r="S146" t="inlineStr">
        <is>
          <t>huy.do-anh</t>
        </is>
      </nc>
      <ndxf>
        <alignment horizontal="left" vertical="top" readingOrder="0"/>
        <border outline="0">
          <left style="thin">
            <color indexed="64"/>
          </left>
          <right style="thin">
            <color indexed="64"/>
          </right>
          <top style="thin">
            <color indexed="64"/>
          </top>
          <bottom style="thin">
            <color indexed="64"/>
          </bottom>
        </border>
      </ndxf>
    </rcc>
    <rfmt sheetId="2" sqref="T146" start="0" length="0">
      <dxf>
        <alignment horizontal="left" vertical="top" readingOrder="0"/>
        <border outline="0">
          <left style="thin">
            <color indexed="64"/>
          </left>
          <right style="thin">
            <color indexed="64"/>
          </right>
          <top style="thin">
            <color indexed="64"/>
          </top>
          <bottom style="thin">
            <color indexed="64"/>
          </bottom>
        </border>
      </dxf>
    </rfmt>
    <rfmt sheetId="2" sqref="U146" start="0" length="0">
      <dxf>
        <alignment horizontal="left" vertical="top" readingOrder="0"/>
        <border outline="0">
          <left style="thin">
            <color indexed="64"/>
          </left>
          <right style="thin">
            <color indexed="64"/>
          </right>
          <top style="thin">
            <color indexed="64"/>
          </top>
          <bottom style="thin">
            <color indexed="64"/>
          </bottom>
        </border>
      </dxf>
    </rfmt>
    <rcc rId="0" sId="2" dxf="1">
      <nc r="V146">
        <v>317</v>
      </nc>
      <ndxf>
        <alignment horizontal="left" vertical="top" readingOrder="0"/>
        <border outline="0">
          <left style="thin">
            <color indexed="64"/>
          </left>
          <right style="thin">
            <color indexed="64"/>
          </right>
          <top style="thin">
            <color indexed="64"/>
          </top>
          <bottom style="thin">
            <color indexed="64"/>
          </bottom>
        </border>
      </ndxf>
    </rcc>
    <rcc rId="0" sId="2" dxf="1">
      <nc r="W146">
        <f>ROUND(IF(D146=Table!$C$3,Y146*Table!$C$4/8,Y146*Table!$D$4/8),3)</f>
      </nc>
      <ndxf>
        <alignment horizontal="left" vertical="top" readingOrder="0"/>
        <border outline="0">
          <left style="thin">
            <color indexed="64"/>
          </left>
          <right style="thin">
            <color indexed="64"/>
          </right>
          <top style="thin">
            <color indexed="64"/>
          </top>
          <bottom style="thin">
            <color indexed="64"/>
          </bottom>
        </border>
      </ndxf>
    </rcc>
    <rcc rId="0" sId="2" dxf="1">
      <nc r="X146">
        <f>W146</f>
      </nc>
      <ndxf>
        <alignment horizontal="left" vertical="top" readingOrder="0"/>
        <border outline="0">
          <left style="thin">
            <color indexed="64"/>
          </left>
          <right style="thin">
            <color indexed="64"/>
          </right>
          <top style="thin">
            <color indexed="64"/>
          </top>
          <bottom style="thin">
            <color indexed="64"/>
          </bottom>
        </border>
      </ndxf>
    </rcc>
    <rcc rId="0" sId="2" dxf="1">
      <nc r="Y146">
        <v>5.76</v>
      </nc>
      <ndxf>
        <alignment horizontal="left" vertical="top" readingOrder="0"/>
        <border outline="0">
          <left style="thin">
            <color indexed="64"/>
          </left>
          <right style="thin">
            <color indexed="64"/>
          </right>
          <top style="thin">
            <color indexed="64"/>
          </top>
          <bottom style="thin">
            <color indexed="64"/>
          </bottom>
        </border>
      </ndxf>
    </rcc>
    <rcc rId="0" sId="2" dxf="1">
      <nc r="Z146">
        <v>2</v>
      </nc>
      <ndxf>
        <alignment horizontal="left" vertical="top" readingOrder="0"/>
        <border outline="0">
          <left style="thin">
            <color indexed="64"/>
          </left>
          <right style="thin">
            <color indexed="64"/>
          </right>
          <top style="thin">
            <color indexed="64"/>
          </top>
          <bottom style="thin">
            <color indexed="64"/>
          </bottom>
        </border>
      </ndxf>
    </rcc>
    <rcc rId="0" sId="2" dxf="1">
      <nc r="AA146"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2" sqref="AB14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2" dxf="1" numFmtId="19">
      <nc r="AC146">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D146">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E14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F14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c r="AG14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4">
      <nc r="AH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umFmtId="14">
      <nc r="AI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umFmtId="14">
      <nc r="AJ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c r="AK14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2" sqref="AL146" start="0" length="0">
      <dxf>
        <alignment horizontal="left" vertical="top" readingOrder="0"/>
        <border outline="0">
          <left style="thin">
            <color indexed="64"/>
          </left>
          <right style="thin">
            <color indexed="64"/>
          </right>
          <top style="thin">
            <color indexed="64"/>
          </top>
          <bottom style="thin">
            <color indexed="64"/>
          </bottom>
        </border>
      </dxf>
    </rfmt>
    <rfmt sheetId="2" sqref="AM146" start="0" length="0">
      <dxf>
        <alignment horizontal="left" vertical="top" readingOrder="0"/>
        <border outline="0">
          <left style="thin">
            <color indexed="64"/>
          </left>
          <right style="thin">
            <color indexed="64"/>
          </right>
          <top style="thin">
            <color indexed="64"/>
          </top>
          <bottom style="thin">
            <color indexed="64"/>
          </bottom>
        </border>
      </dxf>
    </rfmt>
    <rfmt sheetId="2" sqref="AN146" start="0" length="0">
      <dxf>
        <alignment horizontal="left" vertical="top" readingOrder="0"/>
        <border outline="0">
          <left style="thin">
            <color indexed="64"/>
          </left>
          <right style="thin">
            <color indexed="64"/>
          </right>
          <top style="thin">
            <color indexed="64"/>
          </top>
          <bottom style="thin">
            <color indexed="64"/>
          </bottom>
        </border>
      </dxf>
    </rfmt>
  </rrc>
  <rrc rId="1301" sId="2" ref="A146:XFD146" action="deleteRow">
    <undo index="0" exp="ref" v="1" dr="B146" r="B147" sId="2"/>
    <rfmt sheetId="2" xfDxf="1" sqref="A146:XFD146" start="0" length="0"/>
    <rcc rId="0" sId="2" dxf="1">
      <nc r="B146">
        <f>#REF!+1</f>
      </nc>
      <ndxf>
        <font>
          <sz val="11"/>
          <color auto="1"/>
          <name val="Calibri"/>
          <scheme val="minor"/>
        </font>
        <fill>
          <patternFill patternType="solid">
            <bgColor rgb="FF92D050"/>
          </patternFill>
        </fill>
        <alignment horizontal="left" vertical="top" readingOrder="0"/>
        <border outline="0">
          <left style="thin">
            <color indexed="64"/>
          </left>
          <right style="thin">
            <color indexed="64"/>
          </right>
          <top style="thin">
            <color indexed="64"/>
          </top>
          <bottom style="thin">
            <color indexed="64"/>
          </bottom>
        </border>
      </ndxf>
    </rcc>
    <rcc rId="0" sId="2" dxf="1">
      <nc r="C146">
        <v>20200511</v>
      </nc>
      <ndxf>
        <fill>
          <patternFill patternType="solid">
            <bgColor rgb="FFFFC000"/>
          </patternFill>
        </fill>
        <alignment horizontal="left" vertical="top" readingOrder="0"/>
        <border outline="0">
          <left style="thin">
            <color indexed="64"/>
          </left>
          <right style="thin">
            <color indexed="64"/>
          </right>
          <top style="thin">
            <color indexed="64"/>
          </top>
          <bottom style="thin">
            <color indexed="64"/>
          </bottom>
        </border>
      </ndxf>
    </rcc>
    <rcc rId="0" sId="2" dxf="1">
      <nc r="D146" t="inlineStr">
        <is>
          <t>PSW</t>
        </is>
      </nc>
      <ndxf>
        <alignment horizontal="left" vertical="top" readingOrder="0"/>
        <border outline="0">
          <left style="thin">
            <color indexed="64"/>
          </left>
          <right style="thin">
            <color indexed="64"/>
          </right>
          <top style="thin">
            <color indexed="64"/>
          </top>
          <bottom style="thin">
            <color indexed="64"/>
          </bottom>
        </border>
      </ndxf>
    </rcc>
    <rcc rId="0" sId="2" dxf="1">
      <nc r="E146" t="inlineStr">
        <is>
          <t>HONDA_CMP_BL11sp02_snapshot05</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F146" t="inlineStr">
        <is>
          <t>rb.as.honda.cmp.app.net</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G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H146" t="inlineStr">
        <is>
          <t>MT_044</t>
        </is>
      </nc>
      <ndxf>
        <alignment horizontal="left" vertical="top" readingOrder="0"/>
        <border outline="0">
          <left style="thin">
            <color indexed="64"/>
          </left>
          <right style="thin">
            <color indexed="64"/>
          </right>
          <top style="thin">
            <color indexed="64"/>
          </top>
          <bottom style="thin">
            <color indexed="64"/>
          </bottom>
        </border>
      </ndxf>
    </rcc>
    <rcc rId="0" sId="2" dxf="1">
      <nc r="I146" t="inlineStr">
        <is>
          <t>RBNET_VariantTableInterface_HONDA</t>
        </is>
      </nc>
      <ndxf>
        <alignment horizontal="left" vertical="top" readingOrder="0"/>
        <border outline="0">
          <left style="thin">
            <color indexed="64"/>
          </left>
          <right style="thin">
            <color indexed="64"/>
          </right>
          <top style="thin">
            <color indexed="64"/>
          </top>
          <bottom style="thin">
            <color indexed="64"/>
          </bottom>
        </border>
      </ndxf>
    </rcc>
    <rcc rId="0" sId="2" dxf="1">
      <nc r="J146" t="inlineStr">
        <is>
          <t>Delta</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K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L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M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N146" t="inlineStr">
        <is>
          <t>RB_HONDA_ESP</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O146" t="inlineStr">
        <is>
          <t>-</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P146" t="inlineStr">
        <is>
          <t>Contact point: Iwase Megumi (CC-AS/ESJ2-JP) ; EXTERNAL Motoyoshi Kazuyuki (VSN, CC-AS/ESJ2-JP)</t>
        </is>
      </nc>
      <ndxf>
        <alignment horizontal="left" vertical="top" readingOrder="0"/>
        <border outline="0">
          <left style="thin">
            <color indexed="64"/>
          </left>
          <right style="thin">
            <color indexed="64"/>
          </right>
          <top style="thin">
            <color indexed="64"/>
          </top>
          <bottom style="thin">
            <color indexed="64"/>
          </bottom>
        </border>
      </ndxf>
    </rcc>
    <rfmt sheetId="2" sqref="Q14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2" dxf="1">
      <nc r="R146" t="inlineStr">
        <is>
          <t>T501</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2" dxf="1">
      <nc r="S146" t="inlineStr">
        <is>
          <t>huy.do-anh</t>
        </is>
      </nc>
      <ndxf>
        <alignment horizontal="left" vertical="top" readingOrder="0"/>
        <border outline="0">
          <left style="thin">
            <color indexed="64"/>
          </left>
          <right style="thin">
            <color indexed="64"/>
          </right>
          <top style="thin">
            <color indexed="64"/>
          </top>
          <bottom style="thin">
            <color indexed="64"/>
          </bottom>
        </border>
      </ndxf>
    </rcc>
    <rfmt sheetId="2" sqref="T146" start="0" length="0">
      <dxf>
        <alignment horizontal="left" vertical="top" readingOrder="0"/>
        <border outline="0">
          <left style="thin">
            <color indexed="64"/>
          </left>
          <right style="thin">
            <color indexed="64"/>
          </right>
          <top style="thin">
            <color indexed="64"/>
          </top>
          <bottom style="thin">
            <color indexed="64"/>
          </bottom>
        </border>
      </dxf>
    </rfmt>
    <rfmt sheetId="2" sqref="U146" start="0" length="0">
      <dxf>
        <alignment horizontal="left" vertical="top" readingOrder="0"/>
        <border outline="0">
          <left style="thin">
            <color indexed="64"/>
          </left>
          <right style="thin">
            <color indexed="64"/>
          </right>
          <top style="thin">
            <color indexed="64"/>
          </top>
          <bottom style="thin">
            <color indexed="64"/>
          </bottom>
        </border>
      </dxf>
    </rfmt>
    <rcc rId="0" sId="2" dxf="1">
      <nc r="V146">
        <v>81</v>
      </nc>
      <ndxf>
        <alignment horizontal="left" vertical="top" readingOrder="0"/>
        <border outline="0">
          <left style="thin">
            <color indexed="64"/>
          </left>
          <right style="thin">
            <color indexed="64"/>
          </right>
          <top style="thin">
            <color indexed="64"/>
          </top>
          <bottom style="thin">
            <color indexed="64"/>
          </bottom>
        </border>
      </ndxf>
    </rcc>
    <rcc rId="0" sId="2" dxf="1">
      <nc r="W146">
        <f>ROUND(IF(D146=Table!$C$3,Y146*Table!$C$4/8,Y146*Table!$D$4/8),3)</f>
      </nc>
      <ndxf>
        <alignment horizontal="left" vertical="top" readingOrder="0"/>
        <border outline="0">
          <left style="thin">
            <color indexed="64"/>
          </left>
          <right style="thin">
            <color indexed="64"/>
          </right>
          <top style="thin">
            <color indexed="64"/>
          </top>
          <bottom style="thin">
            <color indexed="64"/>
          </bottom>
        </border>
      </ndxf>
    </rcc>
    <rcc rId="0" sId="2" dxf="1">
      <nc r="X146">
        <f>W146</f>
      </nc>
      <ndxf>
        <alignment horizontal="left" vertical="top" readingOrder="0"/>
        <border outline="0">
          <left style="thin">
            <color indexed="64"/>
          </left>
          <right style="thin">
            <color indexed="64"/>
          </right>
          <top style="thin">
            <color indexed="64"/>
          </top>
          <bottom style="thin">
            <color indexed="64"/>
          </bottom>
        </border>
      </ndxf>
    </rcc>
    <rcc rId="0" sId="2" dxf="1">
      <nc r="Y146">
        <v>1.6</v>
      </nc>
      <ndxf>
        <alignment horizontal="left" vertical="top" readingOrder="0"/>
        <border outline="0">
          <left style="thin">
            <color indexed="64"/>
          </left>
          <right style="thin">
            <color indexed="64"/>
          </right>
          <top style="thin">
            <color indexed="64"/>
          </top>
          <bottom style="thin">
            <color indexed="64"/>
          </bottom>
        </border>
      </ndxf>
    </rcc>
    <rcc rId="0" sId="2" dxf="1">
      <nc r="Z146">
        <v>0.5</v>
      </nc>
      <ndxf>
        <alignment horizontal="left" vertical="top" readingOrder="0"/>
        <border outline="0">
          <left style="thin">
            <color indexed="64"/>
          </left>
          <right style="thin">
            <color indexed="64"/>
          </right>
          <top style="thin">
            <color indexed="64"/>
          </top>
          <bottom style="thin">
            <color indexed="64"/>
          </bottom>
        </border>
      </ndxf>
    </rcc>
    <rcc rId="0" sId="2" dxf="1">
      <nc r="AA146"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2" sqref="AB14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2" dxf="1" numFmtId="19">
      <nc r="AC146">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D146">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E14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F146">
        <v>43972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c r="AG14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4">
      <nc r="AH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umFmtId="14">
      <nc r="AI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umFmtId="14">
      <nc r="AJ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c r="AK14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2" sqref="AL146" start="0" length="0">
      <dxf>
        <alignment horizontal="left" vertical="top" readingOrder="0"/>
        <border outline="0">
          <left style="thin">
            <color indexed="64"/>
          </left>
          <right style="thin">
            <color indexed="64"/>
          </right>
          <top style="thin">
            <color indexed="64"/>
          </top>
          <bottom style="thin">
            <color indexed="64"/>
          </bottom>
        </border>
      </dxf>
    </rfmt>
    <rfmt sheetId="2" sqref="AM146" start="0" length="0">
      <dxf>
        <alignment horizontal="left" vertical="top" readingOrder="0"/>
        <border outline="0">
          <left style="thin">
            <color indexed="64"/>
          </left>
          <right style="thin">
            <color indexed="64"/>
          </right>
          <top style="thin">
            <color indexed="64"/>
          </top>
          <bottom style="thin">
            <color indexed="64"/>
          </bottom>
        </border>
      </dxf>
    </rfmt>
    <rfmt sheetId="2" sqref="AN146" start="0" length="0">
      <dxf>
        <alignment horizontal="left" vertical="top" readingOrder="0"/>
        <border outline="0">
          <left style="thin">
            <color indexed="64"/>
          </left>
          <right style="thin">
            <color indexed="64"/>
          </right>
          <top style="thin">
            <color indexed="64"/>
          </top>
          <bottom style="thin">
            <color indexed="64"/>
          </bottom>
        </border>
      </dxf>
    </rfmt>
  </rrc>
  <rrc rId="1302" sId="2" ref="A146:XFD146" action="deleteRow">
    <rfmt sheetId="2" xfDxf="1" sqref="A146:XFD146" start="0" length="0"/>
    <rcc rId="0" sId="2" dxf="1">
      <nc r="B146">
        <f>#REF!+1</f>
      </nc>
      <ndxf>
        <font>
          <sz val="11"/>
          <color auto="1"/>
          <name val="Calibri"/>
          <scheme val="minor"/>
        </font>
        <fill>
          <patternFill patternType="solid">
            <bgColor rgb="FF92D050"/>
          </patternFill>
        </fill>
        <alignment horizontal="left" vertical="top" readingOrder="0"/>
        <border outline="0">
          <left style="thin">
            <color indexed="64"/>
          </left>
          <right style="thin">
            <color indexed="64"/>
          </right>
          <top style="thin">
            <color indexed="64"/>
          </top>
          <bottom style="thin">
            <color indexed="64"/>
          </bottom>
        </border>
      </ndxf>
    </rcc>
    <rcc rId="0" sId="2" dxf="1">
      <nc r="C146">
        <v>20200511</v>
      </nc>
      <ndxf>
        <fill>
          <patternFill patternType="solid">
            <bgColor rgb="FFFFC000"/>
          </patternFill>
        </fill>
        <alignment horizontal="left" vertical="top" readingOrder="0"/>
        <border outline="0">
          <left style="thin">
            <color indexed="64"/>
          </left>
          <right style="thin">
            <color indexed="64"/>
          </right>
          <top style="thin">
            <color indexed="64"/>
          </top>
          <bottom style="thin">
            <color indexed="64"/>
          </bottom>
        </border>
      </ndxf>
    </rcc>
    <rcc rId="0" sId="2" dxf="1">
      <nc r="D146" t="inlineStr">
        <is>
          <t>ASW</t>
        </is>
      </nc>
      <ndxf>
        <alignment horizontal="left" vertical="top" readingOrder="0"/>
        <border outline="0">
          <left style="thin">
            <color indexed="64"/>
          </left>
          <right style="thin">
            <color indexed="64"/>
          </right>
          <top style="thin">
            <color indexed="64"/>
          </top>
          <bottom style="thin">
            <color indexed="64"/>
          </bottom>
        </border>
      </ndxf>
    </rcc>
    <rcc rId="0" sId="2" dxf="1">
      <nc r="E146" t="inlineStr">
        <is>
          <t>HONDA_CMP_BL11sp02_snapshot05</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F146" t="inlineStr">
        <is>
          <t>rb.as.honda.core.app.asw.maeps</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G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H146" t="inlineStr">
        <is>
          <t>MT_218</t>
        </is>
      </nc>
      <ndxf>
        <alignment horizontal="left" vertical="top" readingOrder="0"/>
        <border outline="0">
          <left style="thin">
            <color indexed="64"/>
          </left>
          <right style="thin">
            <color indexed="64"/>
          </right>
          <top style="thin">
            <color indexed="64"/>
          </top>
          <bottom style="thin">
            <color indexed="64"/>
          </bottom>
        </border>
      </ndxf>
    </rcc>
    <rcc rId="0" sId="2" dxf="1">
      <nc r="I146" t="inlineStr">
        <is>
          <t>Honda_MAEPS_20ms</t>
        </is>
      </nc>
      <ndxf>
        <alignment horizontal="left" vertical="top" readingOrder="0"/>
        <border outline="0">
          <left style="thin">
            <color indexed="64"/>
          </left>
          <right style="thin">
            <color indexed="64"/>
          </right>
          <top style="thin">
            <color indexed="64"/>
          </top>
          <bottom style="thin">
            <color indexed="64"/>
          </bottom>
        </border>
      </ndxf>
    </rcc>
    <rcc rId="0" sId="2" dxf="1">
      <nc r="J146" t="inlineStr">
        <is>
          <t>New</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K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L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M146"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N146" t="inlineStr">
        <is>
          <t>CSMosarASWMainstream93_Honda</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O146" t="inlineStr">
        <is>
          <t>1.2</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P146" t="inlineStr">
        <is>
          <t>Contact point: Iwase Megumi (CC-AS/ESJ2-JP) ; EXTERNAL Motoyoshi Kazuyuki (VSN, CC-AS/ESJ2-JP)</t>
        </is>
      </nc>
      <ndxf>
        <alignment horizontal="left" vertical="top" readingOrder="0"/>
        <border outline="0">
          <left style="thin">
            <color indexed="64"/>
          </left>
          <right style="thin">
            <color indexed="64"/>
          </right>
          <top style="thin">
            <color indexed="64"/>
          </top>
          <bottom style="thin">
            <color indexed="64"/>
          </bottom>
        </border>
      </ndxf>
    </rcc>
    <rfmt sheetId="2" sqref="Q14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2" dxf="1">
      <nc r="R146" t="inlineStr">
        <is>
          <t>T500</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2" dxf="1">
      <nc r="S146" t="inlineStr">
        <is>
          <t>dac.luu-cong</t>
        </is>
      </nc>
      <ndxf>
        <alignment horizontal="left" vertical="top" readingOrder="0"/>
        <border outline="0">
          <left style="thin">
            <color indexed="64"/>
          </left>
          <right style="thin">
            <color indexed="64"/>
          </right>
          <top style="thin">
            <color indexed="64"/>
          </top>
          <bottom style="thin">
            <color indexed="64"/>
          </bottom>
        </border>
      </ndxf>
    </rcc>
    <rfmt sheetId="2" sqref="T146" start="0" length="0">
      <dxf>
        <alignment horizontal="left" vertical="top" readingOrder="0"/>
        <border outline="0">
          <left style="thin">
            <color indexed="64"/>
          </left>
          <right style="thin">
            <color indexed="64"/>
          </right>
          <top style="thin">
            <color indexed="64"/>
          </top>
          <bottom style="thin">
            <color indexed="64"/>
          </bottom>
        </border>
      </dxf>
    </rfmt>
    <rfmt sheetId="2" sqref="U146" start="0" length="0">
      <dxf>
        <alignment horizontal="left" vertical="top" readingOrder="0"/>
        <border outline="0">
          <left style="thin">
            <color indexed="64"/>
          </left>
          <right style="thin">
            <color indexed="64"/>
          </right>
          <top style="thin">
            <color indexed="64"/>
          </top>
          <bottom style="thin">
            <color indexed="64"/>
          </bottom>
        </border>
      </dxf>
    </rfmt>
    <rcc rId="0" sId="2" dxf="1">
      <nc r="V146">
        <v>12</v>
      </nc>
      <ndxf>
        <alignment horizontal="left" vertical="top" readingOrder="0"/>
        <border outline="0">
          <left style="thin">
            <color indexed="64"/>
          </left>
          <right style="thin">
            <color indexed="64"/>
          </right>
          <top style="thin">
            <color indexed="64"/>
          </top>
          <bottom style="thin">
            <color indexed="64"/>
          </bottom>
        </border>
      </ndxf>
    </rcc>
    <rcc rId="0" sId="2" dxf="1">
      <nc r="W146">
        <f>ROUND(IF(D146=Table!$C$3,Y146*Table!$C$4/8,Y146*Table!$D$4/8),3)</f>
      </nc>
      <ndxf>
        <alignment horizontal="left" vertical="top" readingOrder="0"/>
        <border outline="0">
          <left style="thin">
            <color indexed="64"/>
          </left>
          <right style="thin">
            <color indexed="64"/>
          </right>
          <top style="thin">
            <color indexed="64"/>
          </top>
          <bottom style="thin">
            <color indexed="64"/>
          </bottom>
        </border>
      </ndxf>
    </rcc>
    <rcc rId="0" sId="2" dxf="1">
      <nc r="X146">
        <f>W146</f>
      </nc>
      <ndxf>
        <alignment horizontal="left" vertical="top" readingOrder="0"/>
        <border outline="0">
          <left style="thin">
            <color indexed="64"/>
          </left>
          <right style="thin">
            <color indexed="64"/>
          </right>
          <top style="thin">
            <color indexed="64"/>
          </top>
          <bottom style="thin">
            <color indexed="64"/>
          </bottom>
        </border>
      </ndxf>
    </rcc>
    <rcc rId="0" sId="2" dxf="1">
      <nc r="Y146">
        <v>1.6</v>
      </nc>
      <ndxf>
        <alignment horizontal="left" vertical="top" readingOrder="0"/>
        <border outline="0">
          <left style="thin">
            <color indexed="64"/>
          </left>
          <right style="thin">
            <color indexed="64"/>
          </right>
          <top style="thin">
            <color indexed="64"/>
          </top>
          <bottom style="thin">
            <color indexed="64"/>
          </bottom>
        </border>
      </ndxf>
    </rcc>
    <rcc rId="0" sId="2" dxf="1">
      <nc r="Z146">
        <v>1</v>
      </nc>
      <ndxf>
        <alignment horizontal="left" vertical="top" readingOrder="0"/>
        <border outline="0">
          <left style="thin">
            <color indexed="64"/>
          </left>
          <right style="thin">
            <color indexed="64"/>
          </right>
          <top style="thin">
            <color indexed="64"/>
          </top>
          <bottom style="thin">
            <color indexed="64"/>
          </bottom>
        </border>
      </ndxf>
    </rcc>
    <rcc rId="0" sId="2" dxf="1">
      <nc r="AA146"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2" sqref="AB14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2" dxf="1" numFmtId="19">
      <nc r="AC146">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D146">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E146">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F146">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c r="AG146"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c r="AH146" t="inlineStr">
        <is>
          <t>NA</t>
        </is>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c r="AI146" t="inlineStr">
        <is>
          <t>NA</t>
        </is>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c r="AJ146" t="inlineStr">
        <is>
          <t>NA</t>
        </is>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c r="AK146"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c r="AL146" t="inlineStr">
        <is>
          <t>Message Class</t>
        </is>
      </nc>
      <ndxf>
        <alignment horizontal="left" vertical="top" readingOrder="0"/>
        <border outline="0">
          <left style="thin">
            <color indexed="64"/>
          </left>
          <right style="thin">
            <color indexed="64"/>
          </right>
          <top style="thin">
            <color indexed="64"/>
          </top>
          <bottom style="thin">
            <color indexed="64"/>
          </bottom>
        </border>
      </ndxf>
    </rcc>
    <rfmt sheetId="2" sqref="AM146" start="0" length="0">
      <dxf>
        <alignment horizontal="left" vertical="top" readingOrder="0"/>
        <border outline="0">
          <left style="thin">
            <color indexed="64"/>
          </left>
          <right style="thin">
            <color indexed="64"/>
          </right>
          <top style="thin">
            <color indexed="64"/>
          </top>
          <bottom style="thin">
            <color indexed="64"/>
          </bottom>
        </border>
      </dxf>
    </rfmt>
    <rfmt sheetId="2" sqref="AN146" start="0" length="0">
      <dxf>
        <alignment horizontal="left" vertical="top" readingOrder="0"/>
        <border outline="0">
          <left style="thin">
            <color indexed="64"/>
          </left>
          <right style="thin">
            <color indexed="64"/>
          </right>
          <top style="thin">
            <color indexed="64"/>
          </top>
          <bottom style="thin">
            <color indexed="64"/>
          </bottom>
        </border>
      </dxf>
    </rfmt>
  </rrc>
  <rcv guid="{250915DF-0B97-45D7-B29D-7EED4C89C1C1}" action="delete"/>
  <rdn rId="0" localSheetId="1" customView="1" name="Z_250915DF_0B97_45D7_B29D_7EED4C89C1C1_.wvu.FilterData" hidden="1" oldHidden="1">
    <formula>Merged_COEM!$B$47:$AO$308</formula>
    <oldFormula>Merged_COEM!$B$47:$AO$308</oldFormula>
  </rdn>
  <rdn rId="0" localSheetId="2" customView="1" name="Z_250915DF_0B97_45D7_B29D_7EED4C89C1C1_.wvu.FilterData" hidden="1" oldHidden="1">
    <formula>Merged_JOEM!$B$47:$AN$175</formula>
    <oldFormula>Merged_JOEM!$B$47:$AN$175</oldFormula>
  </rdn>
  <rcv guid="{250915DF-0B97-45D7-B29D-7EED4C89C1C1}" action="add"/>
</revisions>
</file>

<file path=xl/revisions/revisionLog1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Merged_COEM!$B$47:$AO$308</formula>
    <oldFormula>Merged_COEM!$B$47:$AO$308</oldFormula>
  </rdn>
  <rdn rId="0" localSheetId="2" customView="1" name="Z_250915DF_0B97_45D7_B29D_7EED4C89C1C1_.wvu.FilterData" hidden="1" oldHidden="1">
    <formula>Merged_JOEM!$B$47:$AN$175</formula>
    <oldFormula>Merged_JOEM!$B$47:$AN$175</oldFormula>
  </rdn>
  <rcv guid="{250915DF-0B97-45D7-B29D-7EED4C89C1C1}" action="add"/>
</revisions>
</file>

<file path=xl/revisions/revisionLog1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07" sId="1">
    <oc r="E4">
      <f>SUMIFS($W$48:$W$308,$D$48:$D$308,Table!$D$3,$S$48:$S$308,C4)-SUM(SUMIFS($W$48:$W$308,$D$48:$D$308,Table!$D$3,$S$48:$S$308,C4,$AA$48:$AA$308,{"Ongoing","N\A",""}))</f>
    </oc>
    <nc r="E4">
      <f>SUMIFS($X$48:$X$308,$D$48:$D$308,Table!$D$3,$S$48:$S$308,C4)-SUM(SUMIFS($W$48:$W$308,$D$48:$D$308,Table!$D$3,$S$48:$S$308,C4,$AA$48:$AA$308,{"Ongoing","N\A",""}))</f>
    </nc>
  </rcc>
  <rcc rId="1308" sId="1">
    <oc r="E5">
      <f>SUMIFS($W$48:$W$308,$D$48:$D$308,Table!$D$3,$S$48:$S$308,C5)-SUM(SUMIFS($W$48:$W$308,$D$48:$D$308,Table!$D$3,$S$48:$S$308,C5,$AA$48:$AA$308,{"Ongoing","N/A",""}))</f>
    </oc>
    <nc r="E5">
      <f>SUMIFS($X$48:$X$308,$D$48:$D$308,Table!$D$3,$S$48:$S$308,C5)-SUM(SUMIFS($W$48:$W$308,$D$48:$D$308,Table!$D$3,$S$48:$S$308,C5,$AA$48:$AA$308,{"Ongoing","N\A",""}))</f>
    </nc>
  </rcc>
  <rcc rId="1309" sId="1">
    <oc r="E6">
      <f>SUMIFS($W$48:$W$308,$D$48:$D$308,Table!$D$3,$S$48:$S$308,C6)-SUM(SUMIFS($W$48:$W$308,$D$48:$D$308,Table!$D$3,$S$48:$S$308,C6,$AA$48:$AA$308,{"Ongoing","N/A",""}))</f>
    </oc>
    <nc r="E6">
      <f>SUMIFS($X$48:$X$308,$D$48:$D$308,Table!$D$3,$S$48:$S$308,C6)-SUM(SUMIFS($W$48:$W$308,$D$48:$D$308,Table!$D$3,$S$48:$S$308,C6,$AA$48:$AA$308,{"Ongoing","N\A",""}))</f>
    </nc>
  </rcc>
  <rcc rId="1310" sId="1">
    <oc r="E7">
      <f>SUMIFS($W$48:$W$308,$D$48:$D$308,Table!$D$3,$S$48:$S$308,C7)-SUM(SUMIFS($W$48:$W$308,$D$48:$D$308,Table!$D$3,$S$48:$S$308,C7,$AA$48:$AA$308,{"Ongoing","N/A",""}))</f>
    </oc>
    <nc r="E7">
      <f>SUMIFS($X$48:$X$308,$D$48:$D$308,Table!$D$3,$S$48:$S$308,C7)-SUM(SUMIFS($W$48:$W$308,$D$48:$D$308,Table!$D$3,$S$48:$S$308,C7,$AA$48:$AA$308,{"Ongoing","N\A",""}))</f>
    </nc>
  </rcc>
  <rcc rId="1311" sId="1">
    <oc r="E8">
      <f>SUMIFS($W$48:$W$308,$D$48:$D$308,Table!$D$3,$S$48:$S$308,C8)-SUM(SUMIFS($W$48:$W$308,$D$48:$D$308,Table!$D$3,$S$48:$S$308,C8,$AA$48:$AA$308,{"Ongoing","N/A",""}))</f>
    </oc>
    <nc r="E8">
      <f>SUMIFS($X$48:$X$308,$D$48:$D$308,Table!$D$3,$S$48:$S$308,C8)-SUM(SUMIFS($W$48:$W$308,$D$48:$D$308,Table!$D$3,$S$48:$S$308,C8,$AA$48:$AA$308,{"Ongoing","N\A",""}))</f>
    </nc>
  </rcc>
  <rcc rId="1312" sId="1">
    <oc r="E9">
      <f>SUMIFS($W$48:$W$308,$D$48:$D$308,Table!$D$3,$S$48:$S$308,C9)-SUM(SUMIFS($W$48:$W$308,$D$48:$D$308,Table!$D$3,$S$48:$S$308,C9,$AA$48:$AA$308,{"Ongoing","N/A",""}))</f>
    </oc>
    <nc r="E9">
      <f>SUMIFS($X$48:$X$308,$D$48:$D$308,Table!$D$3,$S$48:$S$308,C9)-SUM(SUMIFS($W$48:$W$308,$D$48:$D$308,Table!$D$3,$S$48:$S$308,C9,$AA$48:$AA$308,{"Ongoing","N\A",""}))</f>
    </nc>
  </rcc>
  <rcc rId="1313" sId="1">
    <oc r="E10">
      <f>SUMIFS($W$48:$W$308,$D$48:$D$308,Table!$D$3,$S$48:$S$308,C10)-SUM(SUMIFS($W$48:$W$308,$D$48:$D$308,Table!$D$3,$S$48:$S$308,C10,$AA$48:$AA$308,{"Ongoing","N/A",""}))</f>
    </oc>
    <nc r="E10">
      <f>SUMIFS($X$48:$X$308,$D$48:$D$308,Table!$D$3,$S$48:$S$308,C10)-SUM(SUMIFS($W$48:$W$308,$D$48:$D$308,Table!$D$3,$S$48:$S$308,C10,$AA$48:$AA$308,{"Ongoing","N\A",""}))</f>
    </nc>
  </rcc>
  <rcc rId="1314" sId="1">
    <oc r="E11">
      <f>SUMIFS($W$48:$W$308,$D$48:$D$308,Table!$D$3,$S$48:$S$308,C11)-SUM(SUMIFS($W$48:$W$308,$D$48:$D$308,Table!$D$3,$S$48:$S$308,C11,$AA$48:$AA$308,{"Ongoing","N/A",""}))</f>
    </oc>
    <nc r="E11">
      <f>SUMIFS($X$48:$X$308,$D$48:$D$308,Table!$D$3,$S$48:$S$308,C11)-SUM(SUMIFS($W$48:$W$308,$D$48:$D$308,Table!$D$3,$S$48:$S$308,C11,$AA$48:$AA$308,{"Ongoing","N\A",""}))</f>
    </nc>
  </rcc>
  <rcc rId="1315" sId="1">
    <oc r="E12">
      <f>SUMIFS($W$48:$W$308,$D$48:$D$308,Table!$D$3,$S$48:$S$308,C12)-SUM(SUMIFS($W$48:$W$308,$D$48:$D$308,Table!$D$3,$S$48:$S$308,C12,$AA$48:$AA$308,{"Ongoing","N/A",""}))</f>
    </oc>
    <nc r="E12">
      <f>SUMIFS($X$48:$X$308,$D$48:$D$308,Table!$D$3,$S$48:$S$308,C12)-SUM(SUMIFS($W$48:$W$308,$D$48:$D$308,Table!$D$3,$S$48:$S$308,C12,$AA$48:$AA$308,{"Ongoing","N\A",""}))</f>
    </nc>
  </rcc>
  <rcc rId="1316" sId="1">
    <oc r="E13">
      <f>SUMIFS($W$48:$W$308,$D$48:$D$308,Table!$D$3,$S$48:$S$308,C13)-SUM(SUMIFS($W$48:$W$308,$D$48:$D$308,Table!$D$3,$S$48:$S$308,C13,$AA$48:$AA$308,{"Ongoing","N/A",""}))</f>
    </oc>
    <nc r="E13">
      <f>SUMIFS($X$48:$X$308,$D$48:$D$308,Table!$D$3,$S$48:$S$308,C13)-SUM(SUMIFS($W$48:$W$308,$D$48:$D$308,Table!$D$3,$S$48:$S$308,C13,$AA$48:$AA$308,{"Ongoing","N\A",""}))</f>
    </nc>
  </rcc>
</revisions>
</file>

<file path=xl/revisions/revisionLog1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17" sId="1">
    <oc r="E4">
      <f>SUMIFS($X$48:$X$308,$D$48:$D$308,Table!$D$3,$S$48:$S$308,C4)-SUM(SUMIFS($W$48:$W$308,$D$48:$D$308,Table!$D$3,$S$48:$S$308,C4,$AA$48:$AA$308,{"Ongoing","N\A",""}))</f>
    </oc>
    <nc r="E4">
      <f>SUMIFS($X$48:$X$308,$D$48:$D$308,Table!$D$3,$S$48:$S$308,C4)-SUM(SUMIFS($X$48:$X$308,$D$48:$D$308,Table!$D$3,$S$48:$S$308,C4,$AA$48:$AA$308,{"Ongoing","N\A",""}))</f>
    </nc>
  </rcc>
  <rcc rId="1318" sId="1">
    <oc r="E5">
      <f>SUMIFS($X$48:$X$308,$D$48:$D$308,Table!$D$3,$S$48:$S$308,C5)-SUM(SUMIFS($W$48:$W$308,$D$48:$D$308,Table!$D$3,$S$48:$S$308,C5,$AA$48:$AA$308,{"Ongoing","N\A",""}))</f>
    </oc>
    <nc r="E5">
      <f>SUMIFS($X$48:$X$308,$D$48:$D$308,Table!$D$3,$S$48:$S$308,C5)-SUM(SUMIFS($X$48:$X$308,$D$48:$D$308,Table!$D$3,$S$48:$S$308,C5,$AA$48:$AA$308,{"Ongoing","N\A",""}))</f>
    </nc>
  </rcc>
  <rcc rId="1319" sId="1">
    <oc r="E6">
      <f>SUMIFS($X$48:$X$308,$D$48:$D$308,Table!$D$3,$S$48:$S$308,C6)-SUM(SUMIFS($W$48:$W$308,$D$48:$D$308,Table!$D$3,$S$48:$S$308,C6,$AA$48:$AA$308,{"Ongoing","N\A",""}))</f>
    </oc>
    <nc r="E6">
      <f>SUMIFS($X$48:$X$308,$D$48:$D$308,Table!$D$3,$S$48:$S$308,C6)-SUM(SUMIFS($X$48:$X$308,$D$48:$D$308,Table!$D$3,$S$48:$S$308,C6,$AA$48:$AA$308,{"Ongoing","N\A",""}))</f>
    </nc>
  </rcc>
  <rcc rId="1320" sId="1">
    <oc r="E7">
      <f>SUMIFS($X$48:$X$308,$D$48:$D$308,Table!$D$3,$S$48:$S$308,C7)-SUM(SUMIFS($W$48:$W$308,$D$48:$D$308,Table!$D$3,$S$48:$S$308,C7,$AA$48:$AA$308,{"Ongoing","N\A",""}))</f>
    </oc>
    <nc r="E7">
      <f>SUMIFS($X$48:$X$308,$D$48:$D$308,Table!$D$3,$S$48:$S$308,C7)-SUM(SUMIFS($X$48:$X$308,$D$48:$D$308,Table!$D$3,$S$48:$S$308,C7,$AA$48:$AA$308,{"Ongoing","N\A",""}))</f>
    </nc>
  </rcc>
  <rcc rId="1321" sId="1">
    <oc r="E8">
      <f>SUMIFS($X$48:$X$308,$D$48:$D$308,Table!$D$3,$S$48:$S$308,C8)-SUM(SUMIFS($W$48:$W$308,$D$48:$D$308,Table!$D$3,$S$48:$S$308,C8,$AA$48:$AA$308,{"Ongoing","N\A",""}))</f>
    </oc>
    <nc r="E8">
      <f>SUMIFS($X$48:$X$308,$D$48:$D$308,Table!$D$3,$S$48:$S$308,C8)-SUM(SUMIFS($X$48:$X$308,$D$48:$D$308,Table!$D$3,$S$48:$S$308,C8,$AA$48:$AA$308,{"Ongoing","N\A",""}))</f>
    </nc>
  </rcc>
  <rcc rId="1322" sId="1">
    <oc r="E9">
      <f>SUMIFS($X$48:$X$308,$D$48:$D$308,Table!$D$3,$S$48:$S$308,C9)-SUM(SUMIFS($W$48:$W$308,$D$48:$D$308,Table!$D$3,$S$48:$S$308,C9,$AA$48:$AA$308,{"Ongoing","N\A",""}))</f>
    </oc>
    <nc r="E9">
      <f>SUMIFS($X$48:$X$308,$D$48:$D$308,Table!$D$3,$S$48:$S$308,C9)-SUM(SUMIFS($X$48:$X$308,$D$48:$D$308,Table!$D$3,$S$48:$S$308,C9,$AA$48:$AA$308,{"Ongoing","N\A",""}))</f>
    </nc>
  </rcc>
  <rcc rId="1323" sId="1">
    <oc r="E10">
      <f>SUMIFS($X$48:$X$308,$D$48:$D$308,Table!$D$3,$S$48:$S$308,C10)-SUM(SUMIFS($W$48:$W$308,$D$48:$D$308,Table!$D$3,$S$48:$S$308,C10,$AA$48:$AA$308,{"Ongoing","N\A",""}))</f>
    </oc>
    <nc r="E10">
      <f>SUMIFS($X$48:$X$308,$D$48:$D$308,Table!$D$3,$S$48:$S$308,C10)-SUM(SUMIFS($X$48:$X$308,$D$48:$D$308,Table!$D$3,$S$48:$S$308,C10,$AA$48:$AA$308,{"Ongoing","N\A",""}))</f>
    </nc>
  </rcc>
  <rcc rId="1324" sId="1">
    <oc r="E11">
      <f>SUMIFS($X$48:$X$308,$D$48:$D$308,Table!$D$3,$S$48:$S$308,C11)-SUM(SUMIFS($W$48:$W$308,$D$48:$D$308,Table!$D$3,$S$48:$S$308,C11,$AA$48:$AA$308,{"Ongoing","N\A",""}))</f>
    </oc>
    <nc r="E11">
      <f>SUMIFS($X$48:$X$308,$D$48:$D$308,Table!$D$3,$S$48:$S$308,C11)-SUM(SUMIFS($X$48:$X$308,$D$48:$D$308,Table!$D$3,$S$48:$S$308,C11,$AA$48:$AA$308,{"Ongoing","N\A",""}))</f>
    </nc>
  </rcc>
  <rcc rId="1325" sId="1">
    <oc r="E12">
      <f>SUMIFS($X$48:$X$308,$D$48:$D$308,Table!$D$3,$S$48:$S$308,C12)-SUM(SUMIFS($W$48:$W$308,$D$48:$D$308,Table!$D$3,$S$48:$S$308,C12,$AA$48:$AA$308,{"Ongoing","N\A",""}))</f>
    </oc>
    <nc r="E12">
      <f>SUMIFS($X$48:$X$308,$D$48:$D$308,Table!$D$3,$S$48:$S$308,C12)-SUM(SUMIFS($X$48:$X$308,$D$48:$D$308,Table!$D$3,$S$48:$S$308,C12,$AA$48:$AA$308,{"Ongoing","N\A",""}))</f>
    </nc>
  </rcc>
  <rcc rId="1326" sId="1">
    <oc r="E13">
      <f>SUMIFS($X$48:$X$308,$D$48:$D$308,Table!$D$3,$S$48:$S$308,C13)-SUM(SUMIFS($W$48:$W$308,$D$48:$D$308,Table!$D$3,$S$48:$S$308,C13,$AA$48:$AA$308,{"Ongoing","N\A",""}))</f>
    </oc>
    <nc r="E13">
      <f>SUMIFS($X$48:$X$308,$D$48:$D$308,Table!$D$3,$S$48:$S$308,C13)-SUM(SUMIFS($X$48:$X$308,$D$48:$D$308,Table!$D$3,$S$48:$S$308,C13,$AA$48:$AA$308,{"Ongoing","N\A",""}))</f>
    </nc>
  </rcc>
  <rcc rId="1327" sId="2">
    <oc r="E4">
      <f>SUMIFS($W$48:$W$175,$D$48:$D$175,Table!$D$3,$S$48:$S$175,C4)-SUM(SUMIFS($W$48:$W$175,$D$48:$D$175,Table!$D$3,$S$48:$S$175,C4,$AA$48:$AA$175,{"Ongoing","N/A",""}))</f>
    </oc>
    <nc r="E4">
      <f>SUMIFS($X$48:$X$175,$D$48:$D$175,Table!$D$3,$S$48:$S$175,C4)-SUM(SUMIFS($X$48:$X$175,$D$48:$D$175,Table!$D$3,$S$48:$S$175,C4,$AA$48:$AA$175,{"Ongoing","N/A",""}))</f>
    </nc>
  </rcc>
  <rcc rId="1328" sId="2">
    <oc r="E5">
      <f>SUMIFS($W$48:$W$175,$D$48:$D$175,Table!$D$3,$S$48:$S$175,C5)-SUM(SUMIFS($W$48:$W$175,$D$48:$D$175,Table!$D$3,$S$48:$S$175,C5,$AA$48:$AA$175,{"Ongoing","N/A",""}))</f>
    </oc>
    <nc r="E5">
      <f>SUMIFS($X$48:$X$175,$D$48:$D$175,Table!$D$3,$S$48:$S$175,C5)-SUM(SUMIFS($X$48:$X$175,$D$48:$D$175,Table!$D$3,$S$48:$S$175,C5,$AA$48:$AA$175,{"Ongoing","N/A",""}))</f>
    </nc>
  </rcc>
  <rcc rId="1329" sId="2">
    <oc r="E6">
      <f>SUMIFS($W$48:$W$175,$D$48:$D$175,Table!$D$3,$S$48:$S$175,C6)-SUM(SUMIFS($W$48:$W$175,$D$48:$D$175,Table!$D$3,$S$48:$S$175,C6,$AA$48:$AA$175,{"Ongoing","N/A",""}))</f>
    </oc>
    <nc r="E6">
      <f>SUMIFS($X$48:$X$175,$D$48:$D$175,Table!$D$3,$S$48:$S$175,C6)-SUM(SUMIFS($X$48:$X$175,$D$48:$D$175,Table!$D$3,$S$48:$S$175,C6,$AA$48:$AA$175,{"Ongoing","N/A",""}))</f>
    </nc>
  </rcc>
  <rcc rId="1330" sId="2">
    <oc r="E7">
      <f>SUMIFS($W$48:$W$175,$D$48:$D$175,Table!$D$3,$S$48:$S$175,C7)-SUM(SUMIFS($W$48:$W$175,$D$48:$D$175,Table!$D$3,$S$48:$S$175,C7,$AA$48:$AA$175,{"Ongoing","N/A",""}))</f>
    </oc>
    <nc r="E7">
      <f>SUMIFS($X$48:$X$175,$D$48:$D$175,Table!$D$3,$S$48:$S$175,C7)-SUM(SUMIFS($X$48:$X$175,$D$48:$D$175,Table!$D$3,$S$48:$S$175,C7,$AA$48:$AA$175,{"Ongoing","N/A",""}))</f>
    </nc>
  </rcc>
  <rcc rId="1331" sId="2">
    <oc r="E8">
      <f>SUMIFS($W$48:$W$175,$D$48:$D$175,Table!$D$3,$S$48:$S$175,C8)-SUM(SUMIFS($W$48:$W$175,$D$48:$D$175,Table!$D$3,$S$48:$S$175,C8,$AA$48:$AA$175,{"Ongoing","N/A",""}))</f>
    </oc>
    <nc r="E8">
      <f>SUMIFS($X$48:$X$175,$D$48:$D$175,Table!$D$3,$S$48:$S$175,C8)-SUM(SUMIFS($X$48:$X$175,$D$48:$D$175,Table!$D$3,$S$48:$S$175,C8,$AA$48:$AA$175,{"Ongoing","N/A",""}))</f>
    </nc>
  </rcc>
  <rcc rId="1332" sId="2">
    <oc r="E9">
      <f>SUMIFS($W$48:$W$175,$D$48:$D$175,Table!$D$3,$S$48:$S$175,C9)-SUM(SUMIFS($W$48:$W$175,$D$48:$D$175,Table!$D$3,$S$48:$S$175,C9,$AA$48:$AA$175,{"Ongoing","N/A",""}))</f>
    </oc>
    <nc r="E9">
      <f>SUMIFS($X$48:$X$175,$D$48:$D$175,Table!$D$3,$S$48:$S$175,C9)-SUM(SUMIFS($X$48:$X$175,$D$48:$D$175,Table!$D$3,$S$48:$S$175,C9,$AA$48:$AA$175,{"Ongoing","N/A",""}))</f>
    </nc>
  </rcc>
  <rcc rId="1333" sId="2">
    <oc r="E10">
      <f>SUMIFS($W$48:$W$175,$D$48:$D$175,Table!$D$3,$S$48:$S$175,C10)-SUM(SUMIFS($W$48:$W$175,$D$48:$D$175,Table!$D$3,$S$48:$S$175,C10,$AA$48:$AA$175,{"Ongoing","N/A",""}))</f>
    </oc>
    <nc r="E10">
      <f>SUMIFS($X$48:$X$175,$D$48:$D$175,Table!$D$3,$S$48:$S$175,C10)-SUM(SUMIFS($X$48:$X$175,$D$48:$D$175,Table!$D$3,$S$48:$S$175,C10,$AA$48:$AA$175,{"Ongoing","N/A",""}))</f>
    </nc>
  </rcc>
  <rcc rId="1334" sId="2">
    <oc r="E11">
      <f>SUMIFS($W$48:$W$175,$D$48:$D$175,Table!$D$3,$S$48:$S$175,C11)-SUM(SUMIFS($W$48:$W$175,$D$48:$D$175,Table!$D$3,$S$48:$S$175,C11,$AA$48:$AA$175,{"Ongoing","N/A",""}))</f>
    </oc>
    <nc r="E11">
      <f>SUMIFS($X$48:$X$175,$D$48:$D$175,Table!$D$3,$S$48:$S$175,C11)-SUM(SUMIFS($X$48:$X$175,$D$48:$D$175,Table!$D$3,$S$48:$S$175,C11,$AA$48:$AA$175,{"Ongoing","N/A",""}))</f>
    </nc>
  </rcc>
  <rcc rId="1335" sId="2">
    <oc r="E12">
      <f>SUMIFS($W$48:$W$175,$D$48:$D$175,Table!$D$3,$S$48:$S$175,C12)-SUM(SUMIFS($W$48:$W$175,$D$48:$D$175,Table!$D$3,$S$48:$S$175,C12,$AA$48:$AA$175,{"Ongoing","N/A",""}))</f>
    </oc>
    <nc r="E12">
      <f>SUMIFS($X$48:$X$175,$D$48:$D$175,Table!$D$3,$S$48:$S$175,C12)-SUM(SUMIFS($X$48:$X$175,$D$48:$D$175,Table!$D$3,$S$48:$S$175,C12,$AA$48:$AA$175,{"Ongoing","N/A",""}))</f>
    </nc>
  </rcc>
  <rcc rId="1336" sId="2">
    <oc r="E13">
      <f>SUMIFS($W$48:$W$175,$D$48:$D$175,Table!$D$3,$S$48:$S$175,C13)-SUM(SUMIFS($W$48:$W$175,$D$48:$D$175,Table!$D$3,$S$48:$S$175,C13,$AA$48:$AA$175,{"Ongoing","N/A",""}))</f>
    </oc>
    <nc r="E13">
      <f>SUMIFS($X$48:$X$175,$D$48:$D$175,Table!$D$3,$S$48:$S$175,C13)-SUM(SUMIFS($X$48:$X$175,$D$48:$D$175,Table!$D$3,$S$48:$S$175,C13,$AA$48:$AA$175,{"Ongoing","N/A",""}))</f>
    </nc>
  </rcc>
</revisions>
</file>

<file path=xl/revisions/revisionLog1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37" sId="6" numFmtId="19">
    <oc r="D19">
      <f>TODAY()</f>
    </oc>
    <nc r="D19">
      <v>43971</v>
    </nc>
  </rcc>
</revisions>
</file>

<file path=xl/revisions/revisionLog1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38" sId="6" quotePrefix="1">
    <oc r="E71">
      <v>2</v>
    </oc>
    <nc r="E71" t="inlineStr">
      <is>
        <t>-</t>
      </is>
    </nc>
  </rcc>
</revisions>
</file>

<file path=xl/revisions/revisionLog1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39" sId="6" quotePrefix="1">
    <oc r="O72">
      <v>1</v>
    </oc>
    <nc r="O72" t="inlineStr">
      <is>
        <t>-</t>
      </is>
    </nc>
  </rcc>
</revisions>
</file>

<file path=xl/revisions/revisionLog1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0" sId="6" numFmtId="21" quotePrefix="1">
    <oc r="P72">
      <v>43973</v>
    </oc>
    <nc r="P72" t="inlineStr">
      <is>
        <t>-</t>
      </is>
    </nc>
  </rcc>
  <rcc rId="1341" sId="6" quotePrefix="1">
    <oc r="F71" t="inlineStr">
      <is>
        <t>21,22-May</t>
      </is>
    </oc>
    <nc r="F71" t="inlineStr">
      <is>
        <t>-</t>
      </is>
    </nc>
  </rcc>
</revisions>
</file>

<file path=xl/revisions/revisionLog1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2" sId="1">
    <oc r="AA244" t="inlineStr">
      <is>
        <t>Ready for PLC</t>
      </is>
    </oc>
    <nc r="AA244" t="inlineStr">
      <is>
        <t>Complete &amp; Closed</t>
      </is>
    </nc>
  </rcc>
  <rcc rId="1343" sId="1">
    <oc r="AA245" t="inlineStr">
      <is>
        <t>Ready for PLC</t>
      </is>
    </oc>
    <nc r="AA245" t="inlineStr">
      <is>
        <t>Complete &amp; Closed</t>
      </is>
    </nc>
  </rcc>
  <rcc rId="1344" sId="1">
    <oc r="AA246" t="inlineStr">
      <is>
        <t>Ready for PLC</t>
      </is>
    </oc>
    <nc r="AA246" t="inlineStr">
      <is>
        <t>Complete &amp; Closed</t>
      </is>
    </nc>
  </rcc>
  <rcc rId="1345" sId="1">
    <oc r="AA247" t="inlineStr">
      <is>
        <t>Ready for PLC</t>
      </is>
    </oc>
    <nc r="AA247" t="inlineStr">
      <is>
        <t>Complete &amp; Closed</t>
      </is>
    </nc>
  </rcc>
  <rcc rId="1346" sId="1">
    <oc r="AA248" t="inlineStr">
      <is>
        <t>Ready for PLC</t>
      </is>
    </oc>
    <nc r="AA248" t="inlineStr">
      <is>
        <t>Complete &amp; Closed</t>
      </is>
    </nc>
  </rcc>
  <rcc rId="1347" sId="1">
    <oc r="AA249" t="inlineStr">
      <is>
        <t>Ready for PLC</t>
      </is>
    </oc>
    <nc r="AA249" t="inlineStr">
      <is>
        <t>Complete &amp; Closed</t>
      </is>
    </nc>
  </rcc>
  <rcc rId="1348" sId="1">
    <oc r="AA250" t="inlineStr">
      <is>
        <t>Ready for PLC</t>
      </is>
    </oc>
    <nc r="AA250" t="inlineStr">
      <is>
        <t>Complete &amp; Closed</t>
      </is>
    </nc>
  </rcc>
  <rcc rId="1349" sId="1">
    <oc r="AA251" t="inlineStr">
      <is>
        <t>Ready for PLC</t>
      </is>
    </oc>
    <nc r="AA251" t="inlineStr">
      <is>
        <t>Complete &amp; Closed</t>
      </is>
    </nc>
  </rcc>
  <rcc rId="1350" sId="1">
    <oc r="AA252" t="inlineStr">
      <is>
        <t>Ready for PLC</t>
      </is>
    </oc>
    <nc r="AA252" t="inlineStr">
      <is>
        <t>Complete &amp; Closed</t>
      </is>
    </nc>
  </rcc>
  <rcc rId="1351" sId="1">
    <oc r="AA253" t="inlineStr">
      <is>
        <t>Ready for PLC</t>
      </is>
    </oc>
    <nc r="AA253" t="inlineStr">
      <is>
        <t>Complete &amp; Closed</t>
      </is>
    </nc>
  </rcc>
  <rcc rId="1352" sId="1">
    <oc r="AA254" t="inlineStr">
      <is>
        <t>Ready for PLC</t>
      </is>
    </oc>
    <nc r="AA254" t="inlineStr">
      <is>
        <t>Complete &amp; Closed</t>
      </is>
    </nc>
  </rcc>
  <rcc rId="1353" sId="1">
    <oc r="AA255" t="inlineStr">
      <is>
        <t>Ready for PLC</t>
      </is>
    </oc>
    <nc r="AA255" t="inlineStr">
      <is>
        <t>Complete &amp; Closed</t>
      </is>
    </nc>
  </rcc>
  <rcc rId="1354" sId="1">
    <oc r="AA256" t="inlineStr">
      <is>
        <t>Ready for PLC</t>
      </is>
    </oc>
    <nc r="AA256" t="inlineStr">
      <is>
        <t>Complete &amp; Closed</t>
      </is>
    </nc>
  </rcc>
  <rcv guid="{7E0EA425-A420-4443-B9E0-CDF0AA9E5D09}" action="delete"/>
  <rdn rId="0" localSheetId="1" customView="1" name="Z_7E0EA425_A420_4443_B9E0_CDF0AA9E5D09_.wvu.FilterData" hidden="1" oldHidden="1">
    <formula>Merged_COEM!$B$47:$AO$308</formula>
    <oldFormula>Merged_COEM!$B$47:$AN$308</oldFormula>
  </rdn>
  <rdn rId="0" localSheetId="2" customView="1" name="Z_7E0EA425_A420_4443_B9E0_CDF0AA9E5D09_.wvu.FilterData" hidden="1" oldHidden="1">
    <formula>Merged_JOEM!$B$47:$AN$175</formula>
    <oldFormula>Merged_JOEM!$B$47:$AN$175</oldFormula>
  </rdn>
  <rcv guid="{7E0EA425-A420-4443-B9E0-CDF0AA9E5D09}" action="add"/>
</revisions>
</file>

<file path=xl/revisions/revisionLog1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Merged_COEM!$B$47:$AO$308</formula>
    <oldFormula>Merged_COEM!$B$47:$AO$308</oldFormula>
  </rdn>
  <rdn rId="0" localSheetId="2" customView="1" name="Z_7E0EA425_A420_4443_B9E0_CDF0AA9E5D09_.wvu.FilterData" hidden="1" oldHidden="1">
    <formula>Merged_JOEM!$B$47:$AN$175</formula>
    <oldFormula>Merged_JOEM!$B$47:$AN$175</oldFormula>
  </rdn>
  <rcv guid="{7E0EA425-A420-4443-B9E0-CDF0AA9E5D09}" action="add"/>
</revisions>
</file>

<file path=xl/revisions/revisionLog1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Merged_COEM!$B$47:$AN$308</formula>
    <oldFormula>Merged_COEM!$B$47:$AN$308</oldFormula>
  </rdn>
  <rdn rId="0" localSheetId="2" customView="1" name="Z_3B3E6719_EACB_4D2C_89C1_05FFAB6020FD_.wvu.FilterData" hidden="1" oldHidden="1">
    <formula>Merged_JOEM!$B$47:$AN$175</formula>
    <oldFormula>Merged_JOEM!$B$47:$AN$175</oldFormula>
  </rdn>
  <rcv guid="{3B3E6719-EACB-4D2C-89C1-05FFAB6020FD}" action="add"/>
</revisions>
</file>

<file path=xl/revisions/revisionLog1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61" sId="1">
    <oc r="AA196" t="inlineStr">
      <is>
        <t>Ready for PLC</t>
      </is>
    </oc>
    <nc r="AA196" t="inlineStr">
      <is>
        <t>Complete &amp; Closed</t>
      </is>
    </nc>
  </rcc>
  <rcc rId="1362" sId="1">
    <oc r="AA197" t="inlineStr">
      <is>
        <t>Ready for PLC</t>
      </is>
    </oc>
    <nc r="AA197" t="inlineStr">
      <is>
        <t>Complete &amp; Closed</t>
      </is>
    </nc>
  </rcc>
  <rcc rId="1363" sId="1">
    <oc r="AA198" t="inlineStr">
      <is>
        <t>Ready for PLC</t>
      </is>
    </oc>
    <nc r="AA198" t="inlineStr">
      <is>
        <t>Complete &amp; Closed</t>
      </is>
    </nc>
  </rcc>
  <rcc rId="1364" sId="1">
    <oc r="AA199" t="inlineStr">
      <is>
        <t>Ready for PLC</t>
      </is>
    </oc>
    <nc r="AA199" t="inlineStr">
      <is>
        <t>Complete &amp; Closed</t>
      </is>
    </nc>
  </rcc>
  <rcc rId="1365" sId="1">
    <oc r="AA200" t="inlineStr">
      <is>
        <t>Ready for PLC</t>
      </is>
    </oc>
    <nc r="AA200" t="inlineStr">
      <is>
        <t>Complete &amp; Closed</t>
      </is>
    </nc>
  </rcc>
  <rcc rId="1366" sId="1">
    <oc r="AA201" t="inlineStr">
      <is>
        <t>Ready for PLC</t>
      </is>
    </oc>
    <nc r="AA201" t="inlineStr">
      <is>
        <t>Complete &amp; Closed</t>
      </is>
    </nc>
  </rcc>
  <rcc rId="1367" sId="1">
    <oc r="AA202" t="inlineStr">
      <is>
        <t>Ready for PLC</t>
      </is>
    </oc>
    <nc r="AA202" t="inlineStr">
      <is>
        <t>Complete &amp; Closed</t>
      </is>
    </nc>
  </rcc>
  <rcc rId="1368" sId="1">
    <oc r="AA203" t="inlineStr">
      <is>
        <t>Ready for PLC</t>
      </is>
    </oc>
    <nc r="AA203" t="inlineStr">
      <is>
        <t>Complete &amp; Closed</t>
      </is>
    </nc>
  </rcc>
  <rcc rId="1369" sId="1">
    <oc r="AA204" t="inlineStr">
      <is>
        <t>Ready for PLC</t>
      </is>
    </oc>
    <nc r="AA204" t="inlineStr">
      <is>
        <t>Complete &amp; Closed</t>
      </is>
    </nc>
  </rcc>
  <rcc rId="1370" sId="1">
    <oc r="AA205" t="inlineStr">
      <is>
        <t>Ready for PLC</t>
      </is>
    </oc>
    <nc r="AA205" t="inlineStr">
      <is>
        <t>Complete &amp; Closed</t>
      </is>
    </nc>
  </rcc>
  <rcc rId="1371" sId="1">
    <oc r="AA206" t="inlineStr">
      <is>
        <t>Ready for PLC</t>
      </is>
    </oc>
    <nc r="AA206" t="inlineStr">
      <is>
        <t>Complete &amp; Closed</t>
      </is>
    </nc>
  </rcc>
  <rcc rId="1372" sId="1">
    <oc r="AA207" t="inlineStr">
      <is>
        <t>Ready for PLC</t>
      </is>
    </oc>
    <nc r="AA207" t="inlineStr">
      <is>
        <t>Complete &amp; Closed</t>
      </is>
    </nc>
  </rcc>
  <rcc rId="1373" sId="1">
    <oc r="AA208" t="inlineStr">
      <is>
        <t>Ready for PLC</t>
      </is>
    </oc>
    <nc r="AA208" t="inlineStr">
      <is>
        <t>Complete &amp; Closed</t>
      </is>
    </nc>
  </rcc>
  <rcc rId="1374" sId="1">
    <oc r="AA209" t="inlineStr">
      <is>
        <t>Ready for PLC</t>
      </is>
    </oc>
    <nc r="AA209" t="inlineStr">
      <is>
        <t>Complete &amp; Closed</t>
      </is>
    </nc>
  </rcc>
  <rcc rId="1375" sId="1">
    <oc r="AA210" t="inlineStr">
      <is>
        <t>Ready for PLC</t>
      </is>
    </oc>
    <nc r="AA210" t="inlineStr">
      <is>
        <t>Complete &amp; Closed</t>
      </is>
    </nc>
  </rcc>
  <rcc rId="1376" sId="1">
    <oc r="AA211" t="inlineStr">
      <is>
        <t>Ready for PLC</t>
      </is>
    </oc>
    <nc r="AA211" t="inlineStr">
      <is>
        <t>Complete &amp; Closed</t>
      </is>
    </nc>
  </rcc>
  <rcc rId="1377" sId="1">
    <oc r="AA212" t="inlineStr">
      <is>
        <t>Ready for PLC</t>
      </is>
    </oc>
    <nc r="AA212" t="inlineStr">
      <is>
        <t>Complete &amp; Closed</t>
      </is>
    </nc>
  </rcc>
  <rcc rId="1378" sId="1">
    <oc r="AA213" t="inlineStr">
      <is>
        <t>Ready for PLC</t>
      </is>
    </oc>
    <nc r="AA213" t="inlineStr">
      <is>
        <t>Complete &amp; Closed</t>
      </is>
    </nc>
  </rcc>
  <rcc rId="1379" sId="1">
    <oc r="AA214" t="inlineStr">
      <is>
        <t>Ready for PLC</t>
      </is>
    </oc>
    <nc r="AA214" t="inlineStr">
      <is>
        <t>Complete &amp; Closed</t>
      </is>
    </nc>
  </rcc>
  <rcc rId="1380" sId="1">
    <oc r="AA215" t="inlineStr">
      <is>
        <t>Ready for PLC</t>
      </is>
    </oc>
    <nc r="AA215" t="inlineStr">
      <is>
        <t>Complete &amp; Closed</t>
      </is>
    </nc>
  </rcc>
  <rcc rId="1381" sId="1">
    <oc r="AA216" t="inlineStr">
      <is>
        <t>Ready for PLC</t>
      </is>
    </oc>
    <nc r="AA216" t="inlineStr">
      <is>
        <t>Complete &amp; Closed</t>
      </is>
    </nc>
  </rcc>
  <rcc rId="1382" sId="1">
    <oc r="AA217" t="inlineStr">
      <is>
        <t>Ready for PLC</t>
      </is>
    </oc>
    <nc r="AA217" t="inlineStr">
      <is>
        <t>Complete &amp; Closed</t>
      </is>
    </nc>
  </rcc>
  <rcc rId="1383" sId="1">
    <oc r="AA218" t="inlineStr">
      <is>
        <t>Ready for PLC</t>
      </is>
    </oc>
    <nc r="AA218" t="inlineStr">
      <is>
        <t>Complete &amp; Closed</t>
      </is>
    </nc>
  </rcc>
  <rcc rId="1384" sId="1">
    <oc r="AA219" t="inlineStr">
      <is>
        <t>Ready for PLC</t>
      </is>
    </oc>
    <nc r="AA219" t="inlineStr">
      <is>
        <t>Complete &amp; Closed</t>
      </is>
    </nc>
  </rcc>
  <rcc rId="1385" sId="1">
    <oc r="AA220" t="inlineStr">
      <is>
        <t>Ready for PLC</t>
      </is>
    </oc>
    <nc r="AA220" t="inlineStr">
      <is>
        <t>Complete &amp; Closed</t>
      </is>
    </nc>
  </rcc>
  <rcc rId="1386" sId="1">
    <oc r="AA221" t="inlineStr">
      <is>
        <t>Ready for PLC</t>
      </is>
    </oc>
    <nc r="AA221" t="inlineStr">
      <is>
        <t>Complete &amp; Closed</t>
      </is>
    </nc>
  </rcc>
  <rcc rId="1387" sId="1">
    <oc r="AA222" t="inlineStr">
      <is>
        <t>Ready for PLC</t>
      </is>
    </oc>
    <nc r="AA222" t="inlineStr">
      <is>
        <t>Complete &amp; Closed</t>
      </is>
    </nc>
  </rcc>
  <rcc rId="1388" sId="1">
    <oc r="AA223" t="inlineStr">
      <is>
        <t>Ready for PLC</t>
      </is>
    </oc>
    <nc r="AA223" t="inlineStr">
      <is>
        <t>Complete &amp; Closed</t>
      </is>
    </nc>
  </rcc>
  <rcc rId="1389" sId="1">
    <oc r="AA224" t="inlineStr">
      <is>
        <t>Ready for PLC</t>
      </is>
    </oc>
    <nc r="AA224" t="inlineStr">
      <is>
        <t>Complete &amp; Closed</t>
      </is>
    </nc>
  </rcc>
  <rcc rId="1390" sId="1">
    <oc r="AA225" t="inlineStr">
      <is>
        <t>Ready for PLC</t>
      </is>
    </oc>
    <nc r="AA225" t="inlineStr">
      <is>
        <t>Complete &amp; Closed</t>
      </is>
    </nc>
  </rcc>
  <rcc rId="1391" sId="1">
    <oc r="AA226" t="inlineStr">
      <is>
        <t>Ready for PLC</t>
      </is>
    </oc>
    <nc r="AA226" t="inlineStr">
      <is>
        <t>Complete &amp; Closed</t>
      </is>
    </nc>
  </rcc>
  <rcc rId="1392" sId="1">
    <oc r="AA227" t="inlineStr">
      <is>
        <t>Ready for PLC</t>
      </is>
    </oc>
    <nc r="AA227" t="inlineStr">
      <is>
        <t>Complete &amp; Closed</t>
      </is>
    </nc>
  </rcc>
  <rcc rId="1393" sId="1">
    <oc r="AA257" t="inlineStr">
      <is>
        <t>Ready for PLC</t>
      </is>
    </oc>
    <nc r="AA257" t="inlineStr">
      <is>
        <t>Complete &amp; Closed</t>
      </is>
    </nc>
  </rcc>
  <rcv guid="{250915DF-0B97-45D7-B29D-7EED4C89C1C1}" action="delete"/>
  <rdn rId="0" localSheetId="1" customView="1" name="Z_250915DF_0B97_45D7_B29D_7EED4C89C1C1_.wvu.FilterData" hidden="1" oldHidden="1">
    <formula>Merged_COEM!$B$47:$AO$308</formula>
    <oldFormula>Merged_COEM!$B$47:$AO$308</oldFormula>
  </rdn>
  <rdn rId="0" localSheetId="2" customView="1" name="Z_250915DF_0B97_45D7_B29D_7EED4C89C1C1_.wvu.FilterData" hidden="1" oldHidden="1">
    <formula>Merged_JOEM!$B$47:$AN$175</formula>
    <oldFormula>Merged_JOEM!$B$47:$AN$175</oldFormula>
  </rdn>
  <rcv guid="{250915DF-0B97-45D7-B29D-7EED4C89C1C1}" action="add"/>
</revisions>
</file>

<file path=xl/revisions/revisionLog1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96" sId="1">
    <oc r="AA258" t="inlineStr">
      <is>
        <t>Pending for OPL</t>
      </is>
    </oc>
    <nc r="AA258" t="inlineStr">
      <is>
        <t>Complete &amp; Closed</t>
      </is>
    </nc>
  </rcc>
  <rcc rId="1397" sId="1">
    <oc r="AA259" t="inlineStr">
      <is>
        <t>Ready for PLC</t>
      </is>
    </oc>
    <nc r="AA259" t="inlineStr">
      <is>
        <t>Complete &amp; Closed</t>
      </is>
    </nc>
  </rcc>
  <rcc rId="1398" sId="1">
    <oc r="AA260" t="inlineStr">
      <is>
        <t>Ready for PLC</t>
      </is>
    </oc>
    <nc r="AA260" t="inlineStr">
      <is>
        <t>Complete &amp; Closed</t>
      </is>
    </nc>
  </rcc>
  <rcc rId="1399" sId="1">
    <oc r="AA261" t="inlineStr">
      <is>
        <t>Ready for PLC</t>
      </is>
    </oc>
    <nc r="AA261" t="inlineStr">
      <is>
        <t>Complete &amp; Closed</t>
      </is>
    </nc>
  </rcc>
  <rcc rId="1400" sId="1">
    <oc r="AA262" t="inlineStr">
      <is>
        <t>Ready for PLC</t>
      </is>
    </oc>
    <nc r="AA262" t="inlineStr">
      <is>
        <t>Complete &amp; Closed</t>
      </is>
    </nc>
  </rcc>
  <rcc rId="1401" sId="1" odxf="1" dxf="1">
    <oc r="AA263" t="inlineStr">
      <is>
        <t>Ready for PLC</t>
      </is>
    </oc>
    <nc r="AA263" t="inlineStr">
      <is>
        <t>Complete &amp; Closed</t>
      </is>
    </nc>
    <odxf/>
    <ndxf/>
  </rcc>
  <rcc rId="1402" sId="1">
    <oc r="AA264" t="inlineStr">
      <is>
        <t>Ready for PLC</t>
      </is>
    </oc>
    <nc r="AA264" t="inlineStr">
      <is>
        <t>Complete &amp; Closed</t>
      </is>
    </nc>
  </rcc>
  <rcv guid="{250915DF-0B97-45D7-B29D-7EED4C89C1C1}" action="delete"/>
  <rdn rId="0" localSheetId="1" customView="1" name="Z_250915DF_0B97_45D7_B29D_7EED4C89C1C1_.wvu.FilterData" hidden="1" oldHidden="1">
    <formula>Merged_COEM!$B$47:$AO$308</formula>
    <oldFormula>Merged_COEM!$B$47:$AO$308</oldFormula>
  </rdn>
  <rdn rId="0" localSheetId="2" customView="1" name="Z_250915DF_0B97_45D7_B29D_7EED4C89C1C1_.wvu.FilterData" hidden="1" oldHidden="1">
    <formula>Merged_JOEM!$B$47:$AN$175</formula>
    <oldFormula>Merged_JOEM!$B$47:$AN$175</oldFormula>
  </rdn>
  <rcv guid="{250915DF-0B97-45D7-B29D-7EED4C89C1C1}" action="add"/>
</revisions>
</file>

<file path=xl/revisions/revisionLog1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Merged_COEM!$B$47:$AO$308</formula>
    <oldFormula>Merged_COEM!$B$47:$AO$308</oldFormula>
  </rdn>
  <rdn rId="0" localSheetId="2" customView="1" name="Z_250915DF_0B97_45D7_B29D_7EED4C89C1C1_.wvu.FilterData" hidden="1" oldHidden="1">
    <formula>Merged_JOEM!$B$47:$AN$175</formula>
    <oldFormula>Merged_JOEM!$B$47:$AN$175</oldFormula>
  </rdn>
  <rcv guid="{250915DF-0B97-45D7-B29D-7EED4C89C1C1}" action="add"/>
</revisions>
</file>

<file path=xl/revisions/revisionLog1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K13" start="0" length="0">
    <dxf>
      <alignment vertical="bottom" readingOrder="0"/>
    </dxf>
  </rfmt>
  <rcc rId="1407" sId="1" odxf="1" dxf="1" numFmtId="19">
    <oc r="M13">
      <f>TODAY()</f>
    </oc>
    <nc r="M13">
      <v>43971</v>
    </nc>
    <odxf>
      <alignment vertical="top" readingOrder="0"/>
    </odxf>
    <ndxf>
      <alignment vertical="bottom" readingOrder="0"/>
    </ndxf>
  </rcc>
  <rcv guid="{250915DF-0B97-45D7-B29D-7EED4C89C1C1}" action="delete"/>
  <rdn rId="0" localSheetId="1" customView="1" name="Z_250915DF_0B97_45D7_B29D_7EED4C89C1C1_.wvu.FilterData" hidden="1" oldHidden="1">
    <formula>Merged_COEM!$B$47:$AO$308</formula>
    <oldFormula>Merged_COEM!$B$47:$AO$308</oldFormula>
  </rdn>
  <rdn rId="0" localSheetId="2" customView="1" name="Z_250915DF_0B97_45D7_B29D_7EED4C89C1C1_.wvu.FilterData" hidden="1" oldHidden="1">
    <formula>Merged_JOEM!$B$47:$AN$175</formula>
    <oldFormula>Merged_JOEM!$B$47:$AN$175</oldFormula>
  </rdn>
  <rcv guid="{250915DF-0B97-45D7-B29D-7EED4C89C1C1}" action="add"/>
</revisions>
</file>

<file path=xl/revisions/revisionLog1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K13" start="0" length="0">
    <dxf>
      <alignment vertical="bottom" readingOrder="0"/>
    </dxf>
  </rfmt>
  <rcc rId="1410" sId="2" odxf="1" dxf="1" numFmtId="19">
    <oc r="M13">
      <f>TODAY()</f>
    </oc>
    <nc r="M13">
      <v>43971</v>
    </nc>
    <odxf>
      <alignment vertical="top" readingOrder="0"/>
    </odxf>
    <ndxf>
      <alignment vertical="bottom" readingOrder="0"/>
    </ndxf>
  </rcc>
</revisions>
</file>

<file path=xl/revisions/revisionLog1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11" sId="1" odxf="1" dxf="1" quotePrefix="1">
    <oc r="F266" t="inlineStr">
      <is>
        <t>CEVT_GEEA_DeuteriumR_DEV\GEEA2.0\rb\as\cevt\Geely\app\net\RBScl\src\Xmt\rb_ASW_Wrapper_SCL_L3_Tx.c</t>
      </is>
    </oc>
    <nc r="F266" t="inlineStr">
      <is>
        <t>BAIC_IB2_Int\iBoosterGen2\rb\as\cnms_core\app\dcom\RBAPLCust\src\common</t>
      </is>
    </nc>
    <odxf>
      <font/>
    </odxf>
    <ndxf>
      <font/>
    </ndxf>
  </rcc>
  <rcc rId="1412" sId="1">
    <oc r="G266">
      <v>1445994</v>
    </oc>
    <nc r="G266">
      <v>1508457.6813186801</v>
    </nc>
  </rcc>
  <rcc rId="1413" sId="1" odxf="1" dxf="1">
    <oc r="I266" t="inlineStr">
      <is>
        <t>rb_ASW_Wrapper_SCL_L3_Tx.c</t>
      </is>
    </oc>
    <nc r="I266" t="inlineStr">
      <is>
        <t>RBAPLCUST_RBDI_SWVersionNumber.c</t>
      </is>
    </nc>
    <odxf>
      <fill>
        <patternFill patternType="none">
          <bgColor indexed="65"/>
        </patternFill>
      </fill>
    </odxf>
    <ndxf>
      <fill>
        <patternFill patternType="solid">
          <bgColor rgb="FFFF0000"/>
        </patternFill>
      </fill>
    </ndxf>
  </rcc>
  <rcc rId="1414" sId="1" odxf="1" dxf="1">
    <oc r="L266" t="inlineStr">
      <is>
        <t>BB81818</t>
      </is>
    </oc>
    <nc r="L266" t="inlineStr">
      <is>
        <t>BB98384</t>
      </is>
    </nc>
    <odxf>
      <font>
        <sz val="11"/>
        <color theme="1"/>
        <name val="Calibri"/>
        <scheme val="minor"/>
      </font>
      <alignment horizontal="left" vertical="top" readingOrder="0"/>
    </odxf>
    <ndxf>
      <font>
        <sz val="10"/>
        <color rgb="FF000000"/>
        <name val="Arial"/>
        <scheme val="none"/>
      </font>
      <alignment horizontal="general" vertical="bottom" readingOrder="0"/>
    </ndxf>
  </rcc>
  <rcc rId="1415" sId="1">
    <oc r="M266" t="inlineStr">
      <is>
        <t>BL07</t>
      </is>
    </oc>
    <nc r="M266" t="inlineStr">
      <is>
        <t>BL72_SP02</t>
      </is>
    </nc>
  </rcc>
  <rcc rId="1416" sId="1">
    <oc r="N266" t="inlineStr">
      <is>
        <t>CEVT_GEEA_DeuteriumR_DEV</t>
      </is>
    </oc>
    <nc r="N266" t="inlineStr">
      <is>
        <t>BAIC_IB2_Int</t>
      </is>
    </nc>
  </rcc>
  <rcc rId="1417" sId="1" quotePrefix="1">
    <oc r="P266" t="inlineStr">
      <is>
        <t>Jogi Madivalappa (RBEI/ESH31)</t>
      </is>
    </oc>
    <nc r="P266" t="inlineStr">
      <is>
        <t>LIANG Xin (CC-AS/EVA-SW33-CN)</t>
      </is>
    </nc>
  </rcc>
  <rcc rId="1418" sId="1">
    <oc r="S266" t="inlineStr">
      <is>
        <t>hau.nguyen-tai</t>
      </is>
    </oc>
    <nc r="S266" t="inlineStr">
      <is>
        <t>chung.ly</t>
      </is>
    </nc>
  </rcc>
  <rcc rId="1419" sId="1">
    <oc r="V266">
      <v>103</v>
    </oc>
    <nc r="V266">
      <v>111.373626373626</v>
    </nc>
  </rcc>
  <rcc rId="1420" sId="1">
    <oc r="W266">
      <f>V266</f>
    </oc>
    <nc r="W266">
      <f>V266</f>
    </nc>
  </rcc>
  <rcc rId="1421" sId="1">
    <oc r="X266">
      <f>W266</f>
    </oc>
    <nc r="X266">
      <f>W266</f>
    </nc>
  </rcc>
  <rcc rId="1422" sId="1">
    <oc r="Y266">
      <f>ROUNDDOWN(W266/HLOOKUP(D266,Table!$C$3:$D$4,2,0)*8,2)</f>
    </oc>
    <nc r="Y266">
      <f>ROUNDDOWN(W266/HLOOKUP(D266,Table!$C$3:$D$4,2,0)*8,2)</f>
    </nc>
  </rcc>
  <rcc rId="1423" sId="1">
    <oc r="Z266">
      <v>1</v>
    </oc>
    <nc r="Z266">
      <v>0.348351648351649</v>
    </nc>
  </rcc>
  <rcc rId="1424" sId="1" numFmtId="19">
    <oc r="AC266">
      <v>43970</v>
    </oc>
    <nc r="AC266">
      <v>43969</v>
    </nc>
  </rcc>
  <rcc rId="1425" sId="1" odxf="1" dxf="1" numFmtId="19">
    <oc r="AD266">
      <v>43971</v>
    </oc>
    <nc r="AD266">
      <v>43973</v>
    </nc>
    <odxf/>
    <ndxf/>
  </rcc>
  <rcv guid="{250915DF-0B97-45D7-B29D-7EED4C89C1C1}" action="delete"/>
  <rdn rId="0" localSheetId="1" customView="1" name="Z_250915DF_0B97_45D7_B29D_7EED4C89C1C1_.wvu.FilterData" hidden="1" oldHidden="1">
    <formula>Merged_COEM!$B$47:$AO$308</formula>
    <oldFormula>Merged_COEM!$B$47:$AO$308</oldFormula>
  </rdn>
  <rdn rId="0" localSheetId="2" customView="1" name="Z_250915DF_0B97_45D7_B29D_7EED4C89C1C1_.wvu.FilterData" hidden="1" oldHidden="1">
    <formula>Merged_JOEM!$B$47:$AN$175</formula>
    <oldFormula>Merged_JOEM!$B$47:$AN$175</oldFormula>
  </rdn>
  <rcv guid="{250915DF-0B97-45D7-B29D-7EED4C89C1C1}" action="add"/>
</revisions>
</file>

<file path=xl/revisions/revisionLog1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28" sId="1">
    <oc r="W265">
      <f>V265</f>
    </oc>
    <nc r="W265">
      <v>114</v>
    </nc>
  </rcc>
  <rcc rId="1429" sId="1">
    <oc r="X265">
      <f>W265</f>
    </oc>
    <nc r="X265">
      <v>114</v>
    </nc>
  </rcc>
  <rcc rId="1430" sId="1">
    <oc r="Y265">
      <f>ROUNDDOWN(W265/HLOOKUP(D265,Table!$C$3:$D$4,2,0)*8,2)</f>
    </oc>
    <nc r="Y265">
      <v>2.02</v>
    </nc>
  </rcc>
  <rcc rId="1431" sId="1" quotePrefix="1">
    <oc r="F266" t="inlineStr">
      <is>
        <t>BAIC_IB2_Int\iBoosterGen2\rb\as\cnms_core\app\dcom\RBAPLCust\src\common</t>
      </is>
    </oc>
    <nc r="F266" t="inlineStr">
      <is>
        <t>CEVT_GEEA_DeuteriumR_DEV\GEEA2.0\rb\as\cevt\Geely\app\net\RBScl\src\Xmt\rb_ASW_Wrapper_SCL_L3_Tx.c</t>
      </is>
    </nc>
  </rcc>
  <rcc rId="1432" sId="1">
    <oc r="G266">
      <v>1508457.6813186801</v>
    </oc>
    <nc r="G266">
      <v>1445994</v>
    </nc>
  </rcc>
  <rcc rId="1433" sId="1">
    <oc r="L266" t="inlineStr">
      <is>
        <t>BB98384</t>
      </is>
    </oc>
    <nc r="L266" t="inlineStr">
      <is>
        <t>BB81818</t>
      </is>
    </nc>
  </rcc>
  <rcc rId="1434" sId="1">
    <oc r="M266" t="inlineStr">
      <is>
        <t>BL72_SP02</t>
      </is>
    </oc>
    <nc r="M266" t="inlineStr">
      <is>
        <t>BL07</t>
      </is>
    </nc>
  </rcc>
  <rcc rId="1435" sId="1">
    <oc r="N266" t="inlineStr">
      <is>
        <t>BAIC_IB2_Int</t>
      </is>
    </oc>
    <nc r="N266" t="inlineStr">
      <is>
        <t>CEVT_GEEA_DeuteriumR_DEV</t>
      </is>
    </nc>
  </rcc>
  <rcc rId="1436" sId="1" quotePrefix="1">
    <oc r="P266" t="inlineStr">
      <is>
        <t>LIANG Xin (CC-AS/EVA-SW33-CN)</t>
      </is>
    </oc>
    <nc r="P266" t="inlineStr">
      <is>
        <t>Jogi Madivalappa (RBEI/ESH31)</t>
      </is>
    </nc>
  </rcc>
  <rcc rId="1437" sId="1">
    <oc r="S266" t="inlineStr">
      <is>
        <t>chung.ly</t>
      </is>
    </oc>
    <nc r="S266" t="inlineStr">
      <is>
        <t>hau.nguyen-tai</t>
      </is>
    </nc>
  </rcc>
  <rcc rId="1438" sId="1">
    <oc r="V266">
      <v>111.373626373626</v>
    </oc>
    <nc r="V266">
      <v>103</v>
    </nc>
  </rcc>
  <rcc rId="1439" sId="1">
    <oc r="W266">
      <f>V266</f>
    </oc>
    <nc r="W266">
      <v>103</v>
    </nc>
  </rcc>
  <rcc rId="1440" sId="1">
    <oc r="X266">
      <f>W266</f>
    </oc>
    <nc r="X266">
      <v>103</v>
    </nc>
  </rcc>
  <rcc rId="1441" sId="1">
    <oc r="Y266">
      <f>ROUNDDOWN(W266/HLOOKUP(D266,Table!$C$3:$D$4,2,0)*8,2)</f>
    </oc>
    <nc r="Y266">
      <v>1.83</v>
    </nc>
  </rcc>
  <rcc rId="1442" sId="1">
    <oc r="Z266">
      <v>0.348351648351649</v>
    </oc>
    <nc r="Z266">
      <v>1</v>
    </nc>
  </rcc>
  <rcc rId="1443" sId="1" numFmtId="19">
    <oc r="AC266">
      <v>43969</v>
    </oc>
    <nc r="AC266">
      <v>43970</v>
    </nc>
  </rcc>
  <rcc rId="1444" sId="1" numFmtId="19">
    <oc r="AD266">
      <v>43973</v>
    </oc>
    <nc r="AD266">
      <v>43971</v>
    </nc>
  </rcc>
  <rcc rId="1445" sId="1">
    <oc r="W267">
      <f>V267</f>
    </oc>
    <nc r="W267">
      <v>235</v>
    </nc>
  </rcc>
  <rcc rId="1446" sId="1">
    <oc r="X267">
      <f>W267</f>
    </oc>
    <nc r="X267">
      <v>235</v>
    </nc>
  </rcc>
  <rcc rId="1447" sId="1">
    <oc r="Y267">
      <f>ROUNDDOWN(W267/HLOOKUP(D267,Table!$C$3:$D$4,2,0)*8,2)</f>
    </oc>
    <nc r="Y267">
      <v>4.17</v>
    </nc>
  </rcc>
  <rcc rId="1448" sId="1">
    <oc r="W268">
      <f>V268</f>
    </oc>
    <nc r="W268">
      <v>635</v>
    </nc>
  </rcc>
  <rcc rId="1449" sId="1">
    <oc r="X268">
      <f>W268</f>
    </oc>
    <nc r="X268">
      <v>635</v>
    </nc>
  </rcc>
  <rcc rId="1450" sId="1">
    <oc r="Y268">
      <f>ROUNDDOWN(W268/HLOOKUP(D268,Table!$C$3:$D$4,2,0)*8,2)</f>
    </oc>
    <nc r="Y268">
      <v>11.28</v>
    </nc>
  </rcc>
  <rcc rId="1451" sId="1" odxf="1" dxf="1">
    <oc r="I266" t="inlineStr">
      <is>
        <t>RBAPLCUST_RBDI_SWVersionNumber.c</t>
      </is>
    </oc>
    <nc r="I266" t="inlineStr">
      <is>
        <t>rb_ASW_Wrapper_SCL_L3_Tx.c</t>
      </is>
    </nc>
    <ndxf>
      <fill>
        <patternFill patternType="none">
          <bgColor indexed="65"/>
        </patternFill>
      </fill>
    </ndxf>
  </rcc>
</revisions>
</file>

<file path=xl/revisions/revisionLog1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Merged_COEM!$B$47:$AO$308</formula>
    <oldFormula>Merged_COEM!$B$47:$AO$308</oldFormula>
  </rdn>
  <rdn rId="0" localSheetId="2" customView="1" name="Z_250915DF_0B97_45D7_B29D_7EED4C89C1C1_.wvu.FilterData" hidden="1" oldHidden="1">
    <formula>Merged_JOEM!$B$47:$AN$175</formula>
    <oldFormula>Merged_JOEM!$B$47:$AN$175</oldFormula>
  </rdn>
  <rcv guid="{250915DF-0B97-45D7-B29D-7EED4C89C1C1}" action="add"/>
</revisions>
</file>

<file path=xl/revisions/revisionLog1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54" sId="2">
    <nc r="D146" t="inlineStr">
      <is>
        <t>ASW</t>
      </is>
    </nc>
  </rcc>
  <rcc rId="1455" sId="2">
    <nc r="E146" t="inlineStr">
      <is>
        <t>HONDA_CMP_BL11sp02_snapshot05</t>
      </is>
    </nc>
  </rcc>
  <rcc rId="1456" sId="2" quotePrefix="1">
    <nc r="F146" t="inlineStr">
      <is>
        <t>rb.as.core.app.asw.dtc.dtfdtcdte20msesp</t>
      </is>
    </nc>
  </rcc>
  <rcc rId="1457" sId="2">
    <nc r="H146" t="inlineStr">
      <is>
        <t>MT_224</t>
      </is>
    </nc>
  </rcc>
  <rcc rId="1458" sId="2">
    <nc r="I146" t="inlineStr">
      <is>
        <t>DTCActionNoTrq</t>
      </is>
    </nc>
  </rcc>
  <rcc rId="1459" sId="2">
    <nc r="J146" t="inlineStr">
      <is>
        <t>Delta/New</t>
      </is>
    </nc>
  </rcc>
  <rcc rId="1460" sId="2">
    <nc r="N146" t="inlineStr">
      <is>
        <t>CSMosarASWMainstream93_Honda</t>
      </is>
    </nc>
  </rcc>
  <rcc rId="1461" sId="2" quotePrefix="1">
    <nc r="O146" t="inlineStr">
      <is>
        <t>4.2.131.1</t>
      </is>
    </nc>
  </rcc>
  <rcc rId="1462" sId="2" quotePrefix="1">
    <nc r="P146" t="inlineStr">
      <is>
        <t>Contact point: Iwase Megumi (CC-AS/ESJ2-JP) ; EXTERNAL Motoyoshi Kazuyuki (VSN, CC-AS/ESJ2-JP)</t>
      </is>
    </nc>
  </rcc>
  <rcc rId="1463" sId="2">
    <nc r="R146" t="inlineStr">
      <is>
        <t>T500</t>
      </is>
    </nc>
  </rcc>
  <rcc rId="1464" sId="2">
    <nc r="S146" t="inlineStr">
      <is>
        <t>dac.luu-cong</t>
      </is>
    </nc>
  </rcc>
  <rcc rId="1465" sId="2">
    <nc r="V146">
      <v>165</v>
    </nc>
  </rcc>
  <rcc rId="1466" sId="2">
    <nc r="W146">
      <v>127.4</v>
    </nc>
  </rcc>
  <rcc rId="1467" sId="2">
    <nc r="X146">
      <v>127.4</v>
    </nc>
  </rcc>
  <rcc rId="1468" sId="2">
    <nc r="Y146">
      <v>7.84</v>
    </nc>
  </rcc>
  <rcc rId="1469" sId="2">
    <nc r="Z146">
      <v>8</v>
    </nc>
  </rcc>
  <rcc rId="1470" sId="2">
    <nc r="AA146" t="inlineStr">
      <is>
        <t>Ready for PLC</t>
      </is>
    </nc>
  </rcc>
  <rcc rId="1471" sId="2" numFmtId="19">
    <nc r="AB146">
      <v>43976</v>
    </nc>
  </rcc>
  <rcc rId="1472" sId="2" numFmtId="19">
    <nc r="AC146">
      <v>43970</v>
    </nc>
  </rcc>
  <rcc rId="1473" sId="2" numFmtId="19">
    <nc r="AD146">
      <v>43977</v>
    </nc>
  </rcc>
  <rcc rId="1474" sId="2" numFmtId="19">
    <nc r="AE146">
      <v>43971</v>
    </nc>
  </rcc>
  <rcc rId="1475" sId="2" numFmtId="19">
    <nc r="AF146">
      <v>43971</v>
    </nc>
  </rcc>
  <rcc rId="1476" sId="2">
    <nc r="AG146" t="inlineStr">
      <is>
        <t>OK</t>
      </is>
    </nc>
  </rcc>
  <rcc rId="1477" sId="2" numFmtId="14">
    <nc r="AH146">
      <v>0.97599999999999998</v>
    </nc>
  </rcc>
  <rcc rId="1478" sId="2" numFmtId="14">
    <nc r="AI146">
      <v>0.97699999999999998</v>
    </nc>
  </rcc>
  <rcc rId="1479" sId="2" numFmtId="14">
    <nc r="AJ146">
      <v>1</v>
    </nc>
  </rcc>
  <rcc rId="1480" sId="2">
    <nc r="AK146" t="inlineStr">
      <is>
        <t>None</t>
      </is>
    </nc>
  </rcc>
  <rcc rId="1481" sId="2">
    <nc r="AL146" t="inlineStr">
      <is>
        <t>cannot cover full C0/C1 because of param1D</t>
      </is>
    </nc>
  </rcc>
  <rcc rId="1482" sId="2">
    <nc r="C147">
      <v>20200511</v>
    </nc>
  </rcc>
  <rcc rId="1483" sId="2">
    <nc r="D147" t="inlineStr">
      <is>
        <t>ASW</t>
      </is>
    </nc>
  </rcc>
  <rcc rId="1484" sId="2">
    <nc r="E147" t="inlineStr">
      <is>
        <t>HONDA_CMP_BL11sp02_snapshot05</t>
      </is>
    </nc>
  </rcc>
  <rcc rId="1485" sId="2" quotePrefix="1">
    <nc r="F147" t="inlineStr">
      <is>
        <t>rb.as.core.app.asw.ldm.lfc</t>
      </is>
    </nc>
  </rcc>
  <rcc rId="1486" sId="2">
    <nc r="H147" t="inlineStr">
      <is>
        <t>MT_208</t>
      </is>
    </nc>
  </rcc>
  <rcc rId="1487" sId="2">
    <nc r="I147" t="inlineStr">
      <is>
        <t>LFC_Exe</t>
      </is>
    </nc>
  </rcc>
  <rcc rId="1488" sId="2">
    <nc r="J147" t="inlineStr">
      <is>
        <t>Delta &gt; New</t>
      </is>
    </nc>
  </rcc>
  <rcc rId="1489" sId="2">
    <nc r="N147" t="inlineStr">
      <is>
        <t>CSMosarASWMainstream93_Honda</t>
      </is>
    </nc>
  </rcc>
  <rcc rId="1490" sId="2" quotePrefix="1">
    <nc r="O147" t="inlineStr">
      <is>
        <t>4.10.131.0</t>
      </is>
    </nc>
  </rcc>
  <rcc rId="1491" sId="2" quotePrefix="1">
    <nc r="P147" t="inlineStr">
      <is>
        <t>Contact point: Iwase Megumi (CC-AS/ESJ2-JP) ; EXTERNAL Motoyoshi Kazuyuki (VSN, CC-AS/ESJ2-JP)</t>
      </is>
    </nc>
  </rcc>
  <rcc rId="1492" sId="2">
    <nc r="R147" t="inlineStr">
      <is>
        <t>T501</t>
      </is>
    </nc>
  </rcc>
  <rcc rId="1493" sId="2">
    <nc r="S147" t="inlineStr">
      <is>
        <t>huy.do-anh</t>
      </is>
    </nc>
  </rcc>
  <rcc rId="1494" sId="2">
    <nc r="V147">
      <v>418</v>
    </nc>
  </rcc>
  <rcc rId="1495" sId="2">
    <nc r="W147">
      <v>364</v>
    </nc>
  </rcc>
  <rcc rId="1496" sId="2">
    <nc r="X147">
      <v>364</v>
    </nc>
  </rcc>
  <rcc rId="1497" sId="2">
    <nc r="Y147">
      <v>22.4</v>
    </nc>
  </rcc>
  <rcc rId="1498" sId="2">
    <nc r="Z147">
      <v>20</v>
    </nc>
  </rcc>
  <rcc rId="1499" sId="2">
    <nc r="AA147" t="inlineStr">
      <is>
        <t>Ready for PLC</t>
      </is>
    </nc>
  </rcc>
  <rcc rId="1500" sId="2" numFmtId="19">
    <nc r="AB147">
      <v>43976</v>
    </nc>
  </rcc>
  <rcc rId="1501" sId="2" numFmtId="19">
    <nc r="AC147">
      <v>43970</v>
    </nc>
  </rcc>
  <rcc rId="1502" sId="2" numFmtId="19">
    <nc r="AD147">
      <v>43977</v>
    </nc>
  </rcc>
  <rcc rId="1503" sId="2" numFmtId="19">
    <nc r="AE147">
      <v>43973</v>
    </nc>
  </rcc>
  <rcc rId="1504" sId="2" numFmtId="19">
    <nc r="AF147">
      <v>43976</v>
    </nc>
  </rcc>
  <rcc rId="1505" sId="2">
    <nc r="AG147" t="inlineStr">
      <is>
        <t>OK</t>
      </is>
    </nc>
  </rcc>
  <rcc rId="1506" sId="2" numFmtId="14">
    <nc r="AH147">
      <v>0.99399999999999999</v>
    </nc>
  </rcc>
  <rcc rId="1507" sId="2" numFmtId="14">
    <nc r="AI147">
      <v>0.995</v>
    </nc>
  </rcc>
  <rcc rId="1508" sId="2" numFmtId="14">
    <nc r="AJ147">
      <v>0.98499999999999999</v>
    </nc>
  </rcc>
  <rcc rId="1509" sId="2">
    <nc r="AK147" t="inlineStr">
      <is>
        <t>None</t>
      </is>
    </nc>
  </rcc>
  <rcc rId="1510" sId="2">
    <nc r="AL147" t="inlineStr">
      <is>
        <t>Unable to cover DEFAULT case of switch( SsmState ) at line #339 because the enum SsmState only has 4 values. Cannot cover MCDC case T-T-F at line 179 becase when IMG_BRKMODE_STATUS false =&gt; line 71 false =&gt; line 139 never reach</t>
      </is>
    </nc>
  </rcc>
  <rcc rId="1511" sId="2">
    <nc r="D148" t="inlineStr">
      <is>
        <t>PSW</t>
      </is>
    </nc>
  </rcc>
  <rcc rId="1512" sId="2">
    <nc r="E148" t="inlineStr">
      <is>
        <t>HONDA_CMP_BL11sp02_snapshot05</t>
      </is>
    </nc>
  </rcc>
  <rcc rId="1513" sId="2" quotePrefix="1">
    <nc r="F148" t="inlineStr">
      <is>
        <t>rb.as.core.hwp.cubas.CanStack</t>
      </is>
    </nc>
  </rcc>
  <rcc rId="1514" sId="2">
    <nc r="H148" t="inlineStr">
      <is>
        <t>MT_003</t>
      </is>
    </nc>
  </rcc>
  <rcc rId="1515" sId="2">
    <nc r="I148" t="inlineStr">
      <is>
        <t>CUBAS_Comstack_Can</t>
      </is>
    </nc>
  </rcc>
  <rcc rId="1516" sId="2">
    <nc r="J148" t="inlineStr">
      <is>
        <t>Delta</t>
      </is>
    </nc>
  </rcc>
  <rcc rId="1517" sId="2">
    <nc r="N148" t="inlineStr">
      <is>
        <t>RB_HONDA_ESP</t>
      </is>
    </nc>
  </rcc>
  <rcc rId="1518" sId="2" quotePrefix="1">
    <nc r="O148" t="inlineStr">
      <is>
        <t>-</t>
      </is>
    </nc>
  </rcc>
  <rcc rId="1519" sId="2" quotePrefix="1">
    <nc r="P148" t="inlineStr">
      <is>
        <t>Contact point: Iwase Megumi (CC-AS/ESJ2-JP) ; EXTERNAL Motoyoshi Kazuyuki (VSN, CC-AS/ESJ2-JP)</t>
      </is>
    </nc>
  </rcc>
  <rcc rId="1520" sId="2">
    <nc r="R148" t="inlineStr">
      <is>
        <t>T501</t>
      </is>
    </nc>
  </rcc>
  <rcc rId="1521" sId="2">
    <nc r="S148" t="inlineStr">
      <is>
        <t>huy.do-anh</t>
      </is>
    </nc>
  </rcc>
  <rcc rId="1522" sId="2">
    <nc r="V148">
      <v>90</v>
    </nc>
  </rcc>
  <rcc rId="1523" sId="2">
    <nc r="W148">
      <v>90</v>
    </nc>
  </rcc>
  <rcc rId="1524" sId="2">
    <nc r="X148">
      <v>90</v>
    </nc>
  </rcc>
  <rcc rId="1525" sId="2">
    <nc r="Y148">
      <v>1.6</v>
    </nc>
  </rcc>
  <rcc rId="1526" sId="2">
    <nc r="Z148">
      <v>0.5</v>
    </nc>
  </rcc>
  <rcc rId="1527" sId="2">
    <nc r="AA148" t="inlineStr">
      <is>
        <t>Ready for PLC</t>
      </is>
    </nc>
  </rcc>
  <rcc rId="1528" sId="2" numFmtId="19">
    <nc r="AB148">
      <v>43976</v>
    </nc>
  </rcc>
  <rcc rId="1529" sId="2" numFmtId="19">
    <nc r="AC148">
      <v>43970</v>
    </nc>
  </rcc>
  <rcc rId="1530" sId="2" numFmtId="19">
    <nc r="AD148">
      <v>43977</v>
    </nc>
  </rcc>
  <rcc rId="1531" sId="2" numFmtId="19">
    <nc r="AE148">
      <v>43971</v>
    </nc>
  </rcc>
  <rcc rId="1532" sId="2" numFmtId="19">
    <nc r="AF148">
      <v>43971</v>
    </nc>
  </rcc>
  <rcc rId="1533" sId="2">
    <nc r="AG148" t="inlineStr">
      <is>
        <t>OK</t>
      </is>
    </nc>
  </rcc>
  <rcc rId="1534" sId="2" numFmtId="14">
    <nc r="AH148">
      <v>1</v>
    </nc>
  </rcc>
  <rcc rId="1535" sId="2" numFmtId="14">
    <nc r="AI148">
      <v>1</v>
    </nc>
  </rcc>
  <rcc rId="1536" sId="2" numFmtId="14">
    <nc r="AJ148">
      <v>1</v>
    </nc>
  </rcc>
  <rcc rId="1537" sId="2">
    <nc r="AK148" t="inlineStr">
      <is>
        <t>None</t>
      </is>
    </nc>
  </rcc>
  <rcc rId="1538" sId="2">
    <nc r="D149" t="inlineStr">
      <is>
        <t>ASW</t>
      </is>
    </nc>
  </rcc>
  <rcc rId="1539" sId="2">
    <nc r="E149" t="inlineStr">
      <is>
        <t>HONDA_CMP_BL11sp02_snapshot05</t>
      </is>
    </nc>
  </rcc>
  <rcc rId="1540" sId="2" quotePrefix="1">
    <nc r="F149" t="inlineStr">
      <is>
        <t>rb.as.honda.cmp.app.asw.custtarball</t>
      </is>
    </nc>
  </rcc>
  <rcc rId="1541" sId="2">
    <nc r="H149" t="inlineStr">
      <is>
        <t>MT_209</t>
      </is>
    </nc>
  </rcc>
  <rcc rId="1542" sId="2">
    <nc r="I149" t="inlineStr">
      <is>
        <t>CM_Honda_LFC5ms_LFC20msV1_3_4_0</t>
      </is>
    </nc>
  </rcc>
  <rcc rId="1543" sId="2">
    <nc r="J149" t="inlineStr">
      <is>
        <t>New</t>
      </is>
    </nc>
  </rcc>
  <rcc rId="1544" sId="2">
    <nc r="N149" t="inlineStr">
      <is>
        <t>CSMosarASWMainstream93_Honda</t>
      </is>
    </nc>
  </rcc>
  <rcc rId="1545" sId="2" quotePrefix="1">
    <nc r="O149" t="inlineStr">
      <is>
        <t>1.1</t>
      </is>
    </nc>
  </rcc>
  <rcc rId="1546" sId="2" quotePrefix="1">
    <nc r="P149" t="inlineStr">
      <is>
        <t>Contact point: Iwase Megumi (CC-AS/ESJ2-JP) ; EXTERNAL Motoyoshi Kazuyuki (VSN, CC-AS/ESJ2-JP)</t>
      </is>
    </nc>
  </rcc>
  <rcc rId="1547" sId="2">
    <nc r="R149" t="inlineStr">
      <is>
        <t>T500</t>
      </is>
    </nc>
  </rcc>
  <rcc rId="1548" sId="2">
    <nc r="S149" t="inlineStr">
      <is>
        <t>dac.luu-cong</t>
      </is>
    </nc>
  </rcc>
  <rcc rId="1549" sId="2">
    <nc r="V149">
      <v>92</v>
    </nc>
  </rcc>
  <rcc rId="1550" sId="2">
    <nc r="W149">
      <v>52</v>
    </nc>
  </rcc>
  <rcc rId="1551" sId="2">
    <nc r="X149">
      <v>52</v>
    </nc>
  </rcc>
  <rcc rId="1552" sId="2">
    <nc r="Y149">
      <v>3.2</v>
    </nc>
  </rcc>
  <rcc rId="1553" sId="2">
    <nc r="Z149">
      <v>3</v>
    </nc>
  </rcc>
  <rcc rId="1554" sId="2">
    <nc r="AA149" t="inlineStr">
      <is>
        <t>Ready for PLC</t>
      </is>
    </nc>
  </rcc>
  <rcc rId="1555" sId="2" numFmtId="19">
    <nc r="AB149">
      <v>43976</v>
    </nc>
  </rcc>
  <rcc rId="1556" sId="2" numFmtId="19">
    <nc r="AC149">
      <v>43970</v>
    </nc>
  </rcc>
  <rcc rId="1557" sId="2" numFmtId="19">
    <nc r="AD149">
      <v>43977</v>
    </nc>
  </rcc>
  <rcc rId="1558" sId="2" numFmtId="19">
    <nc r="AE149">
      <v>43970</v>
    </nc>
  </rcc>
  <rcc rId="1559" sId="2" numFmtId="19">
    <nc r="AF149">
      <v>43970</v>
    </nc>
  </rcc>
  <rcc rId="1560" sId="2">
    <nc r="AG149" t="inlineStr">
      <is>
        <t>OK</t>
      </is>
    </nc>
  </rcc>
  <rcc rId="1561" sId="2">
    <nc r="AH149" t="inlineStr">
      <is>
        <t>NA</t>
      </is>
    </nc>
  </rcc>
  <rcc rId="1562" sId="2">
    <nc r="AI149" t="inlineStr">
      <is>
        <t>NA</t>
      </is>
    </nc>
  </rcc>
  <rcc rId="1563" sId="2">
    <nc r="AJ149" t="inlineStr">
      <is>
        <t>NA</t>
      </is>
    </nc>
  </rcc>
  <rcc rId="1564" sId="2">
    <nc r="AK149" t="inlineStr">
      <is>
        <t>None</t>
      </is>
    </nc>
  </rcc>
  <rcc rId="1565" sId="2">
    <nc r="AL149" t="inlineStr">
      <is>
        <t>Message Class</t>
      </is>
    </nc>
  </rcc>
  <rcc rId="1566" sId="2">
    <nc r="D150" t="inlineStr">
      <is>
        <t>ASW</t>
      </is>
    </nc>
  </rcc>
  <rcc rId="1567" sId="2">
    <nc r="E150" t="inlineStr">
      <is>
        <t>HONDA_CMP_BL11sp02_snapshot05</t>
      </is>
    </nc>
  </rcc>
  <rcc rId="1568" sId="2" quotePrefix="1">
    <nc r="F150" t="inlineStr">
      <is>
        <t>rb.as.honda.cmp.app.asw.custtarball</t>
      </is>
    </nc>
  </rcc>
  <rcc rId="1569" sId="2">
    <nc r="H150" t="inlineStr">
      <is>
        <t>MT_210</t>
      </is>
    </nc>
  </rcc>
  <rcc rId="1570" sId="2">
    <nc r="I150" t="inlineStr">
      <is>
        <t>CVSA_Control</t>
      </is>
    </nc>
  </rcc>
  <rcc rId="1571" sId="2">
    <nc r="J150" t="inlineStr">
      <is>
        <t>New</t>
      </is>
    </nc>
  </rcc>
  <rcc rId="1572" sId="2">
    <nc r="N150" t="inlineStr">
      <is>
        <t>CSMosarASWMainstream93_Honda</t>
      </is>
    </nc>
  </rcc>
  <rcc rId="1573" sId="2" quotePrefix="1">
    <nc r="O150" t="inlineStr">
      <is>
        <t>2.2</t>
      </is>
    </nc>
  </rcc>
  <rcc rId="1574" sId="2" quotePrefix="1">
    <nc r="P150" t="inlineStr">
      <is>
        <t>Contact point: Iwase Megumi (CC-AS/ESJ2-JP) ; EXTERNAL Motoyoshi Kazuyuki (VSN, CC-AS/ESJ2-JP)</t>
      </is>
    </nc>
  </rcc>
  <rcc rId="1575" sId="2">
    <nc r="R150" t="inlineStr">
      <is>
        <t>T500</t>
      </is>
    </nc>
  </rcc>
  <rcc rId="1576" sId="2">
    <nc r="S150" t="inlineStr">
      <is>
        <t>dac.luu-cong</t>
      </is>
    </nc>
  </rcc>
  <rcc rId="1577" sId="2">
    <nc r="V150">
      <v>35</v>
    </nc>
  </rcc>
  <rcc rId="1578" sId="2">
    <nc r="W150">
      <v>26</v>
    </nc>
  </rcc>
  <rcc rId="1579" sId="2">
    <nc r="X150">
      <v>26</v>
    </nc>
  </rcc>
  <rcc rId="1580" sId="2">
    <nc r="Y150">
      <v>1.6</v>
    </nc>
  </rcc>
  <rcc rId="1581" sId="2">
    <nc r="Z150">
      <v>2</v>
    </nc>
  </rcc>
  <rcc rId="1582" sId="2">
    <nc r="AA150" t="inlineStr">
      <is>
        <t>Ready for PLC</t>
      </is>
    </nc>
  </rcc>
  <rcc rId="1583" sId="2" numFmtId="19">
    <nc r="AB150">
      <v>43976</v>
    </nc>
  </rcc>
  <rcc rId="1584" sId="2" numFmtId="19">
    <nc r="AC150">
      <v>43970</v>
    </nc>
  </rcc>
  <rcc rId="1585" sId="2" numFmtId="19">
    <nc r="AD150">
      <v>43977</v>
    </nc>
  </rcc>
  <rcc rId="1586" sId="2" numFmtId="19">
    <nc r="AE150">
      <v>43970</v>
    </nc>
  </rcc>
  <rcc rId="1587" sId="2" numFmtId="19">
    <nc r="AF150">
      <v>43970</v>
    </nc>
  </rcc>
  <rcc rId="1588" sId="2">
    <nc r="AG150" t="inlineStr">
      <is>
        <t>OK</t>
      </is>
    </nc>
  </rcc>
  <rcc rId="1589" sId="2" numFmtId="14">
    <nc r="AH150">
      <v>1</v>
    </nc>
  </rcc>
  <rcc rId="1590" sId="2" numFmtId="14">
    <nc r="AI150">
      <v>1</v>
    </nc>
  </rcc>
  <rcc rId="1591" sId="2">
    <nc r="AJ150" t="inlineStr">
      <is>
        <t>NA</t>
      </is>
    </nc>
  </rcc>
  <rcc rId="1592" sId="2">
    <nc r="AK150" t="inlineStr">
      <is>
        <t>None</t>
      </is>
    </nc>
  </rcc>
  <rcc rId="1593" sId="2">
    <nc r="D151" t="inlineStr">
      <is>
        <t>ASW</t>
      </is>
    </nc>
  </rcc>
  <rcc rId="1594" sId="2">
    <nc r="E151" t="inlineStr">
      <is>
        <t>HONDA_CMP_BL11sp02_snapshot05</t>
      </is>
    </nc>
  </rcc>
  <rcc rId="1595" sId="2" quotePrefix="1">
    <nc r="F151" t="inlineStr">
      <is>
        <t>rb.as.honda.cmp.app.asw.custtarball</t>
      </is>
    </nc>
  </rcc>
  <rcc rId="1596" sId="2">
    <nc r="H151" t="inlineStr">
      <is>
        <t>MT_211</t>
      </is>
    </nc>
  </rcc>
  <rcc rId="1597" sId="2">
    <nc r="I151" t="inlineStr">
      <is>
        <t>CVSA_PataAndLampStrategy</t>
      </is>
    </nc>
  </rcc>
  <rcc rId="1598" sId="2">
    <nc r="J151" t="inlineStr">
      <is>
        <t>New</t>
      </is>
    </nc>
  </rcc>
  <rcc rId="1599" sId="2">
    <nc r="N151" t="inlineStr">
      <is>
        <t>CSMosarASWMainstream93_Honda</t>
      </is>
    </nc>
  </rcc>
  <rcc rId="1600" sId="2" quotePrefix="1">
    <nc r="O151" t="inlineStr">
      <is>
        <t>2.1</t>
      </is>
    </nc>
  </rcc>
  <rcc rId="1601" sId="2" quotePrefix="1">
    <nc r="P151" t="inlineStr">
      <is>
        <t>Contact point: Iwase Megumi (CC-AS/ESJ2-JP) ; EXTERNAL Motoyoshi Kazuyuki (VSN, CC-AS/ESJ2-JP)</t>
      </is>
    </nc>
  </rcc>
  <rcc rId="1602" sId="2">
    <nc r="R151" t="inlineStr">
      <is>
        <t>T500</t>
      </is>
    </nc>
  </rcc>
  <rcc rId="1603" sId="2">
    <nc r="S151" t="inlineStr">
      <is>
        <t>dac.luu-cong</t>
      </is>
    </nc>
  </rcc>
  <rcc rId="1604" sId="2">
    <nc r="V151">
      <v>17</v>
    </nc>
  </rcc>
  <rcc rId="1605" sId="2">
    <nc r="W151">
      <v>26</v>
    </nc>
  </rcc>
  <rcc rId="1606" sId="2">
    <nc r="X151">
      <v>26</v>
    </nc>
  </rcc>
  <rcc rId="1607" sId="2">
    <nc r="Y151">
      <v>1.6</v>
    </nc>
  </rcc>
  <rcc rId="1608" sId="2">
    <nc r="Z151">
      <v>2</v>
    </nc>
  </rcc>
  <rcc rId="1609" sId="2">
    <nc r="AA151" t="inlineStr">
      <is>
        <t>Ready for PLC</t>
      </is>
    </nc>
  </rcc>
  <rcc rId="1610" sId="2" numFmtId="19">
    <nc r="AB151">
      <v>43976</v>
    </nc>
  </rcc>
  <rcc rId="1611" sId="2" numFmtId="19">
    <nc r="AC151">
      <v>43970</v>
    </nc>
  </rcc>
  <rcc rId="1612" sId="2" numFmtId="19">
    <nc r="AD151">
      <v>43977</v>
    </nc>
  </rcc>
  <rcc rId="1613" sId="2" numFmtId="19">
    <nc r="AE151">
      <v>43970</v>
    </nc>
  </rcc>
  <rcc rId="1614" sId="2" numFmtId="19">
    <nc r="AF151">
      <v>43970</v>
    </nc>
  </rcc>
  <rcc rId="1615" sId="2">
    <nc r="AG151" t="inlineStr">
      <is>
        <t>OK</t>
      </is>
    </nc>
  </rcc>
  <rcc rId="1616" sId="2" numFmtId="14">
    <nc r="AH151">
      <v>1</v>
    </nc>
  </rcc>
  <rcc rId="1617" sId="2" numFmtId="14">
    <nc r="AI151">
      <v>1</v>
    </nc>
  </rcc>
  <rcc rId="1618" sId="2">
    <nc r="AJ151" t="inlineStr">
      <is>
        <t>NA</t>
      </is>
    </nc>
  </rcc>
  <rcc rId="1619" sId="2">
    <nc r="AK151" t="inlineStr">
      <is>
        <t>None</t>
      </is>
    </nc>
  </rcc>
  <rcc rId="1620" sId="2">
    <nc r="D152" t="inlineStr">
      <is>
        <t>ASW</t>
      </is>
    </nc>
  </rcc>
  <rcc rId="1621" sId="2">
    <nc r="E152" t="inlineStr">
      <is>
        <t>HONDA_CMP_BL11sp02_snapshot05</t>
      </is>
    </nc>
  </rcc>
  <rcc rId="1622" sId="2" quotePrefix="1">
    <nc r="F152" t="inlineStr">
      <is>
        <t>rb.as.honda.cmp.app.asw.custtarball</t>
      </is>
    </nc>
  </rcc>
  <rcc rId="1623" sId="2">
    <nc r="H152" t="inlineStr">
      <is>
        <t>MT_214</t>
      </is>
    </nc>
  </rcc>
  <rcc rId="1624" sId="2">
    <nc r="I152" t="inlineStr">
      <is>
        <t>Honda_LfcMTarLim_FunctionSafety</t>
      </is>
    </nc>
  </rcc>
  <rcc rId="1625" sId="2">
    <nc r="J152" t="inlineStr">
      <is>
        <t>New</t>
      </is>
    </nc>
  </rcc>
  <rcc rId="1626" sId="2">
    <nc r="N152" t="inlineStr">
      <is>
        <t>CSMosarASWMainstream93_Honda</t>
      </is>
    </nc>
  </rcc>
  <rcc rId="1627" sId="2" quotePrefix="1">
    <nc r="O152" t="inlineStr">
      <is>
        <t>1.7</t>
      </is>
    </nc>
  </rcc>
  <rcc rId="1628" sId="2" quotePrefix="1">
    <nc r="P152" t="inlineStr">
      <is>
        <t>Contact point: Iwase Megumi (CC-AS/ESJ2-JP) ; EXTERNAL Motoyoshi Kazuyuki (VSN, CC-AS/ESJ2-JP)</t>
      </is>
    </nc>
  </rcc>
  <rcc rId="1629" sId="2">
    <nc r="R152" t="inlineStr">
      <is>
        <t>T500</t>
      </is>
    </nc>
  </rcc>
  <rcc rId="1630" sId="2">
    <nc r="S152" t="inlineStr">
      <is>
        <t>dac.luu-cong</t>
      </is>
    </nc>
  </rcc>
  <rcc rId="1631" sId="2">
    <nc r="V152">
      <v>1358</v>
    </nc>
  </rcc>
  <rcc rId="1632" sId="2">
    <nc r="W152">
      <v>305.5</v>
    </nc>
  </rcc>
  <rcc rId="1633" sId="2">
    <nc r="X152">
      <v>305.5</v>
    </nc>
  </rcc>
  <rcc rId="1634" sId="2">
    <nc r="Y152">
      <v>18.8</v>
    </nc>
  </rcc>
  <rcc rId="1635" sId="2">
    <nc r="Z152">
      <v>8</v>
    </nc>
  </rcc>
  <rcc rId="1636" sId="2">
    <nc r="AA152" t="inlineStr">
      <is>
        <t>Ready for PLC</t>
      </is>
    </nc>
  </rcc>
  <rcc rId="1637" sId="2" numFmtId="19">
    <nc r="AB152">
      <v>43976</v>
    </nc>
  </rcc>
  <rcc rId="1638" sId="2" numFmtId="19">
    <nc r="AC152">
      <v>43970</v>
    </nc>
  </rcc>
  <rcc rId="1639" sId="2" numFmtId="19">
    <nc r="AD152">
      <v>43977</v>
    </nc>
  </rcc>
  <rcc rId="1640" sId="2" numFmtId="19">
    <nc r="AE152">
      <v>43971</v>
    </nc>
  </rcc>
  <rcc rId="1641" sId="2" numFmtId="19">
    <nc r="AF152">
      <v>43971</v>
    </nc>
  </rcc>
  <rcc rId="1642" sId="2">
    <nc r="AG152" t="inlineStr">
      <is>
        <t>OK</t>
      </is>
    </nc>
  </rcc>
  <rcc rId="1643" sId="2" numFmtId="14">
    <nc r="AH152">
      <v>0.98899999999999999</v>
    </nc>
  </rcc>
  <rcc rId="1644" sId="2" numFmtId="14">
    <nc r="AI152">
      <v>0.98699999999999999</v>
    </nc>
  </rcc>
  <rcc rId="1645" sId="2" numFmtId="14">
    <nc r="AJ152">
      <v>0.52600000000000002</v>
    </nc>
  </rcc>
  <rcc rId="1646" sId="2">
    <nc r="AK152" t="inlineStr">
      <is>
        <t>None</t>
      </is>
    </nc>
  </rcc>
  <rcc rId="1647" sId="2">
    <nc r="AL152" t="inlineStr">
      <is>
        <t>[No1]: cannot cover full C0/C1 because of param1D
[No2]: cannot cover MCDC case F-X at line 43 because of previous condtion at line 36 true =&gt; line 43 never reach
=&gt;similar case for cover MCDC case F-X at:   Line 54 , Line 65 , Line 76 , Line 87 , Line 98 , Line 109, Line 120, Line 131, Line 142, Line 153, Line 164, Line 175, Line 186, Line 197, Line 208, Line 219, Line 230, Line 241, Line 252, Line 263, Line 274, Line 285, Line 296, Line 307, Line 318, Line 329, Line 340, Line 351, Line 362, Line 373, Line 384, Line 395, Line 406, Line 417, Line 428, Line 439, Line 450, Line 461, Line 472, Line 483, Line 494, Line 505, Line 516, Line 527, Line 538, Line 549, Line 560, Line 571, Line 582, Line 593, Line 604, Line 615, Line 626, Line 637, Line 648, Line 659, Line 670, Line 681, Line 692, Line 703, Line 714, Line 725, Line 736, Line 747, Line 758, Line 769, Line 780, Line 791, Line 878, Line 883, Line 888, Line 893, Line 898, Line 903, Line 908, Line 913, Line 918, Line 923, Line 928, Line 933, Line 938, Line 943, Line 948, Line 953, Line 958, Line 963, Line 968, Line 973, Line 978, Line 983, Line 988, Line 993.</t>
      </is>
    </nc>
  </rcc>
  <rcc rId="1648" sId="2">
    <nc r="D153" t="inlineStr">
      <is>
        <t>PSW</t>
      </is>
    </nc>
  </rcc>
  <rcc rId="1649" sId="2">
    <nc r="E153" t="inlineStr">
      <is>
        <t>HONDA_CMP_BL11sp02_snapshot05</t>
      </is>
    </nc>
  </rcc>
  <rcc rId="1650" sId="2" quotePrefix="1">
    <nc r="F153" t="inlineStr">
      <is>
        <t>rb.as.honda.cmp.app.dsm</t>
      </is>
    </nc>
  </rcc>
  <rcc rId="1651" sId="2">
    <nc r="H153" t="inlineStr">
      <is>
        <t>MT_014</t>
      </is>
    </nc>
  </rcc>
  <rcc rId="1652" sId="2">
    <nc r="I153" t="inlineStr">
      <is>
        <t>RBHMI_ConfigOutput_ESP_Status</t>
      </is>
    </nc>
  </rcc>
  <rcc rId="1653" sId="2">
    <nc r="J153" t="inlineStr">
      <is>
        <t>Delta</t>
      </is>
    </nc>
  </rcc>
  <rcc rId="1654" sId="2">
    <nc r="N153" t="inlineStr">
      <is>
        <t>RB_HONDA_ESP</t>
      </is>
    </nc>
  </rcc>
  <rcc rId="1655" sId="2" quotePrefix="1">
    <nc r="O153" t="inlineStr">
      <is>
        <t>-</t>
      </is>
    </nc>
  </rcc>
  <rcc rId="1656" sId="2" quotePrefix="1">
    <nc r="P153" t="inlineStr">
      <is>
        <t>Contact point: Iwase Megumi (CC-AS/ESJ2-JP) ; EXTERNAL Motoyoshi Kazuyuki (VSN, CC-AS/ESJ2-JP)</t>
      </is>
    </nc>
  </rcc>
  <rcc rId="1657" sId="2">
    <nc r="R153" t="inlineStr">
      <is>
        <t>T501</t>
      </is>
    </nc>
  </rcc>
  <rcc rId="1658" sId="2">
    <nc r="S153" t="inlineStr">
      <is>
        <t>huy.do-anh</t>
      </is>
    </nc>
  </rcc>
  <rcc rId="1659" sId="2">
    <nc r="V153">
      <v>67</v>
    </nc>
  </rcc>
  <rcc rId="1660" sId="2">
    <nc r="W153">
      <v>90</v>
    </nc>
  </rcc>
  <rcc rId="1661" sId="2">
    <nc r="X153">
      <v>90</v>
    </nc>
  </rcc>
  <rcc rId="1662" sId="2">
    <nc r="Y153">
      <v>1.6</v>
    </nc>
  </rcc>
  <rcc rId="1663" sId="2">
    <nc r="Z153">
      <v>0.5</v>
    </nc>
  </rcc>
  <rcc rId="1664" sId="2">
    <nc r="AA153" t="inlineStr">
      <is>
        <t>Ready for PLC</t>
      </is>
    </nc>
  </rcc>
  <rcc rId="1665" sId="2" numFmtId="19">
    <nc r="AB153">
      <v>43976</v>
    </nc>
  </rcc>
  <rcc rId="1666" sId="2" numFmtId="19">
    <nc r="AC153">
      <v>43970</v>
    </nc>
  </rcc>
  <rcc rId="1667" sId="2" numFmtId="19">
    <nc r="AD153">
      <v>43977</v>
    </nc>
  </rcc>
  <rcc rId="1668" sId="2" numFmtId="19">
    <nc r="AE153">
      <v>43971</v>
    </nc>
  </rcc>
  <rcc rId="1669" sId="2" numFmtId="19">
    <nc r="AF153">
      <v>43971</v>
    </nc>
  </rcc>
  <rcc rId="1670" sId="2">
    <nc r="AG153" t="inlineStr">
      <is>
        <t>OK</t>
      </is>
    </nc>
  </rcc>
  <rcc rId="1671" sId="2" numFmtId="14">
    <nc r="AH153">
      <v>1</v>
    </nc>
  </rcc>
  <rcc rId="1672" sId="2" numFmtId="14">
    <nc r="AI153">
      <v>1</v>
    </nc>
  </rcc>
  <rcc rId="1673" sId="2" numFmtId="14">
    <nc r="AJ153">
      <v>1</v>
    </nc>
  </rcc>
  <rcc rId="1674" sId="2">
    <nc r="AK153" t="inlineStr">
      <is>
        <t>None</t>
      </is>
    </nc>
  </rcc>
  <rcc rId="1675" sId="2">
    <nc r="D154" t="inlineStr">
      <is>
        <t>PSW</t>
      </is>
    </nc>
  </rcc>
  <rcc rId="1676" sId="2">
    <nc r="E154" t="inlineStr">
      <is>
        <t>HONDA_CMP_BL11sp02_snapshot05</t>
      </is>
    </nc>
  </rcc>
  <rcc rId="1677" sId="2" quotePrefix="1">
    <nc r="F154" t="inlineStr">
      <is>
        <t>rb.as.honda.cmp.app.net</t>
      </is>
    </nc>
  </rcc>
  <rcc rId="1678" sId="2">
    <nc r="H154" t="inlineStr">
      <is>
        <t>MT_026</t>
      </is>
    </nc>
  </rcc>
  <rcc rId="1679" sId="2">
    <nc r="I154" t="inlineStr">
      <is>
        <t>rba_ComScl_Scl_ENG_17C_CH1_Rx</t>
      </is>
    </nc>
  </rcc>
  <rcc rId="1680" sId="2">
    <nc r="J154" t="inlineStr">
      <is>
        <t>Delta</t>
      </is>
    </nc>
  </rcc>
  <rcc rId="1681" sId="2">
    <nc r="N154" t="inlineStr">
      <is>
        <t>RB_HONDA_ESP</t>
      </is>
    </nc>
  </rcc>
  <rcc rId="1682" sId="2" quotePrefix="1">
    <nc r="O154" t="inlineStr">
      <is>
        <t>-</t>
      </is>
    </nc>
  </rcc>
  <rcc rId="1683" sId="2" quotePrefix="1">
    <nc r="P154" t="inlineStr">
      <is>
        <t>Contact point: Iwase Megumi (CC-AS/ESJ2-JP) ; EXTERNAL Motoyoshi Kazuyuki (VSN, CC-AS/ESJ2-JP)</t>
      </is>
    </nc>
  </rcc>
  <rcc rId="1684" sId="2">
    <nc r="R154" t="inlineStr">
      <is>
        <t>T501</t>
      </is>
    </nc>
  </rcc>
  <rcc rId="1685" sId="2">
    <nc r="S154" t="inlineStr">
      <is>
        <t>huy.do-anh</t>
      </is>
    </nc>
  </rcc>
  <rcc rId="1686" sId="2">
    <nc r="V154">
      <v>64</v>
    </nc>
  </rcc>
  <rcc rId="1687" sId="2">
    <nc r="W154">
      <v>90</v>
    </nc>
  </rcc>
  <rcc rId="1688" sId="2">
    <nc r="X154">
      <v>90</v>
    </nc>
  </rcc>
  <rcc rId="1689" sId="2">
    <nc r="Y154">
      <v>1.6</v>
    </nc>
  </rcc>
  <rcc rId="1690" sId="2">
    <nc r="Z154">
      <v>1</v>
    </nc>
  </rcc>
  <rcc rId="1691" sId="2">
    <nc r="AA154" t="inlineStr">
      <is>
        <t>Ready for PLC</t>
      </is>
    </nc>
  </rcc>
  <rcc rId="1692" sId="2" numFmtId="19">
    <nc r="AB154">
      <v>43976</v>
    </nc>
  </rcc>
  <rcc rId="1693" sId="2" numFmtId="19">
    <nc r="AC154">
      <v>43970</v>
    </nc>
  </rcc>
  <rcc rId="1694" sId="2" numFmtId="19">
    <nc r="AD154">
      <v>43977</v>
    </nc>
  </rcc>
  <rcc rId="1695" sId="2" numFmtId="19">
    <nc r="AE154">
      <v>43971</v>
    </nc>
  </rcc>
  <rcc rId="1696" sId="2" numFmtId="19">
    <nc r="AF154">
      <v>43971</v>
    </nc>
  </rcc>
  <rcc rId="1697" sId="2">
    <nc r="AG154" t="inlineStr">
      <is>
        <t>OK</t>
      </is>
    </nc>
  </rcc>
  <rcc rId="1698" sId="2" numFmtId="14">
    <nc r="AH154">
      <v>1</v>
    </nc>
  </rcc>
  <rcc rId="1699" sId="2" numFmtId="14">
    <nc r="AI154">
      <v>0.87</v>
    </nc>
  </rcc>
  <rcc rId="1700" sId="2" numFmtId="14">
    <nc r="AJ154">
      <v>0.5</v>
    </nc>
  </rcc>
  <rcc rId="1701" sId="2">
    <nc r="AK154" t="inlineStr">
      <is>
        <t>None</t>
      </is>
    </nc>
  </rcc>
  <rcc rId="1702" sId="2">
    <nc r="AL154" t="inlineStr">
      <is>
        <t>Can't cover false case of if(RBFS_HondaCANRxENG13B == RBFS_HondaCANRxENG13B_NONE ) at line  #291 because RBFS_HondaCANRxENG13B is always equal to RBFS_HondaCANRxENG13B_NONE.Can't cover MCDC F&amp;&amp;T, T&amp;&amp;F of (rba_ComScl_EvaluateRxPdu_ENG_17C_CH1 &amp;&amp; (RBNet_Variant_ENG_17C_CH1_Rx_b()) at line #403 because rba_ComScl_EvaluateRxPdu_ENG_17C_CH1 and RBNet_Variant_ENG_17C_CH1_Rx_b() must be equals to TRUE to access the condition TRUE at line #239</t>
      </is>
    </nc>
  </rcc>
  <rcc rId="1703" sId="2">
    <nc r="D155" t="inlineStr">
      <is>
        <t>PSW</t>
      </is>
    </nc>
  </rcc>
  <rcc rId="1704" sId="2">
    <nc r="E155" t="inlineStr">
      <is>
        <t>HONDA_CMP_BL11sp02_snapshot05</t>
      </is>
    </nc>
  </rcc>
  <rcc rId="1705" sId="2" quotePrefix="1">
    <nc r="F155" t="inlineStr">
      <is>
        <t>rb.as.honda.cmp.app.net</t>
      </is>
    </nc>
  </rcc>
  <rcc rId="1706" sId="2">
    <nc r="H155" t="inlineStr">
      <is>
        <t>MT_035</t>
      </is>
    </nc>
  </rcc>
  <rcc rId="1707" sId="2">
    <nc r="I155" t="inlineStr">
      <is>
        <t>rba_ComScl_Scl_SRS_094_CH2_Rx</t>
      </is>
    </nc>
  </rcc>
  <rcc rId="1708" sId="2">
    <nc r="J155" t="inlineStr">
      <is>
        <t>Delta</t>
      </is>
    </nc>
  </rcc>
  <rcc rId="1709" sId="2">
    <nc r="N155" t="inlineStr">
      <is>
        <t>RB_HONDA_ESP</t>
      </is>
    </nc>
  </rcc>
  <rcc rId="1710" sId="2" quotePrefix="1">
    <nc r="O155" t="inlineStr">
      <is>
        <t>-</t>
      </is>
    </nc>
  </rcc>
  <rcc rId="1711" sId="2" quotePrefix="1">
    <nc r="P155" t="inlineStr">
      <is>
        <t>Contact point: Iwase Megumi (CC-AS/ESJ2-JP) ; EXTERNAL Motoyoshi Kazuyuki (VSN, CC-AS/ESJ2-JP)</t>
      </is>
    </nc>
  </rcc>
  <rcc rId="1712" sId="2">
    <nc r="R155" t="inlineStr">
      <is>
        <t>T501</t>
      </is>
    </nc>
  </rcc>
  <rcc rId="1713" sId="2">
    <nc r="S155" t="inlineStr">
      <is>
        <t>huy.do-anh</t>
      </is>
    </nc>
  </rcc>
  <rcc rId="1714" sId="2">
    <nc r="V155">
      <v>317</v>
    </nc>
  </rcc>
  <rcc rId="1715" sId="2">
    <nc r="W155">
      <v>324</v>
    </nc>
  </rcc>
  <rcc rId="1716" sId="2">
    <nc r="X155">
      <v>324</v>
    </nc>
  </rcc>
  <rcc rId="1717" sId="2">
    <nc r="Y155">
      <v>5.76</v>
    </nc>
  </rcc>
  <rcc rId="1718" sId="2">
    <nc r="Z155">
      <v>2</v>
    </nc>
  </rcc>
  <rcc rId="1719" sId="2">
    <nc r="AA155" t="inlineStr">
      <is>
        <t>Ready for PLC</t>
      </is>
    </nc>
  </rcc>
  <rcc rId="1720" sId="2" numFmtId="19">
    <nc r="AB155">
      <v>43976</v>
    </nc>
  </rcc>
  <rcc rId="1721" sId="2" numFmtId="19">
    <nc r="AC155">
      <v>43970</v>
    </nc>
  </rcc>
  <rcc rId="1722" sId="2" numFmtId="19">
    <nc r="AD155">
      <v>43977</v>
    </nc>
  </rcc>
  <rcc rId="1723" sId="2" numFmtId="19">
    <nc r="AE155">
      <v>43972</v>
    </nc>
  </rcc>
  <rcc rId="1724" sId="2" numFmtId="19">
    <nc r="AF155">
      <v>43972</v>
    </nc>
  </rcc>
  <rcc rId="1725" sId="2">
    <nc r="AG155" t="inlineStr">
      <is>
        <t>OK</t>
      </is>
    </nc>
  </rcc>
  <rcc rId="1726" sId="2" numFmtId="14">
    <nc r="AH155">
      <v>1</v>
    </nc>
  </rcc>
  <rcc rId="1727" sId="2" numFmtId="14">
    <nc r="AI155">
      <v>1</v>
    </nc>
  </rcc>
  <rcc rId="1728" sId="2" numFmtId="14">
    <nc r="AJ155">
      <v>1</v>
    </nc>
  </rcc>
  <rcc rId="1729" sId="2">
    <nc r="AK155" t="inlineStr">
      <is>
        <t>None</t>
      </is>
    </nc>
  </rcc>
  <rcc rId="1730" sId="2">
    <nc r="D156" t="inlineStr">
      <is>
        <t>PSW</t>
      </is>
    </nc>
  </rcc>
  <rcc rId="1731" sId="2">
    <nc r="E156" t="inlineStr">
      <is>
        <t>HONDA_CMP_BL11sp02_snapshot05</t>
      </is>
    </nc>
  </rcc>
  <rcc rId="1732" sId="2" quotePrefix="1">
    <nc r="F156" t="inlineStr">
      <is>
        <t>rb.as.honda.cmp.app.net</t>
      </is>
    </nc>
  </rcc>
  <rcc rId="1733" sId="2">
    <nc r="H156" t="inlineStr">
      <is>
        <t>MT_044</t>
      </is>
    </nc>
  </rcc>
  <rcc rId="1734" sId="2">
    <nc r="I156" t="inlineStr">
      <is>
        <t>RBNET_VariantTableInterface_HONDA</t>
      </is>
    </nc>
  </rcc>
  <rcc rId="1735" sId="2">
    <nc r="J156" t="inlineStr">
      <is>
        <t>Delta</t>
      </is>
    </nc>
  </rcc>
  <rcc rId="1736" sId="2">
    <nc r="N156" t="inlineStr">
      <is>
        <t>RB_HONDA_ESP</t>
      </is>
    </nc>
  </rcc>
  <rcc rId="1737" sId="2" quotePrefix="1">
    <nc r="O156" t="inlineStr">
      <is>
        <t>-</t>
      </is>
    </nc>
  </rcc>
  <rcc rId="1738" sId="2" quotePrefix="1">
    <nc r="P156" t="inlineStr">
      <is>
        <t>Contact point: Iwase Megumi (CC-AS/ESJ2-JP) ; EXTERNAL Motoyoshi Kazuyuki (VSN, CC-AS/ESJ2-JP)</t>
      </is>
    </nc>
  </rcc>
  <rcc rId="1739" sId="2">
    <nc r="R156" t="inlineStr">
      <is>
        <t>T501</t>
      </is>
    </nc>
  </rcc>
  <rcc rId="1740" sId="2">
    <nc r="S156" t="inlineStr">
      <is>
        <t>huy.do-anh</t>
      </is>
    </nc>
  </rcc>
  <rcc rId="1741" sId="2">
    <nc r="V156">
      <v>81</v>
    </nc>
  </rcc>
  <rcc rId="1742" sId="2">
    <nc r="W156">
      <v>90</v>
    </nc>
  </rcc>
  <rcc rId="1743" sId="2">
    <nc r="X156">
      <v>90</v>
    </nc>
  </rcc>
  <rcc rId="1744" sId="2">
    <nc r="Y156">
      <v>1.6</v>
    </nc>
  </rcc>
  <rcc rId="1745" sId="2">
    <nc r="Z156">
      <v>0.5</v>
    </nc>
  </rcc>
  <rcc rId="1746" sId="2">
    <nc r="AA156" t="inlineStr">
      <is>
        <t>Ready for PLC</t>
      </is>
    </nc>
  </rcc>
  <rcc rId="1747" sId="2" numFmtId="19">
    <nc r="AB156">
      <v>43976</v>
    </nc>
  </rcc>
  <rcc rId="1748" sId="2" numFmtId="19">
    <nc r="AC156">
      <v>43970</v>
    </nc>
  </rcc>
  <rcc rId="1749" sId="2" numFmtId="19">
    <nc r="AD156">
      <v>43977</v>
    </nc>
  </rcc>
  <rcc rId="1750" sId="2" numFmtId="19">
    <nc r="AE156">
      <v>43972</v>
    </nc>
  </rcc>
  <rcc rId="1751" sId="2" numFmtId="19">
    <nc r="AF156">
      <v>43972</v>
    </nc>
  </rcc>
  <rcc rId="1752" sId="2">
    <nc r="AG156" t="inlineStr">
      <is>
        <t>OK</t>
      </is>
    </nc>
  </rcc>
  <rcc rId="1753" sId="2" numFmtId="14">
    <nc r="AH156">
      <v>1</v>
    </nc>
  </rcc>
  <rcc rId="1754" sId="2" numFmtId="14">
    <nc r="AI156">
      <v>1</v>
    </nc>
  </rcc>
  <rcc rId="1755" sId="2" numFmtId="14">
    <nc r="AJ156">
      <v>1</v>
    </nc>
  </rcc>
  <rcc rId="1756" sId="2">
    <nc r="AK156" t="inlineStr">
      <is>
        <t>None</t>
      </is>
    </nc>
  </rcc>
  <rcc rId="1757" sId="2">
    <nc r="D157" t="inlineStr">
      <is>
        <t>ASW</t>
      </is>
    </nc>
  </rcc>
  <rcc rId="1758" sId="2">
    <nc r="E157" t="inlineStr">
      <is>
        <t>HONDA_CMP_BL11sp02_snapshot05</t>
      </is>
    </nc>
  </rcc>
  <rcc rId="1759" sId="2" quotePrefix="1">
    <nc r="F157" t="inlineStr">
      <is>
        <t>rb.as.honda.core.app.asw.maeps</t>
      </is>
    </nc>
  </rcc>
  <rcc rId="1760" sId="2">
    <nc r="H157" t="inlineStr">
      <is>
        <t>MT_218</t>
      </is>
    </nc>
  </rcc>
  <rcc rId="1761" sId="2">
    <nc r="I157" t="inlineStr">
      <is>
        <t>Honda_MAEPS_20ms</t>
      </is>
    </nc>
  </rcc>
  <rcc rId="1762" sId="2">
    <nc r="J157" t="inlineStr">
      <is>
        <t>New</t>
      </is>
    </nc>
  </rcc>
  <rcc rId="1763" sId="2">
    <nc r="N157" t="inlineStr">
      <is>
        <t>CSMosarASWMainstream93_Honda</t>
      </is>
    </nc>
  </rcc>
  <rcc rId="1764" sId="2" quotePrefix="1">
    <nc r="O157" t="inlineStr">
      <is>
        <t>1.2</t>
      </is>
    </nc>
  </rcc>
  <rcc rId="1765" sId="2" quotePrefix="1">
    <nc r="P157" t="inlineStr">
      <is>
        <t>Contact point: Iwase Megumi (CC-AS/ESJ2-JP) ; EXTERNAL Motoyoshi Kazuyuki (VSN, CC-AS/ESJ2-JP)</t>
      </is>
    </nc>
  </rcc>
  <rcc rId="1766" sId="2">
    <nc r="R157" t="inlineStr">
      <is>
        <t>T500</t>
      </is>
    </nc>
  </rcc>
  <rcc rId="1767" sId="2">
    <nc r="S157" t="inlineStr">
      <is>
        <t>dac.luu-cong</t>
      </is>
    </nc>
  </rcc>
  <rcc rId="1768" sId="2">
    <nc r="V157">
      <v>12</v>
    </nc>
  </rcc>
  <rcc rId="1769" sId="2">
    <nc r="W157">
      <v>26</v>
    </nc>
  </rcc>
  <rcc rId="1770" sId="2">
    <nc r="X157">
      <v>26</v>
    </nc>
  </rcc>
  <rcc rId="1771" sId="2">
    <nc r="Y157">
      <v>1.6</v>
    </nc>
  </rcc>
  <rcc rId="1772" sId="2">
    <nc r="Z157">
      <v>1</v>
    </nc>
  </rcc>
  <rcc rId="1773" sId="2">
    <nc r="AA157" t="inlineStr">
      <is>
        <t>Ready for PLC</t>
      </is>
    </nc>
  </rcc>
  <rcc rId="1774" sId="2" numFmtId="19">
    <nc r="AB157">
      <v>43976</v>
    </nc>
  </rcc>
  <rcc rId="1775" sId="2" numFmtId="19">
    <nc r="AC157">
      <v>43970</v>
    </nc>
  </rcc>
  <rcc rId="1776" sId="2" numFmtId="19">
    <nc r="AD157">
      <v>43977</v>
    </nc>
  </rcc>
  <rcc rId="1777" sId="2" numFmtId="19">
    <nc r="AE157">
      <v>43970</v>
    </nc>
  </rcc>
  <rcc rId="1778" sId="2" numFmtId="19">
    <nc r="AF157">
      <v>43970</v>
    </nc>
  </rcc>
  <rcc rId="1779" sId="2">
    <nc r="AG157" t="inlineStr">
      <is>
        <t>OK</t>
      </is>
    </nc>
  </rcc>
  <rcc rId="1780" sId="2">
    <nc r="AH157" t="inlineStr">
      <is>
        <t>NA</t>
      </is>
    </nc>
  </rcc>
  <rcc rId="1781" sId="2">
    <nc r="AI157" t="inlineStr">
      <is>
        <t>NA</t>
      </is>
    </nc>
  </rcc>
  <rcc rId="1782" sId="2">
    <nc r="AJ157" t="inlineStr">
      <is>
        <t>NA</t>
      </is>
    </nc>
  </rcc>
  <rcc rId="1783" sId="2">
    <nc r="AK157" t="inlineStr">
      <is>
        <t>None</t>
      </is>
    </nc>
  </rcc>
  <rcc rId="1784" sId="2">
    <nc r="AL157" t="inlineStr">
      <is>
        <t>Message Class</t>
      </is>
    </nc>
  </rcc>
  <rrc rId="1785" sId="2" ref="A147:XFD147" action="deleteRow">
    <rfmt sheetId="2" xfDxf="1" sqref="A147:XFD147" start="0" length="0"/>
    <rfmt sheetId="2" sqref="B147"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cc rId="0" sId="2" dxf="1">
      <nc r="C147">
        <v>20200511</v>
      </nc>
      <ndxf>
        <alignment horizontal="left" vertical="top" readingOrder="0"/>
        <border outline="0">
          <left style="thin">
            <color indexed="64"/>
          </left>
          <right style="thin">
            <color indexed="64"/>
          </right>
          <top style="thin">
            <color indexed="64"/>
          </top>
          <bottom style="thin">
            <color indexed="64"/>
          </bottom>
        </border>
      </ndxf>
    </rcc>
    <rcc rId="0" sId="2" dxf="1">
      <nc r="D147" t="inlineStr">
        <is>
          <t>ASW</t>
        </is>
      </nc>
      <ndxf>
        <alignment horizontal="left" vertical="top" readingOrder="0"/>
        <border outline="0">
          <left style="thin">
            <color indexed="64"/>
          </left>
          <right style="thin">
            <color indexed="64"/>
          </right>
          <top style="thin">
            <color indexed="64"/>
          </top>
          <bottom style="thin">
            <color indexed="64"/>
          </bottom>
        </border>
      </ndxf>
    </rcc>
    <rcc rId="0" sId="2" dxf="1">
      <nc r="E147" t="inlineStr">
        <is>
          <t>HONDA_CMP_BL11sp02_snapshot05</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F147" t="inlineStr">
        <is>
          <t>rb.as.core.app.asw.ldm.lfc</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G14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H147" t="inlineStr">
        <is>
          <t>MT_208</t>
        </is>
      </nc>
      <ndxf>
        <alignment horizontal="left" vertical="top" readingOrder="0"/>
        <border outline="0">
          <left style="thin">
            <color indexed="64"/>
          </left>
          <right style="thin">
            <color indexed="64"/>
          </right>
          <top style="thin">
            <color indexed="64"/>
          </top>
          <bottom style="thin">
            <color indexed="64"/>
          </bottom>
        </border>
      </ndxf>
    </rcc>
    <rcc rId="0" sId="2" dxf="1">
      <nc r="I147" t="inlineStr">
        <is>
          <t>LFC_Exe</t>
        </is>
      </nc>
      <ndxf>
        <alignment horizontal="left" vertical="top" readingOrder="0"/>
        <border outline="0">
          <left style="thin">
            <color indexed="64"/>
          </left>
          <right style="thin">
            <color indexed="64"/>
          </right>
          <top style="thin">
            <color indexed="64"/>
          </top>
          <bottom style="thin">
            <color indexed="64"/>
          </bottom>
        </border>
      </ndxf>
    </rcc>
    <rcc rId="0" sId="2" dxf="1">
      <nc r="J147" t="inlineStr">
        <is>
          <t>Delta &gt; New</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K14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L14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M147"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2" dxf="1">
      <nc r="N147" t="inlineStr">
        <is>
          <t>CSMosarASWMainstream93_Honda</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O147" t="inlineStr">
        <is>
          <t>4.10.131.0</t>
        </is>
      </nc>
      <ndxf>
        <alignment horizontal="left" vertical="top" readingOrder="0"/>
        <border outline="0">
          <left style="thin">
            <color indexed="64"/>
          </left>
          <right style="thin">
            <color indexed="64"/>
          </right>
          <top style="thin">
            <color indexed="64"/>
          </top>
          <bottom style="thin">
            <color indexed="64"/>
          </bottom>
        </border>
      </ndxf>
    </rcc>
    <rcc rId="0" sId="2" dxf="1" quotePrefix="1">
      <nc r="P147" t="inlineStr">
        <is>
          <t>Contact point: Iwase Megumi (CC-AS/ESJ2-JP) ; EXTERNAL Motoyoshi Kazuyuki (VSN, CC-AS/ESJ2-JP)</t>
        </is>
      </nc>
      <ndxf>
        <alignment horizontal="left" vertical="top" readingOrder="0"/>
        <border outline="0">
          <left style="thin">
            <color indexed="64"/>
          </left>
          <right style="thin">
            <color indexed="64"/>
          </right>
          <top style="thin">
            <color indexed="64"/>
          </top>
          <bottom style="thin">
            <color indexed="64"/>
          </bottom>
        </border>
      </ndxf>
    </rcc>
    <rfmt sheetId="2" sqref="Q14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2" dxf="1">
      <nc r="R147" t="inlineStr">
        <is>
          <t>T501</t>
        </is>
      </nc>
      <ndxf>
        <alignment horizontal="left" vertical="top" readingOrder="0"/>
        <border outline="0">
          <left style="thin">
            <color indexed="64"/>
          </left>
          <right style="thin">
            <color indexed="64"/>
          </right>
          <top style="thin">
            <color indexed="64"/>
          </top>
          <bottom style="thin">
            <color indexed="64"/>
          </bottom>
        </border>
      </ndxf>
    </rcc>
    <rcc rId="0" sId="2" dxf="1">
      <nc r="S147" t="inlineStr">
        <is>
          <t>huy.do-anh</t>
        </is>
      </nc>
      <ndxf>
        <alignment horizontal="left" vertical="top" readingOrder="0"/>
        <border outline="0">
          <left style="thin">
            <color indexed="64"/>
          </left>
          <right style="thin">
            <color indexed="64"/>
          </right>
          <top style="thin">
            <color indexed="64"/>
          </top>
          <bottom style="thin">
            <color indexed="64"/>
          </bottom>
        </border>
      </ndxf>
    </rcc>
    <rfmt sheetId="2" sqref="T147" start="0" length="0">
      <dxf>
        <alignment horizontal="left" vertical="top" readingOrder="0"/>
        <border outline="0">
          <left style="thin">
            <color indexed="64"/>
          </left>
          <right style="thin">
            <color indexed="64"/>
          </right>
          <top style="thin">
            <color indexed="64"/>
          </top>
          <bottom style="thin">
            <color indexed="64"/>
          </bottom>
        </border>
      </dxf>
    </rfmt>
    <rfmt sheetId="2" sqref="U147" start="0" length="0">
      <dxf>
        <alignment horizontal="left" vertical="top" readingOrder="0"/>
        <border outline="0">
          <left style="thin">
            <color indexed="64"/>
          </left>
          <right style="thin">
            <color indexed="64"/>
          </right>
          <top style="thin">
            <color indexed="64"/>
          </top>
          <bottom style="thin">
            <color indexed="64"/>
          </bottom>
        </border>
      </dxf>
    </rfmt>
    <rcc rId="0" sId="2" dxf="1">
      <nc r="V147">
        <v>418</v>
      </nc>
      <ndxf>
        <alignment horizontal="left" vertical="top" readingOrder="0"/>
        <border outline="0">
          <left style="thin">
            <color indexed="64"/>
          </left>
          <right style="thin">
            <color indexed="64"/>
          </right>
          <top style="thin">
            <color indexed="64"/>
          </top>
          <bottom style="thin">
            <color indexed="64"/>
          </bottom>
        </border>
      </ndxf>
    </rcc>
    <rcc rId="0" sId="2" dxf="1">
      <nc r="W147">
        <v>364</v>
      </nc>
      <ndxf>
        <alignment horizontal="left" vertical="top" readingOrder="0"/>
        <border outline="0">
          <left style="thin">
            <color indexed="64"/>
          </left>
          <right style="thin">
            <color indexed="64"/>
          </right>
          <top style="thin">
            <color indexed="64"/>
          </top>
          <bottom style="thin">
            <color indexed="64"/>
          </bottom>
        </border>
      </ndxf>
    </rcc>
    <rcc rId="0" sId="2" dxf="1">
      <nc r="X147">
        <v>364</v>
      </nc>
      <ndxf>
        <alignment horizontal="left" vertical="top" readingOrder="0"/>
        <border outline="0">
          <left style="thin">
            <color indexed="64"/>
          </left>
          <right style="thin">
            <color indexed="64"/>
          </right>
          <top style="thin">
            <color indexed="64"/>
          </top>
          <bottom style="thin">
            <color indexed="64"/>
          </bottom>
        </border>
      </ndxf>
    </rcc>
    <rcc rId="0" sId="2" dxf="1">
      <nc r="Y147">
        <v>22.4</v>
      </nc>
      <ndxf>
        <alignment horizontal="left" vertical="top" readingOrder="0"/>
        <border outline="0">
          <left style="thin">
            <color indexed="64"/>
          </left>
          <right style="thin">
            <color indexed="64"/>
          </right>
          <top style="thin">
            <color indexed="64"/>
          </top>
          <bottom style="thin">
            <color indexed="64"/>
          </bottom>
        </border>
      </ndxf>
    </rcc>
    <rcc rId="0" sId="2" dxf="1">
      <nc r="Z147">
        <v>20</v>
      </nc>
      <ndxf>
        <alignment horizontal="left" vertical="top" readingOrder="0"/>
        <border outline="0">
          <left style="thin">
            <color indexed="64"/>
          </left>
          <right style="thin">
            <color indexed="64"/>
          </right>
          <top style="thin">
            <color indexed="64"/>
          </top>
          <bottom style="thin">
            <color indexed="64"/>
          </bottom>
        </border>
      </ndxf>
    </rcc>
    <rcc rId="0" sId="2" dxf="1">
      <nc r="AA147" t="inlineStr">
        <is>
          <t>Ready for PLC</t>
        </is>
      </nc>
      <ndxf>
        <alignment horizontal="left" vertical="top" readingOrder="0"/>
        <border outline="0">
          <left style="thin">
            <color indexed="64"/>
          </left>
          <right style="thin">
            <color indexed="64"/>
          </right>
          <top style="thin">
            <color indexed="64"/>
          </top>
          <bottom style="thin">
            <color indexed="64"/>
          </bottom>
        </border>
      </ndxf>
    </rcc>
    <rcc rId="0" sId="2" dxf="1" numFmtId="19">
      <nc r="AB147">
        <v>43976</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C147">
        <v>43970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D147">
        <v>43977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E147">
        <v>43973</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9">
      <nc r="AF147">
        <v>43976</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c r="AG147"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umFmtId="14">
      <nc r="AH147">
        <v>0.99399999999999999</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umFmtId="14">
      <nc r="AI147">
        <v>0.995</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umFmtId="14">
      <nc r="AJ147">
        <v>0.98499999999999999</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2" dxf="1">
      <nc r="AK147"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2" dxf="1">
      <nc r="AL147" t="inlineStr">
        <is>
          <t>Unable to cover DEFAULT case of switch( SsmState ) at line #339 because the enum SsmState only has 4 values. Cannot cover MCDC case T-T-F at line 179 becase when IMG_BRKMODE_STATUS false =&gt; line 71 false =&gt; line 139 never reach</t>
        </is>
      </nc>
      <ndxf>
        <alignment horizontal="left" vertical="top" readingOrder="0"/>
        <border outline="0">
          <left style="thin">
            <color indexed="64"/>
          </left>
          <right style="thin">
            <color indexed="64"/>
          </right>
          <top style="thin">
            <color indexed="64"/>
          </top>
          <bottom style="thin">
            <color indexed="64"/>
          </bottom>
        </border>
      </ndxf>
    </rcc>
    <rfmt sheetId="2" sqref="AM147" start="0" length="0">
      <dxf>
        <alignment horizontal="left" vertical="top" readingOrder="0"/>
        <border outline="0">
          <left style="thin">
            <color indexed="64"/>
          </left>
          <right style="thin">
            <color indexed="64"/>
          </right>
          <top style="thin">
            <color indexed="64"/>
          </top>
          <bottom style="thin">
            <color indexed="64"/>
          </bottom>
        </border>
      </dxf>
    </rfmt>
    <rfmt sheetId="2" sqref="AN147" start="0" length="0">
      <dxf>
        <alignment horizontal="left" vertical="top" readingOrder="0"/>
        <border outline="0">
          <left style="thin">
            <color indexed="64"/>
          </left>
          <right style="thin">
            <color indexed="64"/>
          </right>
          <top style="thin">
            <color indexed="64"/>
          </top>
          <bottom style="thin">
            <color indexed="64"/>
          </bottom>
        </border>
      </dxf>
    </rfmt>
  </rrc>
  <rcc rId="1786" sId="2" odxf="1" dxf="1">
    <nc r="C146">
      <v>20200511</v>
    </nc>
    <ndxf>
      <fill>
        <patternFill patternType="solid">
          <bgColor rgb="FFFFC000"/>
        </patternFill>
      </fill>
    </ndxf>
  </rcc>
  <rcc rId="1787" sId="2" odxf="1" dxf="1">
    <nc r="C147">
      <v>20200511</v>
    </nc>
    <ndxf>
      <fill>
        <patternFill patternType="solid">
          <bgColor rgb="FFFFC000"/>
        </patternFill>
      </fill>
    </ndxf>
  </rcc>
  <rcc rId="1788" sId="2" odxf="1" dxf="1">
    <nc r="C148">
      <v>20200511</v>
    </nc>
    <ndxf>
      <fill>
        <patternFill patternType="solid">
          <bgColor rgb="FFFFC000"/>
        </patternFill>
      </fill>
    </ndxf>
  </rcc>
  <rcc rId="1789" sId="2" odxf="1" dxf="1">
    <nc r="C149">
      <v>20200511</v>
    </nc>
    <ndxf>
      <fill>
        <patternFill patternType="solid">
          <bgColor rgb="FFFFC000"/>
        </patternFill>
      </fill>
    </ndxf>
  </rcc>
  <rcc rId="1790" sId="2" odxf="1" dxf="1">
    <nc r="C150">
      <v>20200511</v>
    </nc>
    <ndxf>
      <fill>
        <patternFill patternType="solid">
          <bgColor rgb="FFFFC000"/>
        </patternFill>
      </fill>
    </ndxf>
  </rcc>
  <rcc rId="1791" sId="2" odxf="1" dxf="1">
    <nc r="C151">
      <v>20200511</v>
    </nc>
    <ndxf>
      <fill>
        <patternFill patternType="solid">
          <bgColor rgb="FFFFC000"/>
        </patternFill>
      </fill>
    </ndxf>
  </rcc>
  <rcc rId="1792" sId="2" odxf="1" dxf="1">
    <nc r="C152">
      <v>20200511</v>
    </nc>
    <ndxf>
      <fill>
        <patternFill patternType="solid">
          <bgColor rgb="FFFFC000"/>
        </patternFill>
      </fill>
    </ndxf>
  </rcc>
  <rcc rId="1793" sId="2" odxf="1" dxf="1">
    <nc r="C153">
      <v>20200511</v>
    </nc>
    <ndxf>
      <fill>
        <patternFill patternType="solid">
          <bgColor rgb="FFFFC000"/>
        </patternFill>
      </fill>
    </ndxf>
  </rcc>
  <rcc rId="1794" sId="2" odxf="1" dxf="1">
    <nc r="C154">
      <v>20200511</v>
    </nc>
    <ndxf>
      <fill>
        <patternFill patternType="solid">
          <bgColor rgb="FFFFC000"/>
        </patternFill>
      </fill>
    </ndxf>
  </rcc>
  <rcc rId="1795" sId="2" odxf="1" dxf="1">
    <nc r="C155">
      <v>20200511</v>
    </nc>
    <ndxf>
      <fill>
        <patternFill patternType="solid">
          <bgColor rgb="FFFFC000"/>
        </patternFill>
      </fill>
    </ndxf>
  </rcc>
  <rcc rId="1796" sId="2" odxf="1" dxf="1">
    <nc r="C156">
      <v>20200511</v>
    </nc>
    <ndxf>
      <fill>
        <patternFill patternType="solid">
          <bgColor rgb="FFFFC000"/>
        </patternFill>
      </fill>
    </ndxf>
  </rcc>
  <rfmt sheetId="2" sqref="C157" start="0" length="0">
    <dxf>
      <fill>
        <patternFill patternType="solid">
          <bgColor rgb="FFFFC000"/>
        </patternFill>
      </fill>
    </dxf>
  </rfmt>
  <rfmt sheetId="2" sqref="C157" start="0" length="0">
    <dxf>
      <fill>
        <patternFill patternType="none">
          <bgColor indexed="65"/>
        </patternFill>
      </fill>
    </dxf>
  </rfmt>
  <rcc rId="1797" sId="2" odxf="1" dxf="1">
    <nc r="B146">
      <f>B145+1</f>
    </nc>
    <ndxf>
      <fill>
        <patternFill patternType="solid">
          <bgColor rgb="FF92D050"/>
        </patternFill>
      </fill>
    </ndxf>
  </rcc>
  <rcc rId="1798" sId="2" odxf="1" dxf="1">
    <nc r="B147">
      <f>B146+1</f>
    </nc>
    <ndxf>
      <fill>
        <patternFill patternType="solid">
          <bgColor rgb="FF92D050"/>
        </patternFill>
      </fill>
    </ndxf>
  </rcc>
  <rcc rId="1799" sId="2" odxf="1" dxf="1">
    <nc r="B148">
      <f>B147+1</f>
    </nc>
    <ndxf>
      <fill>
        <patternFill patternType="solid">
          <bgColor rgb="FF92D050"/>
        </patternFill>
      </fill>
    </ndxf>
  </rcc>
  <rcc rId="1800" sId="2" odxf="1" dxf="1">
    <nc r="B149">
      <f>B148+1</f>
    </nc>
    <ndxf>
      <fill>
        <patternFill patternType="solid">
          <bgColor rgb="FF92D050"/>
        </patternFill>
      </fill>
    </ndxf>
  </rcc>
  <rcc rId="1801" sId="2" odxf="1" dxf="1">
    <nc r="B150">
      <f>B149+1</f>
    </nc>
    <ndxf>
      <fill>
        <patternFill patternType="solid">
          <bgColor rgb="FF92D050"/>
        </patternFill>
      </fill>
    </ndxf>
  </rcc>
  <rcc rId="1802" sId="2" odxf="1" dxf="1">
    <nc r="B151">
      <f>B150+1</f>
    </nc>
    <ndxf>
      <fill>
        <patternFill patternType="solid">
          <bgColor rgb="FF92D050"/>
        </patternFill>
      </fill>
    </ndxf>
  </rcc>
  <rcc rId="1803" sId="2" odxf="1" dxf="1">
    <nc r="B152">
      <f>B151+1</f>
    </nc>
    <ndxf>
      <fill>
        <patternFill patternType="solid">
          <bgColor rgb="FF92D050"/>
        </patternFill>
      </fill>
    </ndxf>
  </rcc>
  <rcc rId="1804" sId="2" odxf="1" dxf="1">
    <nc r="B153">
      <f>B152+1</f>
    </nc>
    <ndxf>
      <fill>
        <patternFill patternType="solid">
          <bgColor rgb="FF92D050"/>
        </patternFill>
      </fill>
    </ndxf>
  </rcc>
  <rcc rId="1805" sId="2" odxf="1" dxf="1">
    <nc r="B154">
      <f>B153+1</f>
    </nc>
    <ndxf>
      <fill>
        <patternFill patternType="solid">
          <bgColor rgb="FF92D050"/>
        </patternFill>
      </fill>
    </ndxf>
  </rcc>
  <rcc rId="1806" sId="2" odxf="1" dxf="1">
    <nc r="B155">
      <f>B154+1</f>
    </nc>
    <ndxf>
      <fill>
        <patternFill patternType="solid">
          <bgColor rgb="FF92D050"/>
        </patternFill>
      </fill>
    </ndxf>
  </rcc>
  <rcc rId="1807" sId="2" odxf="1" dxf="1">
    <nc r="B156">
      <f>B155+1</f>
    </nc>
    <ndxf>
      <fill>
        <patternFill patternType="solid">
          <bgColor rgb="FF92D050"/>
        </patternFill>
      </fill>
    </ndxf>
  </rcc>
  <rcmt sheetId="2" cell="C146" guid="{1E3C9B88-D83D-4526-B15D-BEE600BECD71}" author="EXTERNAL Nguyen Trung Hieu (Ban Vien, RBVH/EPS45)" newLength="79"/>
  <rcv guid="{250915DF-0B97-45D7-B29D-7EED4C89C1C1}" action="delete"/>
  <rdn rId="0" localSheetId="1" customView="1" name="Z_250915DF_0B97_45D7_B29D_7EED4C89C1C1_.wvu.FilterData" hidden="1" oldHidden="1">
    <formula>Merged_COEM!$B$47:$AO$308</formula>
    <oldFormula>Merged_COEM!$B$47:$AO$308</oldFormula>
  </rdn>
  <rdn rId="0" localSheetId="2" customView="1" name="Z_250915DF_0B97_45D7_B29D_7EED4C89C1C1_.wvu.FilterData" hidden="1" oldHidden="1">
    <formula>Merged_JOEM!$B$47:$AN$174</formula>
    <oldFormula>Merged_JOEM!$B$47:$AN$174</oldFormula>
  </rdn>
  <rcv guid="{250915DF-0B97-45D7-B29D-7EED4C89C1C1}" action="add"/>
</revisions>
</file>

<file path=xl/revisions/revisionLog1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10" sId="2" numFmtId="19">
    <oc r="AB146">
      <v>43976</v>
    </oc>
    <nc r="AB146">
      <v>43971</v>
    </nc>
  </rcc>
  <rcc rId="1811" sId="2" numFmtId="19">
    <oc r="AB147">
      <v>43976</v>
    </oc>
    <nc r="AB147">
      <v>43971</v>
    </nc>
  </rcc>
  <rcc rId="1812" sId="2" numFmtId="19">
    <oc r="AB148">
      <v>43976</v>
    </oc>
    <nc r="AB148">
      <v>43971</v>
    </nc>
  </rcc>
  <rcc rId="1813" sId="2" numFmtId="19">
    <oc r="AB149">
      <v>43976</v>
    </oc>
    <nc r="AB149">
      <v>43971</v>
    </nc>
  </rcc>
  <rcc rId="1814" sId="2" numFmtId="19">
    <oc r="AB150">
      <v>43976</v>
    </oc>
    <nc r="AB150">
      <v>43971</v>
    </nc>
  </rcc>
  <rcc rId="1815" sId="2" numFmtId="19">
    <oc r="AB151">
      <v>43976</v>
    </oc>
    <nc r="AB151">
      <v>43971</v>
    </nc>
  </rcc>
  <rcc rId="1816" sId="2" numFmtId="19">
    <oc r="AB152">
      <v>43976</v>
    </oc>
    <nc r="AB152">
      <v>43971</v>
    </nc>
  </rcc>
  <rcc rId="1817" sId="2" numFmtId="19">
    <oc r="AB153">
      <v>43976</v>
    </oc>
    <nc r="AB153">
      <v>43971</v>
    </nc>
  </rcc>
  <rcc rId="1818" sId="2" numFmtId="19">
    <oc r="AB154">
      <v>43976</v>
    </oc>
    <nc r="AB154">
      <v>43971</v>
    </nc>
  </rcc>
  <rcc rId="1819" sId="2" numFmtId="19">
    <oc r="AB155">
      <v>43976</v>
    </oc>
    <nc r="AB155">
      <v>43971</v>
    </nc>
  </rcc>
  <rcc rId="1820" sId="2" numFmtId="19">
    <oc r="AB156">
      <v>43976</v>
    </oc>
    <nc r="AB156">
      <v>43971</v>
    </nc>
  </rcc>
  <rcv guid="{250915DF-0B97-45D7-B29D-7EED4C89C1C1}" action="delete"/>
  <rdn rId="0" localSheetId="1" customView="1" name="Z_250915DF_0B97_45D7_B29D_7EED4C89C1C1_.wvu.FilterData" hidden="1" oldHidden="1">
    <formula>Merged_COEM!$B$47:$AO$308</formula>
    <oldFormula>Merged_COEM!$B$47:$AO$308</oldFormula>
  </rdn>
  <rdn rId="0" localSheetId="2" customView="1" name="Z_250915DF_0B97_45D7_B29D_7EED4C89C1C1_.wvu.FilterData" hidden="1" oldHidden="1">
    <formula>Merged_JOEM!$B$47:$AN$174</formula>
    <oldFormula>Merged_JOEM!$B$47:$AN$174</oldFormula>
  </rdn>
  <rcv guid="{250915DF-0B97-45D7-B29D-7EED4C89C1C1}" action="add"/>
</revisions>
</file>

<file path=xl/revisions/revisionLog1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23" sId="1">
    <nc r="AC313" t="inlineStr">
      <is>
        <t>s</t>
      </is>
    </nc>
  </rcc>
  <rcv guid="{250915DF-0B97-45D7-B29D-7EED4C89C1C1}" action="delete"/>
  <rdn rId="0" localSheetId="1" customView="1" name="Z_250915DF_0B97_45D7_B29D_7EED4C89C1C1_.wvu.FilterData" hidden="1" oldHidden="1">
    <formula>Merged_COEM!$B$47:$AO$308</formula>
    <oldFormula>Merged_COEM!$B$47:$AO$308</oldFormula>
  </rdn>
  <rdn rId="0" localSheetId="2" customView="1" name="Z_250915DF_0B97_45D7_B29D_7EED4C89C1C1_.wvu.FilterData" hidden="1" oldHidden="1">
    <formula>Merged_JOEM!$B$47:$AN$174</formula>
    <oldFormula>Merged_JOEM!$B$47:$AN$174</oldFormula>
  </rdn>
  <rcv guid="{250915DF-0B97-45D7-B29D-7EED4C89C1C1}" action="add"/>
</revisions>
</file>

<file path=xl/revisions/revisionLog1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Merged_COEM!$B$47:$AO$308</formula>
    <oldFormula>Merged_COEM!$B$47:$AO$308</oldFormula>
  </rdn>
  <rdn rId="0" localSheetId="2" customView="1" name="Z_250915DF_0B97_45D7_B29D_7EED4C89C1C1_.wvu.FilterData" hidden="1" oldHidden="1">
    <formula>Merged_JOEM!$B$47:$AN$174</formula>
    <oldFormula>Merged_JOEM!$B$47:$AN$174</oldFormula>
  </rdn>
  <rcv guid="{250915DF-0B97-45D7-B29D-7EED4C89C1C1}" action="add"/>
</revisions>
</file>

<file path=xl/revisions/revisionLog1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28" sId="2">
    <oc r="AG139" t="inlineStr">
      <is>
        <t>OK</t>
      </is>
    </oc>
    <nc r="AG139" t="inlineStr">
      <is>
        <t>NG</t>
      </is>
    </nc>
  </rcc>
  <rcc rId="1829" sId="2">
    <oc r="AK139" t="inlineStr">
      <is>
        <t>None</t>
      </is>
    </oc>
    <nc r="AK139" t="inlineStr">
      <is>
        <t>Defect</t>
      </is>
    </nc>
  </rcc>
  <rcv guid="{D33AC7AF-C8AB-4CE9-94C7-9237011A5FC3}" action="delete"/>
  <rdn rId="0" localSheetId="1" customView="1" name="Z_D33AC7AF_C8AB_4CE9_94C7_9237011A5FC3_.wvu.FilterData" hidden="1" oldHidden="1">
    <formula>Merged_COEM!$B$47:$AO$308</formula>
    <oldFormula>Merged_COEM!$B$47:$AN$308</oldFormula>
  </rdn>
  <rdn rId="0" localSheetId="2" customView="1" name="Z_D33AC7AF_C8AB_4CE9_94C7_9237011A5FC3_.wvu.FilterData" hidden="1" oldHidden="1">
    <formula>Merged_JOEM!$B$47:$AN$174</formula>
    <oldFormula>Merged_JOEM!$B$47:$AN$174</oldFormula>
  </rdn>
  <rcv guid="{D33AC7AF-C8AB-4CE9-94C7-9237011A5FC3}" action="add"/>
</revisions>
</file>

<file path=xl/revisions/revisionLog1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33AC7AF-C8AB-4CE9-94C7-9237011A5FC3}" action="delete"/>
  <rdn rId="0" localSheetId="1" customView="1" name="Z_D33AC7AF_C8AB_4CE9_94C7_9237011A5FC3_.wvu.FilterData" hidden="1" oldHidden="1">
    <formula>Merged_COEM!$B$47:$AO$308</formula>
    <oldFormula>Merged_COEM!$B$47:$AO$308</oldFormula>
  </rdn>
  <rdn rId="0" localSheetId="2" customView="1" name="Z_D33AC7AF_C8AB_4CE9_94C7_9237011A5FC3_.wvu.FilterData" hidden="1" oldHidden="1">
    <formula>Merged_JOEM!$B$47:$AN$174</formula>
    <oldFormula>Merged_JOEM!$B$47:$AN$174</oldFormula>
  </rdn>
  <rcv guid="{D33AC7AF-C8AB-4CE9-94C7-9237011A5FC3}" action="add"/>
</revisions>
</file>

<file path=xl/revisions/revisionLog1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34" sId="2">
    <nc r="AN139" t="inlineStr">
      <is>
        <t>Defect ID: 1506926: [HONDA][Module Test] Redundant semicolon in rb_fun_dcom_4070_Byte11 function</t>
      </is>
    </nc>
  </rcc>
  <rcv guid="{D33AC7AF-C8AB-4CE9-94C7-9237011A5FC3}" action="delete"/>
  <rdn rId="0" localSheetId="1" customView="1" name="Z_D33AC7AF_C8AB_4CE9_94C7_9237011A5FC3_.wvu.FilterData" hidden="1" oldHidden="1">
    <formula>Merged_COEM!$B$47:$AO$308</formula>
    <oldFormula>Merged_COEM!$B$47:$AO$308</oldFormula>
  </rdn>
  <rdn rId="0" localSheetId="2" customView="1" name="Z_D33AC7AF_C8AB_4CE9_94C7_9237011A5FC3_.wvu.FilterData" hidden="1" oldHidden="1">
    <formula>Merged_JOEM!$B$47:$AN$174</formula>
    <oldFormula>Merged_JOEM!$B$47:$AN$174</oldFormula>
  </rdn>
  <rcv guid="{D33AC7AF-C8AB-4CE9-94C7-9237011A5FC3}" action="add"/>
</revisions>
</file>

<file path=xl/revisions/userNames1.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4">
  <userInfo guid="{FA9B034B-CF50-4755-B487-FB1E9E75D268}" name="EXTERNAL Nguyen Kim Thanh (Ban Vien, RBVH/EPS45)" id="-41260507" dateTime="2020-05-22T12:53:31"/>
  <userInfo guid="{68A043FB-7A56-4F9F-9579-36E06FC5445F}" name="EXTERNAL Do Phu Loc (Ban Vien, RBVH/EPS45)" id="-1167957018" dateTime="2020-05-22T15:03:53"/>
  <userInfo guid="{005C8B3A-60A4-4759-9F7D-90392CE11F49}" name="EXTERNAL Nguyen Tai Hau (Ban Vien, RBVH/EPS45)" id="-1204142873" dateTime="2020-05-22T16:13:30"/>
  <userInfo guid="{939960FF-B72C-4E55-93CF-219D9EB0B5FD}" name="gup7hc" id="-630765749" dateTime="2020-05-25T09:28:44"/>
</us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comments" Target="../comments1.xml"/><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12"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21.bin"/><Relationship Id="rId3" Type="http://schemas.openxmlformats.org/officeDocument/2006/relationships/printerSettings" Target="../printerSettings/printerSettings16.bin"/><Relationship Id="rId7" Type="http://schemas.openxmlformats.org/officeDocument/2006/relationships/printerSettings" Target="../printerSettings/printerSettings20.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printerSettings" Target="../printerSettings/printerSettings19.bin"/><Relationship Id="rId5" Type="http://schemas.openxmlformats.org/officeDocument/2006/relationships/printerSettings" Target="../printerSettings/printerSettings18.bin"/><Relationship Id="rId10" Type="http://schemas.openxmlformats.org/officeDocument/2006/relationships/printerSettings" Target="../printerSettings/printerSettings23.bin"/><Relationship Id="rId4" Type="http://schemas.openxmlformats.org/officeDocument/2006/relationships/printerSettings" Target="../printerSettings/printerSettings17.bin"/><Relationship Id="rId9" Type="http://schemas.openxmlformats.org/officeDocument/2006/relationships/printerSettings" Target="../printerSettings/printerSettings2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32.bin"/><Relationship Id="rId3" Type="http://schemas.openxmlformats.org/officeDocument/2006/relationships/printerSettings" Target="../printerSettings/printerSettings27.bin"/><Relationship Id="rId7" Type="http://schemas.openxmlformats.org/officeDocument/2006/relationships/printerSettings" Target="../printerSettings/printerSettings31.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printerSettings" Target="../printerSettings/printerSettings30.bin"/><Relationship Id="rId11" Type="http://schemas.openxmlformats.org/officeDocument/2006/relationships/printerSettings" Target="../printerSettings/printerSettings35.bin"/><Relationship Id="rId5" Type="http://schemas.openxmlformats.org/officeDocument/2006/relationships/printerSettings" Target="../printerSettings/printerSettings29.bin"/><Relationship Id="rId10" Type="http://schemas.openxmlformats.org/officeDocument/2006/relationships/printerSettings" Target="../printerSettings/printerSettings34.bin"/><Relationship Id="rId4" Type="http://schemas.openxmlformats.org/officeDocument/2006/relationships/printerSettings" Target="../printerSettings/printerSettings28.bin"/><Relationship Id="rId9" Type="http://schemas.openxmlformats.org/officeDocument/2006/relationships/printerSettings" Target="../printerSettings/printerSettings3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38.bin"/><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46.bin"/><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11" Type="http://schemas.openxmlformats.org/officeDocument/2006/relationships/printerSettings" Target="../printerSettings/printerSettings49.bin"/><Relationship Id="rId5" Type="http://schemas.openxmlformats.org/officeDocument/2006/relationships/printerSettings" Target="../printerSettings/printerSettings43.bin"/><Relationship Id="rId10" Type="http://schemas.openxmlformats.org/officeDocument/2006/relationships/printerSettings" Target="../printerSettings/printerSettings48.bin"/><Relationship Id="rId4" Type="http://schemas.openxmlformats.org/officeDocument/2006/relationships/printerSettings" Target="../printerSettings/printerSettings42.bin"/><Relationship Id="rId9" Type="http://schemas.openxmlformats.org/officeDocument/2006/relationships/printerSettings" Target="../printerSettings/printerSettings4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P319"/>
  <sheetViews>
    <sheetView topLeftCell="T92" zoomScale="70" zoomScaleNormal="70" workbookViewId="0">
      <selection activeCell="M263" sqref="M263"/>
    </sheetView>
  </sheetViews>
  <sheetFormatPr defaultRowHeight="15" x14ac:dyDescent="0.25"/>
  <cols>
    <col min="3" max="3" width="10.85546875" customWidth="1"/>
    <col min="4" max="4" width="10.140625" customWidth="1"/>
    <col min="5" max="5" width="22.42578125" customWidth="1"/>
    <col min="6" max="6" width="66.42578125" customWidth="1"/>
    <col min="7" max="7" width="10.42578125" customWidth="1"/>
    <col min="8" max="8" width="12.140625" bestFit="1" customWidth="1"/>
    <col min="9" max="9" width="34.85546875" customWidth="1"/>
    <col min="10" max="10" width="12" bestFit="1" customWidth="1"/>
    <col min="11" max="11" width="17.7109375" customWidth="1"/>
    <col min="12" max="12" width="10.7109375" customWidth="1"/>
    <col min="13" max="13" width="13" customWidth="1"/>
    <col min="14" max="14" width="63.85546875" bestFit="1" customWidth="1"/>
    <col min="15" max="15" width="4.85546875" customWidth="1"/>
    <col min="16" max="16" width="31.85546875" customWidth="1"/>
    <col min="17" max="17" width="11.7109375" bestFit="1" customWidth="1"/>
    <col min="18" max="18" width="10.42578125" bestFit="1" customWidth="1"/>
    <col min="19" max="19" width="21.42578125" bestFit="1" customWidth="1"/>
    <col min="20" max="20" width="6.28515625" customWidth="1"/>
    <col min="21" max="21" width="5.7109375" customWidth="1"/>
    <col min="22" max="26" width="9.85546875" customWidth="1"/>
    <col min="27" max="27" width="19.28515625" customWidth="1"/>
    <col min="28" max="28" width="15" bestFit="1" customWidth="1"/>
    <col min="29" max="29" width="17.42578125" bestFit="1" customWidth="1"/>
    <col min="30" max="30" width="16" bestFit="1" customWidth="1"/>
    <col min="31" max="32" width="14.5703125" bestFit="1" customWidth="1"/>
    <col min="33" max="33" width="7.7109375" bestFit="1" customWidth="1"/>
    <col min="34" max="35" width="9.140625" bestFit="1" customWidth="1"/>
    <col min="36" max="36" width="9.85546875" bestFit="1" customWidth="1"/>
    <col min="37" max="37" width="7" customWidth="1"/>
    <col min="38" max="38" width="48.85546875" customWidth="1"/>
    <col min="39" max="39" width="35.85546875" bestFit="1" customWidth="1"/>
    <col min="40" max="40" width="45.140625" customWidth="1"/>
  </cols>
  <sheetData>
    <row r="1" spans="1:13" x14ac:dyDescent="0.25">
      <c r="A1" s="73" t="s">
        <v>150</v>
      </c>
    </row>
    <row r="2" spans="1:13" x14ac:dyDescent="0.25">
      <c r="B2" s="73" t="s">
        <v>52</v>
      </c>
      <c r="C2" s="24"/>
      <c r="D2" s="24"/>
      <c r="E2" s="24"/>
      <c r="F2" s="24"/>
      <c r="G2" s="24"/>
      <c r="H2" s="24"/>
    </row>
    <row r="3" spans="1:13" x14ac:dyDescent="0.25">
      <c r="B3" s="66" t="s">
        <v>0</v>
      </c>
      <c r="C3" s="66" t="s">
        <v>8</v>
      </c>
      <c r="D3" s="66" t="s">
        <v>129</v>
      </c>
      <c r="E3" s="66" t="s">
        <v>53</v>
      </c>
      <c r="F3" s="66" t="s">
        <v>136</v>
      </c>
      <c r="G3" s="66" t="s">
        <v>616</v>
      </c>
      <c r="H3" s="67" t="s">
        <v>24</v>
      </c>
      <c r="J3" s="73" t="s">
        <v>39</v>
      </c>
    </row>
    <row r="4" spans="1:13" x14ac:dyDescent="0.25">
      <c r="B4" s="68">
        <v>1</v>
      </c>
      <c r="C4" s="79" t="s">
        <v>6</v>
      </c>
      <c r="D4" s="70">
        <f>SUMIFS($W$48:$W$308,$D$48:$D$308,Table!$D$3,$S$48:$S$308,C4)</f>
        <v>4629</v>
      </c>
      <c r="E4" s="70">
        <f>SUMIFS($X$48:$X$308,$D$48:$D$308,Table!$D$3,$S$48:$S$308,C4)-SUM(SUMIFS($X$48:$X$308,$D$48:$D$308,Table!$D$3,$S$48:$S$308,C4,$AA$48:$AA$308,{"Ongoing","N\A",""}))</f>
        <v>4629</v>
      </c>
      <c r="F4" s="70">
        <f>1/8*(SUMIFS($Z$48:$Z$308,$D$48:$D$308,Table!$D$3,$S$48:$S$308,C4)-SUM(SUMIFS($Z$48:$Z$308,$D$48:$D$308,Table!$D$3,$S$48:$S$308,C4,$AA$48:$AA$308,{"Ongoing","N/A",""})))</f>
        <v>3.375</v>
      </c>
      <c r="G4" s="70">
        <f>IF(ISERROR(E4/(F4)),"N/A",E4/F4)</f>
        <v>1371.5555555555557</v>
      </c>
      <c r="H4" s="71">
        <f>IF(ISERROR(E4/D4),"N/A",E4/D4)</f>
        <v>1</v>
      </c>
      <c r="K4" s="73" t="s">
        <v>41</v>
      </c>
    </row>
    <row r="5" spans="1:13" x14ac:dyDescent="0.25">
      <c r="B5" s="68">
        <v>2</v>
      </c>
      <c r="C5" s="79" t="s">
        <v>64</v>
      </c>
      <c r="D5" s="70">
        <f>SUMIFS($W$48:$W$308,$D$48:$D$308,Table!$D$3,$S$48:$S$308,C5)</f>
        <v>7668</v>
      </c>
      <c r="E5" s="70">
        <f>SUMIFS($X$48:$X$308,$D$48:$D$308,Table!$D$3,$S$48:$S$308,C5)-SUM(SUMIFS($X$48:$X$308,$D$48:$D$308,Table!$D$3,$S$48:$S$308,C5,$AA$48:$AA$308,{"Ongoing","N\A",""}))</f>
        <v>7668</v>
      </c>
      <c r="F5" s="70">
        <f>1/8*(SUMIFS($Z$48:$Z$308,$D$48:$D$308,Table!$D$3,$S$48:$S$308,C5)-SUM(SUMIFS($Z$48:$Z$308,$D$48:$D$308,Table!$D$3,$S$48:$S$308,C5,$AA$48:$AA$308,{"Ongoing","N/A",""})))</f>
        <v>8.5250000000000004</v>
      </c>
      <c r="G5" s="70">
        <f t="shared" ref="G5:G6" si="0">IF(ISERROR(E5/(F5)),"N/A",E5/F5)</f>
        <v>899.47214076246325</v>
      </c>
      <c r="H5" s="71">
        <f t="shared" ref="H5:H14" si="1">IF(ISERROR(E5/D5),"N/A",E5/D5)</f>
        <v>1</v>
      </c>
      <c r="L5" s="24" t="s">
        <v>40</v>
      </c>
    </row>
    <row r="6" spans="1:13" x14ac:dyDescent="0.25">
      <c r="B6" s="68">
        <v>3</v>
      </c>
      <c r="C6" s="79" t="s">
        <v>65</v>
      </c>
      <c r="D6" s="70">
        <f>SUMIFS($W$48:$W$308,$D$48:$D$308,Table!$D$3,$S$48:$S$308,C6)</f>
        <v>5562</v>
      </c>
      <c r="E6" s="70">
        <f>SUMIFS($X$48:$X$308,$D$48:$D$308,Table!$D$3,$S$48:$S$308,C6)-SUM(SUMIFS($X$48:$X$308,$D$48:$D$308,Table!$D$3,$S$48:$S$308,C6,$AA$48:$AA$308,{"Ongoing","N\A",""}))</f>
        <v>5562</v>
      </c>
      <c r="F6" s="70">
        <f>1/8*(SUMIFS($Z$48:$Z$308,$D$48:$D$308,Table!$D$3,$S$48:$S$308,C6)-SUM(SUMIFS($Z$48:$Z$308,$D$48:$D$308,Table!$D$3,$S$48:$S$308,C6,$AA$48:$AA$308,{"Ongoing","N/A",""})))</f>
        <v>4.125</v>
      </c>
      <c r="G6" s="70">
        <f t="shared" si="0"/>
        <v>1348.3636363636363</v>
      </c>
      <c r="H6" s="71">
        <f t="shared" si="1"/>
        <v>1</v>
      </c>
      <c r="L6" s="24" t="s">
        <v>100</v>
      </c>
    </row>
    <row r="7" spans="1:13" x14ac:dyDescent="0.25">
      <c r="B7" s="68">
        <v>4</v>
      </c>
      <c r="C7" s="83" t="s">
        <v>66</v>
      </c>
      <c r="D7" s="70">
        <f>SUMIFS($W$48:$W$308,$D$48:$D$308,Table!$D$3,$S$48:$S$308,C7)</f>
        <v>0</v>
      </c>
      <c r="E7" s="70">
        <f>SUMIFS($X$48:$X$308,$D$48:$D$308,Table!$D$3,$S$48:$S$308,C7)-SUM(SUMIFS($X$48:$X$308,$D$48:$D$308,Table!$D$3,$S$48:$S$308,C7,$AA$48:$AA$308,{"Ongoing","N\A",""}))</f>
        <v>0</v>
      </c>
      <c r="F7" s="70">
        <f>1/8*(SUMIFS($Z$48:$Z$308,$D$48:$D$308,Table!$D$3,$S$48:$S$308,C7)-SUM(SUMIFS($Z$48:$Z$308,$D$48:$D$308,Table!$D$3,$S$48:$S$308,C7,$AA$48:$AA$308,{"Ongoing","N/A",""})))</f>
        <v>0</v>
      </c>
      <c r="G7" s="70" t="str">
        <f t="shared" ref="G7:G13" si="2">IF(ISERROR(E7/(F7)),"N/A",E7/F7)</f>
        <v>N/A</v>
      </c>
      <c r="H7" s="71" t="str">
        <f t="shared" ref="H7:H13" si="3">IF(ISERROR(E7/D7),"N/A",E7/D7)</f>
        <v>N/A</v>
      </c>
      <c r="K7" s="73" t="s">
        <v>42</v>
      </c>
    </row>
    <row r="8" spans="1:13" x14ac:dyDescent="0.25">
      <c r="B8" s="68">
        <v>5</v>
      </c>
      <c r="C8" s="79" t="s">
        <v>67</v>
      </c>
      <c r="D8" s="70">
        <f>SUMIFS($W$48:$W$308,$D$48:$D$308,Table!$D$3,$S$48:$S$308,C8)</f>
        <v>4996</v>
      </c>
      <c r="E8" s="70">
        <f>SUMIFS($X$48:$X$308,$D$48:$D$308,Table!$D$3,$S$48:$S$308,C8)-SUM(SUMIFS($X$48:$X$308,$D$48:$D$308,Table!$D$3,$S$48:$S$308,C8,$AA$48:$AA$308,{"Ongoing","N\A",""}))</f>
        <v>4996</v>
      </c>
      <c r="F8" s="70">
        <f>1/8*(SUMIFS($Z$48:$Z$308,$D$48:$D$308,Table!$D$3,$S$48:$S$308,C8)-SUM(SUMIFS($Z$48:$Z$308,$D$48:$D$308,Table!$D$3,$S$48:$S$308,C8,$AA$48:$AA$308,{"Ongoing","N/A",""})))</f>
        <v>7.4612499999999988</v>
      </c>
      <c r="G8" s="70">
        <f t="shared" si="2"/>
        <v>669.59289663260188</v>
      </c>
      <c r="H8" s="71">
        <f t="shared" si="3"/>
        <v>1</v>
      </c>
      <c r="L8" s="24" t="s">
        <v>43</v>
      </c>
    </row>
    <row r="9" spans="1:13" x14ac:dyDescent="0.25">
      <c r="B9" s="68">
        <v>6</v>
      </c>
      <c r="C9" s="79" t="s">
        <v>68</v>
      </c>
      <c r="D9" s="70">
        <f>SUMIFS($W$48:$W$308,$D$48:$D$308,Table!$D$3,$S$48:$S$308,C9)</f>
        <v>4456</v>
      </c>
      <c r="E9" s="70">
        <f>SUMIFS($X$48:$X$308,$D$48:$D$308,Table!$D$3,$S$48:$S$308,C9)-SUM(SUMIFS($X$48:$X$308,$D$48:$D$308,Table!$D$3,$S$48:$S$308,C9,$AA$48:$AA$308,{"Ongoing","N\A",""}))</f>
        <v>4456</v>
      </c>
      <c r="F9" s="70">
        <f>1/8*(SUMIFS($Z$48:$Z$308,$D$48:$D$308,Table!$D$3,$S$48:$S$308,C9)-SUM(SUMIFS($Z$48:$Z$308,$D$48:$D$308,Table!$D$3,$S$48:$S$308,C9,$AA$48:$AA$308,{"Ongoing","N/A",""})))</f>
        <v>6.4662500000000005</v>
      </c>
      <c r="G9" s="70">
        <f t="shared" si="2"/>
        <v>689.11656678909719</v>
      </c>
      <c r="H9" s="71">
        <f t="shared" si="3"/>
        <v>1</v>
      </c>
      <c r="L9" s="24" t="s">
        <v>44</v>
      </c>
    </row>
    <row r="10" spans="1:13" x14ac:dyDescent="0.25">
      <c r="B10" s="68">
        <v>7</v>
      </c>
      <c r="C10" s="79" t="s">
        <v>69</v>
      </c>
      <c r="D10" s="70">
        <f>SUMIFS($W$48:$W$308,$D$48:$D$308,Table!$D$3,$S$48:$S$308,C10)</f>
        <v>4056</v>
      </c>
      <c r="E10" s="70">
        <f>SUMIFS($X$48:$X$308,$D$48:$D$308,Table!$D$3,$S$48:$S$308,C10)-SUM(SUMIFS($X$48:$X$308,$D$48:$D$308,Table!$D$3,$S$48:$S$308,C10,$AA$48:$AA$308,{"Ongoing","N\A",""}))</f>
        <v>4056</v>
      </c>
      <c r="F10" s="70">
        <f>1/8*(SUMIFS($Z$48:$Z$308,$D$48:$D$308,Table!$D$3,$S$48:$S$308,C10)-SUM(SUMIFS($Z$48:$Z$308,$D$48:$D$308,Table!$D$3,$S$48:$S$308,C10,$AA$48:$AA$308,{"Ongoing","N/A",""})))</f>
        <v>5.6499999999999995</v>
      </c>
      <c r="G10" s="70">
        <f t="shared" si="2"/>
        <v>717.87610619469035</v>
      </c>
      <c r="H10" s="71">
        <f t="shared" si="3"/>
        <v>1</v>
      </c>
    </row>
    <row r="11" spans="1:13" x14ac:dyDescent="0.25">
      <c r="B11" s="68">
        <v>8</v>
      </c>
      <c r="C11" s="79" t="s">
        <v>70</v>
      </c>
      <c r="D11" s="70">
        <f>SUMIFS($W$48:$W$308,$D$48:$D$308,Table!$D$3,$S$48:$S$308,C11)</f>
        <v>5666</v>
      </c>
      <c r="E11" s="70">
        <f>SUMIFS($X$48:$X$308,$D$48:$D$308,Table!$D$3,$S$48:$S$308,C11)-SUM(SUMIFS($X$48:$X$308,$D$48:$D$308,Table!$D$3,$S$48:$S$308,C11,$AA$48:$AA$308,{"Ongoing","N\A",""}))</f>
        <v>5666</v>
      </c>
      <c r="F11" s="70">
        <f>1/8*(SUMIFS($Z$48:$Z$308,$D$48:$D$308,Table!$D$3,$S$48:$S$308,C11)-SUM(SUMIFS($Z$48:$Z$308,$D$48:$D$308,Table!$D$3,$S$48:$S$308,C11,$AA$48:$AA$308,{"Ongoing","N/A",""})))</f>
        <v>3.6875</v>
      </c>
      <c r="G11" s="70">
        <f t="shared" si="2"/>
        <v>1536.542372881356</v>
      </c>
      <c r="H11" s="71">
        <f t="shared" si="3"/>
        <v>1</v>
      </c>
    </row>
    <row r="12" spans="1:13" x14ac:dyDescent="0.25">
      <c r="B12" s="68">
        <v>9</v>
      </c>
      <c r="C12" s="69" t="s">
        <v>156</v>
      </c>
      <c r="D12" s="70">
        <f>SUMIFS($W$48:$W$308,$D$48:$D$308,Table!$D$3,$S$48:$S$308,C12)</f>
        <v>0</v>
      </c>
      <c r="E12" s="70">
        <f>SUMIFS($X$48:$X$308,$D$48:$D$308,Table!$D$3,$S$48:$S$308,C12)-SUM(SUMIFS($X$48:$X$308,$D$48:$D$308,Table!$D$3,$S$48:$S$308,C12,$AA$48:$AA$308,{"Ongoing","N\A",""}))</f>
        <v>0</v>
      </c>
      <c r="F12" s="70">
        <f>1/8*(SUMIFS($Z$48:$Z$308,$D$48:$D$308,Table!$D$3,$S$48:$S$308,C12)-SUM(SUMIFS($Z$48:$Z$308,$D$48:$D$308,Table!$D$3,$S$48:$S$308,C12,$AA$48:$AA$308,{"Ongoing","N/A",""})))</f>
        <v>0</v>
      </c>
      <c r="G12" s="70" t="str">
        <f t="shared" si="2"/>
        <v>N/A</v>
      </c>
      <c r="H12" s="71" t="str">
        <f t="shared" si="3"/>
        <v>N/A</v>
      </c>
    </row>
    <row r="13" spans="1:13" x14ac:dyDescent="0.25">
      <c r="B13" s="68">
        <v>10</v>
      </c>
      <c r="C13" s="79" t="s">
        <v>157</v>
      </c>
      <c r="D13" s="70">
        <f>SUMIFS($W$48:$W$308,$D$48:$D$308,Table!$D$3,$S$48:$S$308,C13)</f>
        <v>4338</v>
      </c>
      <c r="E13" s="70">
        <f>SUMIFS($X$48:$X$308,$D$48:$D$308,Table!$D$3,$S$48:$S$308,C13)-SUM(SUMIFS($X$48:$X$308,$D$48:$D$308,Table!$D$3,$S$48:$S$308,C13,$AA$48:$AA$308,{"Ongoing","N\A",""}))</f>
        <v>4338</v>
      </c>
      <c r="F13" s="70">
        <f>1/8*(SUMIFS($Z$48:$Z$308,$D$48:$D$308,Table!$D$3,$S$48:$S$308,C13)-SUM(SUMIFS($Z$48:$Z$308,$D$48:$D$308,Table!$D$3,$S$48:$S$308,C13,$AA$48:$AA$308,{"Ongoing","N/A",""})))</f>
        <v>3.72</v>
      </c>
      <c r="G13" s="70">
        <f t="shared" si="2"/>
        <v>1166.1290322580644</v>
      </c>
      <c r="H13" s="71">
        <f t="shared" si="3"/>
        <v>1</v>
      </c>
      <c r="J13" s="73" t="s">
        <v>38</v>
      </c>
      <c r="K13" s="36">
        <v>43952</v>
      </c>
      <c r="M13" s="36">
        <v>43971</v>
      </c>
    </row>
    <row r="14" spans="1:13" x14ac:dyDescent="0.25">
      <c r="B14" s="66" t="s">
        <v>109</v>
      </c>
      <c r="C14" s="72"/>
      <c r="D14" s="74">
        <f>SUMIFS($W$48:$W$308,$D$48:$D$308,Table!$D$3)</f>
        <v>41371</v>
      </c>
      <c r="E14" s="74">
        <f>SUMIFS($W$48:$W$308,$D$48:$D$308,Table!$D$3)-SUM(SUMIFS($W$48:$W$308,$D$48:$D$308,Table!$D$3,$AA$48:$AA$308,{"Ongoing","N/A",""}))</f>
        <v>41371</v>
      </c>
      <c r="F14" s="74">
        <f>1/8*(SUMIFS($Z$48:$Z$308,$D$48:$D$308,Table!$D$3)-SUM(SUMIFS($Z$48:$Z$308,$D$48:$D$308,Table!$D$3,$AA$48:$AA$308,{"Ongoing","N/A",""})))</f>
        <v>43.010000000000012</v>
      </c>
      <c r="G14" s="70">
        <f>IF(ISERROR(E14/(F14)),"N/A",E14/F14)</f>
        <v>961.89258312020434</v>
      </c>
      <c r="H14" s="71">
        <f t="shared" si="1"/>
        <v>1</v>
      </c>
      <c r="J14" s="73" t="s">
        <v>30</v>
      </c>
      <c r="K14" s="76">
        <f>SUM(INT((WEEKDAY(K13-{2,3,4,5,6}) +M13-K13)/7))</f>
        <v>14</v>
      </c>
    </row>
    <row r="15" spans="1:13" x14ac:dyDescent="0.25">
      <c r="J15" s="73" t="s">
        <v>145</v>
      </c>
      <c r="K15" s="76">
        <v>1</v>
      </c>
      <c r="L15" s="77" t="s">
        <v>318</v>
      </c>
    </row>
    <row r="16" spans="1:13" x14ac:dyDescent="0.25">
      <c r="J16" s="73" t="s">
        <v>111</v>
      </c>
      <c r="K16" s="24">
        <f ca="1">IF(TODAY()&lt;M13,SUM(INT((WEEKDAY(K13-{2,3,4,5,6})+TODAY()-K13)/7)),SUM(INT((WEEKDAY(K13-{2,3,4,5,6})+M13-K13)/7)))-K15</f>
        <v>13</v>
      </c>
    </row>
    <row r="17" spans="1:13" x14ac:dyDescent="0.25">
      <c r="B17" s="73" t="s">
        <v>51</v>
      </c>
    </row>
    <row r="18" spans="1:13" x14ac:dyDescent="0.25">
      <c r="B18" s="66" t="s">
        <v>0</v>
      </c>
      <c r="C18" s="66" t="s">
        <v>8</v>
      </c>
      <c r="D18" s="66" t="s">
        <v>129</v>
      </c>
      <c r="E18" s="66" t="s">
        <v>53</v>
      </c>
      <c r="F18" s="66" t="s">
        <v>136</v>
      </c>
      <c r="G18" s="66" t="s">
        <v>22</v>
      </c>
      <c r="H18" s="67" t="s">
        <v>24</v>
      </c>
    </row>
    <row r="19" spans="1:13" x14ac:dyDescent="0.25">
      <c r="B19" s="68">
        <v>1</v>
      </c>
      <c r="C19" s="79" t="s">
        <v>6</v>
      </c>
      <c r="D19" s="70">
        <f>SUMIFS($W$48:$W$308,$D$48:$D$308,Table!$C$3,$S$48:$S$308,C19)</f>
        <v>0</v>
      </c>
      <c r="E19" s="70">
        <f>SUMIFS($X$48:$X$308,$D$48:$D$308,Table!$C$3,$S$48:$S$308,C19)-SUM(SUMIFS($X$48:$X$308,$D$48:$D$308,Table!$C$3,$S$48:$S$308,C19,$AA$48:$AA$308,{"Ongoing","N/A",""}))</f>
        <v>0</v>
      </c>
      <c r="F19" s="70">
        <f>1/8*(SUMIFS($Z$48:$Z$308,$D$48:$D$308,Table!$C$3,$S$48:$S$308,C19)-SUM(SUMIFS($Z$48:$Z$308,$D$48:$D$308,Table!$C$3,$S$48:$S$308,C19,$AA$48:$AA$308,{"Ongoing","N/A",""})))</f>
        <v>0</v>
      </c>
      <c r="G19" s="70" t="str">
        <f>IF(ISERROR(E19/(F19)),"N/A",E19/F19)</f>
        <v>N/A</v>
      </c>
      <c r="H19" s="71" t="str">
        <f>IF(ISERROR(E19/D19),"N/A",E19/D19)</f>
        <v>N/A</v>
      </c>
      <c r="J19" s="87"/>
      <c r="K19" s="75"/>
      <c r="M19" s="75"/>
    </row>
    <row r="20" spans="1:13" x14ac:dyDescent="0.25">
      <c r="B20" s="68">
        <v>2</v>
      </c>
      <c r="C20" s="79" t="s">
        <v>64</v>
      </c>
      <c r="D20" s="70">
        <f>SUMIFS($W$48:$W$308,$D$48:$D$308,Table!$C$3,$S$48:$S$308,C20)</f>
        <v>20</v>
      </c>
      <c r="E20" s="70">
        <f>SUMIFS($X$48:$X$308,$D$48:$D$308,Table!$C$3,$S$48:$S$308,C20)-SUM(SUMIFS($X$48:$X$308,$D$48:$D$308,Table!$C$3,$S$48:$S$308,C20,$AA$48:$AA$308,{"Ongoing","N/A",""}))</f>
        <v>20</v>
      </c>
      <c r="F20" s="70">
        <f>1/8*(SUMIFS($Z$48:$Z$308,$D$48:$D$308,Table!$C$3,$S$48:$S$308,C20)-SUM(SUMIFS($Z$48:$Z$308,$D$48:$D$308,Table!$C$3,$S$48:$S$308,C20,$AA$48:$AA$308,{"Ongoing","N/A",""})))</f>
        <v>0.15375</v>
      </c>
      <c r="G20" s="70">
        <f t="shared" ref="G20:G29" si="4">IF(ISERROR(E20/(F20)),"N/A",E20/F20)</f>
        <v>130.08130081300814</v>
      </c>
      <c r="H20" s="71">
        <f t="shared" ref="H20:H29" si="5">IF(ISERROR(E20/D20),"N/A",E20/D20)</f>
        <v>1</v>
      </c>
      <c r="J20" s="87"/>
      <c r="K20" s="24"/>
    </row>
    <row r="21" spans="1:13" x14ac:dyDescent="0.25">
      <c r="B21" s="68">
        <v>3</v>
      </c>
      <c r="C21" s="79" t="s">
        <v>65</v>
      </c>
      <c r="D21" s="70">
        <f>SUMIFS($W$48:$W$308,$D$48:$D$308,Table!$C$3,$S$48:$S$308,C21)</f>
        <v>0</v>
      </c>
      <c r="E21" s="70">
        <f>SUMIFS($X$48:$X$308,$D$48:$D$308,Table!$C$3,$S$48:$S$308,C21)-SUM(SUMIFS($X$48:$X$308,$D$48:$D$308,Table!$C$3,$S$48:$S$308,C21,$AA$48:$AA$308,{"Ongoing","N/A",""}))</f>
        <v>0</v>
      </c>
      <c r="F21" s="70">
        <f>1/8*(SUMIFS($Z$48:$Z$308,$D$48:$D$308,Table!$C$3,$S$48:$S$308,C21)-SUM(SUMIFS($Z$48:$Z$308,$D$48:$D$308,Table!$C$3,$S$48:$S$308,C21,$AA$48:$AA$308,{"Ongoing","N/A",""})))</f>
        <v>0</v>
      </c>
      <c r="G21" s="70" t="str">
        <f t="shared" ref="G21:G28" si="6">IF(ISERROR(E21/(F21)),"N/A",E21/F21)</f>
        <v>N/A</v>
      </c>
      <c r="H21" s="71" t="str">
        <f t="shared" ref="H21:H28" si="7">IF(ISERROR(E21/D21),"N/A",E21/D21)</f>
        <v>N/A</v>
      </c>
      <c r="J21" s="87"/>
      <c r="K21" s="24"/>
      <c r="L21" s="77"/>
    </row>
    <row r="22" spans="1:13" x14ac:dyDescent="0.25">
      <c r="B22" s="68">
        <v>4</v>
      </c>
      <c r="C22" s="83" t="s">
        <v>66</v>
      </c>
      <c r="D22" s="70">
        <f>SUMIFS($W$48:$W$308,$D$48:$D$308,Table!$C$3,$S$48:$S$308,C22)</f>
        <v>0</v>
      </c>
      <c r="E22" s="70">
        <f>SUMIFS($X$48:$X$308,$D$48:$D$308,Table!$C$3,$S$48:$S$308,C22)-SUM(SUMIFS($X$48:$X$308,$D$48:$D$308,Table!$C$3,$S$48:$S$308,C22,$AA$48:$AA$308,{"Ongoing","N/A",""}))</f>
        <v>0</v>
      </c>
      <c r="F22" s="70">
        <f>1/8*(SUMIFS($Z$48:$Z$308,$D$48:$D$308,Table!$C$3,$S$48:$S$308,C22)-SUM(SUMIFS($Z$48:$Z$308,$D$48:$D$308,Table!$C$3,$S$48:$S$308,C22,$AA$48:$AA$308,{"Ongoing","N/A",""})))</f>
        <v>0</v>
      </c>
      <c r="G22" s="70" t="str">
        <f t="shared" si="6"/>
        <v>N/A</v>
      </c>
      <c r="H22" s="71" t="str">
        <f t="shared" si="7"/>
        <v>N/A</v>
      </c>
      <c r="J22" s="87"/>
      <c r="K22" s="24"/>
    </row>
    <row r="23" spans="1:13" x14ac:dyDescent="0.25">
      <c r="B23" s="68">
        <v>5</v>
      </c>
      <c r="C23" s="79" t="s">
        <v>67</v>
      </c>
      <c r="D23" s="70">
        <f>SUMIFS($W$48:$W$308,$D$48:$D$308,Table!$C$3,$S$48:$S$308,C23)</f>
        <v>93</v>
      </c>
      <c r="E23" s="70">
        <f>SUMIFS($X$48:$X$308,$D$48:$D$308,Table!$C$3,$S$48:$S$308,C23)-SUM(SUMIFS($X$48:$X$308,$D$48:$D$308,Table!$C$3,$S$48:$S$308,C23,$AA$48:$AA$308,{"Ongoing","N/A",""}))</f>
        <v>93</v>
      </c>
      <c r="F23" s="70">
        <f>1/8*(SUMIFS($Z$48:$Z$308,$D$48:$D$308,Table!$C$3,$S$48:$S$308,C23)-SUM(SUMIFS($Z$48:$Z$308,$D$48:$D$308,Table!$C$3,$S$48:$S$308,C23,$AA$48:$AA$308,{"Ongoing","N/A",""})))</f>
        <v>0.6875</v>
      </c>
      <c r="G23" s="70">
        <f t="shared" si="6"/>
        <v>135.27272727272728</v>
      </c>
      <c r="H23" s="71">
        <f t="shared" si="7"/>
        <v>1</v>
      </c>
    </row>
    <row r="24" spans="1:13" x14ac:dyDescent="0.25">
      <c r="B24" s="68">
        <v>6</v>
      </c>
      <c r="C24" s="79" t="s">
        <v>68</v>
      </c>
      <c r="D24" s="70">
        <f>SUMIFS($W$48:$W$308,$D$48:$D$308,Table!$C$3,$S$48:$S$308,C24)</f>
        <v>166</v>
      </c>
      <c r="E24" s="70">
        <f>SUMIFS($X$48:$X$308,$D$48:$D$308,Table!$C$3,$S$48:$S$308,C24)-SUM(SUMIFS($X$48:$X$308,$D$48:$D$308,Table!$C$3,$S$48:$S$308,C24,$AA$48:$AA$308,{"Ongoing","N/A",""}))</f>
        <v>166</v>
      </c>
      <c r="F24" s="70">
        <f>1/8*(SUMIFS($Z$48:$Z$308,$D$48:$D$308,Table!$C$3,$S$48:$S$308,C24)-SUM(SUMIFS($Z$48:$Z$308,$D$48:$D$308,Table!$C$3,$S$48:$S$308,C24,$AA$48:$AA$308,{"Ongoing","N/A",""})))</f>
        <v>1</v>
      </c>
      <c r="G24" s="70">
        <f t="shared" si="6"/>
        <v>166</v>
      </c>
      <c r="H24" s="71">
        <f t="shared" si="7"/>
        <v>1</v>
      </c>
    </row>
    <row r="25" spans="1:13" x14ac:dyDescent="0.25">
      <c r="B25" s="68">
        <v>7</v>
      </c>
      <c r="C25" s="79" t="s">
        <v>69</v>
      </c>
      <c r="D25" s="70">
        <f>SUMIFS($W$48:$W$308,$D$48:$D$308,Table!$C$3,$S$48:$S$308,C25)</f>
        <v>152</v>
      </c>
      <c r="E25" s="70">
        <f>SUMIFS($X$48:$X$308,$D$48:$D$308,Table!$C$3,$S$48:$S$308,C25)-SUM(SUMIFS($X$48:$X$308,$D$48:$D$308,Table!$C$3,$S$48:$S$308,C25,$AA$48:$AA$308,{"Ongoing","N/A",""}))</f>
        <v>152</v>
      </c>
      <c r="F25" s="70">
        <f>1/8*(SUMIFS($Z$48:$Z$308,$D$48:$D$308,Table!$C$3,$S$48:$S$308,C25)-SUM(SUMIFS($Z$48:$Z$308,$D$48:$D$308,Table!$C$3,$S$48:$S$308,C25,$AA$48:$AA$308,{"Ongoing","N/A",""})))</f>
        <v>1.125</v>
      </c>
      <c r="G25" s="70">
        <f t="shared" si="6"/>
        <v>135.11111111111111</v>
      </c>
      <c r="H25" s="71">
        <f t="shared" si="7"/>
        <v>1</v>
      </c>
    </row>
    <row r="26" spans="1:13" x14ac:dyDescent="0.25">
      <c r="B26" s="68">
        <v>8</v>
      </c>
      <c r="C26" s="79" t="s">
        <v>70</v>
      </c>
      <c r="D26" s="70">
        <f>SUMIFS($W$48:$W$308,$D$48:$D$308,Table!$C$3,$S$48:$S$308,C26)</f>
        <v>0</v>
      </c>
      <c r="E26" s="70">
        <f>SUMIFS($X$48:$X$308,$D$48:$D$308,Table!$C$3,$S$48:$S$308,C26)-SUM(SUMIFS($X$48:$X$308,$D$48:$D$308,Table!$C$3,$S$48:$S$308,C26,$AA$48:$AA$308,{"Ongoing","N/A",""}))</f>
        <v>0</v>
      </c>
      <c r="F26" s="70">
        <f>1/8*(SUMIFS($Z$48:$Z$308,$D$48:$D$308,Table!$C$3,$S$48:$S$308,C26)-SUM(SUMIFS($Z$48:$Z$308,$D$48:$D$308,Table!$C$3,$S$48:$S$308,C26,$AA$48:$AA$308,{"Ongoing","N/A",""})))</f>
        <v>0</v>
      </c>
      <c r="G26" s="70" t="str">
        <f t="shared" si="6"/>
        <v>N/A</v>
      </c>
      <c r="H26" s="71" t="str">
        <f t="shared" si="7"/>
        <v>N/A</v>
      </c>
    </row>
    <row r="27" spans="1:13" x14ac:dyDescent="0.25">
      <c r="B27" s="68">
        <v>9</v>
      </c>
      <c r="C27" s="69" t="s">
        <v>156</v>
      </c>
      <c r="D27" s="70">
        <f>SUMIFS($W$48:$W$308,$D$48:$D$308,Table!$C$3,$S$48:$S$308,C27)</f>
        <v>0</v>
      </c>
      <c r="E27" s="70">
        <f>SUMIFS($X$48:$X$308,$D$48:$D$308,Table!$C$3,$S$48:$S$308,C27)-SUM(SUMIFS($X$48:$X$308,$D$48:$D$308,Table!$C$3,$S$48:$S$308,C27,$AA$48:$AA$308,{"Ongoing","N/A",""}))</f>
        <v>0</v>
      </c>
      <c r="F27" s="70">
        <f>1/8*(SUMIFS($Z$48:$Z$308,$D$48:$D$308,Table!$C$3,$S$48:$S$308,C27)-SUM(SUMIFS($Z$48:$Z$308,$D$48:$D$308,Table!$C$3,$S$48:$S$308,C27,$AA$48:$AA$308,{"Ongoing","N/A",""})))</f>
        <v>0</v>
      </c>
      <c r="G27" s="70" t="str">
        <f t="shared" si="6"/>
        <v>N/A</v>
      </c>
      <c r="H27" s="71" t="str">
        <f t="shared" si="7"/>
        <v>N/A</v>
      </c>
    </row>
    <row r="28" spans="1:13" x14ac:dyDescent="0.25">
      <c r="B28" s="68">
        <v>10</v>
      </c>
      <c r="C28" s="79" t="s">
        <v>157</v>
      </c>
      <c r="D28" s="70">
        <f>SUMIFS($W$48:$W$308,$D$48:$D$308,Table!$C$3,$S$48:$S$308,C28)</f>
        <v>97</v>
      </c>
      <c r="E28" s="70">
        <f>SUMIFS($X$48:$X$308,$D$48:$D$308,Table!$C$3,$S$48:$S$308,C28)-SUM(SUMIFS($X$48:$X$308,$D$48:$D$308,Table!$C$3,$S$48:$S$308,C28,$AA$48:$AA$308,{"Ongoing","N/A",""}))</f>
        <v>97</v>
      </c>
      <c r="F28" s="70">
        <f>1/8*(SUMIFS($Z$48:$Z$308,$D$48:$D$308,Table!$C$3,$S$48:$S$308,C28)-SUM(SUMIFS($Z$48:$Z$308,$D$48:$D$308,Table!$C$3,$S$48:$S$308,C28,$AA$48:$AA$308,{"Ongoing","N/A",""})))</f>
        <v>1.4375</v>
      </c>
      <c r="G28" s="70">
        <f t="shared" si="6"/>
        <v>67.478260869565219</v>
      </c>
      <c r="H28" s="71">
        <f t="shared" si="7"/>
        <v>1</v>
      </c>
    </row>
    <row r="29" spans="1:13" x14ac:dyDescent="0.25">
      <c r="B29" s="66" t="s">
        <v>109</v>
      </c>
      <c r="C29" s="72"/>
      <c r="D29" s="74">
        <f>ROUND(SUMIFS($W$48:$W$308,$D$48:$D$308,Table!$C$3),3)</f>
        <v>528</v>
      </c>
      <c r="E29" s="74">
        <f>ROUND(SUMIFS($W$48:$W$308,$D$48:$D$308,Table!$C$3)-SUM(SUMIFS($W$48:$W$308,$D$48:$D$308,Table!$C$3,$AA$48:$AA$308,{"Ongoing","N/A",""})),3)</f>
        <v>528</v>
      </c>
      <c r="F29" s="74">
        <f>1/8*(SUMIFS($Z$48:$Z$308,$D$48:$D$308,Table!$C$3)-SUM(SUMIFS($Z$48:$Z$308,$D$48:$D$308,Table!$C$3,$AA$48:$AA$308,{"Ongoing","N/A",""})))</f>
        <v>4.4037499999999996</v>
      </c>
      <c r="G29" s="70">
        <f t="shared" si="4"/>
        <v>119.89781436275902</v>
      </c>
      <c r="H29" s="71">
        <f t="shared" si="5"/>
        <v>1</v>
      </c>
      <c r="L29" s="6"/>
    </row>
    <row r="31" spans="1:13" ht="19.5" customHeight="1" x14ac:dyDescent="0.25"/>
    <row r="32" spans="1:13" x14ac:dyDescent="0.25">
      <c r="A32" s="1" t="s">
        <v>417</v>
      </c>
      <c r="B32" s="73" t="s">
        <v>110</v>
      </c>
    </row>
    <row r="33" spans="2:41" x14ac:dyDescent="0.25">
      <c r="B33" s="66" t="s">
        <v>0</v>
      </c>
      <c r="C33" s="66" t="s">
        <v>8</v>
      </c>
      <c r="D33" s="66" t="s">
        <v>129</v>
      </c>
      <c r="E33" s="66" t="s">
        <v>53</v>
      </c>
      <c r="F33" s="66" t="s">
        <v>102</v>
      </c>
      <c r="G33" s="66" t="s">
        <v>22</v>
      </c>
      <c r="H33" s="67" t="s">
        <v>24</v>
      </c>
      <c r="I33" s="95" t="s">
        <v>149</v>
      </c>
      <c r="J33" s="96" t="s">
        <v>164</v>
      </c>
    </row>
    <row r="34" spans="2:41" ht="15.75" x14ac:dyDescent="0.25">
      <c r="B34" s="68">
        <v>1</v>
      </c>
      <c r="C34" s="79" t="s">
        <v>6</v>
      </c>
      <c r="D34" s="70">
        <f>SUM(D19*Table!$D$4/Table!$C$4,D4)</f>
        <v>4629</v>
      </c>
      <c r="E34" s="70">
        <f>SUM(E19*Table!$D$4/Table!$C$4,E4)</f>
        <v>4629</v>
      </c>
      <c r="F34" s="70">
        <f ca="1">$K$16</f>
        <v>13</v>
      </c>
      <c r="G34" s="70">
        <f t="shared" ref="G34" ca="1" si="8">IF(ISERROR(E34/(F34)),"N/A",E34/F34)</f>
        <v>356.07692307692309</v>
      </c>
      <c r="H34" s="71">
        <f t="shared" ref="H34:H44" si="9">IF(ISERROR(E34/D34),"N/A",E34/D34)</f>
        <v>1</v>
      </c>
      <c r="I34" s="97">
        <f>COUNTIFS($S$48:$S$308,C34,$AK$48:$AK$308,Table!$C$36)</f>
        <v>1</v>
      </c>
      <c r="J34" s="97">
        <f>COUNTIFS($S$48:$S$308,C34,$AK$48:$AK$308,Table!$C$37)</f>
        <v>0</v>
      </c>
    </row>
    <row r="35" spans="2:41" ht="15.75" x14ac:dyDescent="0.25">
      <c r="B35" s="68">
        <v>2</v>
      </c>
      <c r="C35" s="79" t="s">
        <v>64</v>
      </c>
      <c r="D35" s="70">
        <f>SUM(D20*Table!$D$4/Table!$C$4,D5)</f>
        <v>7737.2307692307695</v>
      </c>
      <c r="E35" s="70">
        <f>SUM(E20*Table!$D$4/Table!$C$4,E5)</f>
        <v>7737.2307692307695</v>
      </c>
      <c r="F35" s="70">
        <f t="shared" ref="F35:F43" ca="1" si="10">$K$16</f>
        <v>13</v>
      </c>
      <c r="G35" s="70">
        <f ca="1">IF(ISERROR(E35/(F35)),"N/A",E35/F35)</f>
        <v>595.17159763313612</v>
      </c>
      <c r="H35" s="71">
        <f t="shared" si="9"/>
        <v>1</v>
      </c>
      <c r="I35" s="97">
        <f>COUNTIFS($S$48:$S$308,C35,$AK$48:$AK$308,Table!$C$36)</f>
        <v>4</v>
      </c>
      <c r="J35" s="97">
        <f>COUNTIFS($S$48:$S$308,C35,$AK$48:$AK$308,Table!$C$37)</f>
        <v>0</v>
      </c>
    </row>
    <row r="36" spans="2:41" ht="15.75" x14ac:dyDescent="0.25">
      <c r="B36" s="68">
        <v>3</v>
      </c>
      <c r="C36" s="79" t="s">
        <v>65</v>
      </c>
      <c r="D36" s="70">
        <f>SUM(D21*Table!$D$4/Table!$C$4,D6)</f>
        <v>5562</v>
      </c>
      <c r="E36" s="70">
        <f>SUM(E21*Table!$D$4/Table!$C$4,E6)</f>
        <v>5562</v>
      </c>
      <c r="F36" s="70">
        <f t="shared" ca="1" si="10"/>
        <v>13</v>
      </c>
      <c r="G36" s="70">
        <f t="shared" ref="G36:G43" ca="1" si="11">IF(ISERROR(E36/(F36)),"N/A",E36/F36)</f>
        <v>427.84615384615387</v>
      </c>
      <c r="H36" s="71">
        <f t="shared" ref="H36:H43" si="12">IF(ISERROR(E36/D36),"N/A",E36/D36)</f>
        <v>1</v>
      </c>
      <c r="I36" s="97">
        <f>COUNTIFS($S$48:$S$308,C36,$AK$48:$AK$308,Table!$C$36)</f>
        <v>3</v>
      </c>
      <c r="J36" s="97">
        <f>COUNTIFS($S$48:$S$308,C36,$AK$48:$AK$308,Table!$C$37)</f>
        <v>0</v>
      </c>
    </row>
    <row r="37" spans="2:41" ht="15.75" x14ac:dyDescent="0.25">
      <c r="B37" s="68">
        <v>4</v>
      </c>
      <c r="C37" s="83" t="s">
        <v>66</v>
      </c>
      <c r="D37" s="70">
        <f>SUM(D22*Table!$D$4/Table!$C$4,D7)</f>
        <v>0</v>
      </c>
      <c r="E37" s="70">
        <f>SUM(E22*Table!$D$4/Table!$C$4,E7)</f>
        <v>0</v>
      </c>
      <c r="F37" s="70">
        <f t="shared" ca="1" si="10"/>
        <v>13</v>
      </c>
      <c r="G37" s="70">
        <f t="shared" ca="1" si="11"/>
        <v>0</v>
      </c>
      <c r="H37" s="71" t="str">
        <f t="shared" si="12"/>
        <v>N/A</v>
      </c>
      <c r="I37" s="97">
        <f>COUNTIFS($S$48:$S$308,C37,$AK$48:$AK$308,Table!$C$36)</f>
        <v>0</v>
      </c>
      <c r="J37" s="97">
        <f>COUNTIFS($S$48:$S$308,C37,$AK$48:$AK$308,Table!$C$37)</f>
        <v>0</v>
      </c>
    </row>
    <row r="38" spans="2:41" ht="15.75" x14ac:dyDescent="0.25">
      <c r="B38" s="68">
        <v>5</v>
      </c>
      <c r="C38" s="79" t="s">
        <v>67</v>
      </c>
      <c r="D38" s="70">
        <f>SUM(D23*Table!$D$4/Table!$C$4,D8)</f>
        <v>5317.9230769230771</v>
      </c>
      <c r="E38" s="70">
        <f>SUM(E23*Table!$D$4/Table!$C$4,E8)</f>
        <v>5317.9230769230771</v>
      </c>
      <c r="F38" s="70">
        <f t="shared" ca="1" si="10"/>
        <v>13</v>
      </c>
      <c r="G38" s="70">
        <f t="shared" ca="1" si="11"/>
        <v>409.07100591715977</v>
      </c>
      <c r="H38" s="71">
        <f t="shared" si="12"/>
        <v>1</v>
      </c>
      <c r="I38" s="97">
        <f>COUNTIFS($S$48:$S$308,C38,$AK$48:$AK$308,Table!$C$36)</f>
        <v>5</v>
      </c>
      <c r="J38" s="97">
        <f>COUNTIFS($S$48:$S$308,C38,$AK$48:$AK$308,Table!$C$37)</f>
        <v>0</v>
      </c>
      <c r="M38" s="5"/>
      <c r="N38" s="5"/>
      <c r="O38" s="5"/>
      <c r="P38" s="5"/>
      <c r="Q38" s="5"/>
    </row>
    <row r="39" spans="2:41" ht="15.75" x14ac:dyDescent="0.25">
      <c r="B39" s="68">
        <v>6</v>
      </c>
      <c r="C39" s="79" t="s">
        <v>68</v>
      </c>
      <c r="D39" s="70">
        <f>SUM(D24*Table!$D$4/Table!$C$4,D9)</f>
        <v>5030.6153846153848</v>
      </c>
      <c r="E39" s="70">
        <f>SUM(E24*Table!$D$4/Table!$C$4,E9)</f>
        <v>5030.6153846153848</v>
      </c>
      <c r="F39" s="70">
        <f t="shared" ca="1" si="10"/>
        <v>13</v>
      </c>
      <c r="G39" s="70">
        <f t="shared" ca="1" si="11"/>
        <v>386.97041420118342</v>
      </c>
      <c r="H39" s="71">
        <f t="shared" si="12"/>
        <v>1</v>
      </c>
      <c r="I39" s="97">
        <f>COUNTIFS($S$48:$S$308,C39,$AK$48:$AK$308,Table!$C$36)</f>
        <v>3</v>
      </c>
      <c r="J39" s="97">
        <f>COUNTIFS($S$48:$S$308,C39,$AK$48:$AK$308,Table!$C$37)</f>
        <v>0</v>
      </c>
      <c r="M39" s="5"/>
      <c r="N39" s="122"/>
      <c r="O39" s="123"/>
      <c r="P39" s="122"/>
      <c r="Q39" s="5"/>
    </row>
    <row r="40" spans="2:41" ht="15.75" x14ac:dyDescent="0.25">
      <c r="B40" s="68">
        <v>7</v>
      </c>
      <c r="C40" s="79" t="s">
        <v>69</v>
      </c>
      <c r="D40" s="70">
        <f>SUM(D25*Table!$D$4/Table!$C$4,D10)</f>
        <v>4582.1538461538457</v>
      </c>
      <c r="E40" s="70">
        <f>SUM(E25*Table!$D$4/Table!$C$4,E10)</f>
        <v>4582.1538461538457</v>
      </c>
      <c r="F40" s="70">
        <f t="shared" ca="1" si="10"/>
        <v>13</v>
      </c>
      <c r="G40" s="70">
        <f t="shared" ca="1" si="11"/>
        <v>352.47337278106505</v>
      </c>
      <c r="H40" s="71">
        <f t="shared" si="12"/>
        <v>1</v>
      </c>
      <c r="I40" s="97">
        <f>COUNTIFS($S$48:$S$308,C40,$AK$48:$AK$308,Table!$C$36)</f>
        <v>6</v>
      </c>
      <c r="J40" s="97">
        <f>COUNTIFS($S$48:$S$308,C40,$AK$48:$AK$308,Table!$C$37)</f>
        <v>0</v>
      </c>
      <c r="M40" s="5"/>
      <c r="N40" s="5"/>
      <c r="O40" s="5"/>
      <c r="P40" s="5"/>
      <c r="Q40" s="5"/>
    </row>
    <row r="41" spans="2:41" ht="15.75" x14ac:dyDescent="0.25">
      <c r="B41" s="68">
        <v>8</v>
      </c>
      <c r="C41" s="79" t="s">
        <v>70</v>
      </c>
      <c r="D41" s="70">
        <f>SUM(D26*Table!$D$4/Table!$C$4,D11)</f>
        <v>5666</v>
      </c>
      <c r="E41" s="70">
        <f>SUM(E26*Table!$D$4/Table!$C$4,E11)</f>
        <v>5666</v>
      </c>
      <c r="F41" s="70">
        <f t="shared" ca="1" si="10"/>
        <v>13</v>
      </c>
      <c r="G41" s="70">
        <f t="shared" ca="1" si="11"/>
        <v>435.84615384615387</v>
      </c>
      <c r="H41" s="71">
        <f t="shared" si="12"/>
        <v>1</v>
      </c>
      <c r="I41" s="97">
        <f>COUNTIFS($S$48:$S$308,C41,$AK$48:$AK$308,Table!$C$36)</f>
        <v>5</v>
      </c>
      <c r="J41" s="97">
        <f>COUNTIFS($S$48:$S$308,C41,$AK$48:$AK$308,Table!$C$37)</f>
        <v>1</v>
      </c>
    </row>
    <row r="42" spans="2:41" ht="15.75" x14ac:dyDescent="0.25">
      <c r="B42" s="68">
        <v>9</v>
      </c>
      <c r="C42" s="69" t="s">
        <v>156</v>
      </c>
      <c r="D42" s="70">
        <f>SUM(D27*Table!$D$4/Table!$C$4,D12)</f>
        <v>0</v>
      </c>
      <c r="E42" s="70">
        <f>SUM(E27*Table!$D$4/Table!$C$4,E12)</f>
        <v>0</v>
      </c>
      <c r="F42" s="70">
        <f t="shared" ca="1" si="10"/>
        <v>13</v>
      </c>
      <c r="G42" s="70">
        <f t="shared" ca="1" si="11"/>
        <v>0</v>
      </c>
      <c r="H42" s="71" t="str">
        <f t="shared" si="12"/>
        <v>N/A</v>
      </c>
      <c r="I42" s="97">
        <f>COUNTIFS($S$48:$S$308,C42,$AK$48:$AK$308,Table!$C$36)</f>
        <v>0</v>
      </c>
      <c r="J42" s="97">
        <f>COUNTIFS($S$48:$S$308,C42,$AK$48:$AK$308,Table!$C$37)</f>
        <v>0</v>
      </c>
    </row>
    <row r="43" spans="2:41" ht="15.75" x14ac:dyDescent="0.25">
      <c r="B43" s="68">
        <v>10</v>
      </c>
      <c r="C43" s="79" t="s">
        <v>157</v>
      </c>
      <c r="D43" s="70">
        <f>SUM(D28*Table!$D$4/Table!$C$4,D13)</f>
        <v>4673.7692307692305</v>
      </c>
      <c r="E43" s="70">
        <f>SUM(E28*Table!$D$4/Table!$C$4,E13)</f>
        <v>4673.7692307692305</v>
      </c>
      <c r="F43" s="70">
        <f t="shared" ca="1" si="10"/>
        <v>13</v>
      </c>
      <c r="G43" s="70">
        <f t="shared" ca="1" si="11"/>
        <v>359.52071005917156</v>
      </c>
      <c r="H43" s="71">
        <f t="shared" si="12"/>
        <v>1</v>
      </c>
      <c r="I43" s="97">
        <f>COUNTIFS($S$48:$S$308,C43,$AK$48:$AK$308,Table!$C$36)</f>
        <v>8</v>
      </c>
      <c r="J43" s="97">
        <f>COUNTIFS($S$48:$S$308,C43,$AK$48:$AK$308,Table!$C$37)</f>
        <v>0</v>
      </c>
    </row>
    <row r="44" spans="2:41" ht="15.75" x14ac:dyDescent="0.25">
      <c r="B44" s="66" t="s">
        <v>109</v>
      </c>
      <c r="C44" s="72"/>
      <c r="D44" s="70">
        <f>SUM(D34:D43)</f>
        <v>43198.692307692312</v>
      </c>
      <c r="E44" s="70">
        <f>SUM(E34:E43)</f>
        <v>43198.692307692312</v>
      </c>
      <c r="F44" s="70">
        <f ca="1">$K$16*COUNTA(C34:C43)</f>
        <v>130</v>
      </c>
      <c r="G44" s="70">
        <f ca="1">IF(ISERROR(E44/(F44)),"N/A",E44/F44)</f>
        <v>332.2976331360947</v>
      </c>
      <c r="H44" s="71">
        <f t="shared" si="9"/>
        <v>1</v>
      </c>
      <c r="I44" s="97">
        <f>SUM(I34:I43)</f>
        <v>35</v>
      </c>
      <c r="J44" s="97">
        <f>SUM(J34:J43)</f>
        <v>1</v>
      </c>
    </row>
    <row r="47" spans="2:41" x14ac:dyDescent="0.25">
      <c r="B47" s="61" t="s">
        <v>0</v>
      </c>
      <c r="C47" s="61" t="s">
        <v>63</v>
      </c>
      <c r="D47" s="61" t="s">
        <v>1</v>
      </c>
      <c r="E47" s="61" t="s">
        <v>56</v>
      </c>
      <c r="F47" s="61" t="s">
        <v>57</v>
      </c>
      <c r="G47" s="61" t="s">
        <v>158</v>
      </c>
      <c r="H47" s="61" t="s">
        <v>113</v>
      </c>
      <c r="I47" s="61" t="s">
        <v>58</v>
      </c>
      <c r="J47" s="61" t="s">
        <v>112</v>
      </c>
      <c r="K47" s="61" t="s">
        <v>159</v>
      </c>
      <c r="L47" s="61" t="s">
        <v>72</v>
      </c>
      <c r="M47" s="61" t="s">
        <v>162</v>
      </c>
      <c r="N47" s="61" t="s">
        <v>71</v>
      </c>
      <c r="O47" s="61" t="s">
        <v>62</v>
      </c>
      <c r="P47" s="61" t="s">
        <v>80</v>
      </c>
      <c r="Q47" s="58" t="s">
        <v>55</v>
      </c>
      <c r="R47" s="62" t="s">
        <v>7</v>
      </c>
      <c r="S47" s="62" t="s">
        <v>8</v>
      </c>
      <c r="T47" s="62" t="s">
        <v>78</v>
      </c>
      <c r="U47" s="62" t="s">
        <v>92</v>
      </c>
      <c r="V47" s="62" t="s">
        <v>75</v>
      </c>
      <c r="W47" s="62" t="s">
        <v>76</v>
      </c>
      <c r="X47" s="62" t="s">
        <v>53</v>
      </c>
      <c r="Y47" s="62" t="s">
        <v>79</v>
      </c>
      <c r="Z47" s="62" t="s">
        <v>54</v>
      </c>
      <c r="AA47" s="62" t="s">
        <v>17</v>
      </c>
      <c r="AB47" s="62" t="s">
        <v>184</v>
      </c>
      <c r="AC47" s="62" t="s">
        <v>59</v>
      </c>
      <c r="AD47" s="62" t="s">
        <v>60</v>
      </c>
      <c r="AE47" s="61" t="s">
        <v>12</v>
      </c>
      <c r="AF47" s="61" t="s">
        <v>13</v>
      </c>
      <c r="AG47" s="61" t="s">
        <v>77</v>
      </c>
      <c r="AH47" s="61" t="s">
        <v>14</v>
      </c>
      <c r="AI47" s="61" t="s">
        <v>15</v>
      </c>
      <c r="AJ47" s="62" t="s">
        <v>16</v>
      </c>
      <c r="AK47" s="61" t="s">
        <v>160</v>
      </c>
      <c r="AL47" s="62" t="s">
        <v>147</v>
      </c>
      <c r="AM47" s="62" t="s">
        <v>146</v>
      </c>
      <c r="AN47" s="62" t="s">
        <v>81</v>
      </c>
    </row>
    <row r="48" spans="2:41" x14ac:dyDescent="0.25">
      <c r="B48" s="78">
        <v>1</v>
      </c>
      <c r="C48" s="17">
        <v>20200428</v>
      </c>
      <c r="D48" s="16" t="s">
        <v>3</v>
      </c>
      <c r="E48" s="16" t="s">
        <v>319</v>
      </c>
      <c r="F48" s="80" t="s">
        <v>449</v>
      </c>
      <c r="G48" s="18">
        <v>1435905</v>
      </c>
      <c r="H48" s="57" t="s">
        <v>61</v>
      </c>
      <c r="I48" s="16" t="s">
        <v>176</v>
      </c>
      <c r="J48" s="57" t="s">
        <v>61</v>
      </c>
      <c r="K48" s="16" t="s">
        <v>161</v>
      </c>
      <c r="L48" s="16" t="s">
        <v>323</v>
      </c>
      <c r="M48" s="16" t="s">
        <v>171</v>
      </c>
      <c r="N48" s="16" t="s">
        <v>333</v>
      </c>
      <c r="O48" s="18" t="s">
        <v>61</v>
      </c>
      <c r="P48" s="18" t="s">
        <v>328</v>
      </c>
      <c r="Q48" s="19"/>
      <c r="R48" s="57" t="s">
        <v>61</v>
      </c>
      <c r="S48" s="16" t="s">
        <v>157</v>
      </c>
      <c r="T48" s="16"/>
      <c r="U48" s="16"/>
      <c r="V48" s="16">
        <v>145</v>
      </c>
      <c r="W48" s="16">
        <f>V48</f>
        <v>145</v>
      </c>
      <c r="X48" s="16">
        <f>W48</f>
        <v>145</v>
      </c>
      <c r="Y48" s="16">
        <f>ROUNDDOWN(W48/HLOOKUP(D48,Table!$C$3:$D$4,2,0)*8,2)</f>
        <v>2.57</v>
      </c>
      <c r="Z48" s="16">
        <v>2</v>
      </c>
      <c r="AA48" s="16" t="s">
        <v>74</v>
      </c>
      <c r="AB48" s="20">
        <v>43956</v>
      </c>
      <c r="AC48" s="20">
        <v>43949</v>
      </c>
      <c r="AD48" s="20">
        <v>43956</v>
      </c>
      <c r="AE48" s="20">
        <v>43956</v>
      </c>
      <c r="AF48" s="20">
        <v>43956</v>
      </c>
      <c r="AG48" s="20" t="s">
        <v>335</v>
      </c>
      <c r="AH48" s="32">
        <v>1</v>
      </c>
      <c r="AI48" s="32">
        <v>1</v>
      </c>
      <c r="AJ48" s="32">
        <v>1</v>
      </c>
      <c r="AK48" s="20" t="s">
        <v>165</v>
      </c>
      <c r="AL48" s="16" t="s">
        <v>61</v>
      </c>
      <c r="AM48" s="16" t="s">
        <v>61</v>
      </c>
      <c r="AN48" s="121" t="s">
        <v>61</v>
      </c>
      <c r="AO48" s="140"/>
    </row>
    <row r="49" spans="2:40" x14ac:dyDescent="0.25">
      <c r="B49" s="78">
        <f t="shared" ref="B49:B112" si="13">B48+1</f>
        <v>2</v>
      </c>
      <c r="C49" s="17">
        <v>20200428</v>
      </c>
      <c r="D49" s="16" t="s">
        <v>3</v>
      </c>
      <c r="E49" s="16" t="s">
        <v>319</v>
      </c>
      <c r="F49" s="80" t="s">
        <v>450</v>
      </c>
      <c r="G49" s="18">
        <v>1435905</v>
      </c>
      <c r="H49" s="57" t="s">
        <v>61</v>
      </c>
      <c r="I49" s="16" t="s">
        <v>172</v>
      </c>
      <c r="J49" s="57" t="s">
        <v>61</v>
      </c>
      <c r="K49" s="16" t="s">
        <v>161</v>
      </c>
      <c r="L49" s="16" t="s">
        <v>323</v>
      </c>
      <c r="M49" s="16" t="s">
        <v>171</v>
      </c>
      <c r="N49" s="16" t="s">
        <v>333</v>
      </c>
      <c r="O49" s="18" t="s">
        <v>61</v>
      </c>
      <c r="P49" s="18" t="s">
        <v>328</v>
      </c>
      <c r="Q49" s="19"/>
      <c r="R49" s="57" t="s">
        <v>61</v>
      </c>
      <c r="S49" s="16" t="s">
        <v>157</v>
      </c>
      <c r="T49" s="16"/>
      <c r="U49" s="16"/>
      <c r="V49" s="16">
        <v>101</v>
      </c>
      <c r="W49" s="16">
        <f t="shared" ref="W49:W111" si="14">V49</f>
        <v>101</v>
      </c>
      <c r="X49" s="16">
        <f t="shared" ref="X49:X55" si="15">W49</f>
        <v>101</v>
      </c>
      <c r="Y49" s="16">
        <f>ROUNDDOWN(W49/HLOOKUP(D49,Table!$C$3:$D$4,2,0)*8,2)</f>
        <v>1.79</v>
      </c>
      <c r="Z49" s="16">
        <v>1</v>
      </c>
      <c r="AA49" s="16" t="s">
        <v>74</v>
      </c>
      <c r="AB49" s="20">
        <v>43956</v>
      </c>
      <c r="AC49" s="20">
        <v>43949</v>
      </c>
      <c r="AD49" s="20">
        <v>43956</v>
      </c>
      <c r="AE49" s="20">
        <v>43955</v>
      </c>
      <c r="AF49" s="20">
        <v>43955</v>
      </c>
      <c r="AG49" s="20" t="s">
        <v>335</v>
      </c>
      <c r="AH49" s="32">
        <v>1</v>
      </c>
      <c r="AI49" s="32">
        <v>1</v>
      </c>
      <c r="AJ49" s="32">
        <v>1</v>
      </c>
      <c r="AK49" s="20" t="s">
        <v>165</v>
      </c>
      <c r="AL49" s="16" t="s">
        <v>61</v>
      </c>
      <c r="AM49" s="16" t="s">
        <v>61</v>
      </c>
      <c r="AN49" s="16" t="s">
        <v>61</v>
      </c>
    </row>
    <row r="50" spans="2:40" x14ac:dyDescent="0.25">
      <c r="B50" s="78">
        <f t="shared" si="13"/>
        <v>3</v>
      </c>
      <c r="C50" s="17">
        <v>20200428</v>
      </c>
      <c r="D50" s="16" t="s">
        <v>3</v>
      </c>
      <c r="E50" s="16" t="s">
        <v>319</v>
      </c>
      <c r="F50" s="80" t="s">
        <v>451</v>
      </c>
      <c r="G50" s="18">
        <v>1435905</v>
      </c>
      <c r="H50" s="57" t="s">
        <v>61</v>
      </c>
      <c r="I50" s="16" t="s">
        <v>173</v>
      </c>
      <c r="J50" s="57" t="s">
        <v>61</v>
      </c>
      <c r="K50" s="16" t="s">
        <v>161</v>
      </c>
      <c r="L50" s="16" t="s">
        <v>323</v>
      </c>
      <c r="M50" s="16" t="s">
        <v>171</v>
      </c>
      <c r="N50" s="16" t="s">
        <v>333</v>
      </c>
      <c r="O50" s="18" t="s">
        <v>61</v>
      </c>
      <c r="P50" s="18" t="s">
        <v>328</v>
      </c>
      <c r="Q50" s="19"/>
      <c r="R50" s="57" t="s">
        <v>61</v>
      </c>
      <c r="S50" s="16" t="s">
        <v>157</v>
      </c>
      <c r="T50" s="16"/>
      <c r="U50" s="16"/>
      <c r="V50" s="16">
        <v>154</v>
      </c>
      <c r="W50" s="16">
        <f t="shared" si="14"/>
        <v>154</v>
      </c>
      <c r="X50" s="16">
        <f t="shared" si="15"/>
        <v>154</v>
      </c>
      <c r="Y50" s="16">
        <f>ROUNDDOWN(W50/HLOOKUP(D50,Table!$C$3:$D$4,2,0)*8,2)</f>
        <v>2.73</v>
      </c>
      <c r="Z50" s="16">
        <v>2</v>
      </c>
      <c r="AA50" s="16" t="s">
        <v>74</v>
      </c>
      <c r="AB50" s="20">
        <v>43956</v>
      </c>
      <c r="AC50" s="20">
        <v>43949</v>
      </c>
      <c r="AD50" s="20">
        <v>43956</v>
      </c>
      <c r="AE50" s="20">
        <v>43955</v>
      </c>
      <c r="AF50" s="20">
        <v>43955</v>
      </c>
      <c r="AG50" s="20" t="s">
        <v>336</v>
      </c>
      <c r="AH50" s="32">
        <v>0.96</v>
      </c>
      <c r="AI50" s="32">
        <v>0.9</v>
      </c>
      <c r="AJ50" s="32">
        <v>1</v>
      </c>
      <c r="AK50" s="20" t="s">
        <v>149</v>
      </c>
      <c r="AL50" s="16" t="s">
        <v>778</v>
      </c>
      <c r="AM50" s="16"/>
      <c r="AN50" s="16" t="s">
        <v>473</v>
      </c>
    </row>
    <row r="51" spans="2:40" x14ac:dyDescent="0.25">
      <c r="B51" s="78">
        <f t="shared" si="13"/>
        <v>4</v>
      </c>
      <c r="C51" s="17">
        <v>20200428</v>
      </c>
      <c r="D51" s="16" t="s">
        <v>3</v>
      </c>
      <c r="E51" s="16" t="s">
        <v>319</v>
      </c>
      <c r="F51" s="80" t="s">
        <v>452</v>
      </c>
      <c r="G51" s="18">
        <v>1435905</v>
      </c>
      <c r="H51" s="57" t="s">
        <v>61</v>
      </c>
      <c r="I51" s="17" t="s">
        <v>177</v>
      </c>
      <c r="J51" s="57" t="s">
        <v>61</v>
      </c>
      <c r="K51" s="16" t="s">
        <v>161</v>
      </c>
      <c r="L51" s="16" t="s">
        <v>323</v>
      </c>
      <c r="M51" s="16" t="s">
        <v>171</v>
      </c>
      <c r="N51" s="16" t="s">
        <v>333</v>
      </c>
      <c r="O51" s="18" t="s">
        <v>61</v>
      </c>
      <c r="P51" s="18" t="s">
        <v>328</v>
      </c>
      <c r="Q51" s="19"/>
      <c r="R51" s="57" t="s">
        <v>61</v>
      </c>
      <c r="S51" s="16" t="s">
        <v>157</v>
      </c>
      <c r="T51" s="16"/>
      <c r="U51" s="16"/>
      <c r="V51" s="16">
        <v>120</v>
      </c>
      <c r="W51" s="16">
        <f t="shared" si="14"/>
        <v>120</v>
      </c>
      <c r="X51" s="16">
        <f t="shared" si="15"/>
        <v>120</v>
      </c>
      <c r="Y51" s="16">
        <f>ROUNDDOWN(W51/HLOOKUP(D51,Table!$C$3:$D$4,2,0)*8,2)</f>
        <v>2.13</v>
      </c>
      <c r="Z51" s="16">
        <v>2</v>
      </c>
      <c r="AA51" s="16" t="s">
        <v>74</v>
      </c>
      <c r="AB51" s="20">
        <v>43956</v>
      </c>
      <c r="AC51" s="20">
        <v>43949</v>
      </c>
      <c r="AD51" s="20">
        <v>43956</v>
      </c>
      <c r="AE51" s="20">
        <v>43955</v>
      </c>
      <c r="AF51" s="20">
        <v>43955</v>
      </c>
      <c r="AG51" s="20" t="s">
        <v>336</v>
      </c>
      <c r="AH51" s="32">
        <v>1</v>
      </c>
      <c r="AI51" s="32">
        <v>0.98</v>
      </c>
      <c r="AJ51" s="32">
        <v>1</v>
      </c>
      <c r="AK51" s="20" t="s">
        <v>149</v>
      </c>
      <c r="AL51" s="16" t="s">
        <v>779</v>
      </c>
      <c r="AM51" s="16"/>
      <c r="AN51" s="148" t="s">
        <v>448</v>
      </c>
    </row>
    <row r="52" spans="2:40" x14ac:dyDescent="0.25">
      <c r="B52" s="78">
        <f t="shared" si="13"/>
        <v>5</v>
      </c>
      <c r="C52" s="17">
        <v>20200428</v>
      </c>
      <c r="D52" s="16" t="s">
        <v>3</v>
      </c>
      <c r="E52" s="16" t="s">
        <v>319</v>
      </c>
      <c r="F52" s="80" t="s">
        <v>453</v>
      </c>
      <c r="G52" s="18">
        <v>1435905</v>
      </c>
      <c r="H52" s="57" t="s">
        <v>61</v>
      </c>
      <c r="I52" s="16" t="s">
        <v>178</v>
      </c>
      <c r="J52" s="57" t="s">
        <v>61</v>
      </c>
      <c r="K52" s="16" t="s">
        <v>161</v>
      </c>
      <c r="L52" s="16" t="s">
        <v>323</v>
      </c>
      <c r="M52" s="16" t="s">
        <v>171</v>
      </c>
      <c r="N52" s="16" t="s">
        <v>333</v>
      </c>
      <c r="O52" s="18" t="s">
        <v>61</v>
      </c>
      <c r="P52" s="18" t="s">
        <v>328</v>
      </c>
      <c r="Q52" s="19"/>
      <c r="R52" s="57" t="s">
        <v>61</v>
      </c>
      <c r="S52" s="16" t="s">
        <v>64</v>
      </c>
      <c r="T52" s="16"/>
      <c r="U52" s="16"/>
      <c r="V52" s="16">
        <v>178</v>
      </c>
      <c r="W52" s="16">
        <f t="shared" si="14"/>
        <v>178</v>
      </c>
      <c r="X52" s="16">
        <f t="shared" si="15"/>
        <v>178</v>
      </c>
      <c r="Y52" s="16">
        <f>ROUNDDOWN(W52/HLOOKUP(D52,Table!$C$3:$D$4,2,0)*8,2)</f>
        <v>3.16</v>
      </c>
      <c r="Z52" s="16">
        <v>1</v>
      </c>
      <c r="AA52" s="16" t="s">
        <v>74</v>
      </c>
      <c r="AB52" s="20">
        <v>43956</v>
      </c>
      <c r="AC52" s="20">
        <v>43949</v>
      </c>
      <c r="AD52" s="20">
        <v>43956</v>
      </c>
      <c r="AE52" s="20">
        <v>43955</v>
      </c>
      <c r="AF52" s="20">
        <v>43955</v>
      </c>
      <c r="AG52" s="20" t="s">
        <v>335</v>
      </c>
      <c r="AH52" s="32" t="s">
        <v>61</v>
      </c>
      <c r="AI52" s="32" t="s">
        <v>61</v>
      </c>
      <c r="AJ52" s="32" t="s">
        <v>61</v>
      </c>
      <c r="AK52" s="20" t="s">
        <v>165</v>
      </c>
      <c r="AL52" s="16" t="s">
        <v>61</v>
      </c>
      <c r="AM52" s="16" t="s">
        <v>61</v>
      </c>
      <c r="AN52" s="16" t="s">
        <v>418</v>
      </c>
    </row>
    <row r="53" spans="2:40" x14ac:dyDescent="0.25">
      <c r="B53" s="78">
        <f t="shared" si="13"/>
        <v>6</v>
      </c>
      <c r="C53" s="17">
        <v>20200428</v>
      </c>
      <c r="D53" s="16" t="s">
        <v>3</v>
      </c>
      <c r="E53" s="16" t="s">
        <v>319</v>
      </c>
      <c r="F53" s="80" t="s">
        <v>454</v>
      </c>
      <c r="G53" s="18">
        <v>1435905</v>
      </c>
      <c r="H53" s="57" t="s">
        <v>61</v>
      </c>
      <c r="I53" s="16" t="s">
        <v>174</v>
      </c>
      <c r="J53" s="57" t="s">
        <v>61</v>
      </c>
      <c r="K53" s="16" t="s">
        <v>161</v>
      </c>
      <c r="L53" s="16" t="s">
        <v>323</v>
      </c>
      <c r="M53" s="16" t="s">
        <v>171</v>
      </c>
      <c r="N53" s="16" t="s">
        <v>333</v>
      </c>
      <c r="O53" s="18" t="s">
        <v>61</v>
      </c>
      <c r="P53" s="18" t="s">
        <v>328</v>
      </c>
      <c r="Q53" s="19"/>
      <c r="R53" s="57" t="s">
        <v>61</v>
      </c>
      <c r="S53" s="16" t="s">
        <v>64</v>
      </c>
      <c r="T53" s="16"/>
      <c r="U53" s="16"/>
      <c r="V53" s="16">
        <v>124</v>
      </c>
      <c r="W53" s="16">
        <f t="shared" si="14"/>
        <v>124</v>
      </c>
      <c r="X53" s="16">
        <f t="shared" si="15"/>
        <v>124</v>
      </c>
      <c r="Y53" s="16">
        <f>ROUNDDOWN(W53/HLOOKUP(D53,Table!$C$3:$D$4,2,0)*8,2)</f>
        <v>2.2000000000000002</v>
      </c>
      <c r="Z53" s="16">
        <v>2</v>
      </c>
      <c r="AA53" s="16" t="s">
        <v>74</v>
      </c>
      <c r="AB53" s="20">
        <v>43956</v>
      </c>
      <c r="AC53" s="20">
        <v>43949</v>
      </c>
      <c r="AD53" s="20">
        <v>43956</v>
      </c>
      <c r="AE53" s="20">
        <v>43955</v>
      </c>
      <c r="AF53" s="20">
        <v>43955</v>
      </c>
      <c r="AG53" s="20" t="s">
        <v>336</v>
      </c>
      <c r="AH53" s="32">
        <v>1</v>
      </c>
      <c r="AI53" s="32">
        <v>1</v>
      </c>
      <c r="AJ53" s="32">
        <v>1</v>
      </c>
      <c r="AK53" s="20" t="s">
        <v>165</v>
      </c>
      <c r="AL53" s="16" t="s">
        <v>61</v>
      </c>
      <c r="AM53" s="16" t="s">
        <v>61</v>
      </c>
      <c r="AN53" s="16" t="s">
        <v>438</v>
      </c>
    </row>
    <row r="54" spans="2:40" x14ac:dyDescent="0.25">
      <c r="B54" s="78">
        <f t="shared" si="13"/>
        <v>7</v>
      </c>
      <c r="C54" s="17">
        <v>20200428</v>
      </c>
      <c r="D54" s="16" t="s">
        <v>3</v>
      </c>
      <c r="E54" s="16" t="s">
        <v>319</v>
      </c>
      <c r="F54" s="80" t="s">
        <v>455</v>
      </c>
      <c r="G54" s="18">
        <v>1435905</v>
      </c>
      <c r="H54" s="57" t="s">
        <v>61</v>
      </c>
      <c r="I54" s="16" t="s">
        <v>322</v>
      </c>
      <c r="J54" s="57" t="s">
        <v>61</v>
      </c>
      <c r="K54" s="16" t="s">
        <v>161</v>
      </c>
      <c r="L54" s="16" t="s">
        <v>323</v>
      </c>
      <c r="M54" s="16" t="s">
        <v>171</v>
      </c>
      <c r="N54" s="16" t="s">
        <v>333</v>
      </c>
      <c r="O54" s="18" t="s">
        <v>61</v>
      </c>
      <c r="P54" s="18" t="s">
        <v>328</v>
      </c>
      <c r="Q54" s="19"/>
      <c r="R54" s="57" t="s">
        <v>61</v>
      </c>
      <c r="S54" s="16" t="s">
        <v>64</v>
      </c>
      <c r="T54" s="16"/>
      <c r="U54" s="16"/>
      <c r="V54" s="16">
        <v>106</v>
      </c>
      <c r="W54" s="16">
        <f t="shared" si="14"/>
        <v>106</v>
      </c>
      <c r="X54" s="16">
        <f t="shared" si="15"/>
        <v>106</v>
      </c>
      <c r="Y54" s="16">
        <f>ROUNDDOWN(W54/HLOOKUP(D54,Table!$C$3:$D$4,2,0)*8,2)</f>
        <v>1.88</v>
      </c>
      <c r="Z54" s="16">
        <v>2</v>
      </c>
      <c r="AA54" s="16" t="s">
        <v>74</v>
      </c>
      <c r="AB54" s="20">
        <v>43956</v>
      </c>
      <c r="AC54" s="20">
        <v>43949</v>
      </c>
      <c r="AD54" s="20">
        <v>43956</v>
      </c>
      <c r="AE54" s="20">
        <v>43955</v>
      </c>
      <c r="AF54" s="20">
        <v>43955</v>
      </c>
      <c r="AG54" s="20" t="s">
        <v>336</v>
      </c>
      <c r="AH54" s="32">
        <v>0.36</v>
      </c>
      <c r="AI54" s="32">
        <v>0</v>
      </c>
      <c r="AJ54" s="32">
        <v>1</v>
      </c>
      <c r="AK54" s="20" t="s">
        <v>149</v>
      </c>
      <c r="AL54" s="16" t="s">
        <v>471</v>
      </c>
      <c r="AM54" s="16"/>
      <c r="AN54" s="16" t="s">
        <v>448</v>
      </c>
    </row>
    <row r="55" spans="2:40" x14ac:dyDescent="0.25">
      <c r="B55" s="78">
        <f t="shared" si="13"/>
        <v>8</v>
      </c>
      <c r="C55" s="17">
        <v>20200428</v>
      </c>
      <c r="D55" s="16" t="s">
        <v>3</v>
      </c>
      <c r="E55" s="16" t="s">
        <v>169</v>
      </c>
      <c r="F55" s="80" t="s">
        <v>456</v>
      </c>
      <c r="G55" s="18">
        <v>1439160</v>
      </c>
      <c r="H55" s="57" t="s">
        <v>61</v>
      </c>
      <c r="I55" s="16" t="s">
        <v>182</v>
      </c>
      <c r="J55" s="57" t="s">
        <v>61</v>
      </c>
      <c r="K55" s="16" t="s">
        <v>161</v>
      </c>
      <c r="L55" s="16" t="s">
        <v>324</v>
      </c>
      <c r="M55" s="19" t="s">
        <v>334</v>
      </c>
      <c r="N55" s="16" t="s">
        <v>326</v>
      </c>
      <c r="O55" s="18" t="s">
        <v>61</v>
      </c>
      <c r="P55" s="18" t="s">
        <v>167</v>
      </c>
      <c r="Q55" s="19"/>
      <c r="R55" s="57" t="s">
        <v>61</v>
      </c>
      <c r="S55" s="16" t="s">
        <v>64</v>
      </c>
      <c r="T55" s="16"/>
      <c r="U55" s="16"/>
      <c r="V55" s="16">
        <v>188</v>
      </c>
      <c r="W55" s="16">
        <f t="shared" si="14"/>
        <v>188</v>
      </c>
      <c r="X55" s="16">
        <f t="shared" si="15"/>
        <v>188</v>
      </c>
      <c r="Y55" s="16">
        <f>ROUNDDOWN(W55/HLOOKUP(D55,Table!$C$3:$D$4,2,0)*8,2)</f>
        <v>3.34</v>
      </c>
      <c r="Z55" s="16">
        <v>1</v>
      </c>
      <c r="AA55" s="16" t="s">
        <v>74</v>
      </c>
      <c r="AB55" s="20">
        <v>43956</v>
      </c>
      <c r="AC55" s="20">
        <v>43949</v>
      </c>
      <c r="AD55" s="20">
        <v>43956</v>
      </c>
      <c r="AE55" s="20">
        <v>43955</v>
      </c>
      <c r="AF55" s="20">
        <v>43955</v>
      </c>
      <c r="AG55" s="20" t="s">
        <v>335</v>
      </c>
      <c r="AH55" s="32" t="s">
        <v>61</v>
      </c>
      <c r="AI55" s="32" t="s">
        <v>61</v>
      </c>
      <c r="AJ55" s="32" t="s">
        <v>61</v>
      </c>
      <c r="AK55" s="20" t="s">
        <v>165</v>
      </c>
      <c r="AL55" s="16" t="s">
        <v>61</v>
      </c>
      <c r="AM55" s="16" t="s">
        <v>61</v>
      </c>
      <c r="AN55" s="16" t="s">
        <v>418</v>
      </c>
    </row>
    <row r="56" spans="2:40" x14ac:dyDescent="0.25">
      <c r="B56" s="78">
        <f t="shared" si="13"/>
        <v>9</v>
      </c>
      <c r="C56" s="17">
        <v>20200428</v>
      </c>
      <c r="D56" s="16" t="s">
        <v>3</v>
      </c>
      <c r="E56" s="16" t="s">
        <v>169</v>
      </c>
      <c r="F56" s="80" t="s">
        <v>457</v>
      </c>
      <c r="G56" s="18">
        <v>1439160</v>
      </c>
      <c r="H56" s="57" t="s">
        <v>61</v>
      </c>
      <c r="I56" s="16" t="s">
        <v>181</v>
      </c>
      <c r="J56" s="57" t="s">
        <v>61</v>
      </c>
      <c r="K56" s="16" t="s">
        <v>161</v>
      </c>
      <c r="L56" s="16" t="s">
        <v>324</v>
      </c>
      <c r="M56" s="19" t="s">
        <v>334</v>
      </c>
      <c r="N56" s="16" t="s">
        <v>326</v>
      </c>
      <c r="O56" s="18" t="s">
        <v>61</v>
      </c>
      <c r="P56" s="18" t="s">
        <v>167</v>
      </c>
      <c r="Q56" s="19"/>
      <c r="R56" s="57" t="s">
        <v>61</v>
      </c>
      <c r="S56" s="16" t="s">
        <v>64</v>
      </c>
      <c r="T56" s="16"/>
      <c r="U56" s="16"/>
      <c r="V56" s="16">
        <v>257</v>
      </c>
      <c r="W56" s="16">
        <f t="shared" si="14"/>
        <v>257</v>
      </c>
      <c r="X56" s="16">
        <f t="shared" ref="X56:X57" si="16">W56</f>
        <v>257</v>
      </c>
      <c r="Y56" s="16">
        <f>ROUNDDOWN(W56/HLOOKUP(D56,Table!$C$3:$D$4,2,0)*8,2)</f>
        <v>4.5599999999999996</v>
      </c>
      <c r="Z56" s="16">
        <v>2</v>
      </c>
      <c r="AA56" s="16" t="s">
        <v>74</v>
      </c>
      <c r="AB56" s="20">
        <v>43956</v>
      </c>
      <c r="AC56" s="20">
        <v>43949</v>
      </c>
      <c r="AD56" s="20">
        <v>43956</v>
      </c>
      <c r="AE56" s="20">
        <v>43955</v>
      </c>
      <c r="AF56" s="20">
        <v>43955</v>
      </c>
      <c r="AG56" s="20" t="s">
        <v>335</v>
      </c>
      <c r="AH56" s="32">
        <v>1</v>
      </c>
      <c r="AI56" s="32">
        <v>1</v>
      </c>
      <c r="AJ56" s="32">
        <v>1</v>
      </c>
      <c r="AK56" s="20" t="s">
        <v>165</v>
      </c>
      <c r="AL56" s="16" t="s">
        <v>61</v>
      </c>
      <c r="AM56" s="16" t="s">
        <v>61</v>
      </c>
      <c r="AN56" s="16" t="s">
        <v>61</v>
      </c>
    </row>
    <row r="57" spans="2:40" x14ac:dyDescent="0.25">
      <c r="B57" s="78">
        <f t="shared" si="13"/>
        <v>10</v>
      </c>
      <c r="C57" s="17">
        <v>20200428</v>
      </c>
      <c r="D57" s="16" t="s">
        <v>3</v>
      </c>
      <c r="E57" s="16" t="s">
        <v>169</v>
      </c>
      <c r="F57" s="80" t="s">
        <v>458</v>
      </c>
      <c r="G57" s="18">
        <v>1439160</v>
      </c>
      <c r="H57" s="57" t="s">
        <v>61</v>
      </c>
      <c r="I57" s="16" t="s">
        <v>183</v>
      </c>
      <c r="J57" s="57" t="s">
        <v>61</v>
      </c>
      <c r="K57" s="16" t="s">
        <v>161</v>
      </c>
      <c r="L57" s="16" t="s">
        <v>324</v>
      </c>
      <c r="M57" s="19" t="s">
        <v>334</v>
      </c>
      <c r="N57" s="16" t="s">
        <v>326</v>
      </c>
      <c r="O57" s="18" t="s">
        <v>61</v>
      </c>
      <c r="P57" s="18" t="s">
        <v>167</v>
      </c>
      <c r="Q57" s="19"/>
      <c r="R57" s="57" t="s">
        <v>61</v>
      </c>
      <c r="S57" s="16" t="s">
        <v>64</v>
      </c>
      <c r="T57" s="16"/>
      <c r="U57" s="16"/>
      <c r="V57" s="16">
        <v>1141</v>
      </c>
      <c r="W57" s="16">
        <f t="shared" si="14"/>
        <v>1141</v>
      </c>
      <c r="X57" s="16">
        <f t="shared" si="16"/>
        <v>1141</v>
      </c>
      <c r="Y57" s="16">
        <f>ROUNDDOWN(W57/HLOOKUP(D57,Table!$C$3:$D$4,2,0)*8,2)</f>
        <v>20.28</v>
      </c>
      <c r="Z57" s="16">
        <v>4</v>
      </c>
      <c r="AA57" s="16" t="s">
        <v>74</v>
      </c>
      <c r="AB57" s="20">
        <v>43956</v>
      </c>
      <c r="AC57" s="20">
        <v>43949</v>
      </c>
      <c r="AD57" s="20">
        <v>43956</v>
      </c>
      <c r="AE57" s="20">
        <v>43950</v>
      </c>
      <c r="AF57" s="20">
        <v>43950</v>
      </c>
      <c r="AG57" s="20" t="s">
        <v>335</v>
      </c>
      <c r="AH57" s="32">
        <v>1</v>
      </c>
      <c r="AI57" s="32">
        <v>1</v>
      </c>
      <c r="AJ57" s="32">
        <v>1</v>
      </c>
      <c r="AK57" s="20" t="s">
        <v>165</v>
      </c>
      <c r="AL57" s="16" t="s">
        <v>61</v>
      </c>
      <c r="AM57" s="16" t="s">
        <v>61</v>
      </c>
      <c r="AN57" s="16" t="s">
        <v>61</v>
      </c>
    </row>
    <row r="58" spans="2:40" x14ac:dyDescent="0.25">
      <c r="B58" s="78">
        <f t="shared" si="13"/>
        <v>11</v>
      </c>
      <c r="C58" s="17">
        <v>20200428</v>
      </c>
      <c r="D58" s="16" t="s">
        <v>3</v>
      </c>
      <c r="E58" s="16" t="s">
        <v>169</v>
      </c>
      <c r="F58" s="80" t="s">
        <v>459</v>
      </c>
      <c r="G58" s="18">
        <v>1439160</v>
      </c>
      <c r="H58" s="57" t="s">
        <v>61</v>
      </c>
      <c r="I58" s="16" t="s">
        <v>168</v>
      </c>
      <c r="J58" s="57" t="s">
        <v>61</v>
      </c>
      <c r="K58" s="16" t="s">
        <v>161</v>
      </c>
      <c r="L58" s="16" t="s">
        <v>324</v>
      </c>
      <c r="M58" s="19" t="s">
        <v>334</v>
      </c>
      <c r="N58" s="16" t="s">
        <v>326</v>
      </c>
      <c r="O58" s="18" t="s">
        <v>61</v>
      </c>
      <c r="P58" s="18" t="s">
        <v>167</v>
      </c>
      <c r="Q58" s="19"/>
      <c r="R58" s="57" t="s">
        <v>61</v>
      </c>
      <c r="S58" s="16" t="s">
        <v>65</v>
      </c>
      <c r="T58" s="16"/>
      <c r="U58" s="16"/>
      <c r="V58" s="16">
        <v>997</v>
      </c>
      <c r="W58" s="16">
        <f t="shared" si="14"/>
        <v>997</v>
      </c>
      <c r="X58" s="16">
        <f t="shared" ref="X58:X71" si="17">W58</f>
        <v>997</v>
      </c>
      <c r="Y58" s="16">
        <f>ROUNDDOWN(W58/HLOOKUP(D58,Table!$C$3:$D$4,2,0)*8,2)</f>
        <v>17.72</v>
      </c>
      <c r="Z58" s="16">
        <v>2</v>
      </c>
      <c r="AA58" s="16" t="s">
        <v>74</v>
      </c>
      <c r="AB58" s="20">
        <v>43956</v>
      </c>
      <c r="AC58" s="20">
        <v>43949</v>
      </c>
      <c r="AD58" s="20">
        <v>43956</v>
      </c>
      <c r="AE58" s="20">
        <v>43956</v>
      </c>
      <c r="AF58" s="20">
        <v>43956</v>
      </c>
      <c r="AG58" s="20" t="s">
        <v>335</v>
      </c>
      <c r="AH58" s="32">
        <v>1</v>
      </c>
      <c r="AI58" s="32">
        <v>1</v>
      </c>
      <c r="AJ58" s="32">
        <v>1</v>
      </c>
      <c r="AK58" s="20" t="s">
        <v>165</v>
      </c>
      <c r="AL58" s="16" t="s">
        <v>61</v>
      </c>
      <c r="AM58" s="16" t="s">
        <v>61</v>
      </c>
      <c r="AN58" s="16" t="s">
        <v>61</v>
      </c>
    </row>
    <row r="59" spans="2:40" x14ac:dyDescent="0.25">
      <c r="B59" s="78">
        <f t="shared" si="13"/>
        <v>12</v>
      </c>
      <c r="C59" s="17">
        <v>20200428</v>
      </c>
      <c r="D59" s="16" t="s">
        <v>3</v>
      </c>
      <c r="E59" s="16" t="s">
        <v>320</v>
      </c>
      <c r="F59" s="80" t="s">
        <v>460</v>
      </c>
      <c r="G59" s="18">
        <v>1439436</v>
      </c>
      <c r="H59" s="57" t="s">
        <v>61</v>
      </c>
      <c r="I59" s="16" t="s">
        <v>182</v>
      </c>
      <c r="J59" s="57" t="s">
        <v>61</v>
      </c>
      <c r="K59" s="16" t="s">
        <v>161</v>
      </c>
      <c r="L59" s="16" t="s">
        <v>325</v>
      </c>
      <c r="M59" s="16" t="s">
        <v>331</v>
      </c>
      <c r="N59" s="16" t="s">
        <v>327</v>
      </c>
      <c r="O59" s="18" t="s">
        <v>61</v>
      </c>
      <c r="P59" s="18" t="s">
        <v>329</v>
      </c>
      <c r="Q59" s="19"/>
      <c r="R59" s="57" t="s">
        <v>61</v>
      </c>
      <c r="S59" s="16" t="s">
        <v>157</v>
      </c>
      <c r="T59" s="16"/>
      <c r="U59" s="16"/>
      <c r="V59" s="16">
        <v>142</v>
      </c>
      <c r="W59" s="16">
        <f t="shared" si="14"/>
        <v>142</v>
      </c>
      <c r="X59" s="16">
        <f t="shared" si="17"/>
        <v>142</v>
      </c>
      <c r="Y59" s="16">
        <f>ROUNDDOWN(W59/HLOOKUP(D59,Table!$C$3:$D$4,2,0)*8,2)</f>
        <v>2.52</v>
      </c>
      <c r="Z59" s="16">
        <v>0.1</v>
      </c>
      <c r="AA59" s="16" t="s">
        <v>74</v>
      </c>
      <c r="AB59" s="20">
        <v>43956</v>
      </c>
      <c r="AC59" s="20">
        <v>43949</v>
      </c>
      <c r="AD59" s="20">
        <v>43956</v>
      </c>
      <c r="AE59" s="20">
        <v>43955</v>
      </c>
      <c r="AF59" s="20">
        <v>43955</v>
      </c>
      <c r="AG59" s="20" t="s">
        <v>335</v>
      </c>
      <c r="AH59" s="32" t="s">
        <v>61</v>
      </c>
      <c r="AI59" s="32" t="s">
        <v>61</v>
      </c>
      <c r="AJ59" s="32" t="s">
        <v>61</v>
      </c>
      <c r="AK59" s="20" t="s">
        <v>165</v>
      </c>
      <c r="AL59" s="16" t="s">
        <v>61</v>
      </c>
      <c r="AM59" s="16" t="s">
        <v>61</v>
      </c>
      <c r="AN59" s="16" t="s">
        <v>418</v>
      </c>
    </row>
    <row r="60" spans="2:40" x14ac:dyDescent="0.25">
      <c r="B60" s="78">
        <f t="shared" si="13"/>
        <v>13</v>
      </c>
      <c r="C60" s="17">
        <v>20200428</v>
      </c>
      <c r="D60" s="16" t="s">
        <v>3</v>
      </c>
      <c r="E60" s="16" t="s">
        <v>320</v>
      </c>
      <c r="F60" s="80" t="s">
        <v>461</v>
      </c>
      <c r="G60" s="18">
        <v>1439436</v>
      </c>
      <c r="H60" s="57" t="s">
        <v>61</v>
      </c>
      <c r="I60" s="16" t="s">
        <v>183</v>
      </c>
      <c r="J60" s="57" t="s">
        <v>61</v>
      </c>
      <c r="K60" s="16" t="s">
        <v>161</v>
      </c>
      <c r="L60" s="16" t="s">
        <v>325</v>
      </c>
      <c r="M60" s="16" t="s">
        <v>331</v>
      </c>
      <c r="N60" s="16" t="s">
        <v>327</v>
      </c>
      <c r="O60" s="18" t="s">
        <v>61</v>
      </c>
      <c r="P60" s="18" t="s">
        <v>329</v>
      </c>
      <c r="Q60" s="19"/>
      <c r="R60" s="57" t="s">
        <v>61</v>
      </c>
      <c r="S60" s="16" t="s">
        <v>157</v>
      </c>
      <c r="T60" s="16"/>
      <c r="U60" s="16"/>
      <c r="V60" s="16">
        <v>35</v>
      </c>
      <c r="W60" s="16">
        <f t="shared" si="14"/>
        <v>35</v>
      </c>
      <c r="X60" s="16">
        <f t="shared" si="17"/>
        <v>35</v>
      </c>
      <c r="Y60" s="16">
        <f>ROUNDDOWN(W60/HLOOKUP(D60,Table!$C$3:$D$4,2,0)*8,2)</f>
        <v>0.62</v>
      </c>
      <c r="Z60" s="16">
        <v>0.15</v>
      </c>
      <c r="AA60" s="16" t="s">
        <v>74</v>
      </c>
      <c r="AB60" s="20">
        <v>43956</v>
      </c>
      <c r="AC60" s="20">
        <v>43949</v>
      </c>
      <c r="AD60" s="20">
        <v>43956</v>
      </c>
      <c r="AE60" s="20">
        <v>43949</v>
      </c>
      <c r="AF60" s="20">
        <v>43949</v>
      </c>
      <c r="AG60" s="20" t="s">
        <v>335</v>
      </c>
      <c r="AH60" s="32">
        <v>1</v>
      </c>
      <c r="AI60" s="32">
        <v>1</v>
      </c>
      <c r="AJ60" s="32">
        <v>1</v>
      </c>
      <c r="AK60" s="20" t="s">
        <v>165</v>
      </c>
      <c r="AL60" s="16" t="s">
        <v>61</v>
      </c>
      <c r="AM60" s="16" t="s">
        <v>61</v>
      </c>
      <c r="AN60" s="16"/>
    </row>
    <row r="61" spans="2:40" x14ac:dyDescent="0.25">
      <c r="B61" s="78">
        <f t="shared" si="13"/>
        <v>14</v>
      </c>
      <c r="C61" s="17">
        <v>20200428</v>
      </c>
      <c r="D61" s="16" t="s">
        <v>3</v>
      </c>
      <c r="E61" s="16" t="s">
        <v>320</v>
      </c>
      <c r="F61" s="80" t="s">
        <v>462</v>
      </c>
      <c r="G61" s="18">
        <v>1439436</v>
      </c>
      <c r="H61" s="57" t="s">
        <v>61</v>
      </c>
      <c r="I61" s="16" t="s">
        <v>168</v>
      </c>
      <c r="J61" s="57" t="s">
        <v>61</v>
      </c>
      <c r="K61" s="16" t="s">
        <v>161</v>
      </c>
      <c r="L61" s="16" t="s">
        <v>325</v>
      </c>
      <c r="M61" s="16" t="s">
        <v>331</v>
      </c>
      <c r="N61" s="16" t="s">
        <v>327</v>
      </c>
      <c r="O61" s="18" t="s">
        <v>61</v>
      </c>
      <c r="P61" s="18" t="s">
        <v>329</v>
      </c>
      <c r="Q61" s="19"/>
      <c r="R61" s="57" t="s">
        <v>61</v>
      </c>
      <c r="S61" s="16" t="s">
        <v>157</v>
      </c>
      <c r="T61" s="16"/>
      <c r="U61" s="16"/>
      <c r="V61" s="16">
        <v>34</v>
      </c>
      <c r="W61" s="98">
        <v>278</v>
      </c>
      <c r="X61" s="17">
        <f t="shared" si="17"/>
        <v>278</v>
      </c>
      <c r="Y61" s="16">
        <f>ROUNDDOWN(W61/HLOOKUP(D61,Table!$C$3:$D$4,2,0)*8,2)</f>
        <v>4.9400000000000004</v>
      </c>
      <c r="Z61" s="16">
        <v>1</v>
      </c>
      <c r="AA61" s="16" t="s">
        <v>74</v>
      </c>
      <c r="AB61" s="20">
        <v>43956</v>
      </c>
      <c r="AC61" s="20">
        <v>43949</v>
      </c>
      <c r="AD61" s="20">
        <v>43956</v>
      </c>
      <c r="AE61" s="20">
        <v>43955</v>
      </c>
      <c r="AF61" s="20">
        <v>43955</v>
      </c>
      <c r="AG61" s="20" t="s">
        <v>335</v>
      </c>
      <c r="AH61" s="32">
        <v>1</v>
      </c>
      <c r="AI61" s="32">
        <v>1</v>
      </c>
      <c r="AJ61" s="32">
        <v>1</v>
      </c>
      <c r="AK61" s="20" t="s">
        <v>165</v>
      </c>
      <c r="AL61" s="16" t="s">
        <v>61</v>
      </c>
      <c r="AM61" s="16" t="s">
        <v>61</v>
      </c>
      <c r="AN61" s="16" t="s">
        <v>435</v>
      </c>
    </row>
    <row r="62" spans="2:40" x14ac:dyDescent="0.25">
      <c r="B62" s="78">
        <f t="shared" si="13"/>
        <v>15</v>
      </c>
      <c r="C62" s="17">
        <v>20200428</v>
      </c>
      <c r="D62" s="16" t="s">
        <v>3</v>
      </c>
      <c r="E62" s="16" t="s">
        <v>321</v>
      </c>
      <c r="F62" s="80" t="s">
        <v>463</v>
      </c>
      <c r="G62" s="18">
        <v>1417033</v>
      </c>
      <c r="H62" s="57" t="s">
        <v>61</v>
      </c>
      <c r="I62" s="16" t="s">
        <v>181</v>
      </c>
      <c r="J62" s="57" t="s">
        <v>61</v>
      </c>
      <c r="K62" s="16" t="s">
        <v>161</v>
      </c>
      <c r="L62" s="16" t="s">
        <v>165</v>
      </c>
      <c r="M62" s="16" t="s">
        <v>170</v>
      </c>
      <c r="N62" s="16" t="s">
        <v>175</v>
      </c>
      <c r="O62" s="18" t="s">
        <v>61</v>
      </c>
      <c r="P62" s="18" t="s">
        <v>330</v>
      </c>
      <c r="Q62" s="19"/>
      <c r="R62" s="57" t="s">
        <v>61</v>
      </c>
      <c r="S62" s="16" t="s">
        <v>157</v>
      </c>
      <c r="T62" s="16"/>
      <c r="U62" s="16"/>
      <c r="V62" s="16">
        <v>76</v>
      </c>
      <c r="W62" s="16">
        <f t="shared" si="14"/>
        <v>76</v>
      </c>
      <c r="X62" s="16">
        <f t="shared" si="17"/>
        <v>76</v>
      </c>
      <c r="Y62" s="16">
        <f>ROUNDDOWN(W62/HLOOKUP(D62,Table!$C$3:$D$4,2,0)*8,2)</f>
        <v>1.35</v>
      </c>
      <c r="Z62" s="16">
        <v>1</v>
      </c>
      <c r="AA62" s="16" t="s">
        <v>74</v>
      </c>
      <c r="AB62" s="20">
        <v>43956</v>
      </c>
      <c r="AC62" s="20">
        <v>43949</v>
      </c>
      <c r="AD62" s="20">
        <v>43956</v>
      </c>
      <c r="AE62" s="20">
        <v>43949</v>
      </c>
      <c r="AF62" s="20">
        <v>43949</v>
      </c>
      <c r="AG62" s="20" t="s">
        <v>335</v>
      </c>
      <c r="AH62" s="32">
        <v>1</v>
      </c>
      <c r="AI62" s="32">
        <v>1</v>
      </c>
      <c r="AJ62" s="32">
        <v>1</v>
      </c>
      <c r="AK62" s="20" t="s">
        <v>165</v>
      </c>
      <c r="AL62" s="16" t="s">
        <v>61</v>
      </c>
      <c r="AM62" s="16" t="s">
        <v>61</v>
      </c>
      <c r="AN62" s="16" t="s">
        <v>61</v>
      </c>
    </row>
    <row r="63" spans="2:40" x14ac:dyDescent="0.25">
      <c r="B63" s="78">
        <f t="shared" si="13"/>
        <v>16</v>
      </c>
      <c r="C63" s="17">
        <v>20200428</v>
      </c>
      <c r="D63" s="16" t="s">
        <v>3</v>
      </c>
      <c r="E63" s="16" t="s">
        <v>321</v>
      </c>
      <c r="F63" s="80" t="s">
        <v>464</v>
      </c>
      <c r="G63" s="18">
        <v>1417033</v>
      </c>
      <c r="H63" s="57" t="s">
        <v>61</v>
      </c>
      <c r="I63" s="16" t="s">
        <v>168</v>
      </c>
      <c r="J63" s="57" t="s">
        <v>61</v>
      </c>
      <c r="K63" s="16" t="s">
        <v>161</v>
      </c>
      <c r="L63" s="16" t="s">
        <v>165</v>
      </c>
      <c r="M63" s="16" t="s">
        <v>170</v>
      </c>
      <c r="N63" s="16" t="s">
        <v>175</v>
      </c>
      <c r="O63" s="18" t="s">
        <v>61</v>
      </c>
      <c r="P63" s="18" t="s">
        <v>330</v>
      </c>
      <c r="Q63" s="19"/>
      <c r="R63" s="57" t="s">
        <v>61</v>
      </c>
      <c r="S63" s="16" t="s">
        <v>157</v>
      </c>
      <c r="T63" s="16"/>
      <c r="U63" s="16"/>
      <c r="V63" s="16">
        <v>61</v>
      </c>
      <c r="W63" s="16">
        <f t="shared" si="14"/>
        <v>61</v>
      </c>
      <c r="X63" s="16">
        <f t="shared" si="17"/>
        <v>61</v>
      </c>
      <c r="Y63" s="16">
        <f>ROUNDDOWN(W63/HLOOKUP(D63,Table!$C$3:$D$4,2,0)*8,2)</f>
        <v>1.08</v>
      </c>
      <c r="Z63" s="16">
        <v>0.5</v>
      </c>
      <c r="AA63" s="16" t="s">
        <v>74</v>
      </c>
      <c r="AB63" s="20">
        <v>43956</v>
      </c>
      <c r="AC63" s="20">
        <v>43949</v>
      </c>
      <c r="AD63" s="20">
        <v>43956</v>
      </c>
      <c r="AE63" s="20">
        <v>43949</v>
      </c>
      <c r="AF63" s="20">
        <v>43949</v>
      </c>
      <c r="AG63" s="20" t="s">
        <v>335</v>
      </c>
      <c r="AH63" s="32">
        <v>1</v>
      </c>
      <c r="AI63" s="32">
        <v>1</v>
      </c>
      <c r="AJ63" s="32">
        <v>1</v>
      </c>
      <c r="AK63" s="20" t="s">
        <v>165</v>
      </c>
      <c r="AL63" s="16" t="s">
        <v>61</v>
      </c>
      <c r="AM63" s="16" t="s">
        <v>61</v>
      </c>
      <c r="AN63" s="16" t="s">
        <v>61</v>
      </c>
    </row>
    <row r="64" spans="2:40" x14ac:dyDescent="0.25">
      <c r="B64" s="84">
        <f t="shared" si="13"/>
        <v>17</v>
      </c>
      <c r="C64" s="17">
        <v>20200429</v>
      </c>
      <c r="D64" s="16" t="s">
        <v>3</v>
      </c>
      <c r="E64" s="16" t="s">
        <v>338</v>
      </c>
      <c r="F64" s="80" t="s">
        <v>465</v>
      </c>
      <c r="G64" s="18">
        <v>1439430</v>
      </c>
      <c r="H64" s="57" t="s">
        <v>61</v>
      </c>
      <c r="I64" s="16" t="s">
        <v>349</v>
      </c>
      <c r="J64" s="57" t="s">
        <v>61</v>
      </c>
      <c r="K64" s="16" t="s">
        <v>161</v>
      </c>
      <c r="L64" s="16" t="s">
        <v>345</v>
      </c>
      <c r="M64" s="16" t="s">
        <v>340</v>
      </c>
      <c r="N64" s="16" t="s">
        <v>347</v>
      </c>
      <c r="O64" s="18" t="s">
        <v>61</v>
      </c>
      <c r="P64" s="18" t="s">
        <v>342</v>
      </c>
      <c r="Q64" s="19"/>
      <c r="R64" s="57" t="s">
        <v>61</v>
      </c>
      <c r="S64" s="16" t="s">
        <v>65</v>
      </c>
      <c r="T64" s="16"/>
      <c r="U64" s="16"/>
      <c r="V64" s="16">
        <v>431</v>
      </c>
      <c r="W64" s="16">
        <f t="shared" si="14"/>
        <v>431</v>
      </c>
      <c r="X64" s="16">
        <f t="shared" si="17"/>
        <v>431</v>
      </c>
      <c r="Y64" s="16">
        <f>ROUNDDOWN(W64/HLOOKUP(D64,Table!$C$3:$D$4,2,0)*8,2)</f>
        <v>7.66</v>
      </c>
      <c r="Z64" s="16">
        <v>1</v>
      </c>
      <c r="AA64" s="16" t="s">
        <v>74</v>
      </c>
      <c r="AB64" s="20">
        <v>43957</v>
      </c>
      <c r="AC64" s="20">
        <v>43950</v>
      </c>
      <c r="AD64" s="20">
        <v>43957</v>
      </c>
      <c r="AE64" s="20">
        <v>43956</v>
      </c>
      <c r="AF64" s="20">
        <v>43956</v>
      </c>
      <c r="AG64" s="20" t="s">
        <v>335</v>
      </c>
      <c r="AH64" s="32">
        <v>1</v>
      </c>
      <c r="AI64" s="32">
        <v>1</v>
      </c>
      <c r="AJ64" s="32">
        <v>1</v>
      </c>
      <c r="AK64" s="20" t="s">
        <v>165</v>
      </c>
      <c r="AL64" s="16" t="s">
        <v>61</v>
      </c>
      <c r="AM64" s="16" t="s">
        <v>61</v>
      </c>
      <c r="AN64" s="16" t="s">
        <v>61</v>
      </c>
    </row>
    <row r="65" spans="1:40" x14ac:dyDescent="0.25">
      <c r="B65" s="84">
        <f t="shared" si="13"/>
        <v>18</v>
      </c>
      <c r="C65" s="17">
        <v>20200429</v>
      </c>
      <c r="D65" s="16" t="s">
        <v>3</v>
      </c>
      <c r="E65" s="16" t="s">
        <v>338</v>
      </c>
      <c r="F65" s="80" t="s">
        <v>466</v>
      </c>
      <c r="G65" s="18">
        <v>1439430</v>
      </c>
      <c r="H65" s="57" t="s">
        <v>61</v>
      </c>
      <c r="I65" s="16" t="s">
        <v>350</v>
      </c>
      <c r="J65" s="57" t="s">
        <v>61</v>
      </c>
      <c r="K65" s="16" t="s">
        <v>161</v>
      </c>
      <c r="L65" s="16" t="s">
        <v>345</v>
      </c>
      <c r="M65" s="16" t="s">
        <v>340</v>
      </c>
      <c r="N65" s="16" t="s">
        <v>347</v>
      </c>
      <c r="O65" s="18" t="s">
        <v>61</v>
      </c>
      <c r="P65" s="18" t="s">
        <v>342</v>
      </c>
      <c r="Q65" s="19"/>
      <c r="R65" s="57" t="s">
        <v>61</v>
      </c>
      <c r="S65" s="16" t="s">
        <v>65</v>
      </c>
      <c r="T65" s="16"/>
      <c r="U65" s="16"/>
      <c r="V65" s="16">
        <v>184</v>
      </c>
      <c r="W65" s="16">
        <f t="shared" si="14"/>
        <v>184</v>
      </c>
      <c r="X65" s="16">
        <f t="shared" si="17"/>
        <v>184</v>
      </c>
      <c r="Y65" s="16">
        <f>ROUNDDOWN(W65/HLOOKUP(D65,Table!$C$3:$D$4,2,0)*8,2)</f>
        <v>3.27</v>
      </c>
      <c r="Z65" s="16">
        <v>1</v>
      </c>
      <c r="AA65" s="16" t="s">
        <v>74</v>
      </c>
      <c r="AB65" s="20">
        <v>43957</v>
      </c>
      <c r="AC65" s="20">
        <v>43950</v>
      </c>
      <c r="AD65" s="20">
        <v>43957</v>
      </c>
      <c r="AE65" s="20">
        <v>43956</v>
      </c>
      <c r="AF65" s="20">
        <v>43956</v>
      </c>
      <c r="AG65" s="20" t="s">
        <v>335</v>
      </c>
      <c r="AH65" s="32">
        <v>1</v>
      </c>
      <c r="AI65" s="32">
        <v>1</v>
      </c>
      <c r="AJ65" s="32">
        <v>1</v>
      </c>
      <c r="AK65" s="20" t="s">
        <v>165</v>
      </c>
      <c r="AL65" s="16" t="s">
        <v>61</v>
      </c>
      <c r="AM65" s="16" t="s">
        <v>61</v>
      </c>
      <c r="AN65" s="16" t="s">
        <v>61</v>
      </c>
    </row>
    <row r="66" spans="1:40" x14ac:dyDescent="0.25">
      <c r="B66" s="84">
        <f t="shared" si="13"/>
        <v>19</v>
      </c>
      <c r="C66" s="17">
        <v>20200429</v>
      </c>
      <c r="D66" s="16" t="s">
        <v>3</v>
      </c>
      <c r="E66" s="16" t="s">
        <v>339</v>
      </c>
      <c r="F66" s="80" t="s">
        <v>467</v>
      </c>
      <c r="G66" s="18">
        <v>1416489</v>
      </c>
      <c r="H66" s="57" t="s">
        <v>61</v>
      </c>
      <c r="I66" s="16" t="s">
        <v>351</v>
      </c>
      <c r="J66" s="57" t="s">
        <v>61</v>
      </c>
      <c r="K66" s="16" t="s">
        <v>161</v>
      </c>
      <c r="L66" s="16" t="s">
        <v>346</v>
      </c>
      <c r="M66" s="16" t="s">
        <v>341</v>
      </c>
      <c r="N66" s="16" t="s">
        <v>348</v>
      </c>
      <c r="O66" s="18" t="s">
        <v>61</v>
      </c>
      <c r="P66" s="18" t="s">
        <v>343</v>
      </c>
      <c r="Q66" s="19"/>
      <c r="R66" s="57" t="s">
        <v>61</v>
      </c>
      <c r="S66" s="16" t="s">
        <v>157</v>
      </c>
      <c r="T66" s="16"/>
      <c r="U66" s="16"/>
      <c r="V66" s="16">
        <v>332</v>
      </c>
      <c r="W66" s="98">
        <v>636</v>
      </c>
      <c r="X66" s="16">
        <f t="shared" si="17"/>
        <v>636</v>
      </c>
      <c r="Y66" s="16">
        <f>ROUNDDOWN(W66/HLOOKUP(D66,Table!$C$3:$D$4,2,0)*8,2)</f>
        <v>11.3</v>
      </c>
      <c r="Z66" s="93">
        <v>2</v>
      </c>
      <c r="AA66" s="92" t="s">
        <v>74</v>
      </c>
      <c r="AB66" s="20">
        <v>43957</v>
      </c>
      <c r="AC66" s="20">
        <v>43950</v>
      </c>
      <c r="AD66" s="20">
        <v>43957</v>
      </c>
      <c r="AE66" s="102">
        <v>43956</v>
      </c>
      <c r="AF66" s="102">
        <v>43956</v>
      </c>
      <c r="AG66" s="102" t="s">
        <v>335</v>
      </c>
      <c r="AH66" s="103">
        <v>1</v>
      </c>
      <c r="AI66" s="103">
        <v>1</v>
      </c>
      <c r="AJ66" s="103">
        <v>1</v>
      </c>
      <c r="AK66" s="102" t="s">
        <v>165</v>
      </c>
      <c r="AL66" s="92" t="s">
        <v>61</v>
      </c>
      <c r="AM66" s="16" t="s">
        <v>61</v>
      </c>
      <c r="AN66" s="16" t="s">
        <v>472</v>
      </c>
    </row>
    <row r="67" spans="1:40" x14ac:dyDescent="0.25">
      <c r="B67" s="84">
        <f t="shared" si="13"/>
        <v>20</v>
      </c>
      <c r="C67" s="17">
        <v>20200429</v>
      </c>
      <c r="D67" s="16" t="s">
        <v>3</v>
      </c>
      <c r="E67" s="16" t="s">
        <v>321</v>
      </c>
      <c r="F67" s="80" t="s">
        <v>468</v>
      </c>
      <c r="G67" s="18">
        <v>1442021</v>
      </c>
      <c r="H67" s="57" t="s">
        <v>61</v>
      </c>
      <c r="I67" s="16" t="s">
        <v>352</v>
      </c>
      <c r="J67" s="57" t="s">
        <v>61</v>
      </c>
      <c r="K67" s="16" t="s">
        <v>161</v>
      </c>
      <c r="L67" s="16" t="s">
        <v>165</v>
      </c>
      <c r="M67" s="16" t="s">
        <v>170</v>
      </c>
      <c r="N67" s="16" t="s">
        <v>175</v>
      </c>
      <c r="O67" s="18" t="s">
        <v>61</v>
      </c>
      <c r="P67" s="18" t="s">
        <v>344</v>
      </c>
      <c r="Q67" s="19"/>
      <c r="R67" s="57" t="s">
        <v>61</v>
      </c>
      <c r="S67" s="16" t="s">
        <v>157</v>
      </c>
      <c r="T67" s="16"/>
      <c r="U67" s="16"/>
      <c r="V67" s="16">
        <v>163</v>
      </c>
      <c r="W67" s="16">
        <f t="shared" si="14"/>
        <v>163</v>
      </c>
      <c r="X67" s="16">
        <f t="shared" si="17"/>
        <v>163</v>
      </c>
      <c r="Y67" s="16">
        <f>ROUNDDOWN(W67/HLOOKUP(D67,Table!$C$3:$D$4,2,0)*8,2)</f>
        <v>2.89</v>
      </c>
      <c r="Z67" s="16">
        <v>2</v>
      </c>
      <c r="AA67" s="16" t="s">
        <v>74</v>
      </c>
      <c r="AB67" s="20">
        <v>43957</v>
      </c>
      <c r="AC67" s="20">
        <v>43950</v>
      </c>
      <c r="AD67" s="20">
        <v>43957</v>
      </c>
      <c r="AE67" s="20">
        <v>43956</v>
      </c>
      <c r="AF67" s="20">
        <v>43956</v>
      </c>
      <c r="AG67" s="20" t="s">
        <v>336</v>
      </c>
      <c r="AH67" s="32">
        <v>1</v>
      </c>
      <c r="AI67" s="32">
        <v>0.91</v>
      </c>
      <c r="AJ67" s="32">
        <v>0.66</v>
      </c>
      <c r="AK67" s="20" t="s">
        <v>149</v>
      </c>
      <c r="AL67" s="16" t="s">
        <v>570</v>
      </c>
      <c r="AM67" s="16"/>
      <c r="AN67" s="92" t="s">
        <v>566</v>
      </c>
    </row>
    <row r="68" spans="1:40" x14ac:dyDescent="0.25">
      <c r="B68" s="45">
        <f t="shared" si="13"/>
        <v>21</v>
      </c>
      <c r="C68" s="17">
        <v>20200429</v>
      </c>
      <c r="D68" s="16" t="s">
        <v>2</v>
      </c>
      <c r="E68" s="16" t="s">
        <v>354</v>
      </c>
      <c r="F68" s="111" t="s">
        <v>61</v>
      </c>
      <c r="G68" s="18">
        <v>1445483</v>
      </c>
      <c r="H68" s="57" t="s">
        <v>61</v>
      </c>
      <c r="I68" s="16" t="s">
        <v>357</v>
      </c>
      <c r="J68" s="57" t="s">
        <v>61</v>
      </c>
      <c r="K68" s="16" t="s">
        <v>353</v>
      </c>
      <c r="L68" s="16" t="s">
        <v>165</v>
      </c>
      <c r="M68" s="16" t="s">
        <v>165</v>
      </c>
      <c r="N68" s="16" t="s">
        <v>366</v>
      </c>
      <c r="O68" s="18" t="s">
        <v>365</v>
      </c>
      <c r="P68" s="18" t="s">
        <v>367</v>
      </c>
      <c r="Q68" s="19"/>
      <c r="R68" s="57" t="s">
        <v>61</v>
      </c>
      <c r="S68" s="16" t="s">
        <v>68</v>
      </c>
      <c r="T68" s="16"/>
      <c r="U68" s="16"/>
      <c r="V68" s="16">
        <f>42*2</f>
        <v>84</v>
      </c>
      <c r="W68" s="16">
        <f t="shared" si="14"/>
        <v>84</v>
      </c>
      <c r="X68" s="16">
        <f t="shared" si="17"/>
        <v>84</v>
      </c>
      <c r="Y68" s="16">
        <f>ROUNDDOWN(W68/HLOOKUP(D68,Table!$C$3:$D$4,2,0)*8,2)</f>
        <v>5.16</v>
      </c>
      <c r="Z68" s="16">
        <v>4</v>
      </c>
      <c r="AA68" s="16" t="s">
        <v>74</v>
      </c>
      <c r="AB68" s="20">
        <v>43958</v>
      </c>
      <c r="AC68" s="20">
        <v>43955</v>
      </c>
      <c r="AD68" s="20">
        <v>43959</v>
      </c>
      <c r="AE68" s="20">
        <v>43957</v>
      </c>
      <c r="AF68" s="20">
        <v>43957</v>
      </c>
      <c r="AG68" s="20" t="s">
        <v>336</v>
      </c>
      <c r="AH68" s="32">
        <v>0.93799999999999994</v>
      </c>
      <c r="AI68" s="32">
        <v>0.94699999999999995</v>
      </c>
      <c r="AJ68" s="32">
        <v>1</v>
      </c>
      <c r="AK68" s="20" t="s">
        <v>165</v>
      </c>
      <c r="AL68" s="18" t="s">
        <v>443</v>
      </c>
      <c r="AM68" s="16"/>
      <c r="AN68" s="16" t="s">
        <v>61</v>
      </c>
    </row>
    <row r="69" spans="1:40" x14ac:dyDescent="0.25">
      <c r="B69" s="45">
        <f t="shared" si="13"/>
        <v>22</v>
      </c>
      <c r="C69" s="17">
        <v>20200429</v>
      </c>
      <c r="D69" s="16" t="s">
        <v>3</v>
      </c>
      <c r="E69" s="16" t="s">
        <v>355</v>
      </c>
      <c r="F69" s="80" t="s">
        <v>943</v>
      </c>
      <c r="G69" s="18">
        <v>1373116</v>
      </c>
      <c r="H69" s="57" t="s">
        <v>61</v>
      </c>
      <c r="I69" s="16" t="s">
        <v>358</v>
      </c>
      <c r="J69" s="57" t="s">
        <v>61</v>
      </c>
      <c r="K69" s="16" t="s">
        <v>353</v>
      </c>
      <c r="L69" s="16" t="s">
        <v>165</v>
      </c>
      <c r="M69" s="16" t="s">
        <v>165</v>
      </c>
      <c r="N69" s="16" t="s">
        <v>419</v>
      </c>
      <c r="O69" s="18" t="s">
        <v>61</v>
      </c>
      <c r="P69" s="18" t="s">
        <v>368</v>
      </c>
      <c r="Q69" s="19"/>
      <c r="R69" s="57" t="s">
        <v>61</v>
      </c>
      <c r="S69" s="16" t="s">
        <v>67</v>
      </c>
      <c r="T69" s="16"/>
      <c r="U69" s="16"/>
      <c r="V69" s="16">
        <f>632*2</f>
        <v>1264</v>
      </c>
      <c r="W69" s="16">
        <f t="shared" si="14"/>
        <v>1264</v>
      </c>
      <c r="X69" s="16">
        <f t="shared" si="17"/>
        <v>1264</v>
      </c>
      <c r="Y69" s="16">
        <f>ROUNDDOWN(W69/HLOOKUP(D69,Table!$C$3:$D$4,2,0)*8,2)</f>
        <v>22.47</v>
      </c>
      <c r="Z69" s="16">
        <v>8</v>
      </c>
      <c r="AA69" s="16" t="s">
        <v>74</v>
      </c>
      <c r="AB69" s="20">
        <v>43958</v>
      </c>
      <c r="AC69" s="20">
        <v>43955</v>
      </c>
      <c r="AD69" s="20">
        <v>43959</v>
      </c>
      <c r="AE69" s="20">
        <v>43955</v>
      </c>
      <c r="AF69" s="20">
        <v>43955</v>
      </c>
      <c r="AG69" s="20" t="s">
        <v>335</v>
      </c>
      <c r="AH69" s="32">
        <v>1</v>
      </c>
      <c r="AI69" s="32">
        <v>1</v>
      </c>
      <c r="AJ69" s="32">
        <v>1</v>
      </c>
      <c r="AK69" s="20" t="s">
        <v>165</v>
      </c>
      <c r="AL69" s="16" t="s">
        <v>61</v>
      </c>
      <c r="AM69" s="16" t="s">
        <v>61</v>
      </c>
      <c r="AN69" s="16" t="s">
        <v>61</v>
      </c>
    </row>
    <row r="70" spans="1:40" x14ac:dyDescent="0.25">
      <c r="B70" s="45">
        <f t="shared" si="13"/>
        <v>23</v>
      </c>
      <c r="C70" s="17">
        <v>20200429</v>
      </c>
      <c r="D70" s="16" t="s">
        <v>3</v>
      </c>
      <c r="E70" s="16" t="s">
        <v>355</v>
      </c>
      <c r="F70" s="80" t="s">
        <v>943</v>
      </c>
      <c r="G70" s="18">
        <v>1373116</v>
      </c>
      <c r="H70" s="57" t="s">
        <v>61</v>
      </c>
      <c r="I70" s="16" t="s">
        <v>796</v>
      </c>
      <c r="J70" s="57" t="s">
        <v>61</v>
      </c>
      <c r="K70" s="16" t="s">
        <v>353</v>
      </c>
      <c r="L70" s="16" t="s">
        <v>165</v>
      </c>
      <c r="M70" s="16" t="s">
        <v>165</v>
      </c>
      <c r="N70" s="16" t="s">
        <v>419</v>
      </c>
      <c r="O70" s="18" t="s">
        <v>61</v>
      </c>
      <c r="P70" s="18" t="s">
        <v>368</v>
      </c>
      <c r="Q70" s="19"/>
      <c r="R70" s="57" t="s">
        <v>61</v>
      </c>
      <c r="S70" s="16" t="s">
        <v>70</v>
      </c>
      <c r="T70" s="16"/>
      <c r="U70" s="16"/>
      <c r="V70" s="16">
        <f>162*2</f>
        <v>324</v>
      </c>
      <c r="W70" s="16">
        <f t="shared" si="14"/>
        <v>324</v>
      </c>
      <c r="X70" s="16">
        <f t="shared" si="17"/>
        <v>324</v>
      </c>
      <c r="Y70" s="16">
        <f>ROUNDDOWN(W70/HLOOKUP(D70,Table!$C$3:$D$4,2,0)*8,2)</f>
        <v>5.76</v>
      </c>
      <c r="Z70" s="16">
        <v>3</v>
      </c>
      <c r="AA70" s="16" t="s">
        <v>74</v>
      </c>
      <c r="AB70" s="20">
        <v>43958</v>
      </c>
      <c r="AC70" s="20">
        <v>43955</v>
      </c>
      <c r="AD70" s="20">
        <v>43959</v>
      </c>
      <c r="AE70" s="20">
        <v>43955</v>
      </c>
      <c r="AF70" s="20">
        <v>43955</v>
      </c>
      <c r="AG70" s="20" t="s">
        <v>335</v>
      </c>
      <c r="AH70" s="32">
        <v>1</v>
      </c>
      <c r="AI70" s="32">
        <v>1</v>
      </c>
      <c r="AJ70" s="32">
        <v>1</v>
      </c>
      <c r="AK70" s="20" t="s">
        <v>165</v>
      </c>
      <c r="AL70" s="16" t="s">
        <v>61</v>
      </c>
      <c r="AM70" s="16" t="s">
        <v>61</v>
      </c>
      <c r="AN70" s="16" t="s">
        <v>61</v>
      </c>
    </row>
    <row r="71" spans="1:40" ht="30" x14ac:dyDescent="0.25">
      <c r="B71" s="45">
        <f t="shared" si="13"/>
        <v>24</v>
      </c>
      <c r="C71" s="17">
        <v>20200429</v>
      </c>
      <c r="D71" s="16" t="s">
        <v>2</v>
      </c>
      <c r="E71" s="16" t="s">
        <v>356</v>
      </c>
      <c r="F71" s="111" t="s">
        <v>61</v>
      </c>
      <c r="G71" s="18">
        <v>1352203</v>
      </c>
      <c r="H71" s="57" t="s">
        <v>61</v>
      </c>
      <c r="I71" s="16" t="s">
        <v>359</v>
      </c>
      <c r="J71" s="57" t="s">
        <v>61</v>
      </c>
      <c r="K71" s="16" t="s">
        <v>353</v>
      </c>
      <c r="L71" s="16" t="s">
        <v>165</v>
      </c>
      <c r="M71" s="16" t="s">
        <v>165</v>
      </c>
      <c r="N71" s="16">
        <v>1352203</v>
      </c>
      <c r="O71" s="18" t="s">
        <v>365</v>
      </c>
      <c r="P71" s="18" t="s">
        <v>369</v>
      </c>
      <c r="Q71" s="19"/>
      <c r="R71" s="57" t="s">
        <v>61</v>
      </c>
      <c r="S71" s="16" t="s">
        <v>69</v>
      </c>
      <c r="T71" s="16"/>
      <c r="U71" s="16"/>
      <c r="V71" s="16">
        <f>18*2</f>
        <v>36</v>
      </c>
      <c r="W71" s="16">
        <f t="shared" si="14"/>
        <v>36</v>
      </c>
      <c r="X71" s="16">
        <f t="shared" si="17"/>
        <v>36</v>
      </c>
      <c r="Y71" s="16">
        <f>ROUNDDOWN(W71/HLOOKUP(D71,Table!$C$3:$D$4,2,0)*8,2)</f>
        <v>2.21</v>
      </c>
      <c r="Z71" s="16">
        <v>1</v>
      </c>
      <c r="AA71" s="16" t="s">
        <v>74</v>
      </c>
      <c r="AB71" s="20">
        <v>43958</v>
      </c>
      <c r="AC71" s="20">
        <v>43955</v>
      </c>
      <c r="AD71" s="20">
        <v>43959</v>
      </c>
      <c r="AE71" s="20">
        <v>43955</v>
      </c>
      <c r="AF71" s="20">
        <v>43955</v>
      </c>
      <c r="AG71" s="20" t="s">
        <v>336</v>
      </c>
      <c r="AH71" s="32">
        <v>1</v>
      </c>
      <c r="AI71" s="32">
        <v>1</v>
      </c>
      <c r="AJ71" s="32">
        <v>0.83299999999999996</v>
      </c>
      <c r="AK71" s="20" t="s">
        <v>149</v>
      </c>
      <c r="AL71" s="16" t="s">
        <v>408</v>
      </c>
      <c r="AM71" s="16"/>
      <c r="AN71" s="119" t="s">
        <v>820</v>
      </c>
    </row>
    <row r="72" spans="1:40" x14ac:dyDescent="0.25">
      <c r="B72" s="45">
        <f t="shared" si="13"/>
        <v>25</v>
      </c>
      <c r="C72" s="17">
        <v>20200429</v>
      </c>
      <c r="D72" s="16" t="s">
        <v>2</v>
      </c>
      <c r="E72" s="16" t="s">
        <v>356</v>
      </c>
      <c r="F72" s="111" t="s">
        <v>61</v>
      </c>
      <c r="G72" s="18">
        <v>1352203</v>
      </c>
      <c r="H72" s="57" t="s">
        <v>61</v>
      </c>
      <c r="I72" s="16" t="s">
        <v>360</v>
      </c>
      <c r="J72" s="57" t="s">
        <v>61</v>
      </c>
      <c r="K72" s="16" t="s">
        <v>353</v>
      </c>
      <c r="L72" s="16" t="s">
        <v>165</v>
      </c>
      <c r="M72" s="16" t="s">
        <v>165</v>
      </c>
      <c r="N72" s="16">
        <v>1352203</v>
      </c>
      <c r="O72" s="18" t="s">
        <v>362</v>
      </c>
      <c r="P72" s="18" t="s">
        <v>369</v>
      </c>
      <c r="Q72" s="19"/>
      <c r="R72" s="57" t="s">
        <v>61</v>
      </c>
      <c r="S72" s="16" t="s">
        <v>69</v>
      </c>
      <c r="T72" s="16"/>
      <c r="U72" s="16"/>
      <c r="V72" s="16">
        <f>58*2</f>
        <v>116</v>
      </c>
      <c r="W72" s="16">
        <f t="shared" si="14"/>
        <v>116</v>
      </c>
      <c r="X72" s="16">
        <f>W72</f>
        <v>116</v>
      </c>
      <c r="Y72" s="16">
        <f>ROUNDDOWN(W72/HLOOKUP(D72,Table!$C$3:$D$4,2,0)*8,2)</f>
        <v>7.13</v>
      </c>
      <c r="Z72" s="16">
        <v>8</v>
      </c>
      <c r="AA72" s="16" t="s">
        <v>74</v>
      </c>
      <c r="AB72" s="20">
        <v>43958</v>
      </c>
      <c r="AC72" s="20">
        <v>43955</v>
      </c>
      <c r="AD72" s="20">
        <v>43959</v>
      </c>
      <c r="AE72" s="20">
        <v>43957</v>
      </c>
      <c r="AF72" s="20">
        <v>43957</v>
      </c>
      <c r="AG72" s="20" t="s">
        <v>335</v>
      </c>
      <c r="AH72" s="32">
        <v>1</v>
      </c>
      <c r="AI72" s="32">
        <v>1</v>
      </c>
      <c r="AJ72" s="32">
        <v>1</v>
      </c>
      <c r="AK72" s="20" t="s">
        <v>165</v>
      </c>
      <c r="AL72" s="16"/>
      <c r="AM72" s="16"/>
      <c r="AN72" s="120" t="s">
        <v>615</v>
      </c>
    </row>
    <row r="73" spans="1:40" ht="18" customHeight="1" x14ac:dyDescent="0.25">
      <c r="B73" s="45">
        <f t="shared" si="13"/>
        <v>26</v>
      </c>
      <c r="C73" s="17">
        <v>20200429</v>
      </c>
      <c r="D73" s="16" t="s">
        <v>2</v>
      </c>
      <c r="E73" s="16" t="s">
        <v>356</v>
      </c>
      <c r="F73" s="111" t="s">
        <v>61</v>
      </c>
      <c r="G73" s="18">
        <v>1352203</v>
      </c>
      <c r="H73" s="57" t="s">
        <v>61</v>
      </c>
      <c r="I73" s="16" t="s">
        <v>361</v>
      </c>
      <c r="J73" s="57" t="s">
        <v>61</v>
      </c>
      <c r="K73" s="16" t="s">
        <v>353</v>
      </c>
      <c r="L73" s="16" t="s">
        <v>165</v>
      </c>
      <c r="M73" s="16" t="s">
        <v>165</v>
      </c>
      <c r="N73" s="16">
        <v>1352203</v>
      </c>
      <c r="O73" s="18" t="s">
        <v>363</v>
      </c>
      <c r="P73" s="18" t="s">
        <v>369</v>
      </c>
      <c r="Q73" s="19"/>
      <c r="R73" s="57" t="s">
        <v>61</v>
      </c>
      <c r="S73" s="16" t="s">
        <v>68</v>
      </c>
      <c r="T73" s="16"/>
      <c r="U73" s="16"/>
      <c r="V73" s="173">
        <v>28</v>
      </c>
      <c r="W73" s="174">
        <f>41*2</f>
        <v>82</v>
      </c>
      <c r="X73" s="175">
        <f>W73</f>
        <v>82</v>
      </c>
      <c r="Y73" s="175">
        <f>ROUNDDOWN(W73/HLOOKUP(D73,Table!$C$3:$D$4,2,0)*8,2)</f>
        <v>5.04</v>
      </c>
      <c r="Z73" s="175">
        <v>4</v>
      </c>
      <c r="AA73" s="16" t="s">
        <v>74</v>
      </c>
      <c r="AB73" s="20">
        <v>43958</v>
      </c>
      <c r="AC73" s="20">
        <v>43955</v>
      </c>
      <c r="AD73" s="20">
        <v>43959</v>
      </c>
      <c r="AE73" s="20">
        <v>43957</v>
      </c>
      <c r="AF73" s="20">
        <v>43957</v>
      </c>
      <c r="AG73" s="20" t="s">
        <v>336</v>
      </c>
      <c r="AH73" s="32">
        <v>1</v>
      </c>
      <c r="AI73" s="32">
        <v>1</v>
      </c>
      <c r="AJ73" s="32">
        <v>0.77800000000000002</v>
      </c>
      <c r="AK73" s="20" t="s">
        <v>149</v>
      </c>
      <c r="AL73" s="112" t="s">
        <v>613</v>
      </c>
      <c r="AM73" s="16"/>
      <c r="AN73" s="18" t="s">
        <v>448</v>
      </c>
    </row>
    <row r="74" spans="1:40" x14ac:dyDescent="0.25">
      <c r="B74" s="45">
        <f t="shared" si="13"/>
        <v>27</v>
      </c>
      <c r="C74" s="17">
        <v>20200429</v>
      </c>
      <c r="D74" s="16" t="s">
        <v>2</v>
      </c>
      <c r="E74" s="16" t="s">
        <v>356</v>
      </c>
      <c r="F74" s="111" t="s">
        <v>61</v>
      </c>
      <c r="G74" s="18">
        <v>1352203</v>
      </c>
      <c r="H74" s="57" t="s">
        <v>61</v>
      </c>
      <c r="I74" s="16" t="s">
        <v>441</v>
      </c>
      <c r="J74" s="57" t="s">
        <v>61</v>
      </c>
      <c r="K74" s="16" t="s">
        <v>353</v>
      </c>
      <c r="L74" s="16" t="s">
        <v>165</v>
      </c>
      <c r="M74" s="16" t="s">
        <v>165</v>
      </c>
      <c r="N74" s="16">
        <v>1352203</v>
      </c>
      <c r="O74" s="18" t="s">
        <v>364</v>
      </c>
      <c r="P74" s="18" t="s">
        <v>369</v>
      </c>
      <c r="Q74" s="19"/>
      <c r="R74" s="57" t="s">
        <v>61</v>
      </c>
      <c r="S74" s="16" t="s">
        <v>67</v>
      </c>
      <c r="T74" s="16"/>
      <c r="U74" s="16"/>
      <c r="V74" s="16">
        <f>4*2</f>
        <v>8</v>
      </c>
      <c r="W74" s="16">
        <f t="shared" si="14"/>
        <v>8</v>
      </c>
      <c r="X74" s="16">
        <v>8</v>
      </c>
      <c r="Y74" s="16">
        <f>ROUNDDOWN(W74/HLOOKUP(D74,Table!$C$3:$D$4,2,0)*8,2)</f>
        <v>0.49</v>
      </c>
      <c r="Z74" s="16">
        <v>0.5</v>
      </c>
      <c r="AA74" s="16" t="s">
        <v>74</v>
      </c>
      <c r="AB74" s="20">
        <v>43958</v>
      </c>
      <c r="AC74" s="20">
        <v>43955</v>
      </c>
      <c r="AD74" s="20">
        <v>43959</v>
      </c>
      <c r="AE74" s="20">
        <v>43957</v>
      </c>
      <c r="AF74" s="20">
        <v>43957</v>
      </c>
      <c r="AG74" s="20" t="s">
        <v>335</v>
      </c>
      <c r="AH74" s="32">
        <v>1</v>
      </c>
      <c r="AI74" s="32">
        <v>1</v>
      </c>
      <c r="AJ74" s="32">
        <v>1</v>
      </c>
      <c r="AK74" s="20" t="s">
        <v>165</v>
      </c>
      <c r="AL74" s="16" t="s">
        <v>61</v>
      </c>
      <c r="AM74" s="16" t="s">
        <v>61</v>
      </c>
      <c r="AN74" s="16" t="s">
        <v>61</v>
      </c>
    </row>
    <row r="75" spans="1:40" x14ac:dyDescent="0.25">
      <c r="B75" s="85">
        <f t="shared" si="13"/>
        <v>28</v>
      </c>
      <c r="C75" s="17">
        <v>20200429</v>
      </c>
      <c r="D75" s="16" t="s">
        <v>3</v>
      </c>
      <c r="E75" s="16" t="s">
        <v>370</v>
      </c>
      <c r="F75" s="80" t="s">
        <v>944</v>
      </c>
      <c r="G75" s="115">
        <v>1411876</v>
      </c>
      <c r="H75" s="113" t="s">
        <v>61</v>
      </c>
      <c r="I75" s="114" t="s">
        <v>371</v>
      </c>
      <c r="J75" s="113" t="s">
        <v>61</v>
      </c>
      <c r="K75" s="114" t="s">
        <v>161</v>
      </c>
      <c r="L75" s="114" t="s">
        <v>165</v>
      </c>
      <c r="M75" s="114" t="s">
        <v>165</v>
      </c>
      <c r="N75" s="114" t="s">
        <v>420</v>
      </c>
      <c r="O75" s="115" t="s">
        <v>61</v>
      </c>
      <c r="P75" s="115" t="s">
        <v>403</v>
      </c>
      <c r="Q75" s="116"/>
      <c r="R75" s="113" t="s">
        <v>61</v>
      </c>
      <c r="S75" s="114" t="s">
        <v>68</v>
      </c>
      <c r="T75" s="114"/>
      <c r="U75" s="114"/>
      <c r="V75" s="114">
        <v>92</v>
      </c>
      <c r="W75" s="16">
        <f t="shared" si="14"/>
        <v>92</v>
      </c>
      <c r="X75" s="16">
        <f>W75</f>
        <v>92</v>
      </c>
      <c r="Y75" s="16">
        <f>ROUNDDOWN(W75/HLOOKUP(D75,Table!$C$3:$D$4,2,0)*8,2)</f>
        <v>1.63</v>
      </c>
      <c r="Z75" s="16">
        <v>1</v>
      </c>
      <c r="AA75" s="16" t="s">
        <v>74</v>
      </c>
      <c r="AB75" s="20">
        <v>43964</v>
      </c>
      <c r="AC75" s="20">
        <v>43955</v>
      </c>
      <c r="AD75" s="20">
        <v>43966</v>
      </c>
      <c r="AE75" s="20">
        <v>43959</v>
      </c>
      <c r="AF75" s="20">
        <v>43959</v>
      </c>
      <c r="AG75" s="20" t="s">
        <v>335</v>
      </c>
      <c r="AH75" s="32">
        <v>1</v>
      </c>
      <c r="AI75" s="32">
        <v>1</v>
      </c>
      <c r="AJ75" s="32">
        <v>1</v>
      </c>
      <c r="AK75" s="20" t="s">
        <v>165</v>
      </c>
      <c r="AL75" s="16" t="s">
        <v>61</v>
      </c>
      <c r="AM75" s="16" t="s">
        <v>61</v>
      </c>
      <c r="AN75" s="16" t="s">
        <v>61</v>
      </c>
    </row>
    <row r="76" spans="1:40" x14ac:dyDescent="0.25">
      <c r="B76" s="85">
        <f t="shared" si="13"/>
        <v>29</v>
      </c>
      <c r="C76" s="17">
        <v>20200429</v>
      </c>
      <c r="D76" s="16" t="s">
        <v>3</v>
      </c>
      <c r="E76" s="16" t="s">
        <v>370</v>
      </c>
      <c r="F76" s="80" t="s">
        <v>945</v>
      </c>
      <c r="G76" s="18">
        <v>1411876</v>
      </c>
      <c r="H76" s="57" t="s">
        <v>61</v>
      </c>
      <c r="I76" s="16" t="s">
        <v>372</v>
      </c>
      <c r="J76" s="57" t="s">
        <v>61</v>
      </c>
      <c r="K76" s="16" t="s">
        <v>161</v>
      </c>
      <c r="L76" s="16" t="s">
        <v>165</v>
      </c>
      <c r="M76" s="16" t="s">
        <v>165</v>
      </c>
      <c r="N76" s="16" t="s">
        <v>420</v>
      </c>
      <c r="O76" s="18" t="s">
        <v>61</v>
      </c>
      <c r="P76" s="18" t="s">
        <v>403</v>
      </c>
      <c r="Q76" s="19"/>
      <c r="R76" s="57" t="s">
        <v>61</v>
      </c>
      <c r="S76" s="16" t="s">
        <v>67</v>
      </c>
      <c r="T76" s="16"/>
      <c r="U76" s="16"/>
      <c r="V76" s="16">
        <v>99</v>
      </c>
      <c r="W76" s="16">
        <f t="shared" si="14"/>
        <v>99</v>
      </c>
      <c r="X76" s="16">
        <v>99</v>
      </c>
      <c r="Y76" s="16">
        <f>ROUNDDOWN(W76/HLOOKUP(D76,Table!$C$3:$D$4,2,0)*8,2)</f>
        <v>1.76</v>
      </c>
      <c r="Z76" s="16">
        <v>0.5</v>
      </c>
      <c r="AA76" s="16" t="s">
        <v>74</v>
      </c>
      <c r="AB76" s="20">
        <v>43964</v>
      </c>
      <c r="AC76" s="20">
        <v>43955</v>
      </c>
      <c r="AD76" s="20">
        <v>43966</v>
      </c>
      <c r="AE76" s="20">
        <v>43956</v>
      </c>
      <c r="AF76" s="20">
        <v>43956</v>
      </c>
      <c r="AG76" s="20" t="s">
        <v>335</v>
      </c>
      <c r="AH76" s="16" t="s">
        <v>61</v>
      </c>
      <c r="AI76" s="16" t="s">
        <v>61</v>
      </c>
      <c r="AJ76" s="16" t="s">
        <v>61</v>
      </c>
      <c r="AK76" s="16" t="s">
        <v>61</v>
      </c>
      <c r="AL76" s="16" t="s">
        <v>61</v>
      </c>
      <c r="AM76" s="16" t="s">
        <v>61</v>
      </c>
      <c r="AN76" s="17" t="s">
        <v>418</v>
      </c>
    </row>
    <row r="77" spans="1:40" x14ac:dyDescent="0.25">
      <c r="B77" s="85">
        <f t="shared" si="13"/>
        <v>30</v>
      </c>
      <c r="C77" s="17">
        <v>20200429</v>
      </c>
      <c r="D77" s="16" t="s">
        <v>3</v>
      </c>
      <c r="E77" s="16" t="s">
        <v>370</v>
      </c>
      <c r="F77" s="80" t="s">
        <v>946</v>
      </c>
      <c r="G77" s="18">
        <v>1411876</v>
      </c>
      <c r="H77" s="57" t="s">
        <v>61</v>
      </c>
      <c r="I77" s="16" t="s">
        <v>373</v>
      </c>
      <c r="J77" s="57" t="s">
        <v>61</v>
      </c>
      <c r="K77" s="16" t="s">
        <v>161</v>
      </c>
      <c r="L77" s="16" t="s">
        <v>165</v>
      </c>
      <c r="M77" s="16" t="s">
        <v>165</v>
      </c>
      <c r="N77" s="16" t="s">
        <v>420</v>
      </c>
      <c r="O77" s="18" t="s">
        <v>61</v>
      </c>
      <c r="P77" s="18" t="s">
        <v>403</v>
      </c>
      <c r="Q77" s="19"/>
      <c r="R77" s="57" t="s">
        <v>61</v>
      </c>
      <c r="S77" s="16" t="s">
        <v>67</v>
      </c>
      <c r="T77" s="16"/>
      <c r="U77" s="16"/>
      <c r="V77" s="16">
        <v>1</v>
      </c>
      <c r="W77" s="98">
        <v>16</v>
      </c>
      <c r="X77" s="16">
        <v>16</v>
      </c>
      <c r="Y77" s="16">
        <f>ROUNDDOWN(W77/HLOOKUP(D77,Table!$C$3:$D$4,2,0)*8,2)</f>
        <v>0.28000000000000003</v>
      </c>
      <c r="Z77" s="16">
        <v>0.2</v>
      </c>
      <c r="AA77" s="16" t="s">
        <v>74</v>
      </c>
      <c r="AB77" s="20">
        <v>43964</v>
      </c>
      <c r="AC77" s="20">
        <v>43955</v>
      </c>
      <c r="AD77" s="20">
        <v>43966</v>
      </c>
      <c r="AE77" s="20">
        <v>43956</v>
      </c>
      <c r="AF77" s="20">
        <v>43956</v>
      </c>
      <c r="AG77" s="20" t="s">
        <v>335</v>
      </c>
      <c r="AH77" s="32">
        <v>1</v>
      </c>
      <c r="AI77" s="32">
        <v>1</v>
      </c>
      <c r="AJ77" s="32">
        <v>1</v>
      </c>
      <c r="AK77" s="20" t="s">
        <v>165</v>
      </c>
      <c r="AL77" s="16" t="s">
        <v>61</v>
      </c>
      <c r="AM77" s="16" t="s">
        <v>61</v>
      </c>
      <c r="AN77" s="16" t="s">
        <v>61</v>
      </c>
    </row>
    <row r="78" spans="1:40" x14ac:dyDescent="0.25">
      <c r="B78" s="85">
        <f t="shared" si="13"/>
        <v>31</v>
      </c>
      <c r="C78" s="17">
        <v>20200429</v>
      </c>
      <c r="D78" s="16" t="s">
        <v>3</v>
      </c>
      <c r="E78" s="16" t="s">
        <v>370</v>
      </c>
      <c r="F78" s="80" t="s">
        <v>947</v>
      </c>
      <c r="G78" s="18">
        <v>1411876</v>
      </c>
      <c r="H78" s="57" t="s">
        <v>61</v>
      </c>
      <c r="I78" s="16" t="s">
        <v>374</v>
      </c>
      <c r="J78" s="57" t="s">
        <v>61</v>
      </c>
      <c r="K78" s="16" t="s">
        <v>161</v>
      </c>
      <c r="L78" s="16" t="s">
        <v>165</v>
      </c>
      <c r="M78" s="16" t="s">
        <v>165</v>
      </c>
      <c r="N78" s="16" t="s">
        <v>420</v>
      </c>
      <c r="O78" s="18" t="s">
        <v>61</v>
      </c>
      <c r="P78" s="18" t="s">
        <v>403</v>
      </c>
      <c r="Q78" s="19"/>
      <c r="R78" s="57" t="s">
        <v>61</v>
      </c>
      <c r="S78" s="16" t="s">
        <v>69</v>
      </c>
      <c r="T78" s="16"/>
      <c r="U78" s="16"/>
      <c r="V78" s="16">
        <v>108</v>
      </c>
      <c r="W78" s="16">
        <f t="shared" si="14"/>
        <v>108</v>
      </c>
      <c r="X78" s="16">
        <f t="shared" ref="X78:X86" si="18">W78</f>
        <v>108</v>
      </c>
      <c r="Y78" s="16">
        <f>ROUNDDOWN(W78/HLOOKUP(D78,Table!$C$3:$D$4,2,0)*8,2)</f>
        <v>1.92</v>
      </c>
      <c r="Z78" s="16">
        <v>1</v>
      </c>
      <c r="AA78" s="16" t="s">
        <v>74</v>
      </c>
      <c r="AB78" s="20">
        <v>43964</v>
      </c>
      <c r="AC78" s="20">
        <v>43955</v>
      </c>
      <c r="AD78" s="20">
        <v>43966</v>
      </c>
      <c r="AE78" s="20">
        <v>43955</v>
      </c>
      <c r="AF78" s="20">
        <v>43955</v>
      </c>
      <c r="AG78" s="20" t="s">
        <v>336</v>
      </c>
      <c r="AH78" s="32">
        <v>0.36</v>
      </c>
      <c r="AI78" s="32">
        <v>0.31</v>
      </c>
      <c r="AJ78" s="32">
        <v>0.33</v>
      </c>
      <c r="AK78" s="20" t="s">
        <v>149</v>
      </c>
      <c r="AL78" s="16" t="s">
        <v>437</v>
      </c>
      <c r="AM78" s="16"/>
      <c r="AN78" s="150" t="s">
        <v>448</v>
      </c>
    </row>
    <row r="79" spans="1:40" x14ac:dyDescent="0.25">
      <c r="B79" s="85">
        <f t="shared" si="13"/>
        <v>32</v>
      </c>
      <c r="C79" s="17">
        <v>20200429</v>
      </c>
      <c r="D79" s="16" t="s">
        <v>3</v>
      </c>
      <c r="E79" s="16" t="s">
        <v>370</v>
      </c>
      <c r="F79" s="80" t="s">
        <v>948</v>
      </c>
      <c r="G79" s="18">
        <v>1411876</v>
      </c>
      <c r="H79" s="57" t="s">
        <v>61</v>
      </c>
      <c r="I79" s="16" t="s">
        <v>375</v>
      </c>
      <c r="J79" s="57" t="s">
        <v>61</v>
      </c>
      <c r="K79" s="16" t="s">
        <v>161</v>
      </c>
      <c r="L79" s="16" t="s">
        <v>165</v>
      </c>
      <c r="M79" s="16" t="s">
        <v>165</v>
      </c>
      <c r="N79" s="16" t="s">
        <v>420</v>
      </c>
      <c r="O79" s="18" t="s">
        <v>61</v>
      </c>
      <c r="P79" s="18" t="s">
        <v>403</v>
      </c>
      <c r="Q79" s="19"/>
      <c r="R79" s="57" t="s">
        <v>61</v>
      </c>
      <c r="S79" s="16" t="s">
        <v>70</v>
      </c>
      <c r="T79" s="16"/>
      <c r="U79" s="16"/>
      <c r="V79" s="16">
        <v>159</v>
      </c>
      <c r="W79" s="16">
        <f t="shared" si="14"/>
        <v>159</v>
      </c>
      <c r="X79" s="16">
        <f t="shared" si="18"/>
        <v>159</v>
      </c>
      <c r="Y79" s="16">
        <f>ROUNDDOWN(W79/HLOOKUP(D79,Table!$C$3:$D$4,2,0)*8,2)</f>
        <v>2.82</v>
      </c>
      <c r="Z79" s="16">
        <v>1</v>
      </c>
      <c r="AA79" s="16" t="s">
        <v>74</v>
      </c>
      <c r="AB79" s="20">
        <v>43964</v>
      </c>
      <c r="AC79" s="20">
        <v>43955</v>
      </c>
      <c r="AD79" s="20">
        <v>43966</v>
      </c>
      <c r="AE79" s="20">
        <v>43956</v>
      </c>
      <c r="AF79" s="20">
        <v>43956</v>
      </c>
      <c r="AG79" s="20" t="s">
        <v>335</v>
      </c>
      <c r="AH79" s="32">
        <v>1</v>
      </c>
      <c r="AI79" s="32">
        <v>1</v>
      </c>
      <c r="AJ79" s="32">
        <v>1</v>
      </c>
      <c r="AK79" s="20" t="s">
        <v>165</v>
      </c>
      <c r="AL79" s="16" t="s">
        <v>61</v>
      </c>
      <c r="AM79" s="16" t="s">
        <v>61</v>
      </c>
      <c r="AN79" s="16" t="s">
        <v>61</v>
      </c>
    </row>
    <row r="80" spans="1:40" x14ac:dyDescent="0.25">
      <c r="B80" s="85">
        <f t="shared" si="13"/>
        <v>33</v>
      </c>
      <c r="C80" s="17">
        <v>20200429</v>
      </c>
      <c r="D80" s="16" t="s">
        <v>3</v>
      </c>
      <c r="E80" s="16" t="s">
        <v>370</v>
      </c>
      <c r="F80" s="80" t="s">
        <v>948</v>
      </c>
      <c r="G80" s="115">
        <v>1411876</v>
      </c>
      <c r="H80" s="113" t="s">
        <v>61</v>
      </c>
      <c r="I80" s="114" t="s">
        <v>376</v>
      </c>
      <c r="J80" s="113" t="s">
        <v>61</v>
      </c>
      <c r="K80" s="114" t="s">
        <v>161</v>
      </c>
      <c r="L80" s="114" t="s">
        <v>165</v>
      </c>
      <c r="M80" s="114" t="s">
        <v>165</v>
      </c>
      <c r="N80" s="114" t="s">
        <v>420</v>
      </c>
      <c r="O80" s="115" t="s">
        <v>61</v>
      </c>
      <c r="P80" s="115" t="s">
        <v>403</v>
      </c>
      <c r="Q80" s="116"/>
      <c r="R80" s="113" t="s">
        <v>61</v>
      </c>
      <c r="S80" s="114" t="s">
        <v>68</v>
      </c>
      <c r="T80" s="114"/>
      <c r="U80" s="114"/>
      <c r="V80" s="114">
        <v>51</v>
      </c>
      <c r="W80" s="16">
        <f t="shared" si="14"/>
        <v>51</v>
      </c>
      <c r="X80" s="16">
        <f t="shared" si="18"/>
        <v>51</v>
      </c>
      <c r="Y80" s="16">
        <f>ROUNDDOWN(W80/HLOOKUP(D80,Table!$C$3:$D$4,2,0)*8,2)</f>
        <v>0.9</v>
      </c>
      <c r="Z80" s="16">
        <v>1</v>
      </c>
      <c r="AA80" s="16" t="s">
        <v>74</v>
      </c>
      <c r="AB80" s="20">
        <v>43964</v>
      </c>
      <c r="AC80" s="20">
        <v>43955</v>
      </c>
      <c r="AD80" s="20">
        <v>43966</v>
      </c>
      <c r="AE80" s="20">
        <v>43959</v>
      </c>
      <c r="AF80" s="20">
        <v>43959</v>
      </c>
      <c r="AG80" s="20" t="s">
        <v>335</v>
      </c>
      <c r="AH80" s="32">
        <v>1</v>
      </c>
      <c r="AI80" s="32">
        <v>1</v>
      </c>
      <c r="AJ80" s="32">
        <v>1</v>
      </c>
      <c r="AK80" s="20" t="s">
        <v>165</v>
      </c>
      <c r="AL80" s="16" t="s">
        <v>61</v>
      </c>
      <c r="AM80" s="16" t="s">
        <v>61</v>
      </c>
      <c r="AN80" s="16" t="s">
        <v>61</v>
      </c>
    </row>
    <row r="81" spans="2:40" x14ac:dyDescent="0.25">
      <c r="B81" s="85">
        <f t="shared" si="13"/>
        <v>34</v>
      </c>
      <c r="C81" s="17">
        <v>20200429</v>
      </c>
      <c r="D81" s="16" t="s">
        <v>3</v>
      </c>
      <c r="E81" s="16" t="s">
        <v>370</v>
      </c>
      <c r="F81" s="80" t="s">
        <v>948</v>
      </c>
      <c r="G81" s="18">
        <v>1411876</v>
      </c>
      <c r="H81" s="57" t="s">
        <v>61</v>
      </c>
      <c r="I81" s="16" t="s">
        <v>377</v>
      </c>
      <c r="J81" s="57" t="s">
        <v>61</v>
      </c>
      <c r="K81" s="16" t="s">
        <v>161</v>
      </c>
      <c r="L81" s="16" t="s">
        <v>165</v>
      </c>
      <c r="M81" s="16" t="s">
        <v>165</v>
      </c>
      <c r="N81" s="16" t="s">
        <v>420</v>
      </c>
      <c r="O81" s="18" t="s">
        <v>61</v>
      </c>
      <c r="P81" s="18" t="s">
        <v>403</v>
      </c>
      <c r="Q81" s="19"/>
      <c r="R81" s="57" t="s">
        <v>61</v>
      </c>
      <c r="S81" s="16" t="s">
        <v>70</v>
      </c>
      <c r="T81" s="16"/>
      <c r="U81" s="16"/>
      <c r="V81" s="16">
        <v>44</v>
      </c>
      <c r="W81" s="16">
        <f t="shared" si="14"/>
        <v>44</v>
      </c>
      <c r="X81" s="16">
        <f t="shared" si="18"/>
        <v>44</v>
      </c>
      <c r="Y81" s="16">
        <f>ROUNDDOWN(W81/HLOOKUP(D81,Table!$C$3:$D$4,2,0)*8,2)</f>
        <v>0.78</v>
      </c>
      <c r="Z81" s="16">
        <v>1</v>
      </c>
      <c r="AA81" s="16" t="s">
        <v>74</v>
      </c>
      <c r="AB81" s="20">
        <v>43964</v>
      </c>
      <c r="AC81" s="20">
        <v>43955</v>
      </c>
      <c r="AD81" s="20">
        <v>43966</v>
      </c>
      <c r="AE81" s="20">
        <v>43955</v>
      </c>
      <c r="AF81" s="20">
        <v>43955</v>
      </c>
      <c r="AG81" s="20" t="s">
        <v>335</v>
      </c>
      <c r="AH81" s="32">
        <v>1</v>
      </c>
      <c r="AI81" s="32">
        <v>1</v>
      </c>
      <c r="AJ81" s="32">
        <v>1</v>
      </c>
      <c r="AK81" s="20" t="s">
        <v>165</v>
      </c>
      <c r="AL81" s="16" t="s">
        <v>61</v>
      </c>
      <c r="AM81" s="16" t="s">
        <v>61</v>
      </c>
      <c r="AN81" s="16" t="s">
        <v>61</v>
      </c>
    </row>
    <row r="82" spans="2:40" x14ac:dyDescent="0.25">
      <c r="B82" s="85">
        <f t="shared" si="13"/>
        <v>35</v>
      </c>
      <c r="C82" s="17">
        <v>20200429</v>
      </c>
      <c r="D82" s="16" t="s">
        <v>3</v>
      </c>
      <c r="E82" s="16" t="s">
        <v>370</v>
      </c>
      <c r="F82" s="80" t="s">
        <v>948</v>
      </c>
      <c r="G82" s="18">
        <v>1411876</v>
      </c>
      <c r="H82" s="57" t="s">
        <v>61</v>
      </c>
      <c r="I82" s="16" t="s">
        <v>378</v>
      </c>
      <c r="J82" s="57" t="s">
        <v>61</v>
      </c>
      <c r="K82" s="16" t="s">
        <v>161</v>
      </c>
      <c r="L82" s="16" t="s">
        <v>165</v>
      </c>
      <c r="M82" s="16" t="s">
        <v>165</v>
      </c>
      <c r="N82" s="16" t="s">
        <v>420</v>
      </c>
      <c r="O82" s="18" t="s">
        <v>61</v>
      </c>
      <c r="P82" s="18" t="s">
        <v>403</v>
      </c>
      <c r="Q82" s="19"/>
      <c r="R82" s="57" t="s">
        <v>61</v>
      </c>
      <c r="S82" s="16" t="s">
        <v>70</v>
      </c>
      <c r="T82" s="16"/>
      <c r="U82" s="16"/>
      <c r="V82" s="16">
        <v>119</v>
      </c>
      <c r="W82" s="16">
        <f t="shared" si="14"/>
        <v>119</v>
      </c>
      <c r="X82" s="16">
        <f t="shared" si="18"/>
        <v>119</v>
      </c>
      <c r="Y82" s="16">
        <f>ROUNDDOWN(W82/HLOOKUP(D82,Table!$C$3:$D$4,2,0)*8,2)</f>
        <v>2.11</v>
      </c>
      <c r="Z82" s="16">
        <v>2</v>
      </c>
      <c r="AA82" s="16" t="s">
        <v>74</v>
      </c>
      <c r="AB82" s="20">
        <v>43964</v>
      </c>
      <c r="AC82" s="20">
        <v>43955</v>
      </c>
      <c r="AD82" s="20">
        <v>43966</v>
      </c>
      <c r="AE82" s="20">
        <v>43955</v>
      </c>
      <c r="AF82" s="20">
        <v>43955</v>
      </c>
      <c r="AG82" s="20" t="s">
        <v>336</v>
      </c>
      <c r="AH82" s="32">
        <v>1</v>
      </c>
      <c r="AI82" s="32">
        <v>0.96</v>
      </c>
      <c r="AJ82" s="32">
        <v>1</v>
      </c>
      <c r="AK82" s="20" t="s">
        <v>164</v>
      </c>
      <c r="AL82" s="18" t="s">
        <v>421</v>
      </c>
      <c r="AM82" s="16" t="s">
        <v>61</v>
      </c>
      <c r="AN82" s="168" t="s">
        <v>988</v>
      </c>
    </row>
    <row r="83" spans="2:40" x14ac:dyDescent="0.25">
      <c r="B83" s="85">
        <f t="shared" si="13"/>
        <v>36</v>
      </c>
      <c r="C83" s="17">
        <v>20200429</v>
      </c>
      <c r="D83" s="16" t="s">
        <v>3</v>
      </c>
      <c r="E83" s="16" t="s">
        <v>370</v>
      </c>
      <c r="F83" s="80" t="s">
        <v>948</v>
      </c>
      <c r="G83" s="18">
        <v>1411876</v>
      </c>
      <c r="H83" s="57" t="s">
        <v>61</v>
      </c>
      <c r="I83" s="16" t="s">
        <v>379</v>
      </c>
      <c r="J83" s="57" t="s">
        <v>61</v>
      </c>
      <c r="K83" s="16" t="s">
        <v>161</v>
      </c>
      <c r="L83" s="16" t="s">
        <v>165</v>
      </c>
      <c r="M83" s="16" t="s">
        <v>165</v>
      </c>
      <c r="N83" s="16" t="s">
        <v>420</v>
      </c>
      <c r="O83" s="18" t="s">
        <v>61</v>
      </c>
      <c r="P83" s="18" t="s">
        <v>403</v>
      </c>
      <c r="Q83" s="19"/>
      <c r="R83" s="57" t="s">
        <v>61</v>
      </c>
      <c r="S83" s="16" t="s">
        <v>69</v>
      </c>
      <c r="T83" s="16"/>
      <c r="U83" s="16"/>
      <c r="V83" s="16">
        <v>131</v>
      </c>
      <c r="W83" s="16">
        <f t="shared" si="14"/>
        <v>131</v>
      </c>
      <c r="X83" s="16">
        <f t="shared" si="18"/>
        <v>131</v>
      </c>
      <c r="Y83" s="16">
        <f>ROUNDDOWN(W83/HLOOKUP(D83,Table!$C$3:$D$4,2,0)*8,2)</f>
        <v>2.3199999999999998</v>
      </c>
      <c r="Z83" s="16">
        <v>1</v>
      </c>
      <c r="AA83" s="16" t="s">
        <v>74</v>
      </c>
      <c r="AB83" s="20">
        <v>43964</v>
      </c>
      <c r="AC83" s="20">
        <v>43955</v>
      </c>
      <c r="AD83" s="20">
        <v>43966</v>
      </c>
      <c r="AE83" s="20">
        <v>43956</v>
      </c>
      <c r="AF83" s="20">
        <v>43956</v>
      </c>
      <c r="AG83" s="20" t="s">
        <v>335</v>
      </c>
      <c r="AH83" s="32">
        <v>1</v>
      </c>
      <c r="AI83" s="32">
        <v>1</v>
      </c>
      <c r="AJ83" s="32">
        <v>1</v>
      </c>
      <c r="AK83" s="20" t="s">
        <v>165</v>
      </c>
      <c r="AL83" s="16" t="s">
        <v>61</v>
      </c>
      <c r="AM83" s="16" t="s">
        <v>61</v>
      </c>
      <c r="AN83" s="16" t="s">
        <v>61</v>
      </c>
    </row>
    <row r="84" spans="2:40" x14ac:dyDescent="0.25">
      <c r="B84" s="85">
        <f t="shared" si="13"/>
        <v>37</v>
      </c>
      <c r="C84" s="17">
        <v>20200429</v>
      </c>
      <c r="D84" s="16" t="s">
        <v>3</v>
      </c>
      <c r="E84" s="16" t="s">
        <v>370</v>
      </c>
      <c r="F84" s="80" t="s">
        <v>948</v>
      </c>
      <c r="G84" s="18">
        <v>1411876</v>
      </c>
      <c r="H84" s="57" t="s">
        <v>61</v>
      </c>
      <c r="I84" s="16" t="s">
        <v>380</v>
      </c>
      <c r="J84" s="57" t="s">
        <v>61</v>
      </c>
      <c r="K84" s="16" t="s">
        <v>161</v>
      </c>
      <c r="L84" s="16" t="s">
        <v>165</v>
      </c>
      <c r="M84" s="16" t="s">
        <v>165</v>
      </c>
      <c r="N84" s="16" t="s">
        <v>420</v>
      </c>
      <c r="O84" s="18" t="s">
        <v>61</v>
      </c>
      <c r="P84" s="18" t="s">
        <v>403</v>
      </c>
      <c r="Q84" s="19"/>
      <c r="R84" s="57" t="s">
        <v>61</v>
      </c>
      <c r="S84" s="16" t="s">
        <v>70</v>
      </c>
      <c r="T84" s="16"/>
      <c r="U84" s="16"/>
      <c r="V84" s="16">
        <v>265</v>
      </c>
      <c r="W84" s="16">
        <f t="shared" si="14"/>
        <v>265</v>
      </c>
      <c r="X84" s="16">
        <f t="shared" si="18"/>
        <v>265</v>
      </c>
      <c r="Y84" s="16">
        <f>ROUNDDOWN(W84/HLOOKUP(D84,Table!$C$3:$D$4,2,0)*8,2)</f>
        <v>4.71</v>
      </c>
      <c r="Z84" s="16">
        <v>3</v>
      </c>
      <c r="AA84" s="16" t="s">
        <v>74</v>
      </c>
      <c r="AB84" s="20">
        <v>43964</v>
      </c>
      <c r="AC84" s="20">
        <v>43955</v>
      </c>
      <c r="AD84" s="20">
        <v>43966</v>
      </c>
      <c r="AE84" s="20">
        <v>43955</v>
      </c>
      <c r="AF84" s="20">
        <v>43955</v>
      </c>
      <c r="AG84" s="20" t="s">
        <v>335</v>
      </c>
      <c r="AH84" s="32">
        <v>1</v>
      </c>
      <c r="AI84" s="32">
        <v>1</v>
      </c>
      <c r="AJ84" s="32">
        <v>1</v>
      </c>
      <c r="AK84" s="20" t="s">
        <v>165</v>
      </c>
      <c r="AL84" s="16" t="s">
        <v>61</v>
      </c>
      <c r="AM84" s="16" t="s">
        <v>61</v>
      </c>
      <c r="AN84" s="16" t="s">
        <v>61</v>
      </c>
    </row>
    <row r="85" spans="2:40" x14ac:dyDescent="0.25">
      <c r="B85" s="85">
        <f t="shared" si="13"/>
        <v>38</v>
      </c>
      <c r="C85" s="17">
        <v>20200429</v>
      </c>
      <c r="D85" s="16" t="s">
        <v>3</v>
      </c>
      <c r="E85" s="16" t="s">
        <v>370</v>
      </c>
      <c r="F85" s="80" t="s">
        <v>948</v>
      </c>
      <c r="G85" s="18">
        <v>1411876</v>
      </c>
      <c r="H85" s="57" t="s">
        <v>61</v>
      </c>
      <c r="I85" s="16" t="s">
        <v>381</v>
      </c>
      <c r="J85" s="57" t="s">
        <v>61</v>
      </c>
      <c r="K85" s="16" t="s">
        <v>161</v>
      </c>
      <c r="L85" s="16" t="s">
        <v>165</v>
      </c>
      <c r="M85" s="16" t="s">
        <v>165</v>
      </c>
      <c r="N85" s="16" t="s">
        <v>420</v>
      </c>
      <c r="O85" s="18" t="s">
        <v>61</v>
      </c>
      <c r="P85" s="18" t="s">
        <v>403</v>
      </c>
      <c r="Q85" s="19"/>
      <c r="R85" s="57" t="s">
        <v>61</v>
      </c>
      <c r="S85" s="16" t="s">
        <v>70</v>
      </c>
      <c r="T85" s="16"/>
      <c r="U85" s="16"/>
      <c r="V85" s="16">
        <v>368</v>
      </c>
      <c r="W85" s="16">
        <f t="shared" si="14"/>
        <v>368</v>
      </c>
      <c r="X85" s="16">
        <f t="shared" si="18"/>
        <v>368</v>
      </c>
      <c r="Y85" s="16">
        <f>ROUNDDOWN(W85/HLOOKUP(D85,Table!$C$3:$D$4,2,0)*8,2)</f>
        <v>6.54</v>
      </c>
      <c r="Z85" s="16">
        <v>6</v>
      </c>
      <c r="AA85" s="16" t="s">
        <v>74</v>
      </c>
      <c r="AB85" s="20">
        <v>43964</v>
      </c>
      <c r="AC85" s="20">
        <v>43955</v>
      </c>
      <c r="AD85" s="20">
        <v>43966</v>
      </c>
      <c r="AE85" s="20">
        <v>43956</v>
      </c>
      <c r="AF85" s="20">
        <v>43956</v>
      </c>
      <c r="AG85" s="20" t="s">
        <v>336</v>
      </c>
      <c r="AH85" s="32">
        <v>1</v>
      </c>
      <c r="AI85" s="32">
        <v>0.99</v>
      </c>
      <c r="AJ85" s="32">
        <v>1</v>
      </c>
      <c r="AK85" s="20" t="s">
        <v>149</v>
      </c>
      <c r="AL85" s="18" t="s">
        <v>439</v>
      </c>
      <c r="AM85" s="16"/>
      <c r="AN85" s="150" t="s">
        <v>448</v>
      </c>
    </row>
    <row r="86" spans="2:40" x14ac:dyDescent="0.25">
      <c r="B86" s="85">
        <f t="shared" si="13"/>
        <v>39</v>
      </c>
      <c r="C86" s="17">
        <v>20200429</v>
      </c>
      <c r="D86" s="16" t="s">
        <v>3</v>
      </c>
      <c r="E86" s="16" t="s">
        <v>370</v>
      </c>
      <c r="F86" s="80" t="s">
        <v>948</v>
      </c>
      <c r="G86" s="18">
        <v>1411876</v>
      </c>
      <c r="H86" s="57" t="s">
        <v>61</v>
      </c>
      <c r="I86" s="16" t="s">
        <v>382</v>
      </c>
      <c r="J86" s="57" t="s">
        <v>61</v>
      </c>
      <c r="K86" s="16" t="s">
        <v>161</v>
      </c>
      <c r="L86" s="16" t="s">
        <v>165</v>
      </c>
      <c r="M86" s="16" t="s">
        <v>165</v>
      </c>
      <c r="N86" s="16" t="s">
        <v>420</v>
      </c>
      <c r="O86" s="18" t="s">
        <v>61</v>
      </c>
      <c r="P86" s="18" t="s">
        <v>403</v>
      </c>
      <c r="Q86" s="19"/>
      <c r="R86" s="57" t="s">
        <v>61</v>
      </c>
      <c r="S86" s="16" t="s">
        <v>67</v>
      </c>
      <c r="T86" s="16"/>
      <c r="U86" s="16"/>
      <c r="V86" s="16">
        <v>195</v>
      </c>
      <c r="W86" s="16">
        <f t="shared" si="14"/>
        <v>195</v>
      </c>
      <c r="X86" s="16">
        <f t="shared" si="18"/>
        <v>195</v>
      </c>
      <c r="Y86" s="16">
        <f>ROUNDDOWN(W86/HLOOKUP(D86,Table!$C$3:$D$4,2,0)*8,2)</f>
        <v>3.46</v>
      </c>
      <c r="Z86" s="16">
        <v>5</v>
      </c>
      <c r="AA86" s="16" t="s">
        <v>74</v>
      </c>
      <c r="AB86" s="20">
        <v>43964</v>
      </c>
      <c r="AC86" s="20">
        <v>43955</v>
      </c>
      <c r="AD86" s="20">
        <v>43966</v>
      </c>
      <c r="AE86" s="20">
        <v>43959</v>
      </c>
      <c r="AF86" s="20">
        <v>43959</v>
      </c>
      <c r="AG86" s="20" t="s">
        <v>336</v>
      </c>
      <c r="AH86" s="32">
        <v>0.98</v>
      </c>
      <c r="AI86" s="32">
        <v>0.97</v>
      </c>
      <c r="AJ86" s="32">
        <v>1</v>
      </c>
      <c r="AK86" s="20" t="s">
        <v>149</v>
      </c>
      <c r="AL86" s="16" t="s">
        <v>598</v>
      </c>
      <c r="AM86" s="16" t="s">
        <v>61</v>
      </c>
      <c r="AN86" s="150" t="s">
        <v>448</v>
      </c>
    </row>
    <row r="87" spans="2:40" x14ac:dyDescent="0.25">
      <c r="B87" s="85">
        <f t="shared" si="13"/>
        <v>40</v>
      </c>
      <c r="C87" s="17">
        <v>20200429</v>
      </c>
      <c r="D87" s="16" t="s">
        <v>3</v>
      </c>
      <c r="E87" s="16" t="s">
        <v>370</v>
      </c>
      <c r="F87" s="80" t="s">
        <v>948</v>
      </c>
      <c r="G87" s="18">
        <v>1411876</v>
      </c>
      <c r="H87" s="57" t="s">
        <v>61</v>
      </c>
      <c r="I87" s="16" t="s">
        <v>383</v>
      </c>
      <c r="J87" s="57" t="s">
        <v>61</v>
      </c>
      <c r="K87" s="16" t="s">
        <v>161</v>
      </c>
      <c r="L87" s="16" t="s">
        <v>165</v>
      </c>
      <c r="M87" s="16" t="s">
        <v>165</v>
      </c>
      <c r="N87" s="16" t="s">
        <v>420</v>
      </c>
      <c r="O87" s="18" t="s">
        <v>61</v>
      </c>
      <c r="P87" s="18" t="s">
        <v>403</v>
      </c>
      <c r="Q87" s="19"/>
      <c r="R87" s="57" t="s">
        <v>61</v>
      </c>
      <c r="S87" s="16" t="s">
        <v>68</v>
      </c>
      <c r="T87" s="16"/>
      <c r="U87" s="16"/>
      <c r="V87" s="16">
        <v>351</v>
      </c>
      <c r="W87" s="16">
        <f t="shared" si="14"/>
        <v>351</v>
      </c>
      <c r="X87" s="16">
        <f t="shared" ref="X87:X93" si="19">W87</f>
        <v>351</v>
      </c>
      <c r="Y87" s="16">
        <f>ROUNDDOWN(W87/HLOOKUP(D87,Table!$C$3:$D$4,2,0)*8,2)</f>
        <v>6.24</v>
      </c>
      <c r="Z87" s="16">
        <v>6</v>
      </c>
      <c r="AA87" s="16" t="s">
        <v>74</v>
      </c>
      <c r="AB87" s="20">
        <v>43964</v>
      </c>
      <c r="AC87" s="20">
        <v>43955</v>
      </c>
      <c r="AD87" s="20">
        <v>43966</v>
      </c>
      <c r="AE87" s="20">
        <v>43955</v>
      </c>
      <c r="AF87" s="20">
        <v>43955</v>
      </c>
      <c r="AG87" s="20" t="s">
        <v>335</v>
      </c>
      <c r="AH87" s="32">
        <v>1</v>
      </c>
      <c r="AI87" s="32">
        <v>1</v>
      </c>
      <c r="AJ87" s="32">
        <v>1</v>
      </c>
      <c r="AK87" s="20" t="s">
        <v>165</v>
      </c>
      <c r="AL87" s="16" t="s">
        <v>61</v>
      </c>
      <c r="AM87" s="16" t="s">
        <v>61</v>
      </c>
      <c r="AN87" s="16" t="s">
        <v>61</v>
      </c>
    </row>
    <row r="88" spans="2:40" x14ac:dyDescent="0.25">
      <c r="B88" s="85">
        <f t="shared" si="13"/>
        <v>41</v>
      </c>
      <c r="C88" s="17">
        <v>20200429</v>
      </c>
      <c r="D88" s="16" t="s">
        <v>3</v>
      </c>
      <c r="E88" s="16" t="s">
        <v>370</v>
      </c>
      <c r="F88" s="80" t="s">
        <v>948</v>
      </c>
      <c r="G88" s="18">
        <v>1411876</v>
      </c>
      <c r="H88" s="57" t="s">
        <v>61</v>
      </c>
      <c r="I88" s="16" t="s">
        <v>384</v>
      </c>
      <c r="J88" s="57" t="s">
        <v>61</v>
      </c>
      <c r="K88" s="16" t="s">
        <v>161</v>
      </c>
      <c r="L88" s="16" t="s">
        <v>165</v>
      </c>
      <c r="M88" s="16" t="s">
        <v>165</v>
      </c>
      <c r="N88" s="16" t="s">
        <v>420</v>
      </c>
      <c r="O88" s="18" t="s">
        <v>61</v>
      </c>
      <c r="P88" s="18" t="s">
        <v>403</v>
      </c>
      <c r="Q88" s="19"/>
      <c r="R88" s="57" t="s">
        <v>61</v>
      </c>
      <c r="S88" s="16" t="s">
        <v>69</v>
      </c>
      <c r="T88" s="16"/>
      <c r="U88" s="16"/>
      <c r="V88" s="16">
        <v>164</v>
      </c>
      <c r="W88" s="16">
        <f t="shared" si="14"/>
        <v>164</v>
      </c>
      <c r="X88" s="16">
        <f t="shared" si="19"/>
        <v>164</v>
      </c>
      <c r="Y88" s="16">
        <f>ROUNDDOWN(W88/HLOOKUP(D88,Table!$C$3:$D$4,2,0)*8,2)</f>
        <v>2.91</v>
      </c>
      <c r="Z88" s="16">
        <v>2</v>
      </c>
      <c r="AA88" s="16" t="s">
        <v>74</v>
      </c>
      <c r="AB88" s="20">
        <v>43964</v>
      </c>
      <c r="AC88" s="20">
        <v>43955</v>
      </c>
      <c r="AD88" s="20">
        <v>43966</v>
      </c>
      <c r="AE88" s="20">
        <v>43955</v>
      </c>
      <c r="AF88" s="20">
        <v>43955</v>
      </c>
      <c r="AG88" s="20" t="s">
        <v>336</v>
      </c>
      <c r="AH88" s="32">
        <v>1</v>
      </c>
      <c r="AI88" s="32">
        <v>0.96</v>
      </c>
      <c r="AJ88" s="32">
        <v>0.5</v>
      </c>
      <c r="AK88" s="20" t="s">
        <v>149</v>
      </c>
      <c r="AL88" s="16" t="s">
        <v>470</v>
      </c>
      <c r="AM88" s="16"/>
      <c r="AN88" s="150" t="s">
        <v>448</v>
      </c>
    </row>
    <row r="89" spans="2:40" x14ac:dyDescent="0.25">
      <c r="B89" s="85">
        <f t="shared" si="13"/>
        <v>42</v>
      </c>
      <c r="C89" s="17">
        <v>20200429</v>
      </c>
      <c r="D89" s="16" t="s">
        <v>3</v>
      </c>
      <c r="E89" s="16" t="s">
        <v>370</v>
      </c>
      <c r="F89" s="80" t="s">
        <v>948</v>
      </c>
      <c r="G89" s="18">
        <v>1411876</v>
      </c>
      <c r="H89" s="57" t="s">
        <v>61</v>
      </c>
      <c r="I89" s="16" t="s">
        <v>385</v>
      </c>
      <c r="J89" s="57" t="s">
        <v>61</v>
      </c>
      <c r="K89" s="16" t="s">
        <v>161</v>
      </c>
      <c r="L89" s="16" t="s">
        <v>165</v>
      </c>
      <c r="M89" s="16" t="s">
        <v>165</v>
      </c>
      <c r="N89" s="16" t="s">
        <v>420</v>
      </c>
      <c r="O89" s="18" t="s">
        <v>61</v>
      </c>
      <c r="P89" s="18" t="s">
        <v>403</v>
      </c>
      <c r="Q89" s="19"/>
      <c r="R89" s="57" t="s">
        <v>61</v>
      </c>
      <c r="S89" s="16" t="s">
        <v>69</v>
      </c>
      <c r="T89" s="16"/>
      <c r="U89" s="16"/>
      <c r="V89" s="16">
        <v>24</v>
      </c>
      <c r="W89" s="16">
        <f t="shared" si="14"/>
        <v>24</v>
      </c>
      <c r="X89" s="16">
        <f t="shared" si="19"/>
        <v>24</v>
      </c>
      <c r="Y89" s="16">
        <f>ROUNDDOWN(W89/HLOOKUP(D89,Table!$C$3:$D$4,2,0)*8,2)</f>
        <v>0.42</v>
      </c>
      <c r="Z89" s="16">
        <f>0.4</f>
        <v>0.4</v>
      </c>
      <c r="AA89" s="16" t="s">
        <v>74</v>
      </c>
      <c r="AB89" s="20">
        <v>43964</v>
      </c>
      <c r="AC89" s="20">
        <v>43955</v>
      </c>
      <c r="AD89" s="20">
        <v>43966</v>
      </c>
      <c r="AE89" s="20">
        <v>43955</v>
      </c>
      <c r="AF89" s="20">
        <v>43955</v>
      </c>
      <c r="AG89" s="20" t="s">
        <v>335</v>
      </c>
      <c r="AH89" s="32">
        <v>1</v>
      </c>
      <c r="AI89" s="32">
        <v>1</v>
      </c>
      <c r="AJ89" s="32">
        <v>1</v>
      </c>
      <c r="AK89" s="20" t="s">
        <v>165</v>
      </c>
      <c r="AL89" s="16" t="s">
        <v>61</v>
      </c>
      <c r="AM89" s="16" t="s">
        <v>61</v>
      </c>
      <c r="AN89" s="16" t="s">
        <v>61</v>
      </c>
    </row>
    <row r="90" spans="2:40" x14ac:dyDescent="0.25">
      <c r="B90" s="85">
        <f t="shared" si="13"/>
        <v>43</v>
      </c>
      <c r="C90" s="17">
        <v>20200429</v>
      </c>
      <c r="D90" s="16" t="s">
        <v>3</v>
      </c>
      <c r="E90" s="16" t="s">
        <v>370</v>
      </c>
      <c r="F90" s="80" t="s">
        <v>948</v>
      </c>
      <c r="G90" s="18">
        <v>1411876</v>
      </c>
      <c r="H90" s="57" t="s">
        <v>61</v>
      </c>
      <c r="I90" s="16" t="s">
        <v>386</v>
      </c>
      <c r="J90" s="57" t="s">
        <v>61</v>
      </c>
      <c r="K90" s="16" t="s">
        <v>161</v>
      </c>
      <c r="L90" s="16" t="s">
        <v>165</v>
      </c>
      <c r="M90" s="16" t="s">
        <v>165</v>
      </c>
      <c r="N90" s="16" t="s">
        <v>420</v>
      </c>
      <c r="O90" s="18" t="s">
        <v>61</v>
      </c>
      <c r="P90" s="18" t="s">
        <v>403</v>
      </c>
      <c r="Q90" s="19"/>
      <c r="R90" s="57" t="s">
        <v>61</v>
      </c>
      <c r="S90" s="16" t="s">
        <v>69</v>
      </c>
      <c r="T90" s="16"/>
      <c r="U90" s="16"/>
      <c r="V90" s="16">
        <v>182</v>
      </c>
      <c r="W90" s="16">
        <f t="shared" si="14"/>
        <v>182</v>
      </c>
      <c r="X90" s="16">
        <f t="shared" si="19"/>
        <v>182</v>
      </c>
      <c r="Y90" s="16">
        <f>ROUNDDOWN(W90/HLOOKUP(D90,Table!$C$3:$D$4,2,0)*8,2)</f>
        <v>3.23</v>
      </c>
      <c r="Z90" s="16">
        <v>2</v>
      </c>
      <c r="AA90" s="16" t="s">
        <v>74</v>
      </c>
      <c r="AB90" s="20">
        <v>43964</v>
      </c>
      <c r="AC90" s="20">
        <v>43955</v>
      </c>
      <c r="AD90" s="20">
        <v>43966</v>
      </c>
      <c r="AE90" s="20">
        <v>43955</v>
      </c>
      <c r="AF90" s="20">
        <v>43955</v>
      </c>
      <c r="AG90" s="20" t="s">
        <v>335</v>
      </c>
      <c r="AH90" s="32">
        <v>1</v>
      </c>
      <c r="AI90" s="32">
        <v>1</v>
      </c>
      <c r="AJ90" s="32">
        <v>1</v>
      </c>
      <c r="AK90" s="20" t="s">
        <v>165</v>
      </c>
      <c r="AL90" s="16" t="s">
        <v>61</v>
      </c>
      <c r="AM90" s="16" t="s">
        <v>61</v>
      </c>
      <c r="AN90" s="16" t="s">
        <v>61</v>
      </c>
    </row>
    <row r="91" spans="2:40" x14ac:dyDescent="0.25">
      <c r="B91" s="85">
        <f t="shared" si="13"/>
        <v>44</v>
      </c>
      <c r="C91" s="17">
        <v>20200429</v>
      </c>
      <c r="D91" s="16" t="s">
        <v>3</v>
      </c>
      <c r="E91" s="16" t="s">
        <v>370</v>
      </c>
      <c r="F91" s="80" t="s">
        <v>948</v>
      </c>
      <c r="G91" s="18">
        <v>1411876</v>
      </c>
      <c r="H91" s="57" t="s">
        <v>61</v>
      </c>
      <c r="I91" s="16" t="s">
        <v>387</v>
      </c>
      <c r="J91" s="57" t="s">
        <v>61</v>
      </c>
      <c r="K91" s="16" t="s">
        <v>161</v>
      </c>
      <c r="L91" s="16" t="s">
        <v>165</v>
      </c>
      <c r="M91" s="16" t="s">
        <v>165</v>
      </c>
      <c r="N91" s="16" t="s">
        <v>420</v>
      </c>
      <c r="O91" s="18" t="s">
        <v>61</v>
      </c>
      <c r="P91" s="18" t="s">
        <v>403</v>
      </c>
      <c r="Q91" s="19"/>
      <c r="R91" s="57" t="s">
        <v>61</v>
      </c>
      <c r="S91" s="16" t="s">
        <v>69</v>
      </c>
      <c r="T91" s="16"/>
      <c r="U91" s="16"/>
      <c r="V91" s="16">
        <v>161</v>
      </c>
      <c r="W91" s="16">
        <f t="shared" si="14"/>
        <v>161</v>
      </c>
      <c r="X91" s="16">
        <f t="shared" si="19"/>
        <v>161</v>
      </c>
      <c r="Y91" s="16">
        <f>ROUNDDOWN(W91/HLOOKUP(D91,Table!$C$3:$D$4,2,0)*8,2)</f>
        <v>2.86</v>
      </c>
      <c r="Z91" s="16">
        <v>1.5</v>
      </c>
      <c r="AA91" s="16" t="s">
        <v>74</v>
      </c>
      <c r="AB91" s="20">
        <v>43964</v>
      </c>
      <c r="AC91" s="20">
        <v>43955</v>
      </c>
      <c r="AD91" s="20">
        <v>43966</v>
      </c>
      <c r="AE91" s="20">
        <v>43955</v>
      </c>
      <c r="AF91" s="20">
        <v>43955</v>
      </c>
      <c r="AG91" s="20" t="s">
        <v>335</v>
      </c>
      <c r="AH91" s="32">
        <v>1</v>
      </c>
      <c r="AI91" s="32">
        <v>1</v>
      </c>
      <c r="AJ91" s="32">
        <v>1</v>
      </c>
      <c r="AK91" s="20" t="s">
        <v>165</v>
      </c>
      <c r="AL91" s="16" t="s">
        <v>61</v>
      </c>
      <c r="AM91" s="16" t="s">
        <v>61</v>
      </c>
      <c r="AN91" s="16" t="s">
        <v>61</v>
      </c>
    </row>
    <row r="92" spans="2:40" x14ac:dyDescent="0.25">
      <c r="B92" s="85">
        <f t="shared" si="13"/>
        <v>45</v>
      </c>
      <c r="C92" s="17">
        <v>20200429</v>
      </c>
      <c r="D92" s="16" t="s">
        <v>3</v>
      </c>
      <c r="E92" s="16" t="s">
        <v>370</v>
      </c>
      <c r="F92" s="80" t="s">
        <v>985</v>
      </c>
      <c r="G92" s="18">
        <v>1411876</v>
      </c>
      <c r="H92" s="57" t="s">
        <v>61</v>
      </c>
      <c r="I92" s="16" t="s">
        <v>176</v>
      </c>
      <c r="J92" s="57" t="s">
        <v>61</v>
      </c>
      <c r="K92" s="16" t="s">
        <v>161</v>
      </c>
      <c r="L92" s="16" t="s">
        <v>165</v>
      </c>
      <c r="M92" s="16" t="s">
        <v>165</v>
      </c>
      <c r="N92" s="16" t="s">
        <v>420</v>
      </c>
      <c r="O92" s="18" t="s">
        <v>61</v>
      </c>
      <c r="P92" s="18" t="s">
        <v>403</v>
      </c>
      <c r="Q92" s="19"/>
      <c r="R92" s="57" t="s">
        <v>61</v>
      </c>
      <c r="S92" s="16" t="s">
        <v>69</v>
      </c>
      <c r="T92" s="16"/>
      <c r="U92" s="16"/>
      <c r="V92" s="16">
        <v>210</v>
      </c>
      <c r="W92" s="16">
        <f t="shared" si="14"/>
        <v>210</v>
      </c>
      <c r="X92" s="16">
        <f t="shared" si="19"/>
        <v>210</v>
      </c>
      <c r="Y92" s="16">
        <f>ROUNDDOWN(W92/HLOOKUP(D92,Table!$C$3:$D$4,2,0)*8,2)</f>
        <v>3.73</v>
      </c>
      <c r="Z92" s="16">
        <v>3</v>
      </c>
      <c r="AA92" s="16" t="s">
        <v>74</v>
      </c>
      <c r="AB92" s="20">
        <v>43964</v>
      </c>
      <c r="AC92" s="20">
        <v>43955</v>
      </c>
      <c r="AD92" s="20">
        <v>43966</v>
      </c>
      <c r="AE92" s="20">
        <v>43956</v>
      </c>
      <c r="AF92" s="20">
        <v>43956</v>
      </c>
      <c r="AG92" s="20" t="s">
        <v>336</v>
      </c>
      <c r="AH92" s="32">
        <v>0.92</v>
      </c>
      <c r="AI92" s="32">
        <v>0.92</v>
      </c>
      <c r="AJ92" s="32">
        <v>0</v>
      </c>
      <c r="AK92" s="20" t="s">
        <v>149</v>
      </c>
      <c r="AL92" s="18" t="s">
        <v>440</v>
      </c>
      <c r="AM92" s="16"/>
      <c r="AN92" s="150" t="s">
        <v>448</v>
      </c>
    </row>
    <row r="93" spans="2:40" x14ac:dyDescent="0.25">
      <c r="B93" s="85">
        <f t="shared" si="13"/>
        <v>46</v>
      </c>
      <c r="C93" s="17">
        <v>20200429</v>
      </c>
      <c r="D93" s="16" t="s">
        <v>3</v>
      </c>
      <c r="E93" s="16" t="s">
        <v>370</v>
      </c>
      <c r="F93" s="80" t="s">
        <v>985</v>
      </c>
      <c r="G93" s="18">
        <v>1411876</v>
      </c>
      <c r="H93" s="57" t="s">
        <v>61</v>
      </c>
      <c r="I93" s="16" t="s">
        <v>388</v>
      </c>
      <c r="J93" s="57" t="s">
        <v>61</v>
      </c>
      <c r="K93" s="16" t="s">
        <v>161</v>
      </c>
      <c r="L93" s="16" t="s">
        <v>165</v>
      </c>
      <c r="M93" s="16" t="s">
        <v>165</v>
      </c>
      <c r="N93" s="16" t="s">
        <v>420</v>
      </c>
      <c r="O93" s="18" t="s">
        <v>61</v>
      </c>
      <c r="P93" s="18" t="s">
        <v>403</v>
      </c>
      <c r="Q93" s="19"/>
      <c r="R93" s="57" t="s">
        <v>61</v>
      </c>
      <c r="S93" s="16" t="s">
        <v>69</v>
      </c>
      <c r="T93" s="16"/>
      <c r="U93" s="16"/>
      <c r="V93" s="16">
        <v>83</v>
      </c>
      <c r="W93" s="16">
        <f t="shared" si="14"/>
        <v>83</v>
      </c>
      <c r="X93" s="16">
        <f t="shared" si="19"/>
        <v>83</v>
      </c>
      <c r="Y93" s="16">
        <f>ROUNDDOWN(W93/HLOOKUP(D93,Table!$C$3:$D$4,2,0)*8,2)</f>
        <v>1.47</v>
      </c>
      <c r="Z93" s="16">
        <v>0.5</v>
      </c>
      <c r="AA93" s="16" t="s">
        <v>74</v>
      </c>
      <c r="AB93" s="20">
        <v>43964</v>
      </c>
      <c r="AC93" s="20">
        <v>43955</v>
      </c>
      <c r="AD93" s="20">
        <v>43966</v>
      </c>
      <c r="AE93" s="20">
        <v>43955</v>
      </c>
      <c r="AF93" s="20">
        <v>43955</v>
      </c>
      <c r="AG93" s="20" t="s">
        <v>335</v>
      </c>
      <c r="AH93" s="32">
        <v>1</v>
      </c>
      <c r="AI93" s="32">
        <v>1</v>
      </c>
      <c r="AJ93" s="32">
        <v>1</v>
      </c>
      <c r="AK93" s="20" t="s">
        <v>165</v>
      </c>
      <c r="AL93" s="16" t="s">
        <v>61</v>
      </c>
      <c r="AM93" s="16" t="s">
        <v>61</v>
      </c>
      <c r="AN93" s="16" t="s">
        <v>61</v>
      </c>
    </row>
    <row r="94" spans="2:40" x14ac:dyDescent="0.25">
      <c r="B94" s="85">
        <f t="shared" si="13"/>
        <v>47</v>
      </c>
      <c r="C94" s="17">
        <v>20200429</v>
      </c>
      <c r="D94" s="16" t="s">
        <v>3</v>
      </c>
      <c r="E94" s="16" t="s">
        <v>370</v>
      </c>
      <c r="F94" s="80" t="s">
        <v>985</v>
      </c>
      <c r="G94" s="18">
        <v>1411876</v>
      </c>
      <c r="H94" s="57" t="s">
        <v>61</v>
      </c>
      <c r="I94" s="16" t="s">
        <v>172</v>
      </c>
      <c r="J94" s="57" t="s">
        <v>61</v>
      </c>
      <c r="K94" s="16" t="s">
        <v>161</v>
      </c>
      <c r="L94" s="16" t="s">
        <v>165</v>
      </c>
      <c r="M94" s="16" t="s">
        <v>165</v>
      </c>
      <c r="N94" s="16" t="s">
        <v>420</v>
      </c>
      <c r="O94" s="18" t="s">
        <v>61</v>
      </c>
      <c r="P94" s="18" t="s">
        <v>403</v>
      </c>
      <c r="Q94" s="19"/>
      <c r="R94" s="57" t="s">
        <v>61</v>
      </c>
      <c r="S94" s="16" t="s">
        <v>67</v>
      </c>
      <c r="T94" s="16"/>
      <c r="U94" s="16"/>
      <c r="V94" s="16">
        <v>101</v>
      </c>
      <c r="W94" s="16">
        <f t="shared" si="14"/>
        <v>101</v>
      </c>
      <c r="X94" s="16">
        <f>W94</f>
        <v>101</v>
      </c>
      <c r="Y94" s="16">
        <f>ROUNDDOWN(W94/HLOOKUP(D94,Table!$C$3:$D$4,2,0)*8,2)</f>
        <v>1.79</v>
      </c>
      <c r="Z94" s="16">
        <v>1.8</v>
      </c>
      <c r="AA94" s="16" t="s">
        <v>74</v>
      </c>
      <c r="AB94" s="20">
        <v>43964</v>
      </c>
      <c r="AC94" s="20">
        <v>43955</v>
      </c>
      <c r="AD94" s="20">
        <v>43966</v>
      </c>
      <c r="AE94" s="20">
        <v>43959</v>
      </c>
      <c r="AF94" s="20">
        <v>43959</v>
      </c>
      <c r="AG94" s="20" t="s">
        <v>335</v>
      </c>
      <c r="AH94" s="32">
        <v>1</v>
      </c>
      <c r="AI94" s="32">
        <v>1</v>
      </c>
      <c r="AJ94" s="32">
        <v>1</v>
      </c>
      <c r="AK94" s="20" t="s">
        <v>165</v>
      </c>
      <c r="AL94" s="16" t="s">
        <v>61</v>
      </c>
      <c r="AM94" s="16" t="s">
        <v>61</v>
      </c>
      <c r="AN94" s="16" t="s">
        <v>61</v>
      </c>
    </row>
    <row r="95" spans="2:40" x14ac:dyDescent="0.25">
      <c r="B95" s="85">
        <f t="shared" si="13"/>
        <v>48</v>
      </c>
      <c r="C95" s="17">
        <v>20200429</v>
      </c>
      <c r="D95" s="16" t="s">
        <v>3</v>
      </c>
      <c r="E95" s="16" t="s">
        <v>370</v>
      </c>
      <c r="F95" s="80" t="s">
        <v>985</v>
      </c>
      <c r="G95" s="18">
        <v>1411876</v>
      </c>
      <c r="H95" s="57" t="s">
        <v>61</v>
      </c>
      <c r="I95" s="16" t="s">
        <v>173</v>
      </c>
      <c r="J95" s="57" t="s">
        <v>61</v>
      </c>
      <c r="K95" s="16" t="s">
        <v>161</v>
      </c>
      <c r="L95" s="16" t="s">
        <v>165</v>
      </c>
      <c r="M95" s="16" t="s">
        <v>165</v>
      </c>
      <c r="N95" s="16" t="s">
        <v>420</v>
      </c>
      <c r="O95" s="18" t="s">
        <v>61</v>
      </c>
      <c r="P95" s="18" t="s">
        <v>403</v>
      </c>
      <c r="Q95" s="19"/>
      <c r="R95" s="57" t="s">
        <v>61</v>
      </c>
      <c r="S95" s="16" t="s">
        <v>67</v>
      </c>
      <c r="T95" s="16"/>
      <c r="U95" s="16"/>
      <c r="V95" s="16">
        <v>116</v>
      </c>
      <c r="W95" s="16">
        <f t="shared" si="14"/>
        <v>116</v>
      </c>
      <c r="X95" s="16">
        <f>W95</f>
        <v>116</v>
      </c>
      <c r="Y95" s="16">
        <f>ROUNDDOWN(W95/HLOOKUP(D95,Table!$C$3:$D$4,2,0)*8,2)</f>
        <v>2.06</v>
      </c>
      <c r="Z95" s="16">
        <v>2</v>
      </c>
      <c r="AA95" s="16" t="s">
        <v>74</v>
      </c>
      <c r="AB95" s="20">
        <v>43964</v>
      </c>
      <c r="AC95" s="20">
        <v>43955</v>
      </c>
      <c r="AD95" s="20">
        <v>43966</v>
      </c>
      <c r="AE95" s="20">
        <v>43959</v>
      </c>
      <c r="AF95" s="20">
        <v>43959</v>
      </c>
      <c r="AG95" s="20" t="s">
        <v>336</v>
      </c>
      <c r="AH95" s="32">
        <v>0.93</v>
      </c>
      <c r="AI95" s="32">
        <v>0.85</v>
      </c>
      <c r="AJ95" s="32">
        <v>1</v>
      </c>
      <c r="AK95" s="20" t="s">
        <v>149</v>
      </c>
      <c r="AL95" s="16" t="s">
        <v>597</v>
      </c>
      <c r="AM95" s="16"/>
      <c r="AN95" s="150" t="s">
        <v>448</v>
      </c>
    </row>
    <row r="96" spans="2:40" x14ac:dyDescent="0.25">
      <c r="B96" s="85">
        <f t="shared" si="13"/>
        <v>49</v>
      </c>
      <c r="C96" s="17">
        <v>20200429</v>
      </c>
      <c r="D96" s="16" t="s">
        <v>3</v>
      </c>
      <c r="E96" s="16" t="s">
        <v>370</v>
      </c>
      <c r="F96" s="80" t="s">
        <v>985</v>
      </c>
      <c r="G96" s="18">
        <v>1411876</v>
      </c>
      <c r="H96" s="57" t="s">
        <v>61</v>
      </c>
      <c r="I96" s="16" t="s">
        <v>177</v>
      </c>
      <c r="J96" s="57" t="s">
        <v>61</v>
      </c>
      <c r="K96" s="16" t="s">
        <v>161</v>
      </c>
      <c r="L96" s="16" t="s">
        <v>165</v>
      </c>
      <c r="M96" s="16" t="s">
        <v>165</v>
      </c>
      <c r="N96" s="16" t="s">
        <v>420</v>
      </c>
      <c r="O96" s="18" t="s">
        <v>61</v>
      </c>
      <c r="P96" s="18" t="s">
        <v>403</v>
      </c>
      <c r="Q96" s="19"/>
      <c r="R96" s="57" t="s">
        <v>61</v>
      </c>
      <c r="S96" s="16" t="s">
        <v>67</v>
      </c>
      <c r="T96" s="16"/>
      <c r="U96" s="16"/>
      <c r="V96" s="16">
        <v>204</v>
      </c>
      <c r="W96" s="16">
        <f t="shared" si="14"/>
        <v>204</v>
      </c>
      <c r="X96" s="16">
        <f>W96</f>
        <v>204</v>
      </c>
      <c r="Y96" s="16">
        <f>ROUNDDOWN(W96/HLOOKUP(D96,Table!$C$3:$D$4,2,0)*8,2)</f>
        <v>3.62</v>
      </c>
      <c r="Z96" s="16">
        <v>3</v>
      </c>
      <c r="AA96" s="16" t="s">
        <v>74</v>
      </c>
      <c r="AB96" s="20">
        <v>43964</v>
      </c>
      <c r="AC96" s="20">
        <v>43955</v>
      </c>
      <c r="AD96" s="20">
        <v>43966</v>
      </c>
      <c r="AE96" s="20">
        <v>43959</v>
      </c>
      <c r="AF96" s="20">
        <v>43959</v>
      </c>
      <c r="AG96" s="20" t="s">
        <v>335</v>
      </c>
      <c r="AH96" s="32">
        <v>1</v>
      </c>
      <c r="AI96" s="32">
        <v>1</v>
      </c>
      <c r="AJ96" s="32">
        <v>1</v>
      </c>
      <c r="AK96" s="20" t="s">
        <v>165</v>
      </c>
      <c r="AL96" s="16" t="s">
        <v>61</v>
      </c>
      <c r="AM96" s="16" t="s">
        <v>61</v>
      </c>
      <c r="AN96" s="16" t="s">
        <v>61</v>
      </c>
    </row>
    <row r="97" spans="2:40" x14ac:dyDescent="0.25">
      <c r="B97" s="85">
        <f t="shared" si="13"/>
        <v>50</v>
      </c>
      <c r="C97" s="17">
        <v>20200429</v>
      </c>
      <c r="D97" s="16" t="s">
        <v>3</v>
      </c>
      <c r="E97" s="16" t="s">
        <v>370</v>
      </c>
      <c r="F97" s="80" t="s">
        <v>985</v>
      </c>
      <c r="G97" s="18">
        <v>1411876</v>
      </c>
      <c r="H97" s="57" t="s">
        <v>61</v>
      </c>
      <c r="I97" s="16" t="s">
        <v>178</v>
      </c>
      <c r="J97" s="57" t="s">
        <v>61</v>
      </c>
      <c r="K97" s="16" t="s">
        <v>161</v>
      </c>
      <c r="L97" s="16" t="s">
        <v>165</v>
      </c>
      <c r="M97" s="16" t="s">
        <v>165</v>
      </c>
      <c r="N97" s="16" t="s">
        <v>420</v>
      </c>
      <c r="O97" s="18" t="s">
        <v>61</v>
      </c>
      <c r="P97" s="18" t="s">
        <v>403</v>
      </c>
      <c r="Q97" s="19"/>
      <c r="R97" s="57" t="s">
        <v>61</v>
      </c>
      <c r="S97" s="16" t="s">
        <v>68</v>
      </c>
      <c r="T97" s="16"/>
      <c r="U97" s="16"/>
      <c r="V97" s="16">
        <v>210</v>
      </c>
      <c r="W97" s="16">
        <f t="shared" si="14"/>
        <v>210</v>
      </c>
      <c r="X97" s="16">
        <f t="shared" ref="X97:X103" si="20">W97</f>
        <v>210</v>
      </c>
      <c r="Y97" s="16">
        <f>ROUNDDOWN(W97/HLOOKUP(D97,Table!$C$3:$D$4,2,0)*8,2)</f>
        <v>3.73</v>
      </c>
      <c r="Z97" s="16">
        <v>2</v>
      </c>
      <c r="AA97" s="16" t="s">
        <v>74</v>
      </c>
      <c r="AB97" s="20">
        <v>43964</v>
      </c>
      <c r="AC97" s="20">
        <v>43955</v>
      </c>
      <c r="AD97" s="20">
        <v>43966</v>
      </c>
      <c r="AE97" s="20">
        <v>43955</v>
      </c>
      <c r="AF97" s="20">
        <v>43955</v>
      </c>
      <c r="AG97" s="20" t="s">
        <v>335</v>
      </c>
      <c r="AH97" s="32">
        <v>1</v>
      </c>
      <c r="AI97" s="32">
        <v>1</v>
      </c>
      <c r="AJ97" s="32">
        <v>1</v>
      </c>
      <c r="AK97" s="20" t="s">
        <v>165</v>
      </c>
      <c r="AL97" s="16" t="s">
        <v>61</v>
      </c>
      <c r="AM97" s="16" t="s">
        <v>61</v>
      </c>
      <c r="AN97" s="16" t="s">
        <v>61</v>
      </c>
    </row>
    <row r="98" spans="2:40" x14ac:dyDescent="0.25">
      <c r="B98" s="85">
        <f t="shared" si="13"/>
        <v>51</v>
      </c>
      <c r="C98" s="17">
        <v>20200429</v>
      </c>
      <c r="D98" s="16" t="s">
        <v>3</v>
      </c>
      <c r="E98" s="16" t="s">
        <v>370</v>
      </c>
      <c r="F98" s="80" t="s">
        <v>946</v>
      </c>
      <c r="G98" s="18">
        <v>1411876</v>
      </c>
      <c r="H98" s="57" t="s">
        <v>61</v>
      </c>
      <c r="I98" s="16" t="s">
        <v>389</v>
      </c>
      <c r="J98" s="57" t="s">
        <v>61</v>
      </c>
      <c r="K98" s="16" t="s">
        <v>161</v>
      </c>
      <c r="L98" s="16" t="s">
        <v>165</v>
      </c>
      <c r="M98" s="16" t="s">
        <v>165</v>
      </c>
      <c r="N98" s="16" t="s">
        <v>420</v>
      </c>
      <c r="O98" s="18" t="s">
        <v>61</v>
      </c>
      <c r="P98" s="18" t="s">
        <v>403</v>
      </c>
      <c r="Q98" s="19"/>
      <c r="R98" s="57" t="s">
        <v>61</v>
      </c>
      <c r="S98" s="16" t="s">
        <v>68</v>
      </c>
      <c r="T98" s="16"/>
      <c r="U98" s="16"/>
      <c r="V98" s="16">
        <v>182</v>
      </c>
      <c r="W98" s="16">
        <f t="shared" si="14"/>
        <v>182</v>
      </c>
      <c r="X98" s="16">
        <f t="shared" si="20"/>
        <v>182</v>
      </c>
      <c r="Y98" s="16">
        <f>ROUNDDOWN(W98/HLOOKUP(D98,Table!$C$3:$D$4,2,0)*8,2)</f>
        <v>3.23</v>
      </c>
      <c r="Z98" s="16">
        <v>4</v>
      </c>
      <c r="AA98" s="16" t="s">
        <v>74</v>
      </c>
      <c r="AB98" s="20">
        <v>43964</v>
      </c>
      <c r="AC98" s="20">
        <v>43955</v>
      </c>
      <c r="AD98" s="20">
        <v>43966</v>
      </c>
      <c r="AE98" s="20">
        <v>43956</v>
      </c>
      <c r="AF98" s="20">
        <v>43956</v>
      </c>
      <c r="AG98" s="20" t="s">
        <v>335</v>
      </c>
      <c r="AH98" s="32">
        <v>1</v>
      </c>
      <c r="AI98" s="32">
        <v>1</v>
      </c>
      <c r="AJ98" s="32">
        <v>1</v>
      </c>
      <c r="AK98" s="20" t="s">
        <v>165</v>
      </c>
      <c r="AL98" s="16" t="s">
        <v>61</v>
      </c>
      <c r="AM98" s="16" t="s">
        <v>61</v>
      </c>
      <c r="AN98" s="16" t="s">
        <v>61</v>
      </c>
    </row>
    <row r="99" spans="2:40" x14ac:dyDescent="0.25">
      <c r="B99" s="85">
        <f t="shared" si="13"/>
        <v>52</v>
      </c>
      <c r="C99" s="17">
        <v>20200429</v>
      </c>
      <c r="D99" s="16" t="s">
        <v>3</v>
      </c>
      <c r="E99" s="16" t="s">
        <v>370</v>
      </c>
      <c r="F99" s="80" t="s">
        <v>946</v>
      </c>
      <c r="G99" s="18">
        <v>1411876</v>
      </c>
      <c r="H99" s="57" t="s">
        <v>61</v>
      </c>
      <c r="I99" s="16" t="s">
        <v>390</v>
      </c>
      <c r="J99" s="57" t="s">
        <v>61</v>
      </c>
      <c r="K99" s="16" t="s">
        <v>161</v>
      </c>
      <c r="L99" s="16" t="s">
        <v>165</v>
      </c>
      <c r="M99" s="16" t="s">
        <v>165</v>
      </c>
      <c r="N99" s="16" t="s">
        <v>420</v>
      </c>
      <c r="O99" s="18" t="s">
        <v>61</v>
      </c>
      <c r="P99" s="18" t="s">
        <v>403</v>
      </c>
      <c r="Q99" s="19"/>
      <c r="R99" s="57" t="s">
        <v>61</v>
      </c>
      <c r="S99" s="16" t="s">
        <v>68</v>
      </c>
      <c r="T99" s="16"/>
      <c r="U99" s="16"/>
      <c r="V99" s="16">
        <v>92</v>
      </c>
      <c r="W99" s="16">
        <f t="shared" si="14"/>
        <v>92</v>
      </c>
      <c r="X99" s="16">
        <f t="shared" si="20"/>
        <v>92</v>
      </c>
      <c r="Y99" s="16">
        <f>ROUNDDOWN(W99/HLOOKUP(D99,Table!$C$3:$D$4,2,0)*8,2)</f>
        <v>1.63</v>
      </c>
      <c r="Z99" s="16">
        <v>2</v>
      </c>
      <c r="AA99" s="16" t="s">
        <v>74</v>
      </c>
      <c r="AB99" s="20">
        <v>43964</v>
      </c>
      <c r="AC99" s="20">
        <v>43955</v>
      </c>
      <c r="AD99" s="20">
        <v>43966</v>
      </c>
      <c r="AE99" s="20">
        <v>43958</v>
      </c>
      <c r="AF99" s="20">
        <v>43958</v>
      </c>
      <c r="AG99" s="20" t="s">
        <v>335</v>
      </c>
      <c r="AH99" s="32">
        <v>1</v>
      </c>
      <c r="AI99" s="32">
        <v>1</v>
      </c>
      <c r="AJ99" s="32">
        <v>1</v>
      </c>
      <c r="AK99" s="20" t="s">
        <v>165</v>
      </c>
      <c r="AL99" s="16" t="s">
        <v>61</v>
      </c>
      <c r="AM99" s="16" t="s">
        <v>61</v>
      </c>
      <c r="AN99" s="16" t="s">
        <v>61</v>
      </c>
    </row>
    <row r="100" spans="2:40" x14ac:dyDescent="0.25">
      <c r="B100" s="85">
        <f t="shared" si="13"/>
        <v>53</v>
      </c>
      <c r="C100" s="17">
        <v>20200429</v>
      </c>
      <c r="D100" s="16" t="s">
        <v>3</v>
      </c>
      <c r="E100" s="16" t="s">
        <v>370</v>
      </c>
      <c r="F100" s="80" t="s">
        <v>949</v>
      </c>
      <c r="G100" s="18">
        <v>1411876</v>
      </c>
      <c r="H100" s="57" t="s">
        <v>61</v>
      </c>
      <c r="I100" s="16" t="s">
        <v>391</v>
      </c>
      <c r="J100" s="57" t="s">
        <v>61</v>
      </c>
      <c r="K100" s="16" t="s">
        <v>161</v>
      </c>
      <c r="L100" s="16" t="s">
        <v>165</v>
      </c>
      <c r="M100" s="16" t="s">
        <v>165</v>
      </c>
      <c r="N100" s="16" t="s">
        <v>420</v>
      </c>
      <c r="O100" s="18" t="s">
        <v>61</v>
      </c>
      <c r="P100" s="18" t="s">
        <v>403</v>
      </c>
      <c r="Q100" s="19"/>
      <c r="R100" s="57" t="s">
        <v>61</v>
      </c>
      <c r="S100" s="16" t="s">
        <v>70</v>
      </c>
      <c r="T100" s="16"/>
      <c r="U100" s="16"/>
      <c r="V100" s="16">
        <v>767</v>
      </c>
      <c r="W100" s="16">
        <f t="shared" si="14"/>
        <v>767</v>
      </c>
      <c r="X100" s="16">
        <f t="shared" si="20"/>
        <v>767</v>
      </c>
      <c r="Y100" s="16">
        <f>ROUNDDOWN(W100/HLOOKUP(D100,Table!$C$3:$D$4,2,0)*8,2)</f>
        <v>13.63</v>
      </c>
      <c r="Z100" s="16">
        <v>1</v>
      </c>
      <c r="AA100" s="16" t="s">
        <v>74</v>
      </c>
      <c r="AB100" s="20">
        <v>43964</v>
      </c>
      <c r="AC100" s="20">
        <v>43955</v>
      </c>
      <c r="AD100" s="20">
        <v>43966</v>
      </c>
      <c r="AE100" s="20">
        <v>43956</v>
      </c>
      <c r="AF100" s="20">
        <v>43956</v>
      </c>
      <c r="AG100" s="20" t="s">
        <v>335</v>
      </c>
      <c r="AH100" s="32">
        <v>1</v>
      </c>
      <c r="AI100" s="32">
        <v>1</v>
      </c>
      <c r="AJ100" s="32">
        <v>1</v>
      </c>
      <c r="AK100" s="20" t="s">
        <v>165</v>
      </c>
      <c r="AL100" s="16" t="s">
        <v>61</v>
      </c>
      <c r="AM100" s="16" t="s">
        <v>61</v>
      </c>
      <c r="AN100" s="16" t="s">
        <v>61</v>
      </c>
    </row>
    <row r="101" spans="2:40" x14ac:dyDescent="0.25">
      <c r="B101" s="85">
        <f t="shared" si="13"/>
        <v>54</v>
      </c>
      <c r="C101" s="17">
        <v>20200429</v>
      </c>
      <c r="D101" s="16" t="s">
        <v>3</v>
      </c>
      <c r="E101" s="16" t="s">
        <v>370</v>
      </c>
      <c r="F101" s="80" t="s">
        <v>949</v>
      </c>
      <c r="G101" s="18">
        <v>1411876</v>
      </c>
      <c r="H101" s="57" t="s">
        <v>61</v>
      </c>
      <c r="I101" s="114" t="s">
        <v>392</v>
      </c>
      <c r="J101" s="57" t="s">
        <v>61</v>
      </c>
      <c r="K101" s="16" t="s">
        <v>161</v>
      </c>
      <c r="L101" s="16" t="s">
        <v>165</v>
      </c>
      <c r="M101" s="16" t="s">
        <v>165</v>
      </c>
      <c r="N101" s="16" t="s">
        <v>420</v>
      </c>
      <c r="O101" s="18" t="s">
        <v>61</v>
      </c>
      <c r="P101" s="18" t="s">
        <v>403</v>
      </c>
      <c r="Q101" s="19"/>
      <c r="R101" s="57" t="s">
        <v>61</v>
      </c>
      <c r="S101" s="16" t="s">
        <v>68</v>
      </c>
      <c r="T101" s="16"/>
      <c r="U101" s="16"/>
      <c r="V101" s="16">
        <v>93</v>
      </c>
      <c r="W101" s="16">
        <f t="shared" si="14"/>
        <v>93</v>
      </c>
      <c r="X101" s="16">
        <f t="shared" si="20"/>
        <v>93</v>
      </c>
      <c r="Y101" s="16">
        <f>ROUNDDOWN(W101/HLOOKUP(D101,Table!$C$3:$D$4,2,0)*8,2)</f>
        <v>1.65</v>
      </c>
      <c r="Z101" s="16">
        <v>1</v>
      </c>
      <c r="AA101" s="16" t="s">
        <v>74</v>
      </c>
      <c r="AB101" s="20">
        <v>43964</v>
      </c>
      <c r="AC101" s="20">
        <v>43955</v>
      </c>
      <c r="AD101" s="20">
        <v>43966</v>
      </c>
      <c r="AE101" s="20">
        <v>43958</v>
      </c>
      <c r="AF101" s="20">
        <v>43958</v>
      </c>
      <c r="AG101" s="20" t="s">
        <v>335</v>
      </c>
      <c r="AH101" s="32">
        <v>1</v>
      </c>
      <c r="AI101" s="32">
        <v>1</v>
      </c>
      <c r="AJ101" s="32">
        <v>1</v>
      </c>
      <c r="AK101" s="20" t="s">
        <v>165</v>
      </c>
      <c r="AL101" s="16" t="s">
        <v>61</v>
      </c>
      <c r="AM101" s="16" t="s">
        <v>61</v>
      </c>
      <c r="AN101" s="16" t="s">
        <v>61</v>
      </c>
    </row>
    <row r="102" spans="2:40" x14ac:dyDescent="0.25">
      <c r="B102" s="85">
        <f t="shared" si="13"/>
        <v>55</v>
      </c>
      <c r="C102" s="17">
        <v>20200429</v>
      </c>
      <c r="D102" s="16" t="s">
        <v>3</v>
      </c>
      <c r="E102" s="16" t="s">
        <v>370</v>
      </c>
      <c r="F102" s="80" t="s">
        <v>949</v>
      </c>
      <c r="G102" s="18">
        <v>1411876</v>
      </c>
      <c r="H102" s="57" t="s">
        <v>61</v>
      </c>
      <c r="I102" s="121" t="s">
        <v>393</v>
      </c>
      <c r="J102" s="57" t="s">
        <v>61</v>
      </c>
      <c r="K102" s="16" t="s">
        <v>161</v>
      </c>
      <c r="L102" s="16" t="s">
        <v>165</v>
      </c>
      <c r="M102" s="16" t="s">
        <v>165</v>
      </c>
      <c r="N102" s="16" t="s">
        <v>420</v>
      </c>
      <c r="O102" s="18" t="s">
        <v>61</v>
      </c>
      <c r="P102" s="18" t="s">
        <v>403</v>
      </c>
      <c r="Q102" s="19"/>
      <c r="R102" s="57" t="s">
        <v>61</v>
      </c>
      <c r="S102" s="16" t="s">
        <v>69</v>
      </c>
      <c r="T102" s="16"/>
      <c r="U102" s="16"/>
      <c r="V102" s="16">
        <v>118</v>
      </c>
      <c r="W102" s="16">
        <f t="shared" si="14"/>
        <v>118</v>
      </c>
      <c r="X102" s="16">
        <f t="shared" si="20"/>
        <v>118</v>
      </c>
      <c r="Y102" s="16">
        <f>ROUNDDOWN(W102/HLOOKUP(D102,Table!$C$3:$D$4,2,0)*8,2)</f>
        <v>2.09</v>
      </c>
      <c r="Z102" s="16">
        <v>1</v>
      </c>
      <c r="AA102" s="16" t="s">
        <v>74</v>
      </c>
      <c r="AB102" s="20">
        <v>43964</v>
      </c>
      <c r="AC102" s="20">
        <v>43955</v>
      </c>
      <c r="AD102" s="20">
        <v>43966</v>
      </c>
      <c r="AE102" s="20">
        <v>43956</v>
      </c>
      <c r="AF102" s="20">
        <v>43956</v>
      </c>
      <c r="AG102" s="20" t="s">
        <v>335</v>
      </c>
      <c r="AH102" s="32">
        <v>1</v>
      </c>
      <c r="AI102" s="32">
        <v>1</v>
      </c>
      <c r="AJ102" s="32">
        <v>1</v>
      </c>
      <c r="AK102" s="20" t="s">
        <v>165</v>
      </c>
      <c r="AL102" s="16" t="s">
        <v>61</v>
      </c>
      <c r="AM102" s="16" t="s">
        <v>61</v>
      </c>
      <c r="AN102" s="16" t="s">
        <v>61</v>
      </c>
    </row>
    <row r="103" spans="2:40" x14ac:dyDescent="0.25">
      <c r="B103" s="85">
        <f t="shared" si="13"/>
        <v>56</v>
      </c>
      <c r="C103" s="17">
        <v>20200429</v>
      </c>
      <c r="D103" s="16" t="s">
        <v>3</v>
      </c>
      <c r="E103" s="16" t="s">
        <v>370</v>
      </c>
      <c r="F103" s="80" t="s">
        <v>948</v>
      </c>
      <c r="G103" s="18">
        <v>1411876</v>
      </c>
      <c r="H103" s="57" t="s">
        <v>61</v>
      </c>
      <c r="I103" s="121" t="s">
        <v>394</v>
      </c>
      <c r="J103" s="57" t="s">
        <v>61</v>
      </c>
      <c r="K103" s="16" t="s">
        <v>161</v>
      </c>
      <c r="L103" s="16" t="s">
        <v>165</v>
      </c>
      <c r="M103" s="16" t="s">
        <v>165</v>
      </c>
      <c r="N103" s="16" t="s">
        <v>420</v>
      </c>
      <c r="O103" s="18" t="s">
        <v>61</v>
      </c>
      <c r="P103" s="18" t="s">
        <v>403</v>
      </c>
      <c r="Q103" s="19"/>
      <c r="R103" s="57" t="s">
        <v>61</v>
      </c>
      <c r="S103" s="16" t="s">
        <v>69</v>
      </c>
      <c r="T103" s="16"/>
      <c r="U103" s="16"/>
      <c r="V103" s="16">
        <v>47</v>
      </c>
      <c r="W103" s="16">
        <f t="shared" si="14"/>
        <v>47</v>
      </c>
      <c r="X103" s="16">
        <f t="shared" si="20"/>
        <v>47</v>
      </c>
      <c r="Y103" s="16">
        <f>ROUNDDOWN(W103/HLOOKUP(D103,Table!$C$3:$D$4,2,0)*8,2)</f>
        <v>0.83</v>
      </c>
      <c r="Z103" s="16">
        <v>0.5</v>
      </c>
      <c r="AA103" s="16" t="s">
        <v>74</v>
      </c>
      <c r="AB103" s="20">
        <v>43964</v>
      </c>
      <c r="AC103" s="20">
        <v>43955</v>
      </c>
      <c r="AD103" s="20">
        <v>43966</v>
      </c>
      <c r="AE103" s="20">
        <v>43956</v>
      </c>
      <c r="AF103" s="20">
        <v>43956</v>
      </c>
      <c r="AG103" s="20" t="s">
        <v>335</v>
      </c>
      <c r="AH103" s="32">
        <v>1</v>
      </c>
      <c r="AI103" s="32">
        <v>1</v>
      </c>
      <c r="AJ103" s="32">
        <v>1</v>
      </c>
      <c r="AK103" s="20" t="s">
        <v>165</v>
      </c>
      <c r="AL103" s="16" t="s">
        <v>61</v>
      </c>
      <c r="AM103" s="16" t="s">
        <v>61</v>
      </c>
      <c r="AN103" s="16" t="s">
        <v>61</v>
      </c>
    </row>
    <row r="104" spans="2:40" x14ac:dyDescent="0.25">
      <c r="B104" s="85">
        <f t="shared" si="13"/>
        <v>57</v>
      </c>
      <c r="C104" s="17">
        <v>20200429</v>
      </c>
      <c r="D104" s="16" t="s">
        <v>3</v>
      </c>
      <c r="E104" s="16" t="s">
        <v>370</v>
      </c>
      <c r="F104" s="80" t="s">
        <v>948</v>
      </c>
      <c r="G104" s="18">
        <v>1411876</v>
      </c>
      <c r="H104" s="57" t="s">
        <v>61</v>
      </c>
      <c r="I104" s="114" t="s">
        <v>395</v>
      </c>
      <c r="J104" s="57" t="s">
        <v>61</v>
      </c>
      <c r="K104" s="16" t="s">
        <v>161</v>
      </c>
      <c r="L104" s="16" t="s">
        <v>165</v>
      </c>
      <c r="M104" s="16" t="s">
        <v>165</v>
      </c>
      <c r="N104" s="16" t="s">
        <v>420</v>
      </c>
      <c r="O104" s="18" t="s">
        <v>61</v>
      </c>
      <c r="P104" s="18" t="s">
        <v>403</v>
      </c>
      <c r="Q104" s="19"/>
      <c r="R104" s="57" t="s">
        <v>61</v>
      </c>
      <c r="S104" s="16" t="s">
        <v>68</v>
      </c>
      <c r="T104" s="16"/>
      <c r="U104" s="16"/>
      <c r="V104" s="16">
        <v>104</v>
      </c>
      <c r="W104" s="16">
        <f t="shared" si="14"/>
        <v>104</v>
      </c>
      <c r="X104" s="16">
        <f t="shared" ref="X104:X112" si="21">W104</f>
        <v>104</v>
      </c>
      <c r="Y104" s="16">
        <f>ROUNDDOWN(W104/HLOOKUP(D104,Table!$C$3:$D$4,2,0)*8,2)</f>
        <v>1.84</v>
      </c>
      <c r="Z104" s="16">
        <v>1</v>
      </c>
      <c r="AA104" s="16" t="s">
        <v>74</v>
      </c>
      <c r="AB104" s="20">
        <v>43964</v>
      </c>
      <c r="AC104" s="20">
        <v>43955</v>
      </c>
      <c r="AD104" s="20">
        <v>43966</v>
      </c>
      <c r="AE104" s="20">
        <v>43958</v>
      </c>
      <c r="AF104" s="20">
        <v>43958</v>
      </c>
      <c r="AG104" s="20" t="s">
        <v>335</v>
      </c>
      <c r="AH104" s="32">
        <v>1</v>
      </c>
      <c r="AI104" s="32">
        <v>1</v>
      </c>
      <c r="AJ104" s="32">
        <v>1</v>
      </c>
      <c r="AK104" s="20" t="s">
        <v>165</v>
      </c>
      <c r="AL104" s="16" t="s">
        <v>61</v>
      </c>
      <c r="AM104" s="16" t="s">
        <v>61</v>
      </c>
      <c r="AN104" s="16" t="s">
        <v>61</v>
      </c>
    </row>
    <row r="105" spans="2:40" x14ac:dyDescent="0.25">
      <c r="B105" s="85">
        <f t="shared" si="13"/>
        <v>58</v>
      </c>
      <c r="C105" s="17">
        <v>20200429</v>
      </c>
      <c r="D105" s="16" t="s">
        <v>3</v>
      </c>
      <c r="E105" s="16" t="s">
        <v>370</v>
      </c>
      <c r="F105" s="80" t="s">
        <v>948</v>
      </c>
      <c r="G105" s="18">
        <v>1411876</v>
      </c>
      <c r="H105" s="57" t="s">
        <v>61</v>
      </c>
      <c r="I105" s="114" t="s">
        <v>396</v>
      </c>
      <c r="J105" s="57" t="s">
        <v>61</v>
      </c>
      <c r="K105" s="16" t="s">
        <v>161</v>
      </c>
      <c r="L105" s="16" t="s">
        <v>165</v>
      </c>
      <c r="M105" s="16" t="s">
        <v>165</v>
      </c>
      <c r="N105" s="16" t="s">
        <v>420</v>
      </c>
      <c r="O105" s="18" t="s">
        <v>61</v>
      </c>
      <c r="P105" s="18" t="s">
        <v>403</v>
      </c>
      <c r="Q105" s="19"/>
      <c r="R105" s="57" t="s">
        <v>61</v>
      </c>
      <c r="S105" s="16" t="s">
        <v>68</v>
      </c>
      <c r="T105" s="16"/>
      <c r="U105" s="16"/>
      <c r="V105" s="16">
        <v>138</v>
      </c>
      <c r="W105" s="16">
        <f t="shared" si="14"/>
        <v>138</v>
      </c>
      <c r="X105" s="16">
        <f t="shared" si="21"/>
        <v>138</v>
      </c>
      <c r="Y105" s="16">
        <f>ROUNDDOWN(W105/HLOOKUP(D105,Table!$C$3:$D$4,2,0)*8,2)</f>
        <v>2.4500000000000002</v>
      </c>
      <c r="Z105" s="16">
        <v>1</v>
      </c>
      <c r="AA105" s="16" t="s">
        <v>74</v>
      </c>
      <c r="AB105" s="20">
        <v>43964</v>
      </c>
      <c r="AC105" s="20">
        <v>43955</v>
      </c>
      <c r="AD105" s="20">
        <v>43966</v>
      </c>
      <c r="AE105" s="20">
        <v>43959</v>
      </c>
      <c r="AF105" s="20">
        <v>43959</v>
      </c>
      <c r="AG105" s="20" t="s">
        <v>335</v>
      </c>
      <c r="AH105" s="32">
        <v>1</v>
      </c>
      <c r="AI105" s="32">
        <v>1</v>
      </c>
      <c r="AJ105" s="32">
        <v>1</v>
      </c>
      <c r="AK105" s="20" t="s">
        <v>165</v>
      </c>
      <c r="AL105" s="16" t="s">
        <v>61</v>
      </c>
      <c r="AM105" s="16" t="s">
        <v>61</v>
      </c>
      <c r="AN105" s="16" t="s">
        <v>61</v>
      </c>
    </row>
    <row r="106" spans="2:40" x14ac:dyDescent="0.25">
      <c r="B106" s="85">
        <f t="shared" si="13"/>
        <v>59</v>
      </c>
      <c r="C106" s="17">
        <v>20200429</v>
      </c>
      <c r="D106" s="16" t="s">
        <v>3</v>
      </c>
      <c r="E106" s="16" t="s">
        <v>370</v>
      </c>
      <c r="F106" s="80" t="s">
        <v>948</v>
      </c>
      <c r="G106" s="18">
        <v>1411876</v>
      </c>
      <c r="H106" s="57" t="s">
        <v>61</v>
      </c>
      <c r="I106" s="114" t="s">
        <v>397</v>
      </c>
      <c r="J106" s="113" t="s">
        <v>61</v>
      </c>
      <c r="K106" s="114" t="s">
        <v>161</v>
      </c>
      <c r="L106" s="114" t="s">
        <v>165</v>
      </c>
      <c r="M106" s="114" t="s">
        <v>165</v>
      </c>
      <c r="N106" s="114" t="s">
        <v>420</v>
      </c>
      <c r="O106" s="115" t="s">
        <v>61</v>
      </c>
      <c r="P106" s="115" t="s">
        <v>403</v>
      </c>
      <c r="Q106" s="116"/>
      <c r="R106" s="113" t="s">
        <v>61</v>
      </c>
      <c r="S106" s="114" t="s">
        <v>68</v>
      </c>
      <c r="T106" s="114"/>
      <c r="U106" s="114"/>
      <c r="V106" s="114">
        <v>135</v>
      </c>
      <c r="W106" s="16">
        <f t="shared" si="14"/>
        <v>135</v>
      </c>
      <c r="X106" s="16">
        <f t="shared" si="21"/>
        <v>135</v>
      </c>
      <c r="Y106" s="16">
        <f>ROUNDDOWN(W106/HLOOKUP(D106,Table!$C$3:$D$4,2,0)*8,2)</f>
        <v>2.4</v>
      </c>
      <c r="Z106" s="16">
        <v>1</v>
      </c>
      <c r="AA106" s="16" t="s">
        <v>74</v>
      </c>
      <c r="AB106" s="20">
        <v>43964</v>
      </c>
      <c r="AC106" s="20">
        <v>43955</v>
      </c>
      <c r="AD106" s="20">
        <v>43966</v>
      </c>
      <c r="AE106" s="20">
        <v>43959</v>
      </c>
      <c r="AF106" s="20">
        <v>43959</v>
      </c>
      <c r="AG106" s="20" t="s">
        <v>335</v>
      </c>
      <c r="AH106" s="32">
        <v>1</v>
      </c>
      <c r="AI106" s="32">
        <v>1</v>
      </c>
      <c r="AJ106" s="32">
        <v>1</v>
      </c>
      <c r="AK106" s="20" t="s">
        <v>165</v>
      </c>
      <c r="AL106" s="16" t="s">
        <v>61</v>
      </c>
      <c r="AM106" s="16" t="s">
        <v>61</v>
      </c>
      <c r="AN106" s="16" t="s">
        <v>61</v>
      </c>
    </row>
    <row r="107" spans="2:40" x14ac:dyDescent="0.25">
      <c r="B107" s="85">
        <f t="shared" si="13"/>
        <v>60</v>
      </c>
      <c r="C107" s="17">
        <v>20200429</v>
      </c>
      <c r="D107" s="16" t="s">
        <v>3</v>
      </c>
      <c r="E107" s="16" t="s">
        <v>370</v>
      </c>
      <c r="F107" s="118" t="s">
        <v>948</v>
      </c>
      <c r="G107" s="115">
        <v>1411876</v>
      </c>
      <c r="H107" s="113" t="s">
        <v>61</v>
      </c>
      <c r="I107" s="114" t="s">
        <v>398</v>
      </c>
      <c r="J107" s="57" t="s">
        <v>61</v>
      </c>
      <c r="K107" s="16" t="s">
        <v>161</v>
      </c>
      <c r="L107" s="16" t="s">
        <v>165</v>
      </c>
      <c r="M107" s="16" t="s">
        <v>165</v>
      </c>
      <c r="N107" s="16" t="s">
        <v>420</v>
      </c>
      <c r="O107" s="18" t="s">
        <v>61</v>
      </c>
      <c r="P107" s="18" t="s">
        <v>403</v>
      </c>
      <c r="Q107" s="19"/>
      <c r="R107" s="57" t="s">
        <v>61</v>
      </c>
      <c r="S107" s="16" t="s">
        <v>68</v>
      </c>
      <c r="T107" s="16"/>
      <c r="U107" s="16"/>
      <c r="V107" s="16">
        <v>90</v>
      </c>
      <c r="W107" s="16">
        <f t="shared" si="14"/>
        <v>90</v>
      </c>
      <c r="X107" s="16">
        <f t="shared" si="21"/>
        <v>90</v>
      </c>
      <c r="Y107" s="16">
        <f>ROUNDDOWN(W107/HLOOKUP(D107,Table!$C$3:$D$4,2,0)*8,2)</f>
        <v>1.6</v>
      </c>
      <c r="Z107" s="16">
        <v>1</v>
      </c>
      <c r="AA107" s="16" t="s">
        <v>74</v>
      </c>
      <c r="AB107" s="20">
        <v>43964</v>
      </c>
      <c r="AC107" s="20">
        <v>43955</v>
      </c>
      <c r="AD107" s="20">
        <v>43966</v>
      </c>
      <c r="AE107" s="20">
        <v>43959</v>
      </c>
      <c r="AF107" s="20">
        <v>43959</v>
      </c>
      <c r="AG107" s="20" t="s">
        <v>335</v>
      </c>
      <c r="AH107" s="32">
        <v>1</v>
      </c>
      <c r="AI107" s="32">
        <v>1</v>
      </c>
      <c r="AJ107" s="32">
        <v>1</v>
      </c>
      <c r="AK107" s="20" t="s">
        <v>165</v>
      </c>
      <c r="AL107" s="16" t="s">
        <v>61</v>
      </c>
      <c r="AM107" s="16" t="s">
        <v>61</v>
      </c>
      <c r="AN107" s="16" t="s">
        <v>61</v>
      </c>
    </row>
    <row r="108" spans="2:40" x14ac:dyDescent="0.25">
      <c r="B108" s="85">
        <f t="shared" si="13"/>
        <v>61</v>
      </c>
      <c r="C108" s="17">
        <v>20200429</v>
      </c>
      <c r="D108" s="16" t="s">
        <v>3</v>
      </c>
      <c r="E108" s="16" t="s">
        <v>370</v>
      </c>
      <c r="F108" s="80" t="s">
        <v>950</v>
      </c>
      <c r="G108" s="18">
        <v>1411876</v>
      </c>
      <c r="H108" s="57" t="s">
        <v>61</v>
      </c>
      <c r="I108" s="114" t="s">
        <v>399</v>
      </c>
      <c r="J108" s="57" t="s">
        <v>61</v>
      </c>
      <c r="K108" s="16" t="s">
        <v>161</v>
      </c>
      <c r="L108" s="16" t="s">
        <v>165</v>
      </c>
      <c r="M108" s="16" t="s">
        <v>165</v>
      </c>
      <c r="N108" s="16" t="s">
        <v>420</v>
      </c>
      <c r="O108" s="18" t="s">
        <v>61</v>
      </c>
      <c r="P108" s="18" t="s">
        <v>403</v>
      </c>
      <c r="Q108" s="19"/>
      <c r="R108" s="57" t="s">
        <v>61</v>
      </c>
      <c r="S108" s="16" t="s">
        <v>69</v>
      </c>
      <c r="T108" s="16"/>
      <c r="U108" s="16"/>
      <c r="V108" s="16">
        <v>45</v>
      </c>
      <c r="W108" s="16">
        <f t="shared" si="14"/>
        <v>45</v>
      </c>
      <c r="X108" s="16">
        <f t="shared" si="21"/>
        <v>45</v>
      </c>
      <c r="Y108" s="16">
        <f>ROUNDDOWN(W108/HLOOKUP(D108,Table!$C$3:$D$4,2,0)*8,2)</f>
        <v>0.8</v>
      </c>
      <c r="Z108" s="16">
        <v>0.5</v>
      </c>
      <c r="AA108" s="16" t="s">
        <v>74</v>
      </c>
      <c r="AB108" s="20">
        <v>43964</v>
      </c>
      <c r="AC108" s="20">
        <v>43955</v>
      </c>
      <c r="AD108" s="20">
        <v>43966</v>
      </c>
      <c r="AE108" s="20">
        <v>43956</v>
      </c>
      <c r="AF108" s="20">
        <v>43956</v>
      </c>
      <c r="AG108" s="20" t="s">
        <v>336</v>
      </c>
      <c r="AH108" s="32">
        <v>0.37</v>
      </c>
      <c r="AI108" s="32">
        <v>1</v>
      </c>
      <c r="AJ108" s="32">
        <v>1</v>
      </c>
      <c r="AK108" s="20" t="s">
        <v>149</v>
      </c>
      <c r="AL108" s="18" t="s">
        <v>447</v>
      </c>
      <c r="AM108" s="16"/>
      <c r="AN108" s="150" t="s">
        <v>448</v>
      </c>
    </row>
    <row r="109" spans="2:40" x14ac:dyDescent="0.25">
      <c r="B109" s="85">
        <f t="shared" si="13"/>
        <v>62</v>
      </c>
      <c r="C109" s="17">
        <v>20200429</v>
      </c>
      <c r="D109" s="16" t="s">
        <v>3</v>
      </c>
      <c r="E109" s="16" t="s">
        <v>370</v>
      </c>
      <c r="F109" s="80" t="s">
        <v>951</v>
      </c>
      <c r="G109" s="18">
        <v>1411876</v>
      </c>
      <c r="H109" s="57" t="s">
        <v>61</v>
      </c>
      <c r="I109" s="114" t="s">
        <v>400</v>
      </c>
      <c r="J109" s="57" t="s">
        <v>61</v>
      </c>
      <c r="K109" s="16" t="s">
        <v>161</v>
      </c>
      <c r="L109" s="16" t="s">
        <v>165</v>
      </c>
      <c r="M109" s="16" t="s">
        <v>165</v>
      </c>
      <c r="N109" s="16" t="s">
        <v>420</v>
      </c>
      <c r="O109" s="18" t="s">
        <v>61</v>
      </c>
      <c r="P109" s="18" t="s">
        <v>403</v>
      </c>
      <c r="Q109" s="19"/>
      <c r="R109" s="57" t="s">
        <v>61</v>
      </c>
      <c r="S109" s="16" t="s">
        <v>69</v>
      </c>
      <c r="T109" s="16"/>
      <c r="U109" s="16"/>
      <c r="V109" s="16">
        <v>68</v>
      </c>
      <c r="W109" s="16">
        <f t="shared" si="14"/>
        <v>68</v>
      </c>
      <c r="X109" s="16">
        <f t="shared" si="21"/>
        <v>68</v>
      </c>
      <c r="Y109" s="16">
        <f>ROUNDDOWN(W109/HLOOKUP(D109,Table!$C$3:$D$4,2,0)*8,2)</f>
        <v>1.2</v>
      </c>
      <c r="Z109" s="16">
        <v>1</v>
      </c>
      <c r="AA109" s="16" t="s">
        <v>74</v>
      </c>
      <c r="AB109" s="20">
        <v>43964</v>
      </c>
      <c r="AC109" s="20">
        <v>43955</v>
      </c>
      <c r="AD109" s="20">
        <v>43966</v>
      </c>
      <c r="AE109" s="20">
        <v>43956</v>
      </c>
      <c r="AF109" s="20">
        <v>43956</v>
      </c>
      <c r="AG109" s="20" t="s">
        <v>335</v>
      </c>
      <c r="AH109" s="32">
        <v>1</v>
      </c>
      <c r="AI109" s="32">
        <v>1</v>
      </c>
      <c r="AJ109" s="32">
        <v>1</v>
      </c>
      <c r="AK109" s="20" t="s">
        <v>165</v>
      </c>
      <c r="AL109" s="16"/>
      <c r="AM109" s="16"/>
      <c r="AN109" s="16"/>
    </row>
    <row r="110" spans="2:40" x14ac:dyDescent="0.25">
      <c r="B110" s="85">
        <f t="shared" si="13"/>
        <v>63</v>
      </c>
      <c r="C110" s="17">
        <v>20200429</v>
      </c>
      <c r="D110" s="16" t="s">
        <v>3</v>
      </c>
      <c r="E110" s="16" t="s">
        <v>370</v>
      </c>
      <c r="F110" s="80" t="s">
        <v>952</v>
      </c>
      <c r="G110" s="18">
        <v>1411876</v>
      </c>
      <c r="H110" s="57" t="s">
        <v>61</v>
      </c>
      <c r="I110" s="114" t="s">
        <v>401</v>
      </c>
      <c r="J110" s="57" t="s">
        <v>61</v>
      </c>
      <c r="K110" s="16" t="s">
        <v>161</v>
      </c>
      <c r="L110" s="16" t="s">
        <v>165</v>
      </c>
      <c r="M110" s="16" t="s">
        <v>165</v>
      </c>
      <c r="N110" s="16" t="s">
        <v>420</v>
      </c>
      <c r="O110" s="18" t="s">
        <v>61</v>
      </c>
      <c r="P110" s="18" t="s">
        <v>403</v>
      </c>
      <c r="Q110" s="19"/>
      <c r="R110" s="57" t="s">
        <v>61</v>
      </c>
      <c r="S110" s="16" t="s">
        <v>69</v>
      </c>
      <c r="T110" s="16"/>
      <c r="U110" s="16"/>
      <c r="V110" s="16">
        <v>137</v>
      </c>
      <c r="W110" s="16">
        <f t="shared" si="14"/>
        <v>137</v>
      </c>
      <c r="X110" s="16">
        <f t="shared" si="21"/>
        <v>137</v>
      </c>
      <c r="Y110" s="16">
        <f>ROUNDDOWN(W110/HLOOKUP(D110,Table!$C$3:$D$4,2,0)*8,2)</f>
        <v>2.4300000000000002</v>
      </c>
      <c r="Z110" s="16">
        <v>1</v>
      </c>
      <c r="AA110" s="16" t="s">
        <v>74</v>
      </c>
      <c r="AB110" s="20">
        <v>43964</v>
      </c>
      <c r="AC110" s="20">
        <v>43955</v>
      </c>
      <c r="AD110" s="20">
        <v>43966</v>
      </c>
      <c r="AE110" s="20">
        <v>43956</v>
      </c>
      <c r="AF110" s="20">
        <v>43956</v>
      </c>
      <c r="AG110" s="20" t="s">
        <v>336</v>
      </c>
      <c r="AH110" s="32">
        <v>0.6</v>
      </c>
      <c r="AI110" s="32">
        <v>0.53</v>
      </c>
      <c r="AJ110" s="32">
        <v>1</v>
      </c>
      <c r="AK110" s="20" t="s">
        <v>149</v>
      </c>
      <c r="AL110" s="18" t="s">
        <v>469</v>
      </c>
      <c r="AM110" s="16"/>
      <c r="AN110" s="150" t="s">
        <v>448</v>
      </c>
    </row>
    <row r="111" spans="2:40" x14ac:dyDescent="0.25">
      <c r="B111" s="85">
        <f t="shared" si="13"/>
        <v>64</v>
      </c>
      <c r="C111" s="17">
        <v>20200429</v>
      </c>
      <c r="D111" s="16" t="s">
        <v>3</v>
      </c>
      <c r="E111" s="16" t="s">
        <v>370</v>
      </c>
      <c r="F111" s="118" t="s">
        <v>953</v>
      </c>
      <c r="G111" s="115">
        <v>1411876</v>
      </c>
      <c r="H111" s="113" t="s">
        <v>61</v>
      </c>
      <c r="I111" s="114" t="s">
        <v>402</v>
      </c>
      <c r="J111" s="57" t="s">
        <v>61</v>
      </c>
      <c r="K111" s="16" t="s">
        <v>161</v>
      </c>
      <c r="L111" s="16" t="s">
        <v>165</v>
      </c>
      <c r="M111" s="16" t="s">
        <v>165</v>
      </c>
      <c r="N111" s="16" t="s">
        <v>420</v>
      </c>
      <c r="O111" s="18" t="s">
        <v>61</v>
      </c>
      <c r="P111" s="18" t="s">
        <v>403</v>
      </c>
      <c r="Q111" s="19"/>
      <c r="R111" s="57" t="s">
        <v>61</v>
      </c>
      <c r="S111" s="16" t="s">
        <v>68</v>
      </c>
      <c r="T111" s="16"/>
      <c r="U111" s="16"/>
      <c r="V111" s="16">
        <v>102</v>
      </c>
      <c r="W111" s="16">
        <f t="shared" si="14"/>
        <v>102</v>
      </c>
      <c r="X111" s="16">
        <f t="shared" si="21"/>
        <v>102</v>
      </c>
      <c r="Y111" s="16">
        <f>ROUNDDOWN(W111/HLOOKUP(D111,Table!$C$3:$D$4,2,0)*8,2)</f>
        <v>1.81</v>
      </c>
      <c r="Z111" s="16">
        <v>1</v>
      </c>
      <c r="AA111" s="16" t="s">
        <v>74</v>
      </c>
      <c r="AB111" s="20">
        <v>43964</v>
      </c>
      <c r="AC111" s="20">
        <v>43955</v>
      </c>
      <c r="AD111" s="20">
        <v>43966</v>
      </c>
      <c r="AE111" s="20">
        <v>43959</v>
      </c>
      <c r="AF111" s="20">
        <v>43959</v>
      </c>
      <c r="AG111" s="20" t="s">
        <v>336</v>
      </c>
      <c r="AH111" s="32">
        <v>0.71</v>
      </c>
      <c r="AI111" s="32">
        <v>0.6</v>
      </c>
      <c r="AJ111" s="32">
        <v>1</v>
      </c>
      <c r="AK111" s="20" t="s">
        <v>149</v>
      </c>
      <c r="AL111" s="18" t="s">
        <v>609</v>
      </c>
      <c r="AM111" s="16" t="s">
        <v>61</v>
      </c>
      <c r="AN111" s="150" t="s">
        <v>448</v>
      </c>
    </row>
    <row r="112" spans="2:40" x14ac:dyDescent="0.25">
      <c r="B112" s="106">
        <f t="shared" si="13"/>
        <v>65</v>
      </c>
      <c r="C112" s="17">
        <v>20200504</v>
      </c>
      <c r="D112" s="16" t="s">
        <v>3</v>
      </c>
      <c r="E112" s="92" t="s">
        <v>423</v>
      </c>
      <c r="F112" s="80" t="s">
        <v>954</v>
      </c>
      <c r="G112" s="92">
        <v>1443329</v>
      </c>
      <c r="H112" s="57" t="s">
        <v>61</v>
      </c>
      <c r="I112" s="121" t="s">
        <v>425</v>
      </c>
      <c r="J112" s="57" t="s">
        <v>61</v>
      </c>
      <c r="K112" s="16" t="s">
        <v>161</v>
      </c>
      <c r="L112" s="16" t="s">
        <v>165</v>
      </c>
      <c r="M112" s="92" t="s">
        <v>426</v>
      </c>
      <c r="N112" s="92" t="s">
        <v>429</v>
      </c>
      <c r="O112" s="18" t="s">
        <v>61</v>
      </c>
      <c r="P112" s="86" t="s">
        <v>432</v>
      </c>
      <c r="Q112" s="19"/>
      <c r="R112" s="57" t="s">
        <v>61</v>
      </c>
      <c r="S112" s="16" t="s">
        <v>69</v>
      </c>
      <c r="T112" s="16"/>
      <c r="U112" s="16"/>
      <c r="V112" s="16">
        <v>82</v>
      </c>
      <c r="W112" s="16">
        <f>V112</f>
        <v>82</v>
      </c>
      <c r="X112" s="16">
        <f t="shared" si="21"/>
        <v>82</v>
      </c>
      <c r="Y112" s="16">
        <f>ROUNDDOWN(W112/HLOOKUP(D112,Table!$C$3:$D$4,2,0)*8,2)</f>
        <v>1.45</v>
      </c>
      <c r="Z112" s="16">
        <v>1</v>
      </c>
      <c r="AA112" s="16" t="s">
        <v>74</v>
      </c>
      <c r="AB112" s="20">
        <v>43956</v>
      </c>
      <c r="AC112" s="20">
        <v>43955</v>
      </c>
      <c r="AD112" s="20">
        <v>43957</v>
      </c>
      <c r="AE112" s="20">
        <v>43956</v>
      </c>
      <c r="AF112" s="20">
        <v>43956</v>
      </c>
      <c r="AG112" s="20" t="s">
        <v>335</v>
      </c>
      <c r="AH112" s="32">
        <v>1</v>
      </c>
      <c r="AI112" s="32">
        <v>1</v>
      </c>
      <c r="AJ112" s="32">
        <v>1</v>
      </c>
      <c r="AK112" s="20" t="s">
        <v>165</v>
      </c>
      <c r="AL112" s="16" t="s">
        <v>61</v>
      </c>
      <c r="AM112" s="16" t="s">
        <v>61</v>
      </c>
      <c r="AN112" s="16" t="s">
        <v>61</v>
      </c>
    </row>
    <row r="113" spans="2:40" x14ac:dyDescent="0.25">
      <c r="B113" s="106">
        <f t="shared" ref="B113:B176" si="22">B112+1</f>
        <v>66</v>
      </c>
      <c r="C113" s="17">
        <v>20200504</v>
      </c>
      <c r="D113" s="16" t="s">
        <v>2</v>
      </c>
      <c r="E113" s="92" t="s">
        <v>424</v>
      </c>
      <c r="F113" s="111" t="s">
        <v>61</v>
      </c>
      <c r="G113" s="92">
        <v>1445490</v>
      </c>
      <c r="H113" s="57" t="s">
        <v>61</v>
      </c>
      <c r="I113" s="121" t="s">
        <v>442</v>
      </c>
      <c r="J113" s="57" t="s">
        <v>61</v>
      </c>
      <c r="K113" s="16" t="s">
        <v>161</v>
      </c>
      <c r="L113" s="93" t="s">
        <v>428</v>
      </c>
      <c r="M113" s="92" t="s">
        <v>427</v>
      </c>
      <c r="N113" s="92" t="s">
        <v>430</v>
      </c>
      <c r="O113" s="94" t="s">
        <v>431</v>
      </c>
      <c r="P113" s="86" t="s">
        <v>433</v>
      </c>
      <c r="Q113" s="19"/>
      <c r="R113" s="57" t="s">
        <v>61</v>
      </c>
      <c r="S113" s="16" t="s">
        <v>67</v>
      </c>
      <c r="T113" s="16"/>
      <c r="U113" s="16"/>
      <c r="V113" s="16">
        <v>45</v>
      </c>
      <c r="W113" s="16">
        <f>V113</f>
        <v>45</v>
      </c>
      <c r="X113" s="16">
        <v>45</v>
      </c>
      <c r="Y113" s="16">
        <f>ROUNDDOWN(W113/HLOOKUP(D113,Table!$C$3:$D$4,2,0)*8,2)</f>
        <v>2.76</v>
      </c>
      <c r="Z113" s="16">
        <v>3</v>
      </c>
      <c r="AA113" s="16" t="s">
        <v>74</v>
      </c>
      <c r="AB113" s="20">
        <v>43956</v>
      </c>
      <c r="AC113" s="20">
        <v>43955</v>
      </c>
      <c r="AD113" s="20">
        <v>43957</v>
      </c>
      <c r="AE113" s="20">
        <v>43956</v>
      </c>
      <c r="AF113" s="20">
        <v>43956</v>
      </c>
      <c r="AG113" s="20" t="s">
        <v>335</v>
      </c>
      <c r="AH113" s="32">
        <v>1</v>
      </c>
      <c r="AI113" s="32">
        <v>1</v>
      </c>
      <c r="AJ113" s="32">
        <v>1</v>
      </c>
      <c r="AK113" s="20" t="s">
        <v>165</v>
      </c>
      <c r="AL113" s="16" t="s">
        <v>61</v>
      </c>
      <c r="AM113" s="16" t="s">
        <v>61</v>
      </c>
      <c r="AN113" s="16" t="s">
        <v>61</v>
      </c>
    </row>
    <row r="114" spans="2:40" x14ac:dyDescent="0.25">
      <c r="B114" s="107">
        <f t="shared" si="22"/>
        <v>67</v>
      </c>
      <c r="C114" s="17">
        <v>20200506</v>
      </c>
      <c r="D114" s="16" t="s">
        <v>3</v>
      </c>
      <c r="E114" s="16" t="s">
        <v>475</v>
      </c>
      <c r="F114" s="80" t="s">
        <v>551</v>
      </c>
      <c r="G114" s="18">
        <v>1449890</v>
      </c>
      <c r="H114" s="57" t="s">
        <v>61</v>
      </c>
      <c r="I114" s="121" t="s">
        <v>172</v>
      </c>
      <c r="J114" s="57" t="s">
        <v>61</v>
      </c>
      <c r="K114" s="16" t="s">
        <v>161</v>
      </c>
      <c r="L114" s="16" t="s">
        <v>496</v>
      </c>
      <c r="M114" s="16" t="s">
        <v>479</v>
      </c>
      <c r="N114" s="16" t="s">
        <v>499</v>
      </c>
      <c r="O114" s="18" t="s">
        <v>61</v>
      </c>
      <c r="P114" s="18" t="s">
        <v>492</v>
      </c>
      <c r="Q114" s="19"/>
      <c r="R114" s="57" t="s">
        <v>61</v>
      </c>
      <c r="S114" s="16" t="s">
        <v>64</v>
      </c>
      <c r="T114" s="16"/>
      <c r="U114" s="16"/>
      <c r="V114" s="16">
        <v>101</v>
      </c>
      <c r="W114" s="16">
        <f t="shared" ref="W114:W129" si="23">V114</f>
        <v>101</v>
      </c>
      <c r="X114" s="16">
        <f>W114</f>
        <v>101</v>
      </c>
      <c r="Y114" s="16">
        <f>ROUNDDOWN(W114/HLOOKUP(D114,Table!$C$3:$D$4,2,0)*8,2)</f>
        <v>1.79</v>
      </c>
      <c r="Z114" s="16">
        <v>2</v>
      </c>
      <c r="AA114" s="16" t="s">
        <v>74</v>
      </c>
      <c r="AB114" s="20">
        <v>43959</v>
      </c>
      <c r="AC114" s="20">
        <v>43957</v>
      </c>
      <c r="AD114" s="20">
        <v>43959</v>
      </c>
      <c r="AE114" s="20">
        <v>43957</v>
      </c>
      <c r="AF114" s="20">
        <v>43957</v>
      </c>
      <c r="AG114" s="20" t="s">
        <v>335</v>
      </c>
      <c r="AH114" s="32">
        <v>1</v>
      </c>
      <c r="AI114" s="32">
        <v>1</v>
      </c>
      <c r="AJ114" s="32">
        <v>1</v>
      </c>
      <c r="AK114" s="20" t="s">
        <v>165</v>
      </c>
      <c r="AL114" s="16" t="s">
        <v>61</v>
      </c>
      <c r="AM114" s="16" t="s">
        <v>61</v>
      </c>
      <c r="AN114" s="16" t="s">
        <v>61</v>
      </c>
    </row>
    <row r="115" spans="2:40" x14ac:dyDescent="0.25">
      <c r="B115" s="107">
        <f t="shared" si="22"/>
        <v>68</v>
      </c>
      <c r="C115" s="17">
        <v>20200506</v>
      </c>
      <c r="D115" s="16" t="s">
        <v>3</v>
      </c>
      <c r="E115" s="16" t="s">
        <v>475</v>
      </c>
      <c r="F115" s="80" t="s">
        <v>552</v>
      </c>
      <c r="G115" s="18">
        <v>1449890</v>
      </c>
      <c r="H115" s="57" t="s">
        <v>61</v>
      </c>
      <c r="I115" s="16" t="s">
        <v>481</v>
      </c>
      <c r="J115" s="57" t="s">
        <v>61</v>
      </c>
      <c r="K115" s="16" t="s">
        <v>161</v>
      </c>
      <c r="L115" s="16" t="s">
        <v>496</v>
      </c>
      <c r="M115" s="16" t="s">
        <v>479</v>
      </c>
      <c r="N115" s="16" t="s">
        <v>499</v>
      </c>
      <c r="O115" s="18" t="s">
        <v>61</v>
      </c>
      <c r="P115" s="18" t="s">
        <v>492</v>
      </c>
      <c r="Q115" s="19"/>
      <c r="R115" s="57" t="s">
        <v>61</v>
      </c>
      <c r="S115" s="16" t="s">
        <v>64</v>
      </c>
      <c r="T115" s="16"/>
      <c r="U115" s="16"/>
      <c r="V115" s="16">
        <v>66</v>
      </c>
      <c r="W115" s="16">
        <f t="shared" si="23"/>
        <v>66</v>
      </c>
      <c r="X115" s="16">
        <f>W115</f>
        <v>66</v>
      </c>
      <c r="Y115" s="16">
        <f>ROUNDDOWN(W115/HLOOKUP(D115,Table!$C$3:$D$4,2,0)*8,2)</f>
        <v>1.17</v>
      </c>
      <c r="Z115" s="16">
        <v>1</v>
      </c>
      <c r="AA115" s="16" t="s">
        <v>74</v>
      </c>
      <c r="AB115" s="20">
        <v>43959</v>
      </c>
      <c r="AC115" s="20">
        <v>43957</v>
      </c>
      <c r="AD115" s="20">
        <v>43959</v>
      </c>
      <c r="AE115" s="20">
        <v>43957</v>
      </c>
      <c r="AF115" s="20">
        <v>43957</v>
      </c>
      <c r="AG115" s="20" t="s">
        <v>335</v>
      </c>
      <c r="AH115" s="32">
        <v>1</v>
      </c>
      <c r="AI115" s="32">
        <v>1</v>
      </c>
      <c r="AJ115" s="32">
        <v>1</v>
      </c>
      <c r="AK115" s="20" t="s">
        <v>165</v>
      </c>
      <c r="AL115" s="16" t="s">
        <v>61</v>
      </c>
      <c r="AM115" s="16" t="s">
        <v>61</v>
      </c>
      <c r="AN115" s="16" t="s">
        <v>61</v>
      </c>
    </row>
    <row r="116" spans="2:40" x14ac:dyDescent="0.25">
      <c r="B116" s="107">
        <f t="shared" si="22"/>
        <v>69</v>
      </c>
      <c r="C116" s="17">
        <v>20200506</v>
      </c>
      <c r="D116" s="16" t="s">
        <v>3</v>
      </c>
      <c r="E116" s="16" t="s">
        <v>476</v>
      </c>
      <c r="F116" s="80" t="s">
        <v>553</v>
      </c>
      <c r="G116" s="18">
        <v>1446629</v>
      </c>
      <c r="H116" s="57" t="s">
        <v>61</v>
      </c>
      <c r="I116" s="16" t="s">
        <v>608</v>
      </c>
      <c r="J116" s="57" t="s">
        <v>61</v>
      </c>
      <c r="K116" s="16" t="s">
        <v>161</v>
      </c>
      <c r="L116" s="16" t="s">
        <v>165</v>
      </c>
      <c r="M116" s="16" t="s">
        <v>170</v>
      </c>
      <c r="N116" s="16" t="s">
        <v>500</v>
      </c>
      <c r="O116" s="18" t="s">
        <v>61</v>
      </c>
      <c r="P116" s="18" t="s">
        <v>493</v>
      </c>
      <c r="Q116" s="19"/>
      <c r="R116" s="57" t="s">
        <v>61</v>
      </c>
      <c r="S116" s="16" t="s">
        <v>64</v>
      </c>
      <c r="T116" s="16"/>
      <c r="U116" s="16"/>
      <c r="V116" s="16">
        <v>86</v>
      </c>
      <c r="W116" s="16">
        <f t="shared" si="23"/>
        <v>86</v>
      </c>
      <c r="X116" s="16">
        <f>W116</f>
        <v>86</v>
      </c>
      <c r="Y116" s="16">
        <f>ROUNDDOWN(W116/HLOOKUP(D116,Table!$C$3:$D$4,2,0)*8,2)</f>
        <v>1.52</v>
      </c>
      <c r="Z116" s="16">
        <v>4</v>
      </c>
      <c r="AA116" s="16" t="s">
        <v>74</v>
      </c>
      <c r="AB116" s="20">
        <v>43959</v>
      </c>
      <c r="AC116" s="20">
        <v>43957</v>
      </c>
      <c r="AD116" s="20">
        <v>43959</v>
      </c>
      <c r="AE116" s="20">
        <v>43958</v>
      </c>
      <c r="AF116" s="20">
        <v>43958</v>
      </c>
      <c r="AG116" s="20" t="s">
        <v>335</v>
      </c>
      <c r="AH116" s="32">
        <v>1</v>
      </c>
      <c r="AI116" s="32">
        <v>1</v>
      </c>
      <c r="AJ116" s="32">
        <v>1</v>
      </c>
      <c r="AK116" s="20" t="s">
        <v>165</v>
      </c>
      <c r="AL116" s="16" t="s">
        <v>61</v>
      </c>
      <c r="AM116" s="16" t="s">
        <v>61</v>
      </c>
      <c r="AN116" s="16" t="s">
        <v>61</v>
      </c>
    </row>
    <row r="117" spans="2:40" x14ac:dyDescent="0.25">
      <c r="B117" s="107">
        <f t="shared" si="22"/>
        <v>70</v>
      </c>
      <c r="C117" s="17">
        <v>20200506</v>
      </c>
      <c r="D117" s="16" t="s">
        <v>3</v>
      </c>
      <c r="E117" s="16" t="s">
        <v>477</v>
      </c>
      <c r="F117" s="109" t="s">
        <v>565</v>
      </c>
      <c r="G117" s="18">
        <v>1449424</v>
      </c>
      <c r="H117" s="57" t="s">
        <v>61</v>
      </c>
      <c r="I117" s="16" t="s">
        <v>176</v>
      </c>
      <c r="J117" s="57" t="s">
        <v>61</v>
      </c>
      <c r="K117" s="16" t="s">
        <v>353</v>
      </c>
      <c r="L117" s="16" t="s">
        <v>497</v>
      </c>
      <c r="M117" s="16" t="s">
        <v>480</v>
      </c>
      <c r="N117" s="16" t="s">
        <v>501</v>
      </c>
      <c r="O117" s="18" t="s">
        <v>61</v>
      </c>
      <c r="P117" s="18" t="s">
        <v>494</v>
      </c>
      <c r="Q117" s="19"/>
      <c r="R117" s="57" t="s">
        <v>61</v>
      </c>
      <c r="S117" s="16" t="s">
        <v>64</v>
      </c>
      <c r="T117" s="16"/>
      <c r="U117" s="16"/>
      <c r="V117" s="16">
        <v>145</v>
      </c>
      <c r="W117" s="16">
        <f t="shared" si="23"/>
        <v>145</v>
      </c>
      <c r="X117" s="16">
        <f>W117</f>
        <v>145</v>
      </c>
      <c r="Y117" s="16">
        <f>ROUNDDOWN(W117/HLOOKUP(D117,Table!$C$3:$D$4,2,0)*8,2)</f>
        <v>2.57</v>
      </c>
      <c r="Z117" s="16">
        <v>4</v>
      </c>
      <c r="AA117" s="92" t="s">
        <v>74</v>
      </c>
      <c r="AB117" s="20">
        <v>43959</v>
      </c>
      <c r="AC117" s="20">
        <v>43957</v>
      </c>
      <c r="AD117" s="20">
        <v>43959</v>
      </c>
      <c r="AE117" s="20">
        <v>43958</v>
      </c>
      <c r="AF117" s="20">
        <v>43958</v>
      </c>
      <c r="AG117" s="20" t="s">
        <v>335</v>
      </c>
      <c r="AH117" s="32">
        <v>1</v>
      </c>
      <c r="AI117" s="32">
        <v>0.98</v>
      </c>
      <c r="AJ117" s="32">
        <v>1</v>
      </c>
      <c r="AK117" s="20" t="s">
        <v>149</v>
      </c>
      <c r="AL117" s="16" t="s">
        <v>594</v>
      </c>
      <c r="AM117" s="16"/>
      <c r="AN117" s="16" t="s">
        <v>448</v>
      </c>
    </row>
    <row r="118" spans="2:40" x14ac:dyDescent="0.25">
      <c r="B118" s="107">
        <f t="shared" si="22"/>
        <v>71</v>
      </c>
      <c r="C118" s="17">
        <v>20200506</v>
      </c>
      <c r="D118" s="16" t="s">
        <v>3</v>
      </c>
      <c r="E118" s="16" t="s">
        <v>477</v>
      </c>
      <c r="F118" s="109" t="s">
        <v>617</v>
      </c>
      <c r="G118" s="18">
        <v>1449424</v>
      </c>
      <c r="H118" s="57" t="s">
        <v>61</v>
      </c>
      <c r="I118" s="17" t="s">
        <v>482</v>
      </c>
      <c r="J118" s="57" t="s">
        <v>61</v>
      </c>
      <c r="K118" s="18" t="s">
        <v>353</v>
      </c>
      <c r="L118" s="16" t="s">
        <v>497</v>
      </c>
      <c r="M118" s="16" t="s">
        <v>480</v>
      </c>
      <c r="N118" s="16" t="s">
        <v>501</v>
      </c>
      <c r="O118" s="18" t="s">
        <v>61</v>
      </c>
      <c r="P118" s="18" t="s">
        <v>494</v>
      </c>
      <c r="Q118" s="19"/>
      <c r="R118" s="57"/>
      <c r="S118" s="16" t="s">
        <v>64</v>
      </c>
      <c r="T118" s="16"/>
      <c r="U118" s="16"/>
      <c r="V118" s="16">
        <v>503</v>
      </c>
      <c r="W118" s="16">
        <f>V118</f>
        <v>503</v>
      </c>
      <c r="X118" s="16">
        <f>W118</f>
        <v>503</v>
      </c>
      <c r="Y118" s="16">
        <f>ROUNDDOWN(W118/HLOOKUP(D118,Table!$C$3:$D$4,2,0)*8,2)</f>
        <v>8.94</v>
      </c>
      <c r="Z118" s="16">
        <v>4</v>
      </c>
      <c r="AA118" s="16" t="s">
        <v>74</v>
      </c>
      <c r="AB118" s="20">
        <v>43962</v>
      </c>
      <c r="AC118" s="20">
        <v>43962</v>
      </c>
      <c r="AD118" s="20">
        <v>43962</v>
      </c>
      <c r="AE118" s="20">
        <v>43962</v>
      </c>
      <c r="AF118" s="20">
        <v>43962</v>
      </c>
      <c r="AG118" s="20" t="s">
        <v>335</v>
      </c>
      <c r="AH118" s="32">
        <v>1</v>
      </c>
      <c r="AI118" s="32">
        <v>1</v>
      </c>
      <c r="AJ118" s="32">
        <v>1</v>
      </c>
      <c r="AK118" s="20" t="s">
        <v>165</v>
      </c>
      <c r="AL118" s="16" t="s">
        <v>61</v>
      </c>
      <c r="AM118" s="16" t="s">
        <v>61</v>
      </c>
      <c r="AN118" s="17" t="s">
        <v>618</v>
      </c>
    </row>
    <row r="119" spans="2:40" x14ac:dyDescent="0.25">
      <c r="B119" s="107">
        <f t="shared" si="22"/>
        <v>72</v>
      </c>
      <c r="C119" s="17">
        <v>20200506</v>
      </c>
      <c r="D119" s="16" t="s">
        <v>3</v>
      </c>
      <c r="E119" s="16" t="s">
        <v>478</v>
      </c>
      <c r="F119" s="80" t="s">
        <v>554</v>
      </c>
      <c r="G119" s="18">
        <v>1449711</v>
      </c>
      <c r="H119" s="57" t="s">
        <v>61</v>
      </c>
      <c r="I119" s="16" t="s">
        <v>482</v>
      </c>
      <c r="J119" s="57" t="s">
        <v>61</v>
      </c>
      <c r="K119" s="16" t="s">
        <v>161</v>
      </c>
      <c r="L119" s="16" t="s">
        <v>498</v>
      </c>
      <c r="M119" s="16" t="s">
        <v>549</v>
      </c>
      <c r="N119" s="16" t="s">
        <v>502</v>
      </c>
      <c r="O119" s="18" t="s">
        <v>61</v>
      </c>
      <c r="P119" s="18" t="s">
        <v>495</v>
      </c>
      <c r="Q119" s="19"/>
      <c r="R119" s="57" t="s">
        <v>61</v>
      </c>
      <c r="S119" s="16" t="s">
        <v>6</v>
      </c>
      <c r="T119" s="16"/>
      <c r="U119" s="16"/>
      <c r="V119" s="16">
        <v>444</v>
      </c>
      <c r="W119" s="16">
        <f t="shared" si="23"/>
        <v>444</v>
      </c>
      <c r="X119" s="16">
        <f t="shared" ref="X119:X128" si="24">W119</f>
        <v>444</v>
      </c>
      <c r="Y119" s="16">
        <f>ROUNDDOWN(W119/HLOOKUP(D119,Table!$C$3:$D$4,2,0)*8,2)</f>
        <v>7.89</v>
      </c>
      <c r="Z119" s="16">
        <v>2</v>
      </c>
      <c r="AA119" s="16" t="s">
        <v>74</v>
      </c>
      <c r="AB119" s="20">
        <v>43959</v>
      </c>
      <c r="AC119" s="20">
        <v>43957</v>
      </c>
      <c r="AD119" s="20">
        <v>43959</v>
      </c>
      <c r="AE119" s="20">
        <v>43958</v>
      </c>
      <c r="AF119" s="20">
        <v>43958</v>
      </c>
      <c r="AG119" s="20" t="s">
        <v>335</v>
      </c>
      <c r="AH119" s="32">
        <v>1</v>
      </c>
      <c r="AI119" s="32">
        <v>1</v>
      </c>
      <c r="AJ119" s="32">
        <v>1</v>
      </c>
      <c r="AK119" s="20" t="s">
        <v>165</v>
      </c>
      <c r="AL119" s="16" t="s">
        <v>61</v>
      </c>
      <c r="AM119" s="16" t="s">
        <v>61</v>
      </c>
      <c r="AN119" s="16" t="s">
        <v>61</v>
      </c>
    </row>
    <row r="120" spans="2:40" x14ac:dyDescent="0.25">
      <c r="B120" s="107">
        <f t="shared" si="22"/>
        <v>73</v>
      </c>
      <c r="C120" s="17">
        <v>20200506</v>
      </c>
      <c r="D120" s="16" t="s">
        <v>3</v>
      </c>
      <c r="E120" s="16" t="s">
        <v>478</v>
      </c>
      <c r="F120" s="80" t="s">
        <v>555</v>
      </c>
      <c r="G120" s="18">
        <v>1449711</v>
      </c>
      <c r="H120" s="57" t="s">
        <v>61</v>
      </c>
      <c r="I120" s="16" t="s">
        <v>483</v>
      </c>
      <c r="J120" s="57" t="s">
        <v>61</v>
      </c>
      <c r="K120" s="16" t="s">
        <v>161</v>
      </c>
      <c r="L120" s="16" t="s">
        <v>498</v>
      </c>
      <c r="M120" s="16" t="s">
        <v>549</v>
      </c>
      <c r="N120" s="16" t="s">
        <v>502</v>
      </c>
      <c r="O120" s="18" t="s">
        <v>61</v>
      </c>
      <c r="P120" s="18" t="s">
        <v>495</v>
      </c>
      <c r="Q120" s="19"/>
      <c r="R120" s="57" t="s">
        <v>61</v>
      </c>
      <c r="S120" s="16" t="s">
        <v>65</v>
      </c>
      <c r="T120" s="16"/>
      <c r="U120" s="16"/>
      <c r="V120" s="16">
        <v>117</v>
      </c>
      <c r="W120" s="16">
        <f t="shared" si="23"/>
        <v>117</v>
      </c>
      <c r="X120" s="16">
        <f t="shared" si="24"/>
        <v>117</v>
      </c>
      <c r="Y120" s="16">
        <f>ROUNDDOWN(W120/HLOOKUP(D120,Table!$C$3:$D$4,2,0)*8,2)</f>
        <v>2.08</v>
      </c>
      <c r="Z120" s="16">
        <v>0.5</v>
      </c>
      <c r="AA120" s="16" t="s">
        <v>74</v>
      </c>
      <c r="AB120" s="20">
        <v>43959</v>
      </c>
      <c r="AC120" s="20">
        <v>43957</v>
      </c>
      <c r="AD120" s="20">
        <v>43959</v>
      </c>
      <c r="AE120" s="20">
        <v>43957</v>
      </c>
      <c r="AF120" s="20">
        <v>43957</v>
      </c>
      <c r="AG120" s="20" t="s">
        <v>335</v>
      </c>
      <c r="AH120" s="32">
        <v>1</v>
      </c>
      <c r="AI120" s="32">
        <v>1</v>
      </c>
      <c r="AJ120" s="32">
        <v>1</v>
      </c>
      <c r="AK120" s="20" t="s">
        <v>165</v>
      </c>
      <c r="AL120" s="16" t="s">
        <v>61</v>
      </c>
      <c r="AM120" s="16" t="s">
        <v>61</v>
      </c>
      <c r="AN120" s="16" t="s">
        <v>61</v>
      </c>
    </row>
    <row r="121" spans="2:40" x14ac:dyDescent="0.25">
      <c r="B121" s="107">
        <f t="shared" si="22"/>
        <v>74</v>
      </c>
      <c r="C121" s="17">
        <v>20200506</v>
      </c>
      <c r="D121" s="16" t="s">
        <v>3</v>
      </c>
      <c r="E121" s="16" t="s">
        <v>478</v>
      </c>
      <c r="F121" s="80" t="s">
        <v>556</v>
      </c>
      <c r="G121" s="18">
        <v>1449711</v>
      </c>
      <c r="H121" s="57" t="s">
        <v>61</v>
      </c>
      <c r="I121" s="16" t="s">
        <v>181</v>
      </c>
      <c r="J121" s="57" t="s">
        <v>61</v>
      </c>
      <c r="K121" s="16" t="s">
        <v>161</v>
      </c>
      <c r="L121" s="16" t="s">
        <v>498</v>
      </c>
      <c r="M121" s="16" t="s">
        <v>549</v>
      </c>
      <c r="N121" s="16" t="s">
        <v>502</v>
      </c>
      <c r="O121" s="18" t="s">
        <v>61</v>
      </c>
      <c r="P121" s="18" t="s">
        <v>495</v>
      </c>
      <c r="Q121" s="19"/>
      <c r="R121" s="57" t="s">
        <v>61</v>
      </c>
      <c r="S121" s="16" t="s">
        <v>65</v>
      </c>
      <c r="T121" s="16"/>
      <c r="U121" s="16"/>
      <c r="V121" s="16">
        <v>76</v>
      </c>
      <c r="W121" s="16">
        <f t="shared" si="23"/>
        <v>76</v>
      </c>
      <c r="X121" s="16">
        <f t="shared" si="24"/>
        <v>76</v>
      </c>
      <c r="Y121" s="16">
        <f>ROUNDDOWN(W121/HLOOKUP(D121,Table!$C$3:$D$4,2,0)*8,2)</f>
        <v>1.35</v>
      </c>
      <c r="Z121" s="16">
        <v>0.5</v>
      </c>
      <c r="AA121" s="16" t="s">
        <v>74</v>
      </c>
      <c r="AB121" s="20">
        <v>43959</v>
      </c>
      <c r="AC121" s="20">
        <v>43957</v>
      </c>
      <c r="AD121" s="20">
        <v>43959</v>
      </c>
      <c r="AE121" s="20">
        <v>43957</v>
      </c>
      <c r="AF121" s="20">
        <v>43957</v>
      </c>
      <c r="AG121" s="20" t="s">
        <v>335</v>
      </c>
      <c r="AH121" s="32">
        <v>1</v>
      </c>
      <c r="AI121" s="32">
        <v>1</v>
      </c>
      <c r="AJ121" s="32">
        <v>1</v>
      </c>
      <c r="AK121" s="20" t="s">
        <v>165</v>
      </c>
      <c r="AL121" s="16" t="s">
        <v>61</v>
      </c>
      <c r="AM121" s="16" t="s">
        <v>61</v>
      </c>
      <c r="AN121" s="16" t="s">
        <v>61</v>
      </c>
    </row>
    <row r="122" spans="2:40" x14ac:dyDescent="0.25">
      <c r="B122" s="107">
        <f t="shared" si="22"/>
        <v>75</v>
      </c>
      <c r="C122" s="17">
        <v>20200506</v>
      </c>
      <c r="D122" s="16" t="s">
        <v>3</v>
      </c>
      <c r="E122" s="16" t="s">
        <v>478</v>
      </c>
      <c r="F122" s="80" t="s">
        <v>557</v>
      </c>
      <c r="G122" s="18">
        <v>1449711</v>
      </c>
      <c r="H122" s="57" t="s">
        <v>61</v>
      </c>
      <c r="I122" s="16" t="s">
        <v>484</v>
      </c>
      <c r="J122" s="57" t="s">
        <v>61</v>
      </c>
      <c r="K122" s="16" t="s">
        <v>161</v>
      </c>
      <c r="L122" s="16" t="s">
        <v>498</v>
      </c>
      <c r="M122" s="16" t="s">
        <v>549</v>
      </c>
      <c r="N122" s="16" t="s">
        <v>502</v>
      </c>
      <c r="O122" s="18" t="s">
        <v>61</v>
      </c>
      <c r="P122" s="18" t="s">
        <v>495</v>
      </c>
      <c r="Q122" s="19"/>
      <c r="R122" s="57" t="s">
        <v>61</v>
      </c>
      <c r="S122" s="16" t="s">
        <v>65</v>
      </c>
      <c r="T122" s="16"/>
      <c r="U122" s="16"/>
      <c r="V122" s="16">
        <v>114</v>
      </c>
      <c r="W122" s="16">
        <f t="shared" si="23"/>
        <v>114</v>
      </c>
      <c r="X122" s="16">
        <f t="shared" si="24"/>
        <v>114</v>
      </c>
      <c r="Y122" s="16">
        <f>ROUNDDOWN(W122/HLOOKUP(D122,Table!$C$3:$D$4,2,0)*8,2)</f>
        <v>2.02</v>
      </c>
      <c r="Z122" s="16">
        <v>0.5</v>
      </c>
      <c r="AA122" s="16" t="s">
        <v>74</v>
      </c>
      <c r="AB122" s="20">
        <v>43959</v>
      </c>
      <c r="AC122" s="20">
        <v>43957</v>
      </c>
      <c r="AD122" s="20">
        <v>43959</v>
      </c>
      <c r="AE122" s="20">
        <v>43957</v>
      </c>
      <c r="AF122" s="20">
        <v>43957</v>
      </c>
      <c r="AG122" s="20" t="s">
        <v>335</v>
      </c>
      <c r="AH122" s="32">
        <v>1</v>
      </c>
      <c r="AI122" s="32">
        <v>1</v>
      </c>
      <c r="AJ122" s="32">
        <v>1</v>
      </c>
      <c r="AK122" s="20" t="s">
        <v>165</v>
      </c>
      <c r="AL122" s="16" t="s">
        <v>61</v>
      </c>
      <c r="AM122" s="16" t="s">
        <v>61</v>
      </c>
      <c r="AN122" s="16" t="s">
        <v>61</v>
      </c>
    </row>
    <row r="123" spans="2:40" x14ac:dyDescent="0.25">
      <c r="B123" s="107">
        <f t="shared" si="22"/>
        <v>76</v>
      </c>
      <c r="C123" s="17">
        <v>20200506</v>
      </c>
      <c r="D123" s="16" t="s">
        <v>3</v>
      </c>
      <c r="E123" s="16" t="s">
        <v>478</v>
      </c>
      <c r="F123" s="80" t="s">
        <v>558</v>
      </c>
      <c r="G123" s="18">
        <v>1449711</v>
      </c>
      <c r="H123" s="57" t="s">
        <v>61</v>
      </c>
      <c r="I123" s="16" t="s">
        <v>485</v>
      </c>
      <c r="J123" s="57" t="s">
        <v>61</v>
      </c>
      <c r="K123" s="16" t="s">
        <v>161</v>
      </c>
      <c r="L123" s="16" t="s">
        <v>498</v>
      </c>
      <c r="M123" s="16" t="s">
        <v>549</v>
      </c>
      <c r="N123" s="16" t="s">
        <v>502</v>
      </c>
      <c r="O123" s="18" t="s">
        <v>61</v>
      </c>
      <c r="P123" s="18" t="s">
        <v>495</v>
      </c>
      <c r="Q123" s="19"/>
      <c r="R123" s="57" t="s">
        <v>61</v>
      </c>
      <c r="S123" s="16" t="s">
        <v>6</v>
      </c>
      <c r="T123" s="16"/>
      <c r="U123" s="16"/>
      <c r="V123" s="16">
        <v>262</v>
      </c>
      <c r="W123" s="16">
        <f t="shared" si="23"/>
        <v>262</v>
      </c>
      <c r="X123" s="16">
        <f t="shared" si="24"/>
        <v>262</v>
      </c>
      <c r="Y123" s="16">
        <f>ROUNDDOWN(W123/HLOOKUP(D123,Table!$C$3:$D$4,2,0)*8,2)</f>
        <v>4.6500000000000004</v>
      </c>
      <c r="Z123" s="16">
        <v>1</v>
      </c>
      <c r="AA123" s="16" t="s">
        <v>74</v>
      </c>
      <c r="AB123" s="20">
        <v>43959</v>
      </c>
      <c r="AC123" s="20">
        <v>43957</v>
      </c>
      <c r="AD123" s="20">
        <v>43959</v>
      </c>
      <c r="AE123" s="20">
        <v>43958</v>
      </c>
      <c r="AF123" s="20">
        <v>43958</v>
      </c>
      <c r="AG123" s="20" t="s">
        <v>335</v>
      </c>
      <c r="AH123" s="32">
        <v>1</v>
      </c>
      <c r="AI123" s="32">
        <v>1</v>
      </c>
      <c r="AJ123" s="32">
        <v>1</v>
      </c>
      <c r="AK123" s="20" t="s">
        <v>165</v>
      </c>
      <c r="AL123" s="16" t="s">
        <v>61</v>
      </c>
      <c r="AM123" s="16" t="s">
        <v>61</v>
      </c>
      <c r="AN123" s="16" t="s">
        <v>61</v>
      </c>
    </row>
    <row r="124" spans="2:40" x14ac:dyDescent="0.25">
      <c r="B124" s="107">
        <f t="shared" si="22"/>
        <v>77</v>
      </c>
      <c r="C124" s="17">
        <v>20200506</v>
      </c>
      <c r="D124" s="16" t="s">
        <v>3</v>
      </c>
      <c r="E124" s="16" t="s">
        <v>478</v>
      </c>
      <c r="F124" s="80" t="s">
        <v>559</v>
      </c>
      <c r="G124" s="18">
        <v>1449711</v>
      </c>
      <c r="H124" s="57" t="s">
        <v>61</v>
      </c>
      <c r="I124" s="16" t="s">
        <v>486</v>
      </c>
      <c r="J124" s="57" t="s">
        <v>61</v>
      </c>
      <c r="K124" s="16" t="s">
        <v>161</v>
      </c>
      <c r="L124" s="16" t="s">
        <v>498</v>
      </c>
      <c r="M124" s="16" t="s">
        <v>549</v>
      </c>
      <c r="N124" s="16" t="s">
        <v>502</v>
      </c>
      <c r="O124" s="18" t="s">
        <v>61</v>
      </c>
      <c r="P124" s="18" t="s">
        <v>495</v>
      </c>
      <c r="Q124" s="19"/>
      <c r="R124" s="57" t="s">
        <v>61</v>
      </c>
      <c r="S124" s="16" t="s">
        <v>157</v>
      </c>
      <c r="T124" s="16"/>
      <c r="U124" s="16"/>
      <c r="V124" s="16">
        <v>41</v>
      </c>
      <c r="W124" s="16">
        <f t="shared" si="23"/>
        <v>41</v>
      </c>
      <c r="X124" s="16">
        <f t="shared" si="24"/>
        <v>41</v>
      </c>
      <c r="Y124" s="16">
        <f>ROUNDDOWN(W124/HLOOKUP(D124,Table!$C$3:$D$4,2,0)*8,2)</f>
        <v>0.72</v>
      </c>
      <c r="Z124" s="16">
        <v>0.5</v>
      </c>
      <c r="AA124" s="16" t="s">
        <v>74</v>
      </c>
      <c r="AB124" s="20">
        <v>43959</v>
      </c>
      <c r="AC124" s="20">
        <v>43957</v>
      </c>
      <c r="AD124" s="20">
        <v>43959</v>
      </c>
      <c r="AE124" s="20">
        <v>43957</v>
      </c>
      <c r="AF124" s="20">
        <v>43957</v>
      </c>
      <c r="AG124" s="20" t="s">
        <v>335</v>
      </c>
      <c r="AH124" s="32">
        <v>1</v>
      </c>
      <c r="AI124" s="32">
        <v>1</v>
      </c>
      <c r="AJ124" s="32">
        <v>1</v>
      </c>
      <c r="AK124" s="20" t="s">
        <v>165</v>
      </c>
      <c r="AL124" s="16" t="s">
        <v>61</v>
      </c>
      <c r="AM124" s="16" t="s">
        <v>61</v>
      </c>
      <c r="AN124" s="16" t="s">
        <v>61</v>
      </c>
    </row>
    <row r="125" spans="2:40" x14ac:dyDescent="0.25">
      <c r="B125" s="107">
        <f t="shared" si="22"/>
        <v>78</v>
      </c>
      <c r="C125" s="17">
        <v>20200506</v>
      </c>
      <c r="D125" s="16" t="s">
        <v>3</v>
      </c>
      <c r="E125" s="16" t="s">
        <v>478</v>
      </c>
      <c r="F125" s="80" t="s">
        <v>560</v>
      </c>
      <c r="G125" s="18">
        <v>1449711</v>
      </c>
      <c r="H125" s="57" t="s">
        <v>61</v>
      </c>
      <c r="I125" s="16" t="s">
        <v>487</v>
      </c>
      <c r="J125" s="57" t="s">
        <v>61</v>
      </c>
      <c r="K125" s="16" t="s">
        <v>161</v>
      </c>
      <c r="L125" s="16" t="s">
        <v>498</v>
      </c>
      <c r="M125" s="16" t="s">
        <v>549</v>
      </c>
      <c r="N125" s="16" t="s">
        <v>502</v>
      </c>
      <c r="O125" s="18" t="s">
        <v>61</v>
      </c>
      <c r="P125" s="18" t="s">
        <v>495</v>
      </c>
      <c r="Q125" s="19"/>
      <c r="R125" s="57" t="s">
        <v>61</v>
      </c>
      <c r="S125" s="16" t="s">
        <v>157</v>
      </c>
      <c r="T125" s="16"/>
      <c r="U125" s="16"/>
      <c r="V125" s="16">
        <v>122</v>
      </c>
      <c r="W125" s="16">
        <f t="shared" si="23"/>
        <v>122</v>
      </c>
      <c r="X125" s="16">
        <f t="shared" si="24"/>
        <v>122</v>
      </c>
      <c r="Y125" s="16">
        <f>ROUNDDOWN(W125/HLOOKUP(D125,Table!$C$3:$D$4,2,0)*8,2)</f>
        <v>2.16</v>
      </c>
      <c r="Z125" s="16">
        <v>0.5</v>
      </c>
      <c r="AA125" s="16" t="s">
        <v>74</v>
      </c>
      <c r="AB125" s="20">
        <v>43959</v>
      </c>
      <c r="AC125" s="20">
        <v>43957</v>
      </c>
      <c r="AD125" s="20">
        <v>43959</v>
      </c>
      <c r="AE125" s="20">
        <v>43957</v>
      </c>
      <c r="AF125" s="20">
        <v>43957</v>
      </c>
      <c r="AG125" s="20" t="s">
        <v>335</v>
      </c>
      <c r="AH125" s="32">
        <v>1</v>
      </c>
      <c r="AI125" s="32">
        <v>1</v>
      </c>
      <c r="AJ125" s="32">
        <v>1</v>
      </c>
      <c r="AK125" s="20" t="s">
        <v>165</v>
      </c>
      <c r="AL125" s="16" t="s">
        <v>61</v>
      </c>
      <c r="AM125" s="16" t="s">
        <v>61</v>
      </c>
      <c r="AN125" s="16" t="s">
        <v>61</v>
      </c>
    </row>
    <row r="126" spans="2:40" x14ac:dyDescent="0.25">
      <c r="B126" s="107">
        <f t="shared" si="22"/>
        <v>79</v>
      </c>
      <c r="C126" s="17">
        <v>20200506</v>
      </c>
      <c r="D126" s="16" t="s">
        <v>3</v>
      </c>
      <c r="E126" s="16" t="s">
        <v>478</v>
      </c>
      <c r="F126" s="80" t="s">
        <v>561</v>
      </c>
      <c r="G126" s="18">
        <v>1449711</v>
      </c>
      <c r="H126" s="57" t="s">
        <v>61</v>
      </c>
      <c r="I126" s="16" t="s">
        <v>488</v>
      </c>
      <c r="J126" s="57" t="s">
        <v>61</v>
      </c>
      <c r="K126" s="16" t="s">
        <v>161</v>
      </c>
      <c r="L126" s="16" t="s">
        <v>498</v>
      </c>
      <c r="M126" s="16" t="s">
        <v>549</v>
      </c>
      <c r="N126" s="16" t="s">
        <v>502</v>
      </c>
      <c r="O126" s="18" t="s">
        <v>61</v>
      </c>
      <c r="P126" s="18" t="s">
        <v>495</v>
      </c>
      <c r="Q126" s="19"/>
      <c r="R126" s="57" t="s">
        <v>61</v>
      </c>
      <c r="S126" s="16" t="s">
        <v>157</v>
      </c>
      <c r="T126" s="16"/>
      <c r="U126" s="16"/>
      <c r="V126" s="16">
        <v>205</v>
      </c>
      <c r="W126" s="16">
        <f t="shared" si="23"/>
        <v>205</v>
      </c>
      <c r="X126" s="16">
        <f t="shared" si="24"/>
        <v>205</v>
      </c>
      <c r="Y126" s="16">
        <f>ROUNDDOWN(W126/HLOOKUP(D126,Table!$C$3:$D$4,2,0)*8,2)</f>
        <v>3.64</v>
      </c>
      <c r="Z126" s="16">
        <v>2</v>
      </c>
      <c r="AA126" s="16" t="s">
        <v>74</v>
      </c>
      <c r="AB126" s="20">
        <v>43959</v>
      </c>
      <c r="AC126" s="20">
        <v>43957</v>
      </c>
      <c r="AD126" s="20">
        <v>43959</v>
      </c>
      <c r="AE126" s="20">
        <v>43958</v>
      </c>
      <c r="AF126" s="20">
        <v>43958</v>
      </c>
      <c r="AG126" s="20" t="s">
        <v>335</v>
      </c>
      <c r="AH126" s="32">
        <v>1</v>
      </c>
      <c r="AI126" s="32">
        <v>1</v>
      </c>
      <c r="AJ126" s="32">
        <v>1</v>
      </c>
      <c r="AK126" s="20" t="s">
        <v>165</v>
      </c>
      <c r="AL126" s="16" t="s">
        <v>61</v>
      </c>
      <c r="AM126" s="16" t="s">
        <v>61</v>
      </c>
      <c r="AN126" s="16" t="s">
        <v>61</v>
      </c>
    </row>
    <row r="127" spans="2:40" x14ac:dyDescent="0.25">
      <c r="B127" s="107">
        <f t="shared" si="22"/>
        <v>80</v>
      </c>
      <c r="C127" s="17">
        <v>20200506</v>
      </c>
      <c r="D127" s="16" t="s">
        <v>3</v>
      </c>
      <c r="E127" s="16" t="s">
        <v>478</v>
      </c>
      <c r="F127" s="80" t="s">
        <v>562</v>
      </c>
      <c r="G127" s="18">
        <v>1449711</v>
      </c>
      <c r="H127" s="57" t="s">
        <v>61</v>
      </c>
      <c r="I127" s="16" t="s">
        <v>489</v>
      </c>
      <c r="J127" s="57" t="s">
        <v>61</v>
      </c>
      <c r="K127" s="16" t="s">
        <v>161</v>
      </c>
      <c r="L127" s="16" t="s">
        <v>498</v>
      </c>
      <c r="M127" s="16" t="s">
        <v>549</v>
      </c>
      <c r="N127" s="16" t="s">
        <v>502</v>
      </c>
      <c r="O127" s="18" t="s">
        <v>61</v>
      </c>
      <c r="P127" s="18" t="s">
        <v>495</v>
      </c>
      <c r="Q127" s="19"/>
      <c r="R127" s="57" t="s">
        <v>61</v>
      </c>
      <c r="S127" s="16" t="s">
        <v>157</v>
      </c>
      <c r="T127" s="16"/>
      <c r="U127" s="16"/>
      <c r="V127" s="16">
        <v>124</v>
      </c>
      <c r="W127" s="16">
        <f t="shared" si="23"/>
        <v>124</v>
      </c>
      <c r="X127" s="16">
        <f t="shared" si="24"/>
        <v>124</v>
      </c>
      <c r="Y127" s="16">
        <f>ROUNDDOWN(W127/HLOOKUP(D127,Table!$C$3:$D$4,2,0)*8,2)</f>
        <v>2.2000000000000002</v>
      </c>
      <c r="Z127" s="16">
        <v>1</v>
      </c>
      <c r="AA127" s="16" t="s">
        <v>74</v>
      </c>
      <c r="AB127" s="20">
        <v>43959</v>
      </c>
      <c r="AC127" s="20">
        <v>43957</v>
      </c>
      <c r="AD127" s="20">
        <v>43959</v>
      </c>
      <c r="AE127" s="20">
        <v>43958</v>
      </c>
      <c r="AF127" s="20">
        <v>43958</v>
      </c>
      <c r="AG127" s="20" t="s">
        <v>335</v>
      </c>
      <c r="AH127" s="32">
        <v>1</v>
      </c>
      <c r="AI127" s="32">
        <v>1</v>
      </c>
      <c r="AJ127" s="32">
        <v>1</v>
      </c>
      <c r="AK127" s="20" t="s">
        <v>165</v>
      </c>
      <c r="AL127" s="16" t="s">
        <v>61</v>
      </c>
      <c r="AM127" s="16" t="s">
        <v>61</v>
      </c>
      <c r="AN127" s="16" t="s">
        <v>61</v>
      </c>
    </row>
    <row r="128" spans="2:40" x14ac:dyDescent="0.25">
      <c r="B128" s="107">
        <f t="shared" si="22"/>
        <v>81</v>
      </c>
      <c r="C128" s="17">
        <v>20200506</v>
      </c>
      <c r="D128" s="16" t="s">
        <v>3</v>
      </c>
      <c r="E128" s="16" t="s">
        <v>478</v>
      </c>
      <c r="F128" s="80" t="s">
        <v>563</v>
      </c>
      <c r="G128" s="18">
        <v>1449711</v>
      </c>
      <c r="H128" s="57" t="s">
        <v>61</v>
      </c>
      <c r="I128" s="16" t="s">
        <v>490</v>
      </c>
      <c r="J128" s="57" t="s">
        <v>61</v>
      </c>
      <c r="K128" s="16" t="s">
        <v>161</v>
      </c>
      <c r="L128" s="16" t="s">
        <v>498</v>
      </c>
      <c r="M128" s="16" t="s">
        <v>549</v>
      </c>
      <c r="N128" s="16" t="s">
        <v>502</v>
      </c>
      <c r="O128" s="18" t="s">
        <v>61</v>
      </c>
      <c r="P128" s="18" t="s">
        <v>495</v>
      </c>
      <c r="Q128" s="19"/>
      <c r="R128" s="57" t="s">
        <v>61</v>
      </c>
      <c r="S128" s="16" t="s">
        <v>6</v>
      </c>
      <c r="T128" s="16"/>
      <c r="U128" s="16"/>
      <c r="V128" s="16">
        <v>143</v>
      </c>
      <c r="W128" s="16">
        <f t="shared" si="23"/>
        <v>143</v>
      </c>
      <c r="X128" s="16">
        <f t="shared" si="24"/>
        <v>143</v>
      </c>
      <c r="Y128" s="16">
        <f>ROUNDDOWN(W128/HLOOKUP(D128,Table!$C$3:$D$4,2,0)*8,2)</f>
        <v>2.54</v>
      </c>
      <c r="Z128" s="16">
        <v>1</v>
      </c>
      <c r="AA128" s="16" t="s">
        <v>74</v>
      </c>
      <c r="AB128" s="20">
        <v>43959</v>
      </c>
      <c r="AC128" s="20">
        <v>43957</v>
      </c>
      <c r="AD128" s="20">
        <v>43959</v>
      </c>
      <c r="AE128" s="20">
        <v>43958</v>
      </c>
      <c r="AF128" s="20">
        <v>43958</v>
      </c>
      <c r="AG128" s="20" t="s">
        <v>335</v>
      </c>
      <c r="AH128" s="32">
        <v>1</v>
      </c>
      <c r="AI128" s="32">
        <v>1</v>
      </c>
      <c r="AJ128" s="32">
        <v>1</v>
      </c>
      <c r="AK128" s="20" t="s">
        <v>165</v>
      </c>
      <c r="AL128" s="16" t="s">
        <v>61</v>
      </c>
      <c r="AM128" s="16" t="s">
        <v>61</v>
      </c>
      <c r="AN128" s="16" t="s">
        <v>61</v>
      </c>
    </row>
    <row r="129" spans="2:40" x14ac:dyDescent="0.25">
      <c r="B129" s="107">
        <f t="shared" si="22"/>
        <v>82</v>
      </c>
      <c r="C129" s="17">
        <v>20200506</v>
      </c>
      <c r="D129" s="16" t="s">
        <v>3</v>
      </c>
      <c r="E129" s="16" t="s">
        <v>478</v>
      </c>
      <c r="F129" s="80" t="s">
        <v>564</v>
      </c>
      <c r="G129" s="18">
        <v>1449711</v>
      </c>
      <c r="H129" s="57" t="s">
        <v>61</v>
      </c>
      <c r="I129" s="16" t="s">
        <v>491</v>
      </c>
      <c r="J129" s="57" t="s">
        <v>61</v>
      </c>
      <c r="K129" s="16" t="s">
        <v>161</v>
      </c>
      <c r="L129" s="16" t="s">
        <v>498</v>
      </c>
      <c r="M129" s="16" t="s">
        <v>549</v>
      </c>
      <c r="N129" s="16" t="s">
        <v>502</v>
      </c>
      <c r="O129" s="18" t="s">
        <v>61</v>
      </c>
      <c r="P129" s="18" t="s">
        <v>495</v>
      </c>
      <c r="Q129" s="19"/>
      <c r="R129" s="57" t="s">
        <v>61</v>
      </c>
      <c r="S129" s="16" t="s">
        <v>6</v>
      </c>
      <c r="T129" s="16"/>
      <c r="U129" s="16"/>
      <c r="V129" s="16">
        <v>263</v>
      </c>
      <c r="W129" s="16">
        <f t="shared" si="23"/>
        <v>263</v>
      </c>
      <c r="X129" s="16">
        <f t="shared" ref="X129:X135" si="25">W129</f>
        <v>263</v>
      </c>
      <c r="Y129" s="16">
        <f>ROUNDDOWN(W129/HLOOKUP(D129,Table!$C$3:$D$4,2,0)*8,2)</f>
        <v>4.67</v>
      </c>
      <c r="Z129" s="16">
        <v>2</v>
      </c>
      <c r="AA129" s="16" t="s">
        <v>74</v>
      </c>
      <c r="AB129" s="20">
        <v>43959</v>
      </c>
      <c r="AC129" s="20">
        <v>43957</v>
      </c>
      <c r="AD129" s="20">
        <v>43959</v>
      </c>
      <c r="AE129" s="20">
        <v>43958</v>
      </c>
      <c r="AF129" s="20">
        <v>43958</v>
      </c>
      <c r="AG129" s="20" t="s">
        <v>335</v>
      </c>
      <c r="AH129" s="32">
        <v>1</v>
      </c>
      <c r="AI129" s="32">
        <v>1</v>
      </c>
      <c r="AJ129" s="32">
        <v>1</v>
      </c>
      <c r="AK129" s="20" t="s">
        <v>165</v>
      </c>
      <c r="AL129" s="16" t="s">
        <v>61</v>
      </c>
      <c r="AM129" s="16" t="s">
        <v>61</v>
      </c>
      <c r="AN129" s="16" t="s">
        <v>61</v>
      </c>
    </row>
    <row r="130" spans="2:40" x14ac:dyDescent="0.25">
      <c r="B130" s="45">
        <f t="shared" si="22"/>
        <v>83</v>
      </c>
      <c r="C130" s="17">
        <v>20200506</v>
      </c>
      <c r="D130" s="16" t="s">
        <v>3</v>
      </c>
      <c r="E130" s="16" t="s">
        <v>321</v>
      </c>
      <c r="F130" s="80" t="s">
        <v>955</v>
      </c>
      <c r="G130" s="18">
        <v>1433783</v>
      </c>
      <c r="H130" s="57" t="s">
        <v>61</v>
      </c>
      <c r="I130" s="16" t="s">
        <v>531</v>
      </c>
      <c r="J130" s="57" t="s">
        <v>61</v>
      </c>
      <c r="K130" s="16" t="s">
        <v>161</v>
      </c>
      <c r="L130" s="16" t="s">
        <v>165</v>
      </c>
      <c r="M130" s="16" t="s">
        <v>170</v>
      </c>
      <c r="N130" s="16" t="s">
        <v>175</v>
      </c>
      <c r="O130" s="18" t="s">
        <v>61</v>
      </c>
      <c r="P130" s="18" t="s">
        <v>344</v>
      </c>
      <c r="Q130" s="19"/>
      <c r="R130" s="57" t="s">
        <v>61</v>
      </c>
      <c r="S130" s="16" t="s">
        <v>67</v>
      </c>
      <c r="T130" s="16"/>
      <c r="U130" s="16"/>
      <c r="V130" s="16">
        <v>1009</v>
      </c>
      <c r="W130" s="16">
        <f>V130</f>
        <v>1009</v>
      </c>
      <c r="X130" s="16">
        <f t="shared" si="25"/>
        <v>1009</v>
      </c>
      <c r="Y130" s="16">
        <f>ROUNDDOWN(W130/HLOOKUP(D130,Table!$C$3:$D$4,2,0)*8,2)</f>
        <v>17.93</v>
      </c>
      <c r="Z130" s="16">
        <v>16</v>
      </c>
      <c r="AA130" s="16" t="s">
        <v>74</v>
      </c>
      <c r="AB130" s="20">
        <v>43958</v>
      </c>
      <c r="AC130" s="20">
        <v>43957</v>
      </c>
      <c r="AD130" s="20">
        <v>43958</v>
      </c>
      <c r="AE130" s="20">
        <v>43958</v>
      </c>
      <c r="AF130" s="20">
        <v>43958</v>
      </c>
      <c r="AG130" s="20" t="s">
        <v>336</v>
      </c>
      <c r="AH130" s="32">
        <v>0.99</v>
      </c>
      <c r="AI130" s="32">
        <v>0.98</v>
      </c>
      <c r="AJ130" s="32">
        <v>1</v>
      </c>
      <c r="AK130" s="20" t="s">
        <v>149</v>
      </c>
      <c r="AL130" s="18" t="s">
        <v>595</v>
      </c>
      <c r="AM130" s="16" t="s">
        <v>61</v>
      </c>
      <c r="AN130" s="18" t="s">
        <v>448</v>
      </c>
    </row>
    <row r="131" spans="2:40" x14ac:dyDescent="0.25">
      <c r="B131" s="45">
        <f t="shared" si="22"/>
        <v>84</v>
      </c>
      <c r="C131" s="17">
        <v>20200506</v>
      </c>
      <c r="D131" s="16" t="s">
        <v>3</v>
      </c>
      <c r="E131" s="16" t="s">
        <v>530</v>
      </c>
      <c r="F131" s="80" t="s">
        <v>956</v>
      </c>
      <c r="G131" s="18">
        <v>1445651</v>
      </c>
      <c r="H131" s="57" t="s">
        <v>61</v>
      </c>
      <c r="I131" s="16" t="s">
        <v>532</v>
      </c>
      <c r="J131" s="57" t="s">
        <v>61</v>
      </c>
      <c r="K131" s="16" t="s">
        <v>161</v>
      </c>
      <c r="L131" s="16" t="s">
        <v>165</v>
      </c>
      <c r="M131" s="16" t="s">
        <v>341</v>
      </c>
      <c r="N131" s="16" t="s">
        <v>175</v>
      </c>
      <c r="O131" s="18" t="s">
        <v>61</v>
      </c>
      <c r="P131" s="18" t="s">
        <v>344</v>
      </c>
      <c r="Q131" s="19"/>
      <c r="R131" s="57" t="s">
        <v>61</v>
      </c>
      <c r="S131" s="16" t="s">
        <v>69</v>
      </c>
      <c r="T131" s="16"/>
      <c r="U131" s="16"/>
      <c r="V131" s="16">
        <v>290</v>
      </c>
      <c r="W131" s="16">
        <f t="shared" ref="W131:W142" si="26">V131</f>
        <v>290</v>
      </c>
      <c r="X131" s="16">
        <f t="shared" si="25"/>
        <v>290</v>
      </c>
      <c r="Y131" s="16">
        <f>ROUNDDOWN(W131/HLOOKUP(D131,Table!$C$3:$D$4,2,0)*8,2)</f>
        <v>5.15</v>
      </c>
      <c r="Z131" s="16">
        <v>3</v>
      </c>
      <c r="AA131" s="16" t="s">
        <v>74</v>
      </c>
      <c r="AB131" s="20">
        <v>43958</v>
      </c>
      <c r="AC131" s="20">
        <v>43957</v>
      </c>
      <c r="AD131" s="20">
        <v>43958</v>
      </c>
      <c r="AE131" s="20">
        <v>43958</v>
      </c>
      <c r="AF131" s="20">
        <v>43958</v>
      </c>
      <c r="AG131" s="20" t="s">
        <v>335</v>
      </c>
      <c r="AH131" s="32">
        <v>1</v>
      </c>
      <c r="AI131" s="32">
        <v>1</v>
      </c>
      <c r="AJ131" s="32">
        <v>1</v>
      </c>
      <c r="AK131" s="20" t="s">
        <v>165</v>
      </c>
      <c r="AL131" s="16" t="s">
        <v>61</v>
      </c>
      <c r="AM131" s="16" t="s">
        <v>61</v>
      </c>
      <c r="AN131" s="16" t="s">
        <v>61</v>
      </c>
    </row>
    <row r="132" spans="2:40" x14ac:dyDescent="0.25">
      <c r="B132" s="45">
        <f t="shared" si="22"/>
        <v>85</v>
      </c>
      <c r="C132" s="17">
        <v>20200506</v>
      </c>
      <c r="D132" s="16" t="s">
        <v>3</v>
      </c>
      <c r="E132" s="16" t="s">
        <v>530</v>
      </c>
      <c r="F132" s="80" t="s">
        <v>955</v>
      </c>
      <c r="G132" s="18">
        <v>1445651</v>
      </c>
      <c r="H132" s="57" t="s">
        <v>61</v>
      </c>
      <c r="I132" s="16" t="s">
        <v>533</v>
      </c>
      <c r="J132" s="57" t="s">
        <v>61</v>
      </c>
      <c r="K132" s="16" t="s">
        <v>161</v>
      </c>
      <c r="L132" s="16" t="s">
        <v>165</v>
      </c>
      <c r="M132" s="16" t="s">
        <v>341</v>
      </c>
      <c r="N132" s="16" t="s">
        <v>175</v>
      </c>
      <c r="O132" s="18" t="s">
        <v>61</v>
      </c>
      <c r="P132" s="18" t="s">
        <v>344</v>
      </c>
      <c r="Q132" s="19"/>
      <c r="R132" s="57" t="s">
        <v>61</v>
      </c>
      <c r="S132" s="16" t="s">
        <v>70</v>
      </c>
      <c r="T132" s="16"/>
      <c r="U132" s="16"/>
      <c r="V132" s="16">
        <v>456</v>
      </c>
      <c r="W132" s="16">
        <f t="shared" si="26"/>
        <v>456</v>
      </c>
      <c r="X132" s="16">
        <f t="shared" si="25"/>
        <v>456</v>
      </c>
      <c r="Y132" s="16">
        <f>ROUNDDOWN(W132/HLOOKUP(D132,Table!$C$3:$D$4,2,0)*8,2)</f>
        <v>8.1</v>
      </c>
      <c r="Z132" s="16">
        <v>4</v>
      </c>
      <c r="AA132" s="16" t="s">
        <v>74</v>
      </c>
      <c r="AB132" s="20">
        <v>43958</v>
      </c>
      <c r="AC132" s="20">
        <v>43957</v>
      </c>
      <c r="AD132" s="20">
        <v>43958</v>
      </c>
      <c r="AE132" s="20">
        <v>43958</v>
      </c>
      <c r="AF132" s="20">
        <v>43958</v>
      </c>
      <c r="AG132" s="20" t="s">
        <v>336</v>
      </c>
      <c r="AH132" s="32">
        <v>0.97</v>
      </c>
      <c r="AI132" s="32">
        <v>0.95</v>
      </c>
      <c r="AJ132" s="32">
        <v>1</v>
      </c>
      <c r="AK132" s="20" t="s">
        <v>149</v>
      </c>
      <c r="AL132" s="18" t="s">
        <v>569</v>
      </c>
      <c r="AM132" s="16" t="s">
        <v>61</v>
      </c>
      <c r="AN132" s="18" t="s">
        <v>448</v>
      </c>
    </row>
    <row r="133" spans="2:40" x14ac:dyDescent="0.25">
      <c r="B133" s="45">
        <f t="shared" si="22"/>
        <v>86</v>
      </c>
      <c r="C133" s="17">
        <v>20200506</v>
      </c>
      <c r="D133" s="16" t="s">
        <v>3</v>
      </c>
      <c r="E133" s="92" t="s">
        <v>567</v>
      </c>
      <c r="F133" s="80" t="s">
        <v>596</v>
      </c>
      <c r="G133" s="92">
        <v>1455113</v>
      </c>
      <c r="H133" s="57" t="s">
        <v>61</v>
      </c>
      <c r="I133" s="92" t="s">
        <v>533</v>
      </c>
      <c r="J133" s="57"/>
      <c r="K133" s="16" t="s">
        <v>161</v>
      </c>
      <c r="L133" s="92" t="s">
        <v>568</v>
      </c>
      <c r="M133" s="16" t="s">
        <v>170</v>
      </c>
      <c r="N133" s="16" t="s">
        <v>175</v>
      </c>
      <c r="O133" s="18" t="s">
        <v>61</v>
      </c>
      <c r="P133" s="18" t="s">
        <v>344</v>
      </c>
      <c r="Q133" s="19"/>
      <c r="R133" s="57" t="s">
        <v>61</v>
      </c>
      <c r="S133" s="16" t="s">
        <v>70</v>
      </c>
      <c r="T133" s="16"/>
      <c r="U133" s="16"/>
      <c r="V133" s="16">
        <v>456</v>
      </c>
      <c r="W133" s="16">
        <f>V133</f>
        <v>456</v>
      </c>
      <c r="X133" s="16">
        <f t="shared" si="25"/>
        <v>456</v>
      </c>
      <c r="Y133" s="16">
        <f>ROUNDDOWN(W133/HLOOKUP(D133,Table!$C$3:$D$4,2,0)*8,2)</f>
        <v>8.1</v>
      </c>
      <c r="Z133" s="16">
        <v>0.5</v>
      </c>
      <c r="AA133" s="16" t="s">
        <v>74</v>
      </c>
      <c r="AB133" s="20">
        <v>43958</v>
      </c>
      <c r="AC133" s="20">
        <v>43957</v>
      </c>
      <c r="AD133" s="20">
        <v>43958</v>
      </c>
      <c r="AE133" s="20">
        <v>43958</v>
      </c>
      <c r="AF133" s="20">
        <v>43958</v>
      </c>
      <c r="AG133" s="20" t="s">
        <v>336</v>
      </c>
      <c r="AH133" s="32">
        <v>0.97</v>
      </c>
      <c r="AI133" s="32">
        <v>0.95</v>
      </c>
      <c r="AJ133" s="32">
        <v>1</v>
      </c>
      <c r="AK133" s="20" t="s">
        <v>149</v>
      </c>
      <c r="AL133" s="18" t="s">
        <v>569</v>
      </c>
      <c r="AM133" s="16" t="s">
        <v>61</v>
      </c>
      <c r="AN133" s="18" t="s">
        <v>448</v>
      </c>
    </row>
    <row r="134" spans="2:40" x14ac:dyDescent="0.25">
      <c r="B134" s="45">
        <f t="shared" si="22"/>
        <v>87</v>
      </c>
      <c r="C134" s="17">
        <v>20200506</v>
      </c>
      <c r="D134" s="16" t="s">
        <v>3</v>
      </c>
      <c r="E134" s="16" t="s">
        <v>339</v>
      </c>
      <c r="F134" s="80" t="s">
        <v>957</v>
      </c>
      <c r="G134" s="18">
        <v>1405044</v>
      </c>
      <c r="H134" s="57" t="s">
        <v>61</v>
      </c>
      <c r="I134" s="16" t="s">
        <v>533</v>
      </c>
      <c r="J134" s="57" t="s">
        <v>61</v>
      </c>
      <c r="K134" s="16" t="s">
        <v>161</v>
      </c>
      <c r="L134" s="16" t="s">
        <v>540</v>
      </c>
      <c r="M134" s="16" t="s">
        <v>341</v>
      </c>
      <c r="N134" s="16" t="s">
        <v>348</v>
      </c>
      <c r="O134" s="18" t="s">
        <v>61</v>
      </c>
      <c r="P134" s="18" t="s">
        <v>550</v>
      </c>
      <c r="Q134" s="19"/>
      <c r="R134" s="57" t="s">
        <v>61</v>
      </c>
      <c r="S134" s="16" t="s">
        <v>70</v>
      </c>
      <c r="T134" s="16"/>
      <c r="U134" s="16"/>
      <c r="V134" s="16">
        <v>456</v>
      </c>
      <c r="W134" s="16">
        <f t="shared" si="26"/>
        <v>456</v>
      </c>
      <c r="X134" s="16">
        <f t="shared" si="25"/>
        <v>456</v>
      </c>
      <c r="Y134" s="16">
        <f>ROUNDDOWN(W134/HLOOKUP(D134,Table!$C$3:$D$4,2,0)*8,2)</f>
        <v>8.1</v>
      </c>
      <c r="Z134" s="16">
        <v>0.5</v>
      </c>
      <c r="AA134" s="16" t="s">
        <v>74</v>
      </c>
      <c r="AB134" s="20">
        <v>43962</v>
      </c>
      <c r="AC134" s="20">
        <v>43957</v>
      </c>
      <c r="AD134" s="20">
        <v>43964</v>
      </c>
      <c r="AE134" s="20">
        <v>43958</v>
      </c>
      <c r="AF134" s="20">
        <v>43958</v>
      </c>
      <c r="AG134" s="20" t="s">
        <v>335</v>
      </c>
      <c r="AH134" s="32">
        <v>1</v>
      </c>
      <c r="AI134" s="32">
        <v>1</v>
      </c>
      <c r="AJ134" s="32">
        <v>1</v>
      </c>
      <c r="AK134" s="20" t="s">
        <v>165</v>
      </c>
      <c r="AL134" s="18" t="s">
        <v>61</v>
      </c>
      <c r="AM134" s="16" t="s">
        <v>61</v>
      </c>
      <c r="AN134" s="16" t="s">
        <v>61</v>
      </c>
    </row>
    <row r="135" spans="2:40" x14ac:dyDescent="0.25">
      <c r="B135" s="45">
        <f t="shared" si="22"/>
        <v>88</v>
      </c>
      <c r="C135" s="17">
        <v>20200506</v>
      </c>
      <c r="D135" s="16" t="s">
        <v>3</v>
      </c>
      <c r="E135" s="16" t="s">
        <v>339</v>
      </c>
      <c r="F135" s="80" t="s">
        <v>957</v>
      </c>
      <c r="G135" s="18">
        <v>1405044</v>
      </c>
      <c r="H135" s="57" t="s">
        <v>61</v>
      </c>
      <c r="I135" s="16" t="s">
        <v>534</v>
      </c>
      <c r="J135" s="57" t="s">
        <v>61</v>
      </c>
      <c r="K135" s="16" t="s">
        <v>161</v>
      </c>
      <c r="L135" s="16" t="s">
        <v>541</v>
      </c>
      <c r="M135" s="16" t="s">
        <v>341</v>
      </c>
      <c r="N135" s="16" t="s">
        <v>348</v>
      </c>
      <c r="O135" s="18" t="s">
        <v>61</v>
      </c>
      <c r="P135" s="18" t="s">
        <v>550</v>
      </c>
      <c r="Q135" s="19"/>
      <c r="R135" s="57" t="s">
        <v>61</v>
      </c>
      <c r="S135" s="16" t="s">
        <v>69</v>
      </c>
      <c r="T135" s="16"/>
      <c r="U135" s="16"/>
      <c r="V135" s="16">
        <v>91</v>
      </c>
      <c r="W135" s="16">
        <f t="shared" si="26"/>
        <v>91</v>
      </c>
      <c r="X135" s="16">
        <f t="shared" si="25"/>
        <v>91</v>
      </c>
      <c r="Y135" s="16">
        <f>ROUNDDOWN(W135/HLOOKUP(D135,Table!$C$3:$D$4,2,0)*8,2)</f>
        <v>1.61</v>
      </c>
      <c r="Z135" s="16">
        <v>1</v>
      </c>
      <c r="AA135" s="16" t="s">
        <v>74</v>
      </c>
      <c r="AB135" s="20">
        <v>43962</v>
      </c>
      <c r="AC135" s="20">
        <v>43957</v>
      </c>
      <c r="AD135" s="20">
        <v>43964</v>
      </c>
      <c r="AE135" s="20">
        <v>43958</v>
      </c>
      <c r="AF135" s="20">
        <v>43958</v>
      </c>
      <c r="AG135" s="20" t="s">
        <v>335</v>
      </c>
      <c r="AH135" s="32">
        <v>1</v>
      </c>
      <c r="AI135" s="32">
        <v>1</v>
      </c>
      <c r="AJ135" s="32">
        <v>1</v>
      </c>
      <c r="AK135" s="20" t="s">
        <v>165</v>
      </c>
      <c r="AL135" s="16" t="s">
        <v>61</v>
      </c>
      <c r="AM135" s="16" t="s">
        <v>61</v>
      </c>
      <c r="AN135" s="16" t="s">
        <v>61</v>
      </c>
    </row>
    <row r="136" spans="2:40" x14ac:dyDescent="0.25">
      <c r="B136" s="45">
        <f t="shared" si="22"/>
        <v>89</v>
      </c>
      <c r="C136" s="17">
        <v>20200506</v>
      </c>
      <c r="D136" s="16" t="s">
        <v>3</v>
      </c>
      <c r="E136" s="16" t="s">
        <v>339</v>
      </c>
      <c r="F136" s="80" t="s">
        <v>957</v>
      </c>
      <c r="G136" s="18">
        <v>1405044</v>
      </c>
      <c r="H136" s="57" t="s">
        <v>61</v>
      </c>
      <c r="I136" s="16" t="s">
        <v>535</v>
      </c>
      <c r="J136" s="57" t="s">
        <v>61</v>
      </c>
      <c r="K136" s="16" t="s">
        <v>161</v>
      </c>
      <c r="L136" s="16" t="s">
        <v>542</v>
      </c>
      <c r="M136" s="16" t="s">
        <v>341</v>
      </c>
      <c r="N136" s="16" t="s">
        <v>348</v>
      </c>
      <c r="O136" s="18" t="s">
        <v>61</v>
      </c>
      <c r="P136" s="18" t="s">
        <v>550</v>
      </c>
      <c r="Q136" s="19"/>
      <c r="R136" s="57" t="s">
        <v>61</v>
      </c>
      <c r="S136" s="16" t="s">
        <v>69</v>
      </c>
      <c r="T136" s="16"/>
      <c r="U136" s="16"/>
      <c r="V136" s="16">
        <v>576</v>
      </c>
      <c r="W136" s="16">
        <f t="shared" si="26"/>
        <v>576</v>
      </c>
      <c r="X136" s="16">
        <f>W136</f>
        <v>576</v>
      </c>
      <c r="Y136" s="16">
        <f>ROUNDDOWN(W136/HLOOKUP(D136,Table!$C$3:$D$4,2,0)*8,2)</f>
        <v>10.24</v>
      </c>
      <c r="Z136" s="16">
        <v>8</v>
      </c>
      <c r="AA136" s="16" t="s">
        <v>74</v>
      </c>
      <c r="AB136" s="20">
        <v>43962</v>
      </c>
      <c r="AC136" s="20">
        <v>43957</v>
      </c>
      <c r="AD136" s="20">
        <v>43964</v>
      </c>
      <c r="AE136" s="20">
        <v>43959</v>
      </c>
      <c r="AF136" s="20">
        <v>43959</v>
      </c>
      <c r="AG136" s="20" t="s">
        <v>335</v>
      </c>
      <c r="AH136" s="32">
        <v>1</v>
      </c>
      <c r="AI136" s="32">
        <v>1</v>
      </c>
      <c r="AJ136" s="32">
        <v>1</v>
      </c>
      <c r="AK136" s="20" t="s">
        <v>165</v>
      </c>
      <c r="AL136" s="16" t="s">
        <v>61</v>
      </c>
      <c r="AM136" s="16" t="s">
        <v>61</v>
      </c>
      <c r="AN136" s="16" t="s">
        <v>61</v>
      </c>
    </row>
    <row r="137" spans="2:40" x14ac:dyDescent="0.25">
      <c r="B137" s="45">
        <f t="shared" si="22"/>
        <v>90</v>
      </c>
      <c r="C137" s="17">
        <v>20200506</v>
      </c>
      <c r="D137" s="16" t="s">
        <v>3</v>
      </c>
      <c r="E137" s="16" t="s">
        <v>339</v>
      </c>
      <c r="F137" s="80" t="s">
        <v>957</v>
      </c>
      <c r="G137" s="18">
        <v>1405044</v>
      </c>
      <c r="H137" s="57" t="s">
        <v>61</v>
      </c>
      <c r="I137" s="16" t="s">
        <v>531</v>
      </c>
      <c r="J137" s="57" t="s">
        <v>61</v>
      </c>
      <c r="K137" s="16" t="s">
        <v>161</v>
      </c>
      <c r="L137" s="16" t="s">
        <v>543</v>
      </c>
      <c r="M137" s="16" t="s">
        <v>341</v>
      </c>
      <c r="N137" s="16" t="s">
        <v>348</v>
      </c>
      <c r="O137" s="18" t="s">
        <v>61</v>
      </c>
      <c r="P137" s="18" t="s">
        <v>550</v>
      </c>
      <c r="Q137" s="19"/>
      <c r="R137" s="57" t="s">
        <v>61</v>
      </c>
      <c r="S137" s="16" t="s">
        <v>67</v>
      </c>
      <c r="T137" s="16"/>
      <c r="U137" s="16"/>
      <c r="V137" s="16">
        <v>1009</v>
      </c>
      <c r="W137" s="16">
        <f t="shared" si="26"/>
        <v>1009</v>
      </c>
      <c r="X137" s="16">
        <f>W137</f>
        <v>1009</v>
      </c>
      <c r="Y137" s="16">
        <f>ROUNDDOWN(W137/HLOOKUP(D137,Table!$C$3:$D$4,2,0)*8,2)</f>
        <v>17.93</v>
      </c>
      <c r="Z137" s="16">
        <v>8</v>
      </c>
      <c r="AA137" s="16" t="s">
        <v>74</v>
      </c>
      <c r="AB137" s="20">
        <v>43962</v>
      </c>
      <c r="AC137" s="20">
        <v>43957</v>
      </c>
      <c r="AD137" s="20">
        <v>43964</v>
      </c>
      <c r="AE137" s="20">
        <v>43959</v>
      </c>
      <c r="AF137" s="20">
        <v>43959</v>
      </c>
      <c r="AG137" s="20" t="s">
        <v>335</v>
      </c>
      <c r="AH137" s="32">
        <v>1</v>
      </c>
      <c r="AI137" s="32">
        <v>1</v>
      </c>
      <c r="AJ137" s="32">
        <v>1</v>
      </c>
      <c r="AK137" s="20" t="s">
        <v>165</v>
      </c>
      <c r="AL137" s="16" t="s">
        <v>61</v>
      </c>
      <c r="AM137" s="16" t="s">
        <v>61</v>
      </c>
      <c r="AN137" s="16" t="s">
        <v>61</v>
      </c>
    </row>
    <row r="138" spans="2:40" x14ac:dyDescent="0.25">
      <c r="B138" s="45">
        <f t="shared" si="22"/>
        <v>91</v>
      </c>
      <c r="C138" s="17">
        <v>20200506</v>
      </c>
      <c r="D138" s="16" t="s">
        <v>3</v>
      </c>
      <c r="E138" s="16" t="s">
        <v>339</v>
      </c>
      <c r="F138" s="80" t="s">
        <v>958</v>
      </c>
      <c r="G138" s="18">
        <v>1405044</v>
      </c>
      <c r="H138" s="57" t="s">
        <v>61</v>
      </c>
      <c r="I138" s="16" t="s">
        <v>532</v>
      </c>
      <c r="J138" s="57" t="s">
        <v>61</v>
      </c>
      <c r="K138" s="16" t="s">
        <v>161</v>
      </c>
      <c r="L138" s="16" t="s">
        <v>544</v>
      </c>
      <c r="M138" s="16" t="s">
        <v>341</v>
      </c>
      <c r="N138" s="16" t="s">
        <v>348</v>
      </c>
      <c r="O138" s="18" t="s">
        <v>61</v>
      </c>
      <c r="P138" s="18" t="s">
        <v>550</v>
      </c>
      <c r="Q138" s="19"/>
      <c r="R138" s="57" t="s">
        <v>61</v>
      </c>
      <c r="S138" s="16" t="s">
        <v>69</v>
      </c>
      <c r="T138" s="16"/>
      <c r="U138" s="16"/>
      <c r="V138" s="16">
        <v>290</v>
      </c>
      <c r="W138" s="16">
        <f t="shared" si="26"/>
        <v>290</v>
      </c>
      <c r="X138" s="16">
        <f t="shared" ref="X138:X147" si="27">W138</f>
        <v>290</v>
      </c>
      <c r="Y138" s="16">
        <f>ROUNDDOWN(W138/HLOOKUP(D138,Table!$C$3:$D$4,2,0)*8,2)</f>
        <v>5.15</v>
      </c>
      <c r="Z138" s="16">
        <v>1</v>
      </c>
      <c r="AA138" s="16" t="s">
        <v>74</v>
      </c>
      <c r="AB138" s="20">
        <v>43962</v>
      </c>
      <c r="AC138" s="20">
        <v>43957</v>
      </c>
      <c r="AD138" s="20">
        <v>43964</v>
      </c>
      <c r="AE138" s="20">
        <v>43958</v>
      </c>
      <c r="AF138" s="20">
        <v>43958</v>
      </c>
      <c r="AG138" s="20" t="s">
        <v>335</v>
      </c>
      <c r="AH138" s="32">
        <v>1</v>
      </c>
      <c r="AI138" s="32">
        <v>1</v>
      </c>
      <c r="AJ138" s="32">
        <v>1</v>
      </c>
      <c r="AK138" s="20" t="s">
        <v>165</v>
      </c>
      <c r="AL138" s="16" t="s">
        <v>61</v>
      </c>
      <c r="AM138" s="16" t="s">
        <v>61</v>
      </c>
      <c r="AN138" s="16" t="s">
        <v>61</v>
      </c>
    </row>
    <row r="139" spans="2:40" x14ac:dyDescent="0.25">
      <c r="B139" s="45">
        <f t="shared" si="22"/>
        <v>92</v>
      </c>
      <c r="C139" s="17">
        <v>20200506</v>
      </c>
      <c r="D139" s="16" t="s">
        <v>3</v>
      </c>
      <c r="E139" s="16" t="s">
        <v>339</v>
      </c>
      <c r="F139" s="80" t="s">
        <v>959</v>
      </c>
      <c r="G139" s="18">
        <v>1405044</v>
      </c>
      <c r="H139" s="57" t="s">
        <v>61</v>
      </c>
      <c r="I139" s="16" t="s">
        <v>536</v>
      </c>
      <c r="J139" s="57" t="s">
        <v>61</v>
      </c>
      <c r="K139" s="16" t="s">
        <v>161</v>
      </c>
      <c r="L139" s="16" t="s">
        <v>545</v>
      </c>
      <c r="M139" s="16" t="s">
        <v>341</v>
      </c>
      <c r="N139" s="16" t="s">
        <v>348</v>
      </c>
      <c r="O139" s="18" t="s">
        <v>61</v>
      </c>
      <c r="P139" s="18" t="s">
        <v>550</v>
      </c>
      <c r="Q139" s="19"/>
      <c r="R139" s="57" t="s">
        <v>61</v>
      </c>
      <c r="S139" s="16" t="s">
        <v>69</v>
      </c>
      <c r="T139" s="16"/>
      <c r="U139" s="16"/>
      <c r="V139" s="16">
        <v>236</v>
      </c>
      <c r="W139" s="16">
        <f t="shared" si="26"/>
        <v>236</v>
      </c>
      <c r="X139" s="16">
        <f t="shared" si="27"/>
        <v>236</v>
      </c>
      <c r="Y139" s="16">
        <f>ROUNDDOWN(W139/HLOOKUP(D139,Table!$C$3:$D$4,2,0)*8,2)</f>
        <v>4.1900000000000004</v>
      </c>
      <c r="Z139" s="16">
        <v>2</v>
      </c>
      <c r="AA139" s="16" t="s">
        <v>74</v>
      </c>
      <c r="AB139" s="20">
        <v>43962</v>
      </c>
      <c r="AC139" s="20">
        <v>43957</v>
      </c>
      <c r="AD139" s="20">
        <v>43964</v>
      </c>
      <c r="AE139" s="20">
        <v>43958</v>
      </c>
      <c r="AF139" s="20">
        <v>43958</v>
      </c>
      <c r="AG139" s="20" t="s">
        <v>335</v>
      </c>
      <c r="AH139" s="32">
        <v>1</v>
      </c>
      <c r="AI139" s="32">
        <v>1</v>
      </c>
      <c r="AJ139" s="32">
        <v>1</v>
      </c>
      <c r="AK139" s="20" t="s">
        <v>165</v>
      </c>
      <c r="AL139" s="16" t="s">
        <v>61</v>
      </c>
      <c r="AM139" s="16" t="s">
        <v>61</v>
      </c>
      <c r="AN139" s="16" t="s">
        <v>61</v>
      </c>
    </row>
    <row r="140" spans="2:40" x14ac:dyDescent="0.25">
      <c r="B140" s="45">
        <f t="shared" si="22"/>
        <v>93</v>
      </c>
      <c r="C140" s="17">
        <v>20200506</v>
      </c>
      <c r="D140" s="16" t="s">
        <v>3</v>
      </c>
      <c r="E140" s="16" t="s">
        <v>339</v>
      </c>
      <c r="F140" s="80" t="s">
        <v>960</v>
      </c>
      <c r="G140" s="18">
        <v>1405044</v>
      </c>
      <c r="H140" s="57" t="s">
        <v>61</v>
      </c>
      <c r="I140" s="16" t="s">
        <v>537</v>
      </c>
      <c r="J140" s="57" t="s">
        <v>61</v>
      </c>
      <c r="K140" s="16" t="s">
        <v>161</v>
      </c>
      <c r="L140" s="16" t="s">
        <v>546</v>
      </c>
      <c r="M140" s="16" t="s">
        <v>341</v>
      </c>
      <c r="N140" s="16" t="s">
        <v>348</v>
      </c>
      <c r="O140" s="18" t="s">
        <v>61</v>
      </c>
      <c r="P140" s="18" t="s">
        <v>550</v>
      </c>
      <c r="Q140" s="19"/>
      <c r="R140" s="57" t="s">
        <v>61</v>
      </c>
      <c r="S140" s="16" t="s">
        <v>70</v>
      </c>
      <c r="T140" s="16"/>
      <c r="U140" s="16"/>
      <c r="V140" s="16">
        <v>588</v>
      </c>
      <c r="W140" s="16">
        <f t="shared" si="26"/>
        <v>588</v>
      </c>
      <c r="X140" s="16">
        <f t="shared" si="27"/>
        <v>588</v>
      </c>
      <c r="Y140" s="16">
        <f>ROUNDDOWN(W140/HLOOKUP(D140,Table!$C$3:$D$4,2,0)*8,2)</f>
        <v>10.45</v>
      </c>
      <c r="Z140" s="16">
        <v>1</v>
      </c>
      <c r="AA140" s="16" t="s">
        <v>74</v>
      </c>
      <c r="AB140" s="20">
        <v>43962</v>
      </c>
      <c r="AC140" s="20">
        <v>43957</v>
      </c>
      <c r="AD140" s="20">
        <v>43964</v>
      </c>
      <c r="AE140" s="20">
        <v>43958</v>
      </c>
      <c r="AF140" s="20">
        <v>43958</v>
      </c>
      <c r="AG140" s="20" t="s">
        <v>335</v>
      </c>
      <c r="AH140" s="32">
        <v>1</v>
      </c>
      <c r="AI140" s="32">
        <v>1</v>
      </c>
      <c r="AJ140" s="32">
        <v>1</v>
      </c>
      <c r="AK140" s="20" t="s">
        <v>165</v>
      </c>
      <c r="AL140" s="18" t="s">
        <v>61</v>
      </c>
      <c r="AM140" s="16" t="s">
        <v>61</v>
      </c>
      <c r="AN140" s="16" t="s">
        <v>61</v>
      </c>
    </row>
    <row r="141" spans="2:40" x14ac:dyDescent="0.25">
      <c r="B141" s="45">
        <f t="shared" si="22"/>
        <v>94</v>
      </c>
      <c r="C141" s="17">
        <v>20200506</v>
      </c>
      <c r="D141" s="16" t="s">
        <v>3</v>
      </c>
      <c r="E141" s="16" t="s">
        <v>339</v>
      </c>
      <c r="F141" s="80" t="s">
        <v>960</v>
      </c>
      <c r="G141" s="18">
        <v>1405044</v>
      </c>
      <c r="H141" s="57" t="s">
        <v>61</v>
      </c>
      <c r="I141" s="16" t="s">
        <v>538</v>
      </c>
      <c r="J141" s="57" t="s">
        <v>61</v>
      </c>
      <c r="K141" s="16" t="s">
        <v>161</v>
      </c>
      <c r="L141" s="16" t="s">
        <v>547</v>
      </c>
      <c r="M141" s="16" t="s">
        <v>341</v>
      </c>
      <c r="N141" s="16" t="s">
        <v>348</v>
      </c>
      <c r="O141" s="18" t="s">
        <v>61</v>
      </c>
      <c r="P141" s="18" t="s">
        <v>550</v>
      </c>
      <c r="Q141" s="19"/>
      <c r="R141" s="57" t="s">
        <v>61</v>
      </c>
      <c r="S141" s="16" t="s">
        <v>68</v>
      </c>
      <c r="T141" s="16"/>
      <c r="U141" s="16"/>
      <c r="V141" s="16">
        <v>2042</v>
      </c>
      <c r="W141" s="16">
        <f t="shared" si="26"/>
        <v>2042</v>
      </c>
      <c r="X141" s="16">
        <f t="shared" si="27"/>
        <v>2042</v>
      </c>
      <c r="Y141" s="16">
        <f>ROUNDDOWN(W141/HLOOKUP(D141,Table!$C$3:$D$4,2,0)*8,2)</f>
        <v>36.299999999999997</v>
      </c>
      <c r="Z141" s="16">
        <v>16</v>
      </c>
      <c r="AA141" s="16" t="s">
        <v>74</v>
      </c>
      <c r="AB141" s="20">
        <v>43962</v>
      </c>
      <c r="AC141" s="20">
        <v>43957</v>
      </c>
      <c r="AD141" s="20">
        <v>43964</v>
      </c>
      <c r="AE141" s="20">
        <v>43958</v>
      </c>
      <c r="AF141" s="20">
        <v>43959</v>
      </c>
      <c r="AG141" s="20" t="s">
        <v>335</v>
      </c>
      <c r="AH141" s="32">
        <v>1</v>
      </c>
      <c r="AI141" s="32">
        <v>1</v>
      </c>
      <c r="AJ141" s="32">
        <v>1</v>
      </c>
      <c r="AK141" s="20" t="s">
        <v>165</v>
      </c>
      <c r="AL141" s="18" t="s">
        <v>619</v>
      </c>
      <c r="AM141" s="16" t="s">
        <v>61</v>
      </c>
      <c r="AN141" s="16" t="s">
        <v>61</v>
      </c>
    </row>
    <row r="142" spans="2:40" x14ac:dyDescent="0.25">
      <c r="B142" s="45">
        <f t="shared" si="22"/>
        <v>95</v>
      </c>
      <c r="C142" s="17">
        <v>20200506</v>
      </c>
      <c r="D142" s="16" t="s">
        <v>3</v>
      </c>
      <c r="E142" s="16" t="s">
        <v>339</v>
      </c>
      <c r="F142" s="80" t="s">
        <v>961</v>
      </c>
      <c r="G142" s="18">
        <v>1405044</v>
      </c>
      <c r="H142" s="57" t="s">
        <v>61</v>
      </c>
      <c r="I142" s="16" t="s">
        <v>539</v>
      </c>
      <c r="J142" s="57" t="s">
        <v>61</v>
      </c>
      <c r="K142" s="16" t="s">
        <v>161</v>
      </c>
      <c r="L142" s="16" t="s">
        <v>548</v>
      </c>
      <c r="M142" s="16" t="s">
        <v>341</v>
      </c>
      <c r="N142" s="16" t="s">
        <v>348</v>
      </c>
      <c r="O142" s="18" t="s">
        <v>61</v>
      </c>
      <c r="P142" s="18" t="s">
        <v>550</v>
      </c>
      <c r="Q142" s="19"/>
      <c r="R142" s="57" t="s">
        <v>61</v>
      </c>
      <c r="S142" s="16" t="s">
        <v>69</v>
      </c>
      <c r="T142" s="16"/>
      <c r="U142" s="16"/>
      <c r="V142" s="16">
        <v>103</v>
      </c>
      <c r="W142" s="16">
        <f t="shared" si="26"/>
        <v>103</v>
      </c>
      <c r="X142" s="16">
        <f t="shared" si="27"/>
        <v>103</v>
      </c>
      <c r="Y142" s="16">
        <f>ROUNDDOWN(W142/HLOOKUP(D142,Table!$C$3:$D$4,2,0)*8,2)</f>
        <v>1.83</v>
      </c>
      <c r="Z142" s="16">
        <v>1</v>
      </c>
      <c r="AA142" s="16" t="s">
        <v>74</v>
      </c>
      <c r="AB142" s="20">
        <v>43962</v>
      </c>
      <c r="AC142" s="20">
        <v>43957</v>
      </c>
      <c r="AD142" s="20">
        <v>43964</v>
      </c>
      <c r="AE142" s="20">
        <v>43958</v>
      </c>
      <c r="AF142" s="20">
        <v>43958</v>
      </c>
      <c r="AG142" s="20" t="s">
        <v>335</v>
      </c>
      <c r="AH142" s="32">
        <v>1</v>
      </c>
      <c r="AI142" s="32">
        <v>1</v>
      </c>
      <c r="AJ142" s="32">
        <v>1</v>
      </c>
      <c r="AK142" s="20" t="s">
        <v>165</v>
      </c>
      <c r="AL142" s="16" t="s">
        <v>61</v>
      </c>
      <c r="AM142" s="16" t="s">
        <v>61</v>
      </c>
      <c r="AN142" s="16" t="s">
        <v>61</v>
      </c>
    </row>
    <row r="143" spans="2:40" x14ac:dyDescent="0.25">
      <c r="B143" s="110">
        <f t="shared" si="22"/>
        <v>96</v>
      </c>
      <c r="C143" s="17">
        <v>20200507</v>
      </c>
      <c r="D143" s="16" t="s">
        <v>3</v>
      </c>
      <c r="E143" s="16" t="s">
        <v>573</v>
      </c>
      <c r="F143" s="128" t="s">
        <v>725</v>
      </c>
      <c r="G143" s="18">
        <v>1455207</v>
      </c>
      <c r="H143" s="57" t="s">
        <v>61</v>
      </c>
      <c r="I143" s="16" t="s">
        <v>576</v>
      </c>
      <c r="J143" s="57" t="s">
        <v>61</v>
      </c>
      <c r="K143" s="16" t="s">
        <v>161</v>
      </c>
      <c r="L143" s="16" t="s">
        <v>590</v>
      </c>
      <c r="M143" s="16" t="s">
        <v>574</v>
      </c>
      <c r="N143" s="16" t="s">
        <v>591</v>
      </c>
      <c r="O143" s="18" t="s">
        <v>61</v>
      </c>
      <c r="P143" s="18" t="s">
        <v>586</v>
      </c>
      <c r="Q143" s="19"/>
      <c r="R143" s="57" t="s">
        <v>61</v>
      </c>
      <c r="S143" s="16" t="s">
        <v>157</v>
      </c>
      <c r="T143" s="16"/>
      <c r="U143" s="16"/>
      <c r="V143" s="16">
        <v>20</v>
      </c>
      <c r="W143" s="16">
        <f t="shared" ref="W143:W152" si="28">V143</f>
        <v>20</v>
      </c>
      <c r="X143" s="16">
        <f t="shared" si="27"/>
        <v>20</v>
      </c>
      <c r="Y143" s="16">
        <f>ROUNDDOWN(W143/HLOOKUP(D143,Table!$C$3:$D$4,2,0)*8,2)</f>
        <v>0.35</v>
      </c>
      <c r="Z143" s="16">
        <v>0.12</v>
      </c>
      <c r="AA143" s="16" t="s">
        <v>74</v>
      </c>
      <c r="AB143" s="20">
        <v>43963</v>
      </c>
      <c r="AC143" s="20">
        <v>43958</v>
      </c>
      <c r="AD143" s="20">
        <v>43963</v>
      </c>
      <c r="AE143" s="20">
        <v>43959</v>
      </c>
      <c r="AF143" s="20">
        <v>43959</v>
      </c>
      <c r="AG143" s="20" t="s">
        <v>335</v>
      </c>
      <c r="AH143" s="32">
        <v>1</v>
      </c>
      <c r="AI143" s="32">
        <v>1</v>
      </c>
      <c r="AJ143" s="32">
        <v>1</v>
      </c>
      <c r="AK143" s="20" t="s">
        <v>165</v>
      </c>
      <c r="AL143" s="16" t="s">
        <v>61</v>
      </c>
      <c r="AM143" s="16" t="s">
        <v>61</v>
      </c>
      <c r="AN143" s="16" t="s">
        <v>724</v>
      </c>
    </row>
    <row r="144" spans="2:40" x14ac:dyDescent="0.25">
      <c r="B144" s="110">
        <f t="shared" si="22"/>
        <v>97</v>
      </c>
      <c r="C144" s="17">
        <v>20200507</v>
      </c>
      <c r="D144" s="16" t="s">
        <v>3</v>
      </c>
      <c r="E144" s="16" t="s">
        <v>573</v>
      </c>
      <c r="F144" s="80" t="s">
        <v>599</v>
      </c>
      <c r="G144" s="18">
        <v>1444993</v>
      </c>
      <c r="H144" s="57" t="s">
        <v>61</v>
      </c>
      <c r="I144" s="16" t="s">
        <v>577</v>
      </c>
      <c r="J144" s="57" t="s">
        <v>61</v>
      </c>
      <c r="K144" s="16" t="s">
        <v>161</v>
      </c>
      <c r="L144" s="16" t="s">
        <v>590</v>
      </c>
      <c r="M144" s="16" t="s">
        <v>574</v>
      </c>
      <c r="N144" s="16" t="s">
        <v>591</v>
      </c>
      <c r="O144" s="18" t="s">
        <v>61</v>
      </c>
      <c r="P144" s="18" t="s">
        <v>587</v>
      </c>
      <c r="Q144" s="19"/>
      <c r="R144" s="57" t="s">
        <v>61</v>
      </c>
      <c r="S144" s="16" t="s">
        <v>157</v>
      </c>
      <c r="T144" s="16"/>
      <c r="U144" s="16"/>
      <c r="V144" s="16">
        <v>149</v>
      </c>
      <c r="W144" s="16">
        <f t="shared" si="28"/>
        <v>149</v>
      </c>
      <c r="X144" s="16">
        <f t="shared" si="27"/>
        <v>149</v>
      </c>
      <c r="Y144" s="16">
        <f>ROUNDDOWN(W144/HLOOKUP(D144,Table!$C$3:$D$4,2,0)*8,2)</f>
        <v>2.64</v>
      </c>
      <c r="Z144" s="16">
        <v>1</v>
      </c>
      <c r="AA144" s="16" t="s">
        <v>74</v>
      </c>
      <c r="AB144" s="20">
        <v>43963</v>
      </c>
      <c r="AC144" s="20">
        <v>43958</v>
      </c>
      <c r="AD144" s="20">
        <v>43963</v>
      </c>
      <c r="AE144" s="20">
        <v>43959</v>
      </c>
      <c r="AF144" s="20">
        <v>43959</v>
      </c>
      <c r="AG144" s="20" t="s">
        <v>335</v>
      </c>
      <c r="AH144" s="32">
        <v>1</v>
      </c>
      <c r="AI144" s="32">
        <v>1</v>
      </c>
      <c r="AJ144" s="32">
        <v>1</v>
      </c>
      <c r="AK144" s="20" t="s">
        <v>165</v>
      </c>
      <c r="AL144" s="16" t="s">
        <v>61</v>
      </c>
      <c r="AM144" s="16" t="s">
        <v>61</v>
      </c>
      <c r="AN144" s="16" t="s">
        <v>61</v>
      </c>
    </row>
    <row r="145" spans="2:40" x14ac:dyDescent="0.25">
      <c r="B145" s="110">
        <f t="shared" si="22"/>
        <v>98</v>
      </c>
      <c r="C145" s="17">
        <v>20200507</v>
      </c>
      <c r="D145" s="16" t="s">
        <v>3</v>
      </c>
      <c r="E145" s="16" t="s">
        <v>573</v>
      </c>
      <c r="F145" s="80" t="s">
        <v>600</v>
      </c>
      <c r="G145" s="18">
        <v>1444993</v>
      </c>
      <c r="H145" s="57" t="s">
        <v>61</v>
      </c>
      <c r="I145" s="16" t="s">
        <v>578</v>
      </c>
      <c r="J145" s="57" t="s">
        <v>61</v>
      </c>
      <c r="K145" s="16" t="s">
        <v>161</v>
      </c>
      <c r="L145" s="16" t="s">
        <v>590</v>
      </c>
      <c r="M145" s="16" t="s">
        <v>574</v>
      </c>
      <c r="N145" s="16" t="s">
        <v>591</v>
      </c>
      <c r="O145" s="18" t="s">
        <v>61</v>
      </c>
      <c r="P145" s="18" t="s">
        <v>587</v>
      </c>
      <c r="Q145" s="19"/>
      <c r="R145" s="57" t="s">
        <v>61</v>
      </c>
      <c r="S145" s="16" t="s">
        <v>157</v>
      </c>
      <c r="T145" s="16"/>
      <c r="U145" s="16"/>
      <c r="V145" s="16">
        <v>173</v>
      </c>
      <c r="W145" s="16">
        <f t="shared" si="28"/>
        <v>173</v>
      </c>
      <c r="X145" s="16">
        <f t="shared" si="27"/>
        <v>173</v>
      </c>
      <c r="Y145" s="16">
        <f>ROUNDDOWN(W145/HLOOKUP(D145,Table!$C$3:$D$4,2,0)*8,2)</f>
        <v>3.07</v>
      </c>
      <c r="Z145" s="16">
        <v>1</v>
      </c>
      <c r="AA145" s="16" t="s">
        <v>74</v>
      </c>
      <c r="AB145" s="20">
        <v>43963</v>
      </c>
      <c r="AC145" s="20">
        <v>43958</v>
      </c>
      <c r="AD145" s="20">
        <v>43963</v>
      </c>
      <c r="AE145" s="20">
        <v>43959</v>
      </c>
      <c r="AF145" s="20">
        <v>43959</v>
      </c>
      <c r="AG145" s="20" t="s">
        <v>335</v>
      </c>
      <c r="AH145" s="32">
        <v>1</v>
      </c>
      <c r="AI145" s="32">
        <v>1</v>
      </c>
      <c r="AJ145" s="32">
        <v>1</v>
      </c>
      <c r="AK145" s="20" t="s">
        <v>165</v>
      </c>
      <c r="AL145" s="16" t="s">
        <v>61</v>
      </c>
      <c r="AM145" s="16" t="s">
        <v>61</v>
      </c>
      <c r="AN145" s="16" t="s">
        <v>61</v>
      </c>
    </row>
    <row r="146" spans="2:40" x14ac:dyDescent="0.25">
      <c r="B146" s="110">
        <f t="shared" si="22"/>
        <v>99</v>
      </c>
      <c r="C146" s="17">
        <v>20200507</v>
      </c>
      <c r="D146" s="16" t="s">
        <v>3</v>
      </c>
      <c r="E146" s="16" t="s">
        <v>424</v>
      </c>
      <c r="F146" s="80" t="s">
        <v>601</v>
      </c>
      <c r="G146" s="18">
        <v>1453050</v>
      </c>
      <c r="H146" s="57" t="s">
        <v>61</v>
      </c>
      <c r="I146" s="16" t="s">
        <v>579</v>
      </c>
      <c r="J146" s="57" t="s">
        <v>61</v>
      </c>
      <c r="K146" s="16" t="s">
        <v>161</v>
      </c>
      <c r="L146" s="16" t="s">
        <v>428</v>
      </c>
      <c r="M146" s="16" t="s">
        <v>575</v>
      </c>
      <c r="N146" s="16" t="s">
        <v>592</v>
      </c>
      <c r="O146" s="18" t="s">
        <v>61</v>
      </c>
      <c r="P146" s="18" t="s">
        <v>589</v>
      </c>
      <c r="Q146" s="19"/>
      <c r="R146" s="57" t="s">
        <v>61</v>
      </c>
      <c r="S146" s="16" t="s">
        <v>157</v>
      </c>
      <c r="T146" s="16"/>
      <c r="U146" s="16"/>
      <c r="V146" s="16">
        <v>132</v>
      </c>
      <c r="W146" s="16">
        <f t="shared" si="28"/>
        <v>132</v>
      </c>
      <c r="X146" s="16">
        <f t="shared" si="27"/>
        <v>132</v>
      </c>
      <c r="Y146" s="16">
        <f>ROUNDDOWN(W146/HLOOKUP(D146,Table!$C$3:$D$4,2,0)*8,2)</f>
        <v>2.34</v>
      </c>
      <c r="Z146" s="16">
        <v>2</v>
      </c>
      <c r="AA146" s="16" t="s">
        <v>74</v>
      </c>
      <c r="AB146" s="20">
        <v>43963</v>
      </c>
      <c r="AC146" s="20">
        <v>43958</v>
      </c>
      <c r="AD146" s="20">
        <v>43963</v>
      </c>
      <c r="AE146" s="20">
        <v>43959</v>
      </c>
      <c r="AF146" s="20">
        <v>43959</v>
      </c>
      <c r="AG146" s="20" t="s">
        <v>335</v>
      </c>
      <c r="AH146" s="32">
        <v>1</v>
      </c>
      <c r="AI146" s="32">
        <v>1</v>
      </c>
      <c r="AJ146" s="32">
        <v>1</v>
      </c>
      <c r="AK146" s="20" t="s">
        <v>165</v>
      </c>
      <c r="AL146" s="16" t="s">
        <v>61</v>
      </c>
      <c r="AM146" s="16" t="s">
        <v>61</v>
      </c>
      <c r="AN146" s="16" t="s">
        <v>61</v>
      </c>
    </row>
    <row r="147" spans="2:40" x14ac:dyDescent="0.25">
      <c r="B147" s="110">
        <f t="shared" si="22"/>
        <v>100</v>
      </c>
      <c r="C147" s="17">
        <v>20200507</v>
      </c>
      <c r="D147" s="16" t="s">
        <v>3</v>
      </c>
      <c r="E147" s="16" t="s">
        <v>424</v>
      </c>
      <c r="F147" s="80" t="s">
        <v>602</v>
      </c>
      <c r="G147" s="18">
        <v>1453050</v>
      </c>
      <c r="H147" s="57" t="s">
        <v>61</v>
      </c>
      <c r="I147" s="16" t="s">
        <v>580</v>
      </c>
      <c r="J147" s="57" t="s">
        <v>61</v>
      </c>
      <c r="K147" s="16" t="s">
        <v>161</v>
      </c>
      <c r="L147" s="16" t="s">
        <v>428</v>
      </c>
      <c r="M147" s="16" t="s">
        <v>575</v>
      </c>
      <c r="N147" s="16" t="s">
        <v>592</v>
      </c>
      <c r="O147" s="18" t="s">
        <v>61</v>
      </c>
      <c r="P147" s="18" t="s">
        <v>589</v>
      </c>
      <c r="Q147" s="19"/>
      <c r="R147" s="57" t="s">
        <v>61</v>
      </c>
      <c r="S147" s="16" t="s">
        <v>157</v>
      </c>
      <c r="T147" s="16"/>
      <c r="U147" s="16"/>
      <c r="V147" s="16">
        <v>156</v>
      </c>
      <c r="W147" s="16">
        <f t="shared" si="28"/>
        <v>156</v>
      </c>
      <c r="X147" s="16">
        <f t="shared" si="27"/>
        <v>156</v>
      </c>
      <c r="Y147" s="16">
        <f>ROUNDDOWN(W147/HLOOKUP(D147,Table!$C$3:$D$4,2,0)*8,2)</f>
        <v>2.77</v>
      </c>
      <c r="Z147" s="16">
        <v>1.5</v>
      </c>
      <c r="AA147" s="16" t="s">
        <v>74</v>
      </c>
      <c r="AB147" s="20">
        <v>43963</v>
      </c>
      <c r="AC147" s="20">
        <v>43958</v>
      </c>
      <c r="AD147" s="20">
        <v>43963</v>
      </c>
      <c r="AE147" s="20">
        <v>43959</v>
      </c>
      <c r="AF147" s="20">
        <v>43959</v>
      </c>
      <c r="AG147" s="20" t="s">
        <v>335</v>
      </c>
      <c r="AH147" s="32">
        <v>1</v>
      </c>
      <c r="AI147" s="32">
        <v>1</v>
      </c>
      <c r="AJ147" s="32">
        <v>1</v>
      </c>
      <c r="AK147" s="20" t="s">
        <v>165</v>
      </c>
      <c r="AL147" s="16" t="s">
        <v>61</v>
      </c>
      <c r="AM147" s="16" t="s">
        <v>61</v>
      </c>
      <c r="AN147" s="16" t="s">
        <v>61</v>
      </c>
    </row>
    <row r="148" spans="2:40" x14ac:dyDescent="0.25">
      <c r="B148" s="110">
        <f t="shared" si="22"/>
        <v>101</v>
      </c>
      <c r="C148" s="17">
        <v>20200507</v>
      </c>
      <c r="D148" s="16" t="s">
        <v>3</v>
      </c>
      <c r="E148" s="16" t="s">
        <v>424</v>
      </c>
      <c r="F148" s="80" t="s">
        <v>603</v>
      </c>
      <c r="G148" s="18">
        <v>1453050</v>
      </c>
      <c r="H148" s="57" t="s">
        <v>61</v>
      </c>
      <c r="I148" s="16" t="s">
        <v>581</v>
      </c>
      <c r="J148" s="57" t="s">
        <v>61</v>
      </c>
      <c r="K148" s="16" t="s">
        <v>161</v>
      </c>
      <c r="L148" s="16" t="s">
        <v>428</v>
      </c>
      <c r="M148" s="16" t="s">
        <v>575</v>
      </c>
      <c r="N148" s="16" t="s">
        <v>592</v>
      </c>
      <c r="O148" s="18" t="s">
        <v>61</v>
      </c>
      <c r="P148" s="18" t="s">
        <v>589</v>
      </c>
      <c r="Q148" s="19"/>
      <c r="R148" s="57" t="s">
        <v>61</v>
      </c>
      <c r="S148" s="16" t="s">
        <v>65</v>
      </c>
      <c r="T148" s="16"/>
      <c r="U148" s="16"/>
      <c r="V148" s="16">
        <v>309</v>
      </c>
      <c r="W148" s="16">
        <f t="shared" si="28"/>
        <v>309</v>
      </c>
      <c r="X148" s="16">
        <f t="shared" ref="X148:X152" si="29">W148</f>
        <v>309</v>
      </c>
      <c r="Y148" s="16">
        <f>ROUNDDOWN(W148/HLOOKUP(D148,Table!$C$3:$D$4,2,0)*8,2)</f>
        <v>5.49</v>
      </c>
      <c r="Z148" s="16">
        <v>4</v>
      </c>
      <c r="AA148" s="16" t="s">
        <v>74</v>
      </c>
      <c r="AB148" s="20">
        <v>43963</v>
      </c>
      <c r="AC148" s="20">
        <v>43958</v>
      </c>
      <c r="AD148" s="20">
        <v>43963</v>
      </c>
      <c r="AE148" s="20">
        <v>43962</v>
      </c>
      <c r="AF148" s="20">
        <v>43962</v>
      </c>
      <c r="AG148" s="20" t="s">
        <v>336</v>
      </c>
      <c r="AH148" s="32">
        <v>1</v>
      </c>
      <c r="AI148" s="32">
        <v>1</v>
      </c>
      <c r="AJ148" s="32">
        <v>0.83</v>
      </c>
      <c r="AK148" s="20" t="s">
        <v>149</v>
      </c>
      <c r="AL148" s="16" t="s">
        <v>620</v>
      </c>
      <c r="AM148" s="16" t="s">
        <v>61</v>
      </c>
      <c r="AN148" s="121" t="s">
        <v>448</v>
      </c>
    </row>
    <row r="149" spans="2:40" x14ac:dyDescent="0.25">
      <c r="B149" s="110">
        <f t="shared" si="22"/>
        <v>102</v>
      </c>
      <c r="C149" s="17">
        <v>20200507</v>
      </c>
      <c r="D149" s="16" t="s">
        <v>3</v>
      </c>
      <c r="E149" s="16" t="s">
        <v>424</v>
      </c>
      <c r="F149" s="80" t="s">
        <v>604</v>
      </c>
      <c r="G149" s="18">
        <v>1453050</v>
      </c>
      <c r="H149" s="57" t="s">
        <v>61</v>
      </c>
      <c r="I149" s="16" t="s">
        <v>582</v>
      </c>
      <c r="J149" s="57" t="s">
        <v>61</v>
      </c>
      <c r="K149" s="16" t="s">
        <v>161</v>
      </c>
      <c r="L149" s="16" t="s">
        <v>428</v>
      </c>
      <c r="M149" s="16" t="s">
        <v>575</v>
      </c>
      <c r="N149" s="16" t="s">
        <v>592</v>
      </c>
      <c r="O149" s="18" t="s">
        <v>61</v>
      </c>
      <c r="P149" s="18" t="s">
        <v>589</v>
      </c>
      <c r="Q149" s="19"/>
      <c r="R149" s="57" t="s">
        <v>61</v>
      </c>
      <c r="S149" s="16" t="s">
        <v>65</v>
      </c>
      <c r="T149" s="16"/>
      <c r="U149" s="16"/>
      <c r="V149" s="16">
        <v>25</v>
      </c>
      <c r="W149" s="16">
        <f t="shared" si="28"/>
        <v>25</v>
      </c>
      <c r="X149" s="16">
        <f t="shared" si="29"/>
        <v>25</v>
      </c>
      <c r="Y149" s="16">
        <f>ROUNDDOWN(W149/HLOOKUP(D149,Table!$C$3:$D$4,2,0)*8,2)</f>
        <v>0.44</v>
      </c>
      <c r="Z149" s="16">
        <v>1</v>
      </c>
      <c r="AA149" s="16" t="s">
        <v>74</v>
      </c>
      <c r="AB149" s="20">
        <v>43963</v>
      </c>
      <c r="AC149" s="20">
        <v>43958</v>
      </c>
      <c r="AD149" s="20">
        <v>43963</v>
      </c>
      <c r="AE149" s="20">
        <v>43962</v>
      </c>
      <c r="AF149" s="20">
        <v>43962</v>
      </c>
      <c r="AG149" s="20" t="s">
        <v>335</v>
      </c>
      <c r="AH149" s="32">
        <v>1</v>
      </c>
      <c r="AI149" s="32">
        <v>1</v>
      </c>
      <c r="AJ149" s="32">
        <v>1</v>
      </c>
      <c r="AK149" s="20" t="s">
        <v>165</v>
      </c>
      <c r="AL149" s="16" t="s">
        <v>61</v>
      </c>
      <c r="AM149" s="16" t="s">
        <v>61</v>
      </c>
      <c r="AN149" s="16" t="s">
        <v>61</v>
      </c>
    </row>
    <row r="150" spans="2:40" x14ac:dyDescent="0.25">
      <c r="B150" s="110">
        <f t="shared" si="22"/>
        <v>103</v>
      </c>
      <c r="C150" s="17">
        <v>20200507</v>
      </c>
      <c r="D150" s="16" t="s">
        <v>3</v>
      </c>
      <c r="E150" s="16" t="s">
        <v>424</v>
      </c>
      <c r="F150" s="80" t="s">
        <v>605</v>
      </c>
      <c r="G150" s="18">
        <v>1453050</v>
      </c>
      <c r="H150" s="57" t="s">
        <v>61</v>
      </c>
      <c r="I150" s="16" t="s">
        <v>583</v>
      </c>
      <c r="J150" s="57" t="s">
        <v>61</v>
      </c>
      <c r="K150" s="16" t="s">
        <v>161</v>
      </c>
      <c r="L150" s="16" t="s">
        <v>428</v>
      </c>
      <c r="M150" s="16" t="s">
        <v>575</v>
      </c>
      <c r="N150" s="16" t="s">
        <v>592</v>
      </c>
      <c r="O150" s="18" t="s">
        <v>61</v>
      </c>
      <c r="P150" s="18" t="s">
        <v>589</v>
      </c>
      <c r="Q150" s="19"/>
      <c r="R150" s="57" t="s">
        <v>61</v>
      </c>
      <c r="S150" s="16" t="s">
        <v>65</v>
      </c>
      <c r="T150" s="16"/>
      <c r="U150" s="16"/>
      <c r="V150" s="16">
        <v>215</v>
      </c>
      <c r="W150" s="16">
        <f t="shared" si="28"/>
        <v>215</v>
      </c>
      <c r="X150" s="16">
        <f t="shared" si="29"/>
        <v>215</v>
      </c>
      <c r="Y150" s="16">
        <f>ROUNDDOWN(W150/HLOOKUP(D150,Table!$C$3:$D$4,2,0)*8,2)</f>
        <v>3.82</v>
      </c>
      <c r="Z150" s="16">
        <v>2</v>
      </c>
      <c r="AA150" s="16" t="s">
        <v>74</v>
      </c>
      <c r="AB150" s="20">
        <v>43963</v>
      </c>
      <c r="AC150" s="20">
        <v>43958</v>
      </c>
      <c r="AD150" s="20">
        <v>43963</v>
      </c>
      <c r="AE150" s="20">
        <v>43962</v>
      </c>
      <c r="AF150" s="20">
        <v>43962</v>
      </c>
      <c r="AG150" s="20" t="s">
        <v>335</v>
      </c>
      <c r="AH150" s="32">
        <v>1</v>
      </c>
      <c r="AI150" s="32">
        <v>1</v>
      </c>
      <c r="AJ150" s="32">
        <v>1</v>
      </c>
      <c r="AK150" s="20" t="s">
        <v>165</v>
      </c>
      <c r="AL150" s="16" t="s">
        <v>61</v>
      </c>
      <c r="AM150" s="16" t="s">
        <v>61</v>
      </c>
      <c r="AN150" s="16" t="s">
        <v>61</v>
      </c>
    </row>
    <row r="151" spans="2:40" x14ac:dyDescent="0.25">
      <c r="B151" s="110">
        <f t="shared" si="22"/>
        <v>104</v>
      </c>
      <c r="C151" s="17">
        <v>20200507</v>
      </c>
      <c r="D151" s="16" t="s">
        <v>3</v>
      </c>
      <c r="E151" s="16" t="s">
        <v>424</v>
      </c>
      <c r="F151" s="80" t="s">
        <v>606</v>
      </c>
      <c r="G151" s="18">
        <v>1453050</v>
      </c>
      <c r="H151" s="57" t="s">
        <v>61</v>
      </c>
      <c r="I151" s="16" t="s">
        <v>584</v>
      </c>
      <c r="J151" s="57" t="s">
        <v>61</v>
      </c>
      <c r="K151" s="16" t="s">
        <v>161</v>
      </c>
      <c r="L151" s="16" t="s">
        <v>428</v>
      </c>
      <c r="M151" s="16" t="s">
        <v>575</v>
      </c>
      <c r="N151" s="16" t="s">
        <v>592</v>
      </c>
      <c r="O151" s="18" t="s">
        <v>61</v>
      </c>
      <c r="P151" s="18" t="s">
        <v>589</v>
      </c>
      <c r="Q151" s="19"/>
      <c r="R151" s="57" t="s">
        <v>61</v>
      </c>
      <c r="S151" s="16" t="s">
        <v>6</v>
      </c>
      <c r="T151" s="16"/>
      <c r="U151" s="16"/>
      <c r="V151" s="16">
        <v>1703</v>
      </c>
      <c r="W151" s="16">
        <f t="shared" si="28"/>
        <v>1703</v>
      </c>
      <c r="X151" s="16">
        <f t="shared" si="29"/>
        <v>1703</v>
      </c>
      <c r="Y151" s="16">
        <f>ROUNDDOWN(W151/HLOOKUP(D151,Table!$C$3:$D$4,2,0)*8,2)</f>
        <v>30.27</v>
      </c>
      <c r="Z151" s="16">
        <v>8</v>
      </c>
      <c r="AA151" s="16" t="s">
        <v>74</v>
      </c>
      <c r="AB151" s="20">
        <v>43963</v>
      </c>
      <c r="AC151" s="20">
        <v>43958</v>
      </c>
      <c r="AD151" s="20">
        <v>43963</v>
      </c>
      <c r="AE151" s="20">
        <v>43959</v>
      </c>
      <c r="AF151" s="20">
        <v>43962</v>
      </c>
      <c r="AG151" s="20" t="s">
        <v>335</v>
      </c>
      <c r="AH151" s="32">
        <v>1</v>
      </c>
      <c r="AI151" s="32">
        <v>1</v>
      </c>
      <c r="AJ151" s="32">
        <v>1</v>
      </c>
      <c r="AK151" s="20" t="s">
        <v>165</v>
      </c>
      <c r="AL151" s="16" t="s">
        <v>61</v>
      </c>
      <c r="AM151" s="16" t="s">
        <v>61</v>
      </c>
      <c r="AN151" s="16" t="s">
        <v>61</v>
      </c>
    </row>
    <row r="152" spans="2:40" x14ac:dyDescent="0.25">
      <c r="B152" s="110">
        <f t="shared" si="22"/>
        <v>105</v>
      </c>
      <c r="C152" s="17">
        <v>20200507</v>
      </c>
      <c r="D152" s="16" t="s">
        <v>3</v>
      </c>
      <c r="E152" s="16" t="s">
        <v>169</v>
      </c>
      <c r="F152" s="80" t="s">
        <v>607</v>
      </c>
      <c r="G152" s="18">
        <v>1444374</v>
      </c>
      <c r="H152" s="57" t="s">
        <v>61</v>
      </c>
      <c r="I152" s="16" t="s">
        <v>585</v>
      </c>
      <c r="J152" s="57" t="s">
        <v>61</v>
      </c>
      <c r="K152" s="16" t="s">
        <v>161</v>
      </c>
      <c r="L152" s="16" t="s">
        <v>324</v>
      </c>
      <c r="M152" s="16" t="s">
        <v>334</v>
      </c>
      <c r="N152" s="16" t="s">
        <v>326</v>
      </c>
      <c r="O152" s="18" t="s">
        <v>61</v>
      </c>
      <c r="P152" s="18" t="s">
        <v>588</v>
      </c>
      <c r="Q152" s="19"/>
      <c r="R152" s="57" t="s">
        <v>61</v>
      </c>
      <c r="S152" s="16" t="s">
        <v>64</v>
      </c>
      <c r="T152" s="16"/>
      <c r="U152" s="16"/>
      <c r="V152" s="16">
        <v>1193</v>
      </c>
      <c r="W152" s="16">
        <f t="shared" si="28"/>
        <v>1193</v>
      </c>
      <c r="X152" s="16">
        <f t="shared" si="29"/>
        <v>1193</v>
      </c>
      <c r="Y152" s="16">
        <f>ROUNDDOWN(W152/HLOOKUP(D152,Table!$C$3:$D$4,2,0)*8,2)</f>
        <v>21.2</v>
      </c>
      <c r="Z152" s="16">
        <v>4</v>
      </c>
      <c r="AA152" s="16" t="s">
        <v>74</v>
      </c>
      <c r="AB152" s="20">
        <v>43963</v>
      </c>
      <c r="AC152" s="20">
        <v>43958</v>
      </c>
      <c r="AD152" s="20">
        <v>43963</v>
      </c>
      <c r="AE152" s="20">
        <v>43959</v>
      </c>
      <c r="AF152" s="20">
        <v>43959</v>
      </c>
      <c r="AG152" s="20" t="s">
        <v>335</v>
      </c>
      <c r="AH152" s="32">
        <v>1</v>
      </c>
      <c r="AI152" s="32">
        <v>1</v>
      </c>
      <c r="AJ152" s="32">
        <v>1</v>
      </c>
      <c r="AK152" s="20" t="s">
        <v>165</v>
      </c>
      <c r="AL152" s="16" t="s">
        <v>61</v>
      </c>
      <c r="AM152" s="16" t="s">
        <v>61</v>
      </c>
      <c r="AN152" s="16" t="s">
        <v>61</v>
      </c>
    </row>
    <row r="153" spans="2:40" x14ac:dyDescent="0.25">
      <c r="B153" s="130">
        <f t="shared" si="22"/>
        <v>106</v>
      </c>
      <c r="C153" s="131">
        <v>20200508</v>
      </c>
      <c r="D153" s="17" t="s">
        <v>3</v>
      </c>
      <c r="E153" s="131" t="s">
        <v>621</v>
      </c>
      <c r="F153" s="132" t="s">
        <v>729</v>
      </c>
      <c r="G153" s="133">
        <v>1457196</v>
      </c>
      <c r="H153" s="57" t="s">
        <v>61</v>
      </c>
      <c r="I153" s="131" t="s">
        <v>685</v>
      </c>
      <c r="J153" s="57" t="s">
        <v>61</v>
      </c>
      <c r="K153" s="131" t="s">
        <v>161</v>
      </c>
      <c r="L153" s="131" t="s">
        <v>165</v>
      </c>
      <c r="M153" s="131" t="s">
        <v>165</v>
      </c>
      <c r="N153" s="131" t="s">
        <v>623</v>
      </c>
      <c r="O153" s="133" t="s">
        <v>61</v>
      </c>
      <c r="P153" s="133" t="s">
        <v>624</v>
      </c>
      <c r="Q153" s="131"/>
      <c r="R153" s="57" t="s">
        <v>61</v>
      </c>
      <c r="S153" s="131"/>
      <c r="T153" s="131"/>
      <c r="U153" s="131"/>
      <c r="V153" s="131"/>
      <c r="W153" s="131"/>
      <c r="X153" s="131"/>
      <c r="Y153" s="131"/>
      <c r="Z153" s="131"/>
      <c r="AA153" s="131"/>
      <c r="AB153" s="134"/>
      <c r="AC153" s="134"/>
      <c r="AD153" s="134"/>
      <c r="AE153" s="134"/>
      <c r="AF153" s="134"/>
      <c r="AG153" s="134"/>
      <c r="AH153" s="135"/>
      <c r="AI153" s="135"/>
      <c r="AJ153" s="135"/>
      <c r="AK153" s="134"/>
      <c r="AL153" s="131"/>
      <c r="AM153" s="131"/>
      <c r="AN153" s="138" t="s">
        <v>745</v>
      </c>
    </row>
    <row r="154" spans="2:40" x14ac:dyDescent="0.25">
      <c r="B154" s="130">
        <f t="shared" si="22"/>
        <v>107</v>
      </c>
      <c r="C154" s="131">
        <v>20200508</v>
      </c>
      <c r="D154" s="17" t="s">
        <v>3</v>
      </c>
      <c r="E154" s="131" t="s">
        <v>621</v>
      </c>
      <c r="F154" s="132" t="s">
        <v>729</v>
      </c>
      <c r="G154" s="133">
        <v>1457196</v>
      </c>
      <c r="H154" s="57" t="s">
        <v>61</v>
      </c>
      <c r="I154" s="131" t="s">
        <v>686</v>
      </c>
      <c r="J154" s="57" t="s">
        <v>61</v>
      </c>
      <c r="K154" s="131" t="s">
        <v>161</v>
      </c>
      <c r="L154" s="131" t="s">
        <v>165</v>
      </c>
      <c r="M154" s="131" t="s">
        <v>165</v>
      </c>
      <c r="N154" s="131" t="s">
        <v>623</v>
      </c>
      <c r="O154" s="133" t="s">
        <v>61</v>
      </c>
      <c r="P154" s="133" t="s">
        <v>624</v>
      </c>
      <c r="Q154" s="131"/>
      <c r="R154" s="57" t="s">
        <v>61</v>
      </c>
      <c r="S154" s="131"/>
      <c r="T154" s="131"/>
      <c r="U154" s="131"/>
      <c r="V154" s="131"/>
      <c r="W154" s="131"/>
      <c r="X154" s="131"/>
      <c r="Y154" s="131"/>
      <c r="Z154" s="131"/>
      <c r="AA154" s="131"/>
      <c r="AB154" s="134"/>
      <c r="AC154" s="134"/>
      <c r="AD154" s="134"/>
      <c r="AE154" s="134"/>
      <c r="AF154" s="134"/>
      <c r="AG154" s="134"/>
      <c r="AH154" s="135"/>
      <c r="AI154" s="135"/>
      <c r="AJ154" s="135"/>
      <c r="AK154" s="134"/>
      <c r="AL154" s="136"/>
      <c r="AM154" s="136"/>
      <c r="AN154" s="138" t="s">
        <v>745</v>
      </c>
    </row>
    <row r="155" spans="2:40" x14ac:dyDescent="0.25">
      <c r="B155" s="130">
        <f t="shared" si="22"/>
        <v>108</v>
      </c>
      <c r="C155" s="131">
        <v>20200508</v>
      </c>
      <c r="D155" s="17" t="s">
        <v>3</v>
      </c>
      <c r="E155" s="131" t="s">
        <v>621</v>
      </c>
      <c r="F155" s="132" t="s">
        <v>730</v>
      </c>
      <c r="G155" s="133">
        <v>1457196</v>
      </c>
      <c r="H155" s="57" t="s">
        <v>61</v>
      </c>
      <c r="I155" s="131" t="s">
        <v>687</v>
      </c>
      <c r="J155" s="57" t="s">
        <v>61</v>
      </c>
      <c r="K155" s="131" t="s">
        <v>161</v>
      </c>
      <c r="L155" s="131" t="s">
        <v>165</v>
      </c>
      <c r="M155" s="131" t="s">
        <v>165</v>
      </c>
      <c r="N155" s="131" t="s">
        <v>623</v>
      </c>
      <c r="O155" s="133" t="s">
        <v>61</v>
      </c>
      <c r="P155" s="133" t="s">
        <v>624</v>
      </c>
      <c r="Q155" s="131"/>
      <c r="R155" s="57" t="s">
        <v>61</v>
      </c>
      <c r="S155" s="131"/>
      <c r="T155" s="131"/>
      <c r="U155" s="131"/>
      <c r="V155" s="131"/>
      <c r="W155" s="131"/>
      <c r="X155" s="131"/>
      <c r="Y155" s="131"/>
      <c r="Z155" s="131"/>
      <c r="AA155" s="131"/>
      <c r="AB155" s="134"/>
      <c r="AC155" s="134"/>
      <c r="AD155" s="134"/>
      <c r="AE155" s="134"/>
      <c r="AF155" s="134"/>
      <c r="AG155" s="134"/>
      <c r="AH155" s="135"/>
      <c r="AI155" s="135"/>
      <c r="AJ155" s="135"/>
      <c r="AK155" s="134"/>
      <c r="AL155" s="136"/>
      <c r="AM155" s="136"/>
      <c r="AN155" s="138" t="s">
        <v>745</v>
      </c>
    </row>
    <row r="156" spans="2:40" x14ac:dyDescent="0.25">
      <c r="B156" s="130">
        <f t="shared" si="22"/>
        <v>109</v>
      </c>
      <c r="C156" s="131">
        <v>20200508</v>
      </c>
      <c r="D156" s="17" t="s">
        <v>3</v>
      </c>
      <c r="E156" s="131" t="s">
        <v>621</v>
      </c>
      <c r="F156" s="132" t="s">
        <v>731</v>
      </c>
      <c r="G156" s="133">
        <v>1457196</v>
      </c>
      <c r="H156" s="57" t="s">
        <v>61</v>
      </c>
      <c r="I156" s="131" t="s">
        <v>688</v>
      </c>
      <c r="J156" s="57" t="s">
        <v>61</v>
      </c>
      <c r="K156" s="131" t="s">
        <v>161</v>
      </c>
      <c r="L156" s="131" t="s">
        <v>165</v>
      </c>
      <c r="M156" s="131" t="s">
        <v>165</v>
      </c>
      <c r="N156" s="131" t="s">
        <v>623</v>
      </c>
      <c r="O156" s="133" t="s">
        <v>61</v>
      </c>
      <c r="P156" s="133" t="s">
        <v>624</v>
      </c>
      <c r="Q156" s="131"/>
      <c r="R156" s="57" t="s">
        <v>61</v>
      </c>
      <c r="S156" s="131"/>
      <c r="T156" s="131"/>
      <c r="U156" s="131"/>
      <c r="V156" s="131"/>
      <c r="W156" s="131"/>
      <c r="X156" s="131"/>
      <c r="Y156" s="131"/>
      <c r="Z156" s="131"/>
      <c r="AA156" s="131"/>
      <c r="AB156" s="134"/>
      <c r="AC156" s="134"/>
      <c r="AD156" s="134"/>
      <c r="AE156" s="134"/>
      <c r="AF156" s="134"/>
      <c r="AG156" s="134"/>
      <c r="AH156" s="135"/>
      <c r="AI156" s="135"/>
      <c r="AJ156" s="135"/>
      <c r="AK156" s="134"/>
      <c r="AL156" s="136"/>
      <c r="AM156" s="136"/>
      <c r="AN156" s="138" t="s">
        <v>745</v>
      </c>
    </row>
    <row r="157" spans="2:40" x14ac:dyDescent="0.25">
      <c r="B157" s="130">
        <f t="shared" si="22"/>
        <v>110</v>
      </c>
      <c r="C157" s="131">
        <v>20200508</v>
      </c>
      <c r="D157" s="17" t="s">
        <v>3</v>
      </c>
      <c r="E157" s="131" t="s">
        <v>621</v>
      </c>
      <c r="F157" s="132" t="s">
        <v>732</v>
      </c>
      <c r="G157" s="133">
        <v>1457196</v>
      </c>
      <c r="H157" s="57" t="s">
        <v>61</v>
      </c>
      <c r="I157" s="131" t="s">
        <v>482</v>
      </c>
      <c r="J157" s="57" t="s">
        <v>61</v>
      </c>
      <c r="K157" s="131" t="s">
        <v>161</v>
      </c>
      <c r="L157" s="131" t="s">
        <v>165</v>
      </c>
      <c r="M157" s="131" t="s">
        <v>165</v>
      </c>
      <c r="N157" s="131" t="s">
        <v>623</v>
      </c>
      <c r="O157" s="133" t="s">
        <v>61</v>
      </c>
      <c r="P157" s="133" t="s">
        <v>624</v>
      </c>
      <c r="Q157" s="131"/>
      <c r="R157" s="57" t="s">
        <v>61</v>
      </c>
      <c r="S157" s="131"/>
      <c r="T157" s="131"/>
      <c r="U157" s="131"/>
      <c r="V157" s="131"/>
      <c r="W157" s="131"/>
      <c r="X157" s="131"/>
      <c r="Y157" s="131"/>
      <c r="Z157" s="131"/>
      <c r="AA157" s="131"/>
      <c r="AB157" s="134"/>
      <c r="AC157" s="134"/>
      <c r="AD157" s="134"/>
      <c r="AE157" s="134"/>
      <c r="AF157" s="134"/>
      <c r="AG157" s="134"/>
      <c r="AH157" s="135"/>
      <c r="AI157" s="135"/>
      <c r="AJ157" s="135"/>
      <c r="AK157" s="134"/>
      <c r="AL157" s="136"/>
      <c r="AM157" s="136"/>
      <c r="AN157" s="138" t="s">
        <v>745</v>
      </c>
    </row>
    <row r="158" spans="2:40" x14ac:dyDescent="0.25">
      <c r="B158" s="130">
        <f t="shared" si="22"/>
        <v>111</v>
      </c>
      <c r="C158" s="131">
        <v>20200508</v>
      </c>
      <c r="D158" s="17" t="s">
        <v>3</v>
      </c>
      <c r="E158" s="131" t="s">
        <v>621</v>
      </c>
      <c r="F158" s="132" t="s">
        <v>733</v>
      </c>
      <c r="G158" s="133">
        <v>1457196</v>
      </c>
      <c r="H158" s="57" t="s">
        <v>61</v>
      </c>
      <c r="I158" s="131" t="s">
        <v>689</v>
      </c>
      <c r="J158" s="57" t="s">
        <v>61</v>
      </c>
      <c r="K158" s="131" t="s">
        <v>161</v>
      </c>
      <c r="L158" s="131" t="s">
        <v>165</v>
      </c>
      <c r="M158" s="131" t="s">
        <v>165</v>
      </c>
      <c r="N158" s="131" t="s">
        <v>623</v>
      </c>
      <c r="O158" s="133" t="s">
        <v>61</v>
      </c>
      <c r="P158" s="133" t="s">
        <v>624</v>
      </c>
      <c r="Q158" s="131"/>
      <c r="R158" s="57" t="s">
        <v>61</v>
      </c>
      <c r="S158" s="131"/>
      <c r="T158" s="131"/>
      <c r="U158" s="131"/>
      <c r="V158" s="131"/>
      <c r="W158" s="131"/>
      <c r="X158" s="131"/>
      <c r="Y158" s="131"/>
      <c r="Z158" s="131"/>
      <c r="AA158" s="131"/>
      <c r="AB158" s="134"/>
      <c r="AC158" s="134"/>
      <c r="AD158" s="134"/>
      <c r="AE158" s="134"/>
      <c r="AF158" s="134"/>
      <c r="AG158" s="134"/>
      <c r="AH158" s="135"/>
      <c r="AI158" s="135"/>
      <c r="AJ158" s="135"/>
      <c r="AK158" s="134"/>
      <c r="AL158" s="131"/>
      <c r="AM158" s="131"/>
      <c r="AN158" s="138" t="s">
        <v>745</v>
      </c>
    </row>
    <row r="159" spans="2:40" x14ac:dyDescent="0.25">
      <c r="B159" s="130">
        <f t="shared" si="22"/>
        <v>112</v>
      </c>
      <c r="C159" s="131">
        <v>20200508</v>
      </c>
      <c r="D159" s="17" t="s">
        <v>3</v>
      </c>
      <c r="E159" s="131" t="s">
        <v>621</v>
      </c>
      <c r="F159" s="132" t="s">
        <v>734</v>
      </c>
      <c r="G159" s="133">
        <v>1457196</v>
      </c>
      <c r="H159" s="57" t="s">
        <v>61</v>
      </c>
      <c r="I159" s="131" t="s">
        <v>690</v>
      </c>
      <c r="J159" s="57" t="s">
        <v>61</v>
      </c>
      <c r="K159" s="131" t="s">
        <v>161</v>
      </c>
      <c r="L159" s="131" t="s">
        <v>165</v>
      </c>
      <c r="M159" s="131" t="s">
        <v>165</v>
      </c>
      <c r="N159" s="131" t="s">
        <v>623</v>
      </c>
      <c r="O159" s="133" t="s">
        <v>61</v>
      </c>
      <c r="P159" s="133" t="s">
        <v>624</v>
      </c>
      <c r="Q159" s="131"/>
      <c r="R159" s="57" t="s">
        <v>61</v>
      </c>
      <c r="S159" s="131"/>
      <c r="T159" s="131"/>
      <c r="U159" s="131"/>
      <c r="V159" s="131"/>
      <c r="W159" s="131"/>
      <c r="X159" s="131"/>
      <c r="Y159" s="131"/>
      <c r="Z159" s="131"/>
      <c r="AA159" s="131"/>
      <c r="AB159" s="134"/>
      <c r="AC159" s="134"/>
      <c r="AD159" s="134"/>
      <c r="AE159" s="134"/>
      <c r="AF159" s="134"/>
      <c r="AG159" s="134"/>
      <c r="AH159" s="135"/>
      <c r="AI159" s="135"/>
      <c r="AJ159" s="135"/>
      <c r="AK159" s="134"/>
      <c r="AL159" s="137"/>
      <c r="AM159" s="131"/>
      <c r="AN159" s="138" t="s">
        <v>745</v>
      </c>
    </row>
    <row r="160" spans="2:40" x14ac:dyDescent="0.25">
      <c r="B160" s="130">
        <f t="shared" si="22"/>
        <v>113</v>
      </c>
      <c r="C160" s="131">
        <v>20200508</v>
      </c>
      <c r="D160" s="17" t="s">
        <v>3</v>
      </c>
      <c r="E160" s="131" t="s">
        <v>621</v>
      </c>
      <c r="F160" s="132" t="s">
        <v>735</v>
      </c>
      <c r="G160" s="133">
        <v>1457196</v>
      </c>
      <c r="H160" s="57" t="s">
        <v>61</v>
      </c>
      <c r="I160" s="131" t="s">
        <v>483</v>
      </c>
      <c r="J160" s="57" t="s">
        <v>61</v>
      </c>
      <c r="K160" s="131" t="s">
        <v>161</v>
      </c>
      <c r="L160" s="131" t="s">
        <v>165</v>
      </c>
      <c r="M160" s="131" t="s">
        <v>165</v>
      </c>
      <c r="N160" s="131" t="s">
        <v>623</v>
      </c>
      <c r="O160" s="133" t="s">
        <v>61</v>
      </c>
      <c r="P160" s="133" t="s">
        <v>624</v>
      </c>
      <c r="Q160" s="131"/>
      <c r="R160" s="57" t="s">
        <v>61</v>
      </c>
      <c r="S160" s="131"/>
      <c r="T160" s="131"/>
      <c r="U160" s="131"/>
      <c r="V160" s="131"/>
      <c r="W160" s="131"/>
      <c r="X160" s="131"/>
      <c r="Y160" s="131"/>
      <c r="Z160" s="131"/>
      <c r="AA160" s="131"/>
      <c r="AB160" s="134"/>
      <c r="AC160" s="134"/>
      <c r="AD160" s="134"/>
      <c r="AE160" s="134"/>
      <c r="AF160" s="134"/>
      <c r="AG160" s="134"/>
      <c r="AH160" s="135"/>
      <c r="AI160" s="135"/>
      <c r="AJ160" s="135"/>
      <c r="AK160" s="134"/>
      <c r="AL160" s="131"/>
      <c r="AM160" s="131"/>
      <c r="AN160" s="138" t="s">
        <v>745</v>
      </c>
    </row>
    <row r="161" spans="2:41" x14ac:dyDescent="0.25">
      <c r="B161" s="130">
        <f t="shared" si="22"/>
        <v>114</v>
      </c>
      <c r="C161" s="131">
        <v>20200508</v>
      </c>
      <c r="D161" s="17" t="s">
        <v>3</v>
      </c>
      <c r="E161" s="131" t="s">
        <v>621</v>
      </c>
      <c r="F161" s="132" t="s">
        <v>736</v>
      </c>
      <c r="G161" s="133">
        <v>1457196</v>
      </c>
      <c r="H161" s="57" t="s">
        <v>61</v>
      </c>
      <c r="I161" s="131" t="s">
        <v>486</v>
      </c>
      <c r="J161" s="57" t="s">
        <v>61</v>
      </c>
      <c r="K161" s="131" t="s">
        <v>161</v>
      </c>
      <c r="L161" s="131" t="s">
        <v>165</v>
      </c>
      <c r="M161" s="131" t="s">
        <v>165</v>
      </c>
      <c r="N161" s="131" t="s">
        <v>623</v>
      </c>
      <c r="O161" s="133" t="s">
        <v>61</v>
      </c>
      <c r="P161" s="133" t="s">
        <v>624</v>
      </c>
      <c r="Q161" s="131"/>
      <c r="R161" s="57" t="s">
        <v>61</v>
      </c>
      <c r="S161" s="131"/>
      <c r="T161" s="131"/>
      <c r="U161" s="131"/>
      <c r="V161" s="131"/>
      <c r="W161" s="131"/>
      <c r="X161" s="131"/>
      <c r="Y161" s="131"/>
      <c r="Z161" s="131"/>
      <c r="AA161" s="131"/>
      <c r="AB161" s="134"/>
      <c r="AC161" s="134"/>
      <c r="AD161" s="134"/>
      <c r="AE161" s="134"/>
      <c r="AF161" s="134"/>
      <c r="AG161" s="134"/>
      <c r="AH161" s="135"/>
      <c r="AI161" s="135"/>
      <c r="AJ161" s="135"/>
      <c r="AK161" s="134"/>
      <c r="AL161" s="131"/>
      <c r="AM161" s="131"/>
      <c r="AN161" s="138" t="s">
        <v>745</v>
      </c>
    </row>
    <row r="162" spans="2:41" x14ac:dyDescent="0.25">
      <c r="B162" s="126">
        <f t="shared" si="22"/>
        <v>115</v>
      </c>
      <c r="C162" s="17">
        <v>20200508</v>
      </c>
      <c r="D162" s="17" t="s">
        <v>3</v>
      </c>
      <c r="E162" s="16" t="s">
        <v>621</v>
      </c>
      <c r="F162" s="80" t="s">
        <v>680</v>
      </c>
      <c r="G162" s="18">
        <v>1457196</v>
      </c>
      <c r="H162" s="57" t="s">
        <v>61</v>
      </c>
      <c r="I162" s="16" t="s">
        <v>622</v>
      </c>
      <c r="J162" s="57" t="s">
        <v>61</v>
      </c>
      <c r="K162" s="16" t="s">
        <v>161</v>
      </c>
      <c r="L162" s="16" t="s">
        <v>165</v>
      </c>
      <c r="M162" s="16" t="s">
        <v>165</v>
      </c>
      <c r="N162" s="16" t="s">
        <v>623</v>
      </c>
      <c r="O162" s="18" t="s">
        <v>61</v>
      </c>
      <c r="P162" s="18" t="s">
        <v>624</v>
      </c>
      <c r="Q162" s="19"/>
      <c r="R162" s="57" t="s">
        <v>61</v>
      </c>
      <c r="S162" s="16" t="s">
        <v>65</v>
      </c>
      <c r="T162" s="16"/>
      <c r="U162" s="16"/>
      <c r="V162" s="16">
        <v>107</v>
      </c>
      <c r="W162" s="16">
        <v>107</v>
      </c>
      <c r="X162" s="16">
        <v>107</v>
      </c>
      <c r="Y162" s="16">
        <f>ROUNDDOWN(W162/HLOOKUP(D162,Table!$C$3:$D$4,2,0)*8,2)</f>
        <v>1.9</v>
      </c>
      <c r="Z162" s="16">
        <v>0.5</v>
      </c>
      <c r="AA162" s="16" t="s">
        <v>74</v>
      </c>
      <c r="AB162" s="20">
        <v>43964</v>
      </c>
      <c r="AC162" s="20">
        <v>43959</v>
      </c>
      <c r="AD162" s="20">
        <v>43965</v>
      </c>
      <c r="AE162" s="20">
        <v>43962</v>
      </c>
      <c r="AF162" s="20">
        <v>43962</v>
      </c>
      <c r="AG162" s="20" t="s">
        <v>335</v>
      </c>
      <c r="AH162" s="32">
        <v>1</v>
      </c>
      <c r="AI162" s="32">
        <v>1</v>
      </c>
      <c r="AJ162" s="32">
        <v>1</v>
      </c>
      <c r="AK162" s="20" t="s">
        <v>165</v>
      </c>
      <c r="AL162" s="16" t="s">
        <v>61</v>
      </c>
      <c r="AM162" s="16" t="s">
        <v>61</v>
      </c>
      <c r="AN162" s="16" t="s">
        <v>61</v>
      </c>
    </row>
    <row r="163" spans="2:41" x14ac:dyDescent="0.25">
      <c r="B163" s="130">
        <f t="shared" si="22"/>
        <v>116</v>
      </c>
      <c r="C163" s="131">
        <v>20200508</v>
      </c>
      <c r="D163" s="17" t="s">
        <v>3</v>
      </c>
      <c r="E163" s="131" t="s">
        <v>621</v>
      </c>
      <c r="F163" s="132" t="s">
        <v>737</v>
      </c>
      <c r="G163" s="133">
        <v>1457196</v>
      </c>
      <c r="H163" s="57" t="s">
        <v>61</v>
      </c>
      <c r="I163" s="131" t="s">
        <v>691</v>
      </c>
      <c r="J163" s="57" t="s">
        <v>61</v>
      </c>
      <c r="K163" s="131" t="s">
        <v>161</v>
      </c>
      <c r="L163" s="131" t="s">
        <v>165</v>
      </c>
      <c r="M163" s="131" t="s">
        <v>165</v>
      </c>
      <c r="N163" s="131" t="s">
        <v>623</v>
      </c>
      <c r="O163" s="133" t="s">
        <v>61</v>
      </c>
      <c r="P163" s="133" t="s">
        <v>624</v>
      </c>
      <c r="Q163" s="131"/>
      <c r="R163" s="57" t="s">
        <v>61</v>
      </c>
      <c r="S163" s="131"/>
      <c r="T163" s="131"/>
      <c r="U163" s="131"/>
      <c r="V163" s="131"/>
      <c r="W163" s="131"/>
      <c r="X163" s="131"/>
      <c r="Y163" s="131"/>
      <c r="Z163" s="131"/>
      <c r="AA163" s="131"/>
      <c r="AB163" s="134"/>
      <c r="AC163" s="134"/>
      <c r="AD163" s="134"/>
      <c r="AE163" s="134"/>
      <c r="AF163" s="134"/>
      <c r="AG163" s="134"/>
      <c r="AH163" s="135"/>
      <c r="AI163" s="135"/>
      <c r="AJ163" s="135"/>
      <c r="AK163" s="134"/>
      <c r="AL163" s="131"/>
      <c r="AM163" s="131"/>
      <c r="AN163" s="139" t="s">
        <v>745</v>
      </c>
    </row>
    <row r="164" spans="2:41" x14ac:dyDescent="0.25">
      <c r="B164" s="130">
        <f t="shared" si="22"/>
        <v>117</v>
      </c>
      <c r="C164" s="131">
        <v>20200508</v>
      </c>
      <c r="D164" s="17" t="s">
        <v>3</v>
      </c>
      <c r="E164" s="131" t="s">
        <v>621</v>
      </c>
      <c r="F164" s="132" t="s">
        <v>738</v>
      </c>
      <c r="G164" s="133">
        <v>1457196</v>
      </c>
      <c r="H164" s="57" t="s">
        <v>61</v>
      </c>
      <c r="I164" s="131" t="s">
        <v>692</v>
      </c>
      <c r="J164" s="57" t="s">
        <v>61</v>
      </c>
      <c r="K164" s="131" t="s">
        <v>161</v>
      </c>
      <c r="L164" s="131" t="s">
        <v>165</v>
      </c>
      <c r="M164" s="131" t="s">
        <v>165</v>
      </c>
      <c r="N164" s="131" t="s">
        <v>623</v>
      </c>
      <c r="O164" s="133" t="s">
        <v>61</v>
      </c>
      <c r="P164" s="133" t="s">
        <v>624</v>
      </c>
      <c r="Q164" s="131"/>
      <c r="R164" s="57" t="s">
        <v>61</v>
      </c>
      <c r="S164" s="131"/>
      <c r="T164" s="131"/>
      <c r="U164" s="131"/>
      <c r="V164" s="131"/>
      <c r="W164" s="131"/>
      <c r="X164" s="131"/>
      <c r="Y164" s="131"/>
      <c r="Z164" s="131"/>
      <c r="AA164" s="131"/>
      <c r="AB164" s="134"/>
      <c r="AC164" s="134"/>
      <c r="AD164" s="134"/>
      <c r="AE164" s="134"/>
      <c r="AF164" s="134"/>
      <c r="AG164" s="134"/>
      <c r="AH164" s="135"/>
      <c r="AI164" s="135"/>
      <c r="AJ164" s="135"/>
      <c r="AK164" s="134"/>
      <c r="AL164" s="131"/>
      <c r="AM164" s="131"/>
      <c r="AN164" s="139" t="s">
        <v>745</v>
      </c>
    </row>
    <row r="165" spans="2:41" x14ac:dyDescent="0.25">
      <c r="B165" s="130">
        <f t="shared" si="22"/>
        <v>118</v>
      </c>
      <c r="C165" s="131">
        <v>20200508</v>
      </c>
      <c r="D165" s="17" t="s">
        <v>3</v>
      </c>
      <c r="E165" s="131" t="s">
        <v>621</v>
      </c>
      <c r="F165" s="132" t="s">
        <v>739</v>
      </c>
      <c r="G165" s="133">
        <v>1457196</v>
      </c>
      <c r="H165" s="57" t="s">
        <v>61</v>
      </c>
      <c r="I165" s="131" t="s">
        <v>693</v>
      </c>
      <c r="J165" s="57" t="s">
        <v>61</v>
      </c>
      <c r="K165" s="131" t="s">
        <v>161</v>
      </c>
      <c r="L165" s="131" t="s">
        <v>165</v>
      </c>
      <c r="M165" s="131" t="s">
        <v>165</v>
      </c>
      <c r="N165" s="131" t="s">
        <v>623</v>
      </c>
      <c r="O165" s="133" t="s">
        <v>61</v>
      </c>
      <c r="P165" s="133" t="s">
        <v>624</v>
      </c>
      <c r="Q165" s="131"/>
      <c r="R165" s="57" t="s">
        <v>61</v>
      </c>
      <c r="S165" s="131"/>
      <c r="T165" s="131"/>
      <c r="U165" s="131"/>
      <c r="V165" s="131"/>
      <c r="W165" s="131"/>
      <c r="X165" s="131"/>
      <c r="Y165" s="131"/>
      <c r="Z165" s="131"/>
      <c r="AA165" s="131"/>
      <c r="AB165" s="134"/>
      <c r="AC165" s="134"/>
      <c r="AD165" s="134"/>
      <c r="AE165" s="134"/>
      <c r="AF165" s="134"/>
      <c r="AG165" s="134"/>
      <c r="AH165" s="135"/>
      <c r="AI165" s="135"/>
      <c r="AJ165" s="135"/>
      <c r="AK165" s="134"/>
      <c r="AL165" s="131"/>
      <c r="AM165" s="131"/>
      <c r="AN165" s="139" t="s">
        <v>745</v>
      </c>
    </row>
    <row r="166" spans="2:41" x14ac:dyDescent="0.25">
      <c r="B166" s="130">
        <f t="shared" si="22"/>
        <v>119</v>
      </c>
      <c r="C166" s="131">
        <v>20200508</v>
      </c>
      <c r="D166" s="17" t="s">
        <v>3</v>
      </c>
      <c r="E166" s="131" t="s">
        <v>621</v>
      </c>
      <c r="F166" s="133" t="s">
        <v>962</v>
      </c>
      <c r="G166" s="133">
        <v>1457196</v>
      </c>
      <c r="H166" s="57" t="s">
        <v>61</v>
      </c>
      <c r="I166" s="131" t="s">
        <v>177</v>
      </c>
      <c r="J166" s="57" t="s">
        <v>61</v>
      </c>
      <c r="K166" s="131" t="s">
        <v>161</v>
      </c>
      <c r="L166" s="131" t="s">
        <v>165</v>
      </c>
      <c r="M166" s="131" t="s">
        <v>165</v>
      </c>
      <c r="N166" s="131" t="s">
        <v>623</v>
      </c>
      <c r="O166" s="133" t="s">
        <v>61</v>
      </c>
      <c r="P166" s="133" t="s">
        <v>624</v>
      </c>
      <c r="Q166" s="131"/>
      <c r="R166" s="57" t="s">
        <v>61</v>
      </c>
      <c r="S166" s="131"/>
      <c r="T166" s="131"/>
      <c r="U166" s="131"/>
      <c r="V166" s="131"/>
      <c r="W166" s="131"/>
      <c r="X166" s="131"/>
      <c r="Y166" s="131"/>
      <c r="Z166" s="131"/>
      <c r="AA166" s="131"/>
      <c r="AB166" s="134"/>
      <c r="AC166" s="134"/>
      <c r="AD166" s="134"/>
      <c r="AE166" s="134"/>
      <c r="AF166" s="134"/>
      <c r="AG166" s="134"/>
      <c r="AH166" s="135"/>
      <c r="AI166" s="135"/>
      <c r="AJ166" s="135"/>
      <c r="AK166" s="134"/>
      <c r="AL166" s="131"/>
      <c r="AM166" s="131"/>
      <c r="AN166" s="139" t="s">
        <v>745</v>
      </c>
    </row>
    <row r="167" spans="2:41" x14ac:dyDescent="0.25">
      <c r="B167" s="130">
        <f t="shared" si="22"/>
        <v>120</v>
      </c>
      <c r="C167" s="131">
        <v>20200508</v>
      </c>
      <c r="D167" s="17" t="s">
        <v>3</v>
      </c>
      <c r="E167" s="131" t="s">
        <v>621</v>
      </c>
      <c r="F167" s="133" t="s">
        <v>962</v>
      </c>
      <c r="G167" s="133">
        <v>1457196</v>
      </c>
      <c r="H167" s="57" t="s">
        <v>61</v>
      </c>
      <c r="I167" s="131" t="s">
        <v>178</v>
      </c>
      <c r="J167" s="57" t="s">
        <v>61</v>
      </c>
      <c r="K167" s="131" t="s">
        <v>161</v>
      </c>
      <c r="L167" s="131" t="s">
        <v>165</v>
      </c>
      <c r="M167" s="131" t="s">
        <v>165</v>
      </c>
      <c r="N167" s="131" t="s">
        <v>623</v>
      </c>
      <c r="O167" s="133" t="s">
        <v>61</v>
      </c>
      <c r="P167" s="133" t="s">
        <v>624</v>
      </c>
      <c r="Q167" s="131"/>
      <c r="R167" s="57" t="s">
        <v>61</v>
      </c>
      <c r="S167" s="131"/>
      <c r="T167" s="131"/>
      <c r="U167" s="131"/>
      <c r="V167" s="131"/>
      <c r="W167" s="131"/>
      <c r="X167" s="131"/>
      <c r="Y167" s="131"/>
      <c r="Z167" s="131"/>
      <c r="AA167" s="131"/>
      <c r="AB167" s="134"/>
      <c r="AC167" s="134"/>
      <c r="AD167" s="134"/>
      <c r="AE167" s="134"/>
      <c r="AF167" s="134"/>
      <c r="AG167" s="134"/>
      <c r="AH167" s="135"/>
      <c r="AI167" s="135"/>
      <c r="AJ167" s="135"/>
      <c r="AK167" s="134"/>
      <c r="AL167" s="131"/>
      <c r="AM167" s="131"/>
      <c r="AN167" s="139" t="s">
        <v>745</v>
      </c>
    </row>
    <row r="168" spans="2:41" x14ac:dyDescent="0.25">
      <c r="B168" s="126">
        <f t="shared" si="22"/>
        <v>121</v>
      </c>
      <c r="C168" s="17">
        <v>20200508</v>
      </c>
      <c r="D168" s="16" t="s">
        <v>3</v>
      </c>
      <c r="E168" s="16" t="s">
        <v>567</v>
      </c>
      <c r="F168" s="128" t="s">
        <v>699</v>
      </c>
      <c r="G168" s="18">
        <v>1457821</v>
      </c>
      <c r="H168" s="57" t="s">
        <v>61</v>
      </c>
      <c r="I168" s="16" t="s">
        <v>531</v>
      </c>
      <c r="J168" s="57" t="s">
        <v>61</v>
      </c>
      <c r="K168" s="16" t="s">
        <v>161</v>
      </c>
      <c r="L168" s="16" t="s">
        <v>568</v>
      </c>
      <c r="M168" s="16" t="s">
        <v>170</v>
      </c>
      <c r="N168" s="16" t="s">
        <v>175</v>
      </c>
      <c r="O168" s="18" t="s">
        <v>61</v>
      </c>
      <c r="P168" s="18" t="s">
        <v>344</v>
      </c>
      <c r="Q168" s="19"/>
      <c r="R168" s="57" t="s">
        <v>61</v>
      </c>
      <c r="S168" s="16" t="s">
        <v>6</v>
      </c>
      <c r="T168" s="16"/>
      <c r="U168" s="16"/>
      <c r="V168" s="16">
        <v>1009</v>
      </c>
      <c r="W168" s="16">
        <f t="shared" ref="W168:X192" si="30">V168</f>
        <v>1009</v>
      </c>
      <c r="X168" s="16">
        <f>W168</f>
        <v>1009</v>
      </c>
      <c r="Y168" s="16">
        <f>ROUNDDOWN(W168/HLOOKUP(D168,Table!$C$3:$D$4,2,0)*8,2)</f>
        <v>17.93</v>
      </c>
      <c r="Z168" s="16">
        <v>5</v>
      </c>
      <c r="AA168" s="16" t="s">
        <v>74</v>
      </c>
      <c r="AB168" s="127">
        <v>43963</v>
      </c>
      <c r="AC168" s="127">
        <v>43959</v>
      </c>
      <c r="AD168" s="127">
        <v>43962</v>
      </c>
      <c r="AE168" s="20">
        <v>43963</v>
      </c>
      <c r="AF168" s="20">
        <v>43963</v>
      </c>
      <c r="AG168" s="20" t="s">
        <v>335</v>
      </c>
      <c r="AH168" s="32">
        <v>0.96</v>
      </c>
      <c r="AI168" s="32">
        <v>0.95</v>
      </c>
      <c r="AJ168" s="32">
        <v>1</v>
      </c>
      <c r="AK168" s="20" t="s">
        <v>149</v>
      </c>
      <c r="AL168" s="16" t="s">
        <v>768</v>
      </c>
      <c r="AM168" s="16"/>
      <c r="AN168" s="16" t="s">
        <v>767</v>
      </c>
    </row>
    <row r="169" spans="2:41" x14ac:dyDescent="0.25">
      <c r="B169" s="126">
        <f t="shared" si="22"/>
        <v>122</v>
      </c>
      <c r="C169" s="17">
        <v>20200508</v>
      </c>
      <c r="D169" s="16" t="s">
        <v>3</v>
      </c>
      <c r="E169" s="16" t="s">
        <v>567</v>
      </c>
      <c r="F169" s="128" t="s">
        <v>740</v>
      </c>
      <c r="G169" s="18">
        <v>1458024</v>
      </c>
      <c r="H169" s="57" t="s">
        <v>61</v>
      </c>
      <c r="I169" s="16" t="s">
        <v>694</v>
      </c>
      <c r="J169" s="57" t="s">
        <v>61</v>
      </c>
      <c r="K169" s="16" t="s">
        <v>161</v>
      </c>
      <c r="L169" s="16" t="s">
        <v>568</v>
      </c>
      <c r="M169" s="16" t="s">
        <v>170</v>
      </c>
      <c r="N169" s="16" t="s">
        <v>175</v>
      </c>
      <c r="O169" s="18" t="s">
        <v>61</v>
      </c>
      <c r="P169" s="18" t="s">
        <v>344</v>
      </c>
      <c r="Q169" s="19"/>
      <c r="R169" s="57" t="s">
        <v>61</v>
      </c>
      <c r="S169" s="16" t="s">
        <v>157</v>
      </c>
      <c r="T169" s="16"/>
      <c r="U169" s="16"/>
      <c r="V169" s="16">
        <v>90</v>
      </c>
      <c r="W169" s="16">
        <f t="shared" si="30"/>
        <v>90</v>
      </c>
      <c r="X169" s="16">
        <f t="shared" ref="X169:X172" si="31">W169</f>
        <v>90</v>
      </c>
      <c r="Y169" s="16">
        <f>ROUNDDOWN(W169/HLOOKUP(D169,Table!$C$3:$D$4,2,0)*8,2)</f>
        <v>1.6</v>
      </c>
      <c r="Z169" s="16">
        <v>0.15</v>
      </c>
      <c r="AA169" s="16" t="s">
        <v>74</v>
      </c>
      <c r="AB169" s="127">
        <v>43963</v>
      </c>
      <c r="AC169" s="127">
        <v>43959</v>
      </c>
      <c r="AD169" s="127">
        <v>43962</v>
      </c>
      <c r="AE169" s="20">
        <v>43963</v>
      </c>
      <c r="AF169" s="20">
        <v>43963</v>
      </c>
      <c r="AG169" s="20" t="s">
        <v>335</v>
      </c>
      <c r="AH169" s="32">
        <v>1</v>
      </c>
      <c r="AI169" s="32">
        <v>1</v>
      </c>
      <c r="AJ169" s="32">
        <v>1</v>
      </c>
      <c r="AK169" s="20" t="s">
        <v>165</v>
      </c>
      <c r="AL169" s="16" t="s">
        <v>61</v>
      </c>
      <c r="AM169" s="16" t="s">
        <v>61</v>
      </c>
      <c r="AN169" s="16" t="s">
        <v>744</v>
      </c>
    </row>
    <row r="170" spans="2:41" x14ac:dyDescent="0.25">
      <c r="B170" s="126">
        <f t="shared" si="22"/>
        <v>123</v>
      </c>
      <c r="C170" s="17">
        <v>20200508</v>
      </c>
      <c r="D170" s="16" t="s">
        <v>3</v>
      </c>
      <c r="E170" s="16" t="s">
        <v>682</v>
      </c>
      <c r="F170" s="80" t="s">
        <v>741</v>
      </c>
      <c r="G170" s="18">
        <v>1413974</v>
      </c>
      <c r="H170" s="57" t="s">
        <v>61</v>
      </c>
      <c r="I170" s="16" t="s">
        <v>695</v>
      </c>
      <c r="J170" s="57" t="s">
        <v>61</v>
      </c>
      <c r="K170" s="16" t="s">
        <v>161</v>
      </c>
      <c r="L170" s="16" t="s">
        <v>697</v>
      </c>
      <c r="M170" s="16" t="s">
        <v>684</v>
      </c>
      <c r="N170" s="16" t="s">
        <v>348</v>
      </c>
      <c r="O170" s="18" t="s">
        <v>61</v>
      </c>
      <c r="P170" s="18" t="s">
        <v>343</v>
      </c>
      <c r="Q170" s="19"/>
      <c r="R170" s="57" t="s">
        <v>61</v>
      </c>
      <c r="S170" s="16" t="s">
        <v>157</v>
      </c>
      <c r="T170" s="16"/>
      <c r="U170" s="16"/>
      <c r="V170" s="16">
        <v>36</v>
      </c>
      <c r="W170" s="16">
        <f t="shared" si="30"/>
        <v>36</v>
      </c>
      <c r="X170" s="16">
        <f t="shared" si="31"/>
        <v>36</v>
      </c>
      <c r="Y170" s="16">
        <f>ROUNDDOWN(W170/HLOOKUP(D170,Table!$C$3:$D$4,2,0)*8,2)</f>
        <v>0.64</v>
      </c>
      <c r="Z170" s="16">
        <v>0.12</v>
      </c>
      <c r="AA170" s="16" t="s">
        <v>74</v>
      </c>
      <c r="AB170" s="127">
        <v>43963</v>
      </c>
      <c r="AC170" s="127">
        <v>43959</v>
      </c>
      <c r="AD170" s="127">
        <v>43962</v>
      </c>
      <c r="AE170" s="20">
        <v>43963</v>
      </c>
      <c r="AF170" s="20">
        <v>43963</v>
      </c>
      <c r="AG170" s="20" t="s">
        <v>335</v>
      </c>
      <c r="AH170" s="32">
        <v>1</v>
      </c>
      <c r="AI170" s="32">
        <v>1</v>
      </c>
      <c r="AJ170" s="32">
        <v>1</v>
      </c>
      <c r="AK170" s="20" t="s">
        <v>165</v>
      </c>
      <c r="AL170" s="16" t="s">
        <v>61</v>
      </c>
      <c r="AM170" s="16" t="s">
        <v>61</v>
      </c>
      <c r="AN170" s="16" t="s">
        <v>61</v>
      </c>
    </row>
    <row r="171" spans="2:41" x14ac:dyDescent="0.25">
      <c r="B171" s="126">
        <f t="shared" si="22"/>
        <v>124</v>
      </c>
      <c r="C171" s="17">
        <v>20200508</v>
      </c>
      <c r="D171" s="16" t="s">
        <v>3</v>
      </c>
      <c r="E171" s="16" t="s">
        <v>682</v>
      </c>
      <c r="F171" s="80" t="s">
        <v>742</v>
      </c>
      <c r="G171" s="18">
        <v>1413974</v>
      </c>
      <c r="H171" s="57" t="s">
        <v>61</v>
      </c>
      <c r="I171" s="16" t="s">
        <v>536</v>
      </c>
      <c r="J171" s="57" t="s">
        <v>61</v>
      </c>
      <c r="K171" s="16" t="s">
        <v>161</v>
      </c>
      <c r="L171" s="16" t="s">
        <v>697</v>
      </c>
      <c r="M171" s="16" t="s">
        <v>684</v>
      </c>
      <c r="N171" s="16" t="s">
        <v>348</v>
      </c>
      <c r="O171" s="18" t="s">
        <v>61</v>
      </c>
      <c r="P171" s="18" t="s">
        <v>343</v>
      </c>
      <c r="Q171" s="19"/>
      <c r="R171" s="57" t="s">
        <v>61</v>
      </c>
      <c r="S171" s="16" t="s">
        <v>65</v>
      </c>
      <c r="T171" s="16"/>
      <c r="U171" s="16"/>
      <c r="V171" s="16">
        <v>236</v>
      </c>
      <c r="W171" s="16">
        <f t="shared" si="30"/>
        <v>236</v>
      </c>
      <c r="X171" s="16">
        <f t="shared" si="31"/>
        <v>236</v>
      </c>
      <c r="Y171" s="16">
        <f>ROUNDDOWN(W171/HLOOKUP(D171,Table!$C$3:$D$4,2,0)*8,2)</f>
        <v>4.1900000000000004</v>
      </c>
      <c r="Z171" s="16">
        <v>0.5</v>
      </c>
      <c r="AA171" s="16" t="s">
        <v>74</v>
      </c>
      <c r="AB171" s="127">
        <v>43963</v>
      </c>
      <c r="AC171" s="127">
        <v>43959</v>
      </c>
      <c r="AD171" s="127">
        <v>43962</v>
      </c>
      <c r="AE171" s="20">
        <v>43963</v>
      </c>
      <c r="AF171" s="20">
        <v>43963</v>
      </c>
      <c r="AG171" s="20" t="s">
        <v>335</v>
      </c>
      <c r="AH171" s="32">
        <v>1</v>
      </c>
      <c r="AI171" s="32">
        <v>1</v>
      </c>
      <c r="AJ171" s="32">
        <v>1</v>
      </c>
      <c r="AK171" s="20" t="s">
        <v>165</v>
      </c>
      <c r="AL171" s="16" t="s">
        <v>61</v>
      </c>
      <c r="AM171" s="16" t="s">
        <v>61</v>
      </c>
      <c r="AN171" s="16" t="s">
        <v>61</v>
      </c>
    </row>
    <row r="172" spans="2:41" x14ac:dyDescent="0.25">
      <c r="B172" s="126">
        <f t="shared" si="22"/>
        <v>125</v>
      </c>
      <c r="C172" s="17">
        <v>20200508</v>
      </c>
      <c r="D172" s="16" t="s">
        <v>3</v>
      </c>
      <c r="E172" s="16" t="s">
        <v>683</v>
      </c>
      <c r="F172" s="80" t="s">
        <v>743</v>
      </c>
      <c r="G172" s="18">
        <v>1458032</v>
      </c>
      <c r="H172" s="57" t="s">
        <v>61</v>
      </c>
      <c r="I172" s="16" t="s">
        <v>696</v>
      </c>
      <c r="J172" s="57" t="s">
        <v>61</v>
      </c>
      <c r="K172" s="16" t="s">
        <v>161</v>
      </c>
      <c r="L172" s="16" t="s">
        <v>568</v>
      </c>
      <c r="M172" s="16" t="s">
        <v>341</v>
      </c>
      <c r="N172" s="16" t="s">
        <v>175</v>
      </c>
      <c r="O172" s="18" t="s">
        <v>61</v>
      </c>
      <c r="P172" s="18" t="s">
        <v>330</v>
      </c>
      <c r="Q172" s="19"/>
      <c r="R172" s="57" t="s">
        <v>61</v>
      </c>
      <c r="S172" s="16" t="s">
        <v>157</v>
      </c>
      <c r="T172" s="16"/>
      <c r="U172" s="16"/>
      <c r="V172" s="16">
        <v>63</v>
      </c>
      <c r="W172" s="16">
        <f t="shared" si="30"/>
        <v>63</v>
      </c>
      <c r="X172" s="16">
        <f t="shared" si="31"/>
        <v>63</v>
      </c>
      <c r="Y172" s="16">
        <f>ROUNDDOWN(W172/HLOOKUP(D172,Table!$C$3:$D$4,2,0)*8,2)</f>
        <v>1.1200000000000001</v>
      </c>
      <c r="Z172" s="16">
        <v>0.12</v>
      </c>
      <c r="AA172" s="16" t="s">
        <v>74</v>
      </c>
      <c r="AB172" s="127">
        <v>43963</v>
      </c>
      <c r="AC172" s="127">
        <v>43959</v>
      </c>
      <c r="AD172" s="127">
        <v>43962</v>
      </c>
      <c r="AE172" s="20">
        <v>43963</v>
      </c>
      <c r="AF172" s="20">
        <v>43963</v>
      </c>
      <c r="AG172" s="20" t="s">
        <v>335</v>
      </c>
      <c r="AH172" s="32">
        <v>1</v>
      </c>
      <c r="AI172" s="32">
        <v>1</v>
      </c>
      <c r="AJ172" s="32">
        <v>1</v>
      </c>
      <c r="AK172" s="20" t="s">
        <v>165</v>
      </c>
      <c r="AL172" s="16" t="s">
        <v>61</v>
      </c>
      <c r="AM172" s="16" t="s">
        <v>61</v>
      </c>
      <c r="AN172" s="32" t="s">
        <v>61</v>
      </c>
    </row>
    <row r="173" spans="2:41" x14ac:dyDescent="0.25">
      <c r="B173" s="129">
        <f t="shared" si="22"/>
        <v>126</v>
      </c>
      <c r="C173" s="17">
        <v>20200511</v>
      </c>
      <c r="D173" s="16" t="s">
        <v>2</v>
      </c>
      <c r="E173" s="16" t="s">
        <v>700</v>
      </c>
      <c r="F173" s="18" t="s">
        <v>61</v>
      </c>
      <c r="G173" s="18">
        <v>1460003</v>
      </c>
      <c r="H173" s="57" t="s">
        <v>61</v>
      </c>
      <c r="I173" s="16" t="s">
        <v>703</v>
      </c>
      <c r="J173" s="57" t="s">
        <v>61</v>
      </c>
      <c r="K173" s="16" t="s">
        <v>161</v>
      </c>
      <c r="L173" s="16" t="s">
        <v>165</v>
      </c>
      <c r="M173" s="16" t="s">
        <v>165</v>
      </c>
      <c r="N173" s="16" t="s">
        <v>751</v>
      </c>
      <c r="O173" s="18" t="s">
        <v>709</v>
      </c>
      <c r="P173" s="18" t="s">
        <v>712</v>
      </c>
      <c r="Q173" s="19"/>
      <c r="R173" s="57" t="s">
        <v>61</v>
      </c>
      <c r="S173" s="16" t="s">
        <v>157</v>
      </c>
      <c r="T173" s="16"/>
      <c r="U173" s="16"/>
      <c r="V173" s="16">
        <v>23</v>
      </c>
      <c r="W173" s="16">
        <f t="shared" si="30"/>
        <v>23</v>
      </c>
      <c r="X173" s="16">
        <f>W173</f>
        <v>23</v>
      </c>
      <c r="Y173" s="16">
        <f>ROUNDDOWN(W173/HLOOKUP(D173,Table!$C$3:$D$4,2,0)*8,2)</f>
        <v>1.41</v>
      </c>
      <c r="Z173" s="16">
        <v>2</v>
      </c>
      <c r="AA173" s="16" t="s">
        <v>74</v>
      </c>
      <c r="AB173" s="20">
        <v>43966</v>
      </c>
      <c r="AC173" s="20">
        <v>43962</v>
      </c>
      <c r="AD173" s="20">
        <v>43966</v>
      </c>
      <c r="AE173" s="20">
        <v>43965</v>
      </c>
      <c r="AF173" s="20">
        <v>43965</v>
      </c>
      <c r="AG173" s="20" t="s">
        <v>336</v>
      </c>
      <c r="AH173" s="32">
        <v>0.9</v>
      </c>
      <c r="AI173" s="32">
        <v>0.92300000000000004</v>
      </c>
      <c r="AJ173" s="32">
        <v>1</v>
      </c>
      <c r="AK173" s="20" t="s">
        <v>149</v>
      </c>
      <c r="AL173" s="16" t="s">
        <v>783</v>
      </c>
      <c r="AM173" s="16" t="s">
        <v>61</v>
      </c>
      <c r="AN173" s="16" t="s">
        <v>448</v>
      </c>
    </row>
    <row r="174" spans="2:41" x14ac:dyDescent="0.25">
      <c r="B174" s="129">
        <f t="shared" si="22"/>
        <v>127</v>
      </c>
      <c r="C174" s="17">
        <v>20200511</v>
      </c>
      <c r="D174" s="16" t="s">
        <v>2</v>
      </c>
      <c r="E174" s="16" t="s">
        <v>700</v>
      </c>
      <c r="F174" s="18" t="s">
        <v>61</v>
      </c>
      <c r="G174" s="18">
        <v>1460003</v>
      </c>
      <c r="H174" s="57" t="s">
        <v>61</v>
      </c>
      <c r="I174" s="16" t="s">
        <v>704</v>
      </c>
      <c r="J174" s="57" t="s">
        <v>61</v>
      </c>
      <c r="K174" s="16" t="s">
        <v>161</v>
      </c>
      <c r="L174" s="16" t="s">
        <v>165</v>
      </c>
      <c r="M174" s="16" t="s">
        <v>165</v>
      </c>
      <c r="N174" s="16" t="s">
        <v>751</v>
      </c>
      <c r="O174" s="18" t="s">
        <v>709</v>
      </c>
      <c r="P174" s="18" t="s">
        <v>712</v>
      </c>
      <c r="Q174" s="19"/>
      <c r="R174" s="57" t="s">
        <v>61</v>
      </c>
      <c r="S174" s="16" t="s">
        <v>157</v>
      </c>
      <c r="T174" s="16"/>
      <c r="U174" s="16"/>
      <c r="V174" s="16">
        <v>23</v>
      </c>
      <c r="W174" s="16">
        <f t="shared" si="30"/>
        <v>23</v>
      </c>
      <c r="X174" s="16">
        <f t="shared" si="30"/>
        <v>23</v>
      </c>
      <c r="Y174" s="16">
        <f>ROUNDDOWN(W174/HLOOKUP(D174,Table!$C$3:$D$4,2,0)*8,2)</f>
        <v>1.41</v>
      </c>
      <c r="Z174" s="16">
        <v>1.5</v>
      </c>
      <c r="AA174" s="16" t="s">
        <v>74</v>
      </c>
      <c r="AB174" s="20">
        <v>43966</v>
      </c>
      <c r="AC174" s="20">
        <v>43962</v>
      </c>
      <c r="AD174" s="20">
        <v>43966</v>
      </c>
      <c r="AE174" s="20">
        <v>43965</v>
      </c>
      <c r="AF174" s="20">
        <v>43965</v>
      </c>
      <c r="AG174" s="20" t="s">
        <v>336</v>
      </c>
      <c r="AH174" s="32">
        <v>0.9</v>
      </c>
      <c r="AI174" s="32">
        <v>0.92300000000000004</v>
      </c>
      <c r="AJ174" s="32">
        <v>1</v>
      </c>
      <c r="AK174" s="20" t="s">
        <v>149</v>
      </c>
      <c r="AL174" s="16" t="s">
        <v>783</v>
      </c>
      <c r="AM174" s="16" t="s">
        <v>61</v>
      </c>
      <c r="AN174" s="16" t="s">
        <v>448</v>
      </c>
    </row>
    <row r="175" spans="2:41" x14ac:dyDescent="0.25">
      <c r="B175" s="129">
        <f t="shared" si="22"/>
        <v>128</v>
      </c>
      <c r="C175" s="17">
        <v>20200511</v>
      </c>
      <c r="D175" s="16" t="s">
        <v>2</v>
      </c>
      <c r="E175" s="16" t="s">
        <v>700</v>
      </c>
      <c r="F175" s="18" t="s">
        <v>61</v>
      </c>
      <c r="G175" s="18">
        <v>1460003</v>
      </c>
      <c r="H175" s="57" t="s">
        <v>61</v>
      </c>
      <c r="I175" s="16" t="s">
        <v>705</v>
      </c>
      <c r="J175" s="57" t="s">
        <v>61</v>
      </c>
      <c r="K175" s="16" t="s">
        <v>161</v>
      </c>
      <c r="L175" s="16" t="s">
        <v>165</v>
      </c>
      <c r="M175" s="16" t="s">
        <v>165</v>
      </c>
      <c r="N175" s="16" t="s">
        <v>751</v>
      </c>
      <c r="O175" s="18" t="s">
        <v>710</v>
      </c>
      <c r="P175" s="18" t="s">
        <v>712</v>
      </c>
      <c r="Q175" s="19"/>
      <c r="R175" s="57" t="s">
        <v>61</v>
      </c>
      <c r="S175" s="98" t="s">
        <v>157</v>
      </c>
      <c r="T175" s="16"/>
      <c r="U175" s="16"/>
      <c r="V175" s="16">
        <v>51</v>
      </c>
      <c r="W175" s="16">
        <f t="shared" si="30"/>
        <v>51</v>
      </c>
      <c r="X175" s="16">
        <f>W175</f>
        <v>51</v>
      </c>
      <c r="Y175" s="16">
        <f>ROUNDDOWN(W175/HLOOKUP(D175,Table!$C$3:$D$4,2,0)*8,2)</f>
        <v>3.13</v>
      </c>
      <c r="Z175" s="16">
        <v>8</v>
      </c>
      <c r="AA175" s="16" t="s">
        <v>74</v>
      </c>
      <c r="AB175" s="20">
        <v>43969</v>
      </c>
      <c r="AC175" s="20">
        <v>43962</v>
      </c>
      <c r="AD175" s="20">
        <v>43970</v>
      </c>
      <c r="AE175" s="20">
        <v>43966</v>
      </c>
      <c r="AF175" s="20">
        <v>43966</v>
      </c>
      <c r="AG175" s="20" t="s">
        <v>335</v>
      </c>
      <c r="AH175" s="32">
        <v>1</v>
      </c>
      <c r="AI175" s="32">
        <v>1</v>
      </c>
      <c r="AJ175" s="32">
        <v>1</v>
      </c>
      <c r="AK175" s="20" t="s">
        <v>165</v>
      </c>
      <c r="AL175" s="18" t="s">
        <v>61</v>
      </c>
      <c r="AM175" s="16" t="s">
        <v>61</v>
      </c>
      <c r="AN175" s="16" t="s">
        <v>61</v>
      </c>
    </row>
    <row r="176" spans="2:41" x14ac:dyDescent="0.25">
      <c r="B176" s="129">
        <f t="shared" si="22"/>
        <v>129</v>
      </c>
      <c r="C176" s="17">
        <v>20200511</v>
      </c>
      <c r="D176" s="16" t="s">
        <v>3</v>
      </c>
      <c r="E176" s="16" t="s">
        <v>701</v>
      </c>
      <c r="F176" s="80" t="s">
        <v>752</v>
      </c>
      <c r="G176" s="18">
        <v>1461444</v>
      </c>
      <c r="H176" s="57" t="s">
        <v>61</v>
      </c>
      <c r="I176" s="16" t="s">
        <v>706</v>
      </c>
      <c r="J176" s="57" t="s">
        <v>61</v>
      </c>
      <c r="K176" s="16" t="s">
        <v>161</v>
      </c>
      <c r="L176" s="16" t="s">
        <v>165</v>
      </c>
      <c r="M176" s="16" t="s">
        <v>702</v>
      </c>
      <c r="N176" s="16" t="s">
        <v>711</v>
      </c>
      <c r="O176" s="18" t="s">
        <v>61</v>
      </c>
      <c r="P176" s="18" t="s">
        <v>713</v>
      </c>
      <c r="Q176" s="19"/>
      <c r="R176" s="57" t="s">
        <v>61</v>
      </c>
      <c r="S176" s="16" t="s">
        <v>65</v>
      </c>
      <c r="T176" s="16"/>
      <c r="U176" s="16"/>
      <c r="V176" s="16">
        <v>134</v>
      </c>
      <c r="W176" s="16">
        <f t="shared" si="30"/>
        <v>134</v>
      </c>
      <c r="X176" s="16">
        <f t="shared" ref="X176:X186" si="32">W176</f>
        <v>134</v>
      </c>
      <c r="Y176" s="16">
        <f>ROUNDDOWN(W176/HLOOKUP(D176,Table!$C$3:$D$4,2,0)*8,2)</f>
        <v>2.38</v>
      </c>
      <c r="Z176" s="16">
        <v>1</v>
      </c>
      <c r="AA176" s="16" t="s">
        <v>74</v>
      </c>
      <c r="AB176" s="20">
        <v>43966</v>
      </c>
      <c r="AC176" s="20">
        <v>43962</v>
      </c>
      <c r="AD176" s="20">
        <v>43966</v>
      </c>
      <c r="AE176" s="20">
        <v>43966</v>
      </c>
      <c r="AF176" s="20">
        <v>43966</v>
      </c>
      <c r="AG176" s="20" t="s">
        <v>335</v>
      </c>
      <c r="AH176" s="32">
        <v>1</v>
      </c>
      <c r="AI176" s="32">
        <v>1</v>
      </c>
      <c r="AJ176" s="32">
        <v>1</v>
      </c>
      <c r="AK176" s="20" t="s">
        <v>165</v>
      </c>
      <c r="AL176" s="16" t="s">
        <v>61</v>
      </c>
      <c r="AM176" s="16" t="s">
        <v>61</v>
      </c>
      <c r="AN176" s="16" t="s">
        <v>61</v>
      </c>
      <c r="AO176" s="177" t="s">
        <v>701</v>
      </c>
    </row>
    <row r="177" spans="2:40" x14ac:dyDescent="0.25">
      <c r="B177" s="129">
        <f t="shared" ref="B177:B240" si="33">B176+1</f>
        <v>130</v>
      </c>
      <c r="C177" s="17">
        <v>20200511</v>
      </c>
      <c r="D177" s="16" t="s">
        <v>3</v>
      </c>
      <c r="E177" s="16" t="s">
        <v>701</v>
      </c>
      <c r="F177" s="80" t="s">
        <v>753</v>
      </c>
      <c r="G177" s="18">
        <v>1461444</v>
      </c>
      <c r="H177" s="57" t="s">
        <v>61</v>
      </c>
      <c r="I177" s="16" t="s">
        <v>707</v>
      </c>
      <c r="J177" s="57" t="s">
        <v>61</v>
      </c>
      <c r="K177" s="16" t="s">
        <v>161</v>
      </c>
      <c r="L177" s="16" t="s">
        <v>165</v>
      </c>
      <c r="M177" s="16" t="s">
        <v>702</v>
      </c>
      <c r="N177" s="16" t="s">
        <v>711</v>
      </c>
      <c r="O177" s="18" t="s">
        <v>61</v>
      </c>
      <c r="P177" s="18" t="s">
        <v>713</v>
      </c>
      <c r="Q177" s="19"/>
      <c r="R177" s="57" t="s">
        <v>61</v>
      </c>
      <c r="S177" s="16" t="s">
        <v>65</v>
      </c>
      <c r="T177" s="16"/>
      <c r="U177" s="16"/>
      <c r="V177" s="16">
        <v>200</v>
      </c>
      <c r="W177" s="16">
        <f t="shared" si="30"/>
        <v>200</v>
      </c>
      <c r="X177" s="16">
        <f t="shared" si="32"/>
        <v>200</v>
      </c>
      <c r="Y177" s="16">
        <f>ROUNDDOWN(W177/HLOOKUP(D177,Table!$C$3:$D$4,2,0)*8,2)</f>
        <v>3.55</v>
      </c>
      <c r="Z177" s="16">
        <v>1</v>
      </c>
      <c r="AA177" s="16" t="s">
        <v>74</v>
      </c>
      <c r="AB177" s="20">
        <v>43966</v>
      </c>
      <c r="AC177" s="20">
        <v>43962</v>
      </c>
      <c r="AD177" s="20">
        <v>43966</v>
      </c>
      <c r="AE177" s="20">
        <v>43966</v>
      </c>
      <c r="AF177" s="20">
        <v>43966</v>
      </c>
      <c r="AG177" s="20" t="s">
        <v>335</v>
      </c>
      <c r="AH177" s="32">
        <v>1</v>
      </c>
      <c r="AI177" s="32">
        <v>1</v>
      </c>
      <c r="AJ177" s="32">
        <v>1</v>
      </c>
      <c r="AK177" s="20" t="s">
        <v>165</v>
      </c>
      <c r="AL177" s="16" t="s">
        <v>61</v>
      </c>
      <c r="AM177" s="16" t="s">
        <v>61</v>
      </c>
      <c r="AN177" s="16" t="s">
        <v>61</v>
      </c>
    </row>
    <row r="178" spans="2:40" x14ac:dyDescent="0.25">
      <c r="B178" s="129">
        <f t="shared" si="33"/>
        <v>131</v>
      </c>
      <c r="C178" s="17">
        <v>20200511</v>
      </c>
      <c r="D178" s="16" t="s">
        <v>3</v>
      </c>
      <c r="E178" s="16" t="s">
        <v>701</v>
      </c>
      <c r="F178" s="80" t="s">
        <v>754</v>
      </c>
      <c r="G178" s="18">
        <v>1461444</v>
      </c>
      <c r="H178" s="57" t="s">
        <v>61</v>
      </c>
      <c r="I178" s="16" t="s">
        <v>176</v>
      </c>
      <c r="J178" s="57" t="s">
        <v>61</v>
      </c>
      <c r="K178" s="16" t="s">
        <v>161</v>
      </c>
      <c r="L178" s="16" t="s">
        <v>165</v>
      </c>
      <c r="M178" s="16" t="s">
        <v>702</v>
      </c>
      <c r="N178" s="16" t="s">
        <v>711</v>
      </c>
      <c r="O178" s="18" t="s">
        <v>61</v>
      </c>
      <c r="P178" s="18" t="s">
        <v>713</v>
      </c>
      <c r="Q178" s="19"/>
      <c r="R178" s="57" t="s">
        <v>61</v>
      </c>
      <c r="S178" s="16" t="s">
        <v>65</v>
      </c>
      <c r="T178" s="16"/>
      <c r="U178" s="16"/>
      <c r="V178" s="16">
        <v>145</v>
      </c>
      <c r="W178" s="16">
        <f t="shared" si="30"/>
        <v>145</v>
      </c>
      <c r="X178" s="16">
        <f t="shared" si="32"/>
        <v>145</v>
      </c>
      <c r="Y178" s="16">
        <f>ROUNDDOWN(W178/HLOOKUP(D178,Table!$C$3:$D$4,2,0)*8,2)</f>
        <v>2.57</v>
      </c>
      <c r="Z178" s="16">
        <v>1</v>
      </c>
      <c r="AA178" s="16" t="s">
        <v>74</v>
      </c>
      <c r="AB178" s="20">
        <v>43966</v>
      </c>
      <c r="AC178" s="20">
        <v>43962</v>
      </c>
      <c r="AD178" s="20">
        <v>43966</v>
      </c>
      <c r="AE178" s="20">
        <v>43966</v>
      </c>
      <c r="AF178" s="20">
        <v>43966</v>
      </c>
      <c r="AG178" s="20" t="s">
        <v>335</v>
      </c>
      <c r="AH178" s="32">
        <v>1</v>
      </c>
      <c r="AI178" s="32">
        <v>1</v>
      </c>
      <c r="AJ178" s="32">
        <v>1</v>
      </c>
      <c r="AK178" s="20" t="s">
        <v>165</v>
      </c>
      <c r="AL178" s="16" t="s">
        <v>61</v>
      </c>
      <c r="AM178" s="16" t="s">
        <v>61</v>
      </c>
      <c r="AN178" s="16" t="s">
        <v>61</v>
      </c>
    </row>
    <row r="179" spans="2:40" x14ac:dyDescent="0.25">
      <c r="B179" s="129">
        <f t="shared" si="33"/>
        <v>132</v>
      </c>
      <c r="C179" s="17">
        <v>20200511</v>
      </c>
      <c r="D179" s="16" t="s">
        <v>3</v>
      </c>
      <c r="E179" s="16" t="s">
        <v>701</v>
      </c>
      <c r="F179" s="80" t="s">
        <v>755</v>
      </c>
      <c r="G179" s="18">
        <v>1461444</v>
      </c>
      <c r="H179" s="57" t="s">
        <v>61</v>
      </c>
      <c r="I179" s="16" t="s">
        <v>172</v>
      </c>
      <c r="J179" s="57" t="s">
        <v>61</v>
      </c>
      <c r="K179" s="16" t="s">
        <v>161</v>
      </c>
      <c r="L179" s="16" t="s">
        <v>165</v>
      </c>
      <c r="M179" s="16" t="s">
        <v>702</v>
      </c>
      <c r="N179" s="16" t="s">
        <v>711</v>
      </c>
      <c r="O179" s="18" t="s">
        <v>61</v>
      </c>
      <c r="P179" s="18" t="s">
        <v>713</v>
      </c>
      <c r="Q179" s="19"/>
      <c r="R179" s="57" t="s">
        <v>61</v>
      </c>
      <c r="S179" s="16" t="s">
        <v>65</v>
      </c>
      <c r="T179" s="16"/>
      <c r="U179" s="16"/>
      <c r="V179" s="16">
        <v>124</v>
      </c>
      <c r="W179" s="16">
        <f t="shared" si="30"/>
        <v>124</v>
      </c>
      <c r="X179" s="16">
        <f t="shared" si="32"/>
        <v>124</v>
      </c>
      <c r="Y179" s="16">
        <f>ROUNDDOWN(W179/HLOOKUP(D179,Table!$C$3:$D$4,2,0)*8,2)</f>
        <v>2.2000000000000002</v>
      </c>
      <c r="Z179" s="16">
        <v>1</v>
      </c>
      <c r="AA179" s="16" t="s">
        <v>74</v>
      </c>
      <c r="AB179" s="20">
        <v>43966</v>
      </c>
      <c r="AC179" s="20">
        <v>43962</v>
      </c>
      <c r="AD179" s="20">
        <v>43966</v>
      </c>
      <c r="AE179" s="20">
        <v>43966</v>
      </c>
      <c r="AF179" s="20">
        <v>43966</v>
      </c>
      <c r="AG179" s="20" t="s">
        <v>336</v>
      </c>
      <c r="AH179" s="32">
        <v>1</v>
      </c>
      <c r="AI179" s="32">
        <v>0.92</v>
      </c>
      <c r="AJ179" s="32">
        <v>1</v>
      </c>
      <c r="AK179" s="20" t="s">
        <v>149</v>
      </c>
      <c r="AL179" s="16" t="s">
        <v>883</v>
      </c>
      <c r="AM179" s="16" t="s">
        <v>61</v>
      </c>
      <c r="AN179" s="16" t="s">
        <v>448</v>
      </c>
    </row>
    <row r="180" spans="2:40" x14ac:dyDescent="0.25">
      <c r="B180" s="129">
        <f t="shared" si="33"/>
        <v>133</v>
      </c>
      <c r="C180" s="17">
        <v>20200511</v>
      </c>
      <c r="D180" s="16" t="s">
        <v>3</v>
      </c>
      <c r="E180" s="16" t="s">
        <v>701</v>
      </c>
      <c r="F180" s="80" t="s">
        <v>756</v>
      </c>
      <c r="G180" s="18">
        <v>1461444</v>
      </c>
      <c r="H180" s="57" t="s">
        <v>61</v>
      </c>
      <c r="I180" s="16" t="s">
        <v>173</v>
      </c>
      <c r="J180" s="57" t="s">
        <v>61</v>
      </c>
      <c r="K180" s="16" t="s">
        <v>161</v>
      </c>
      <c r="L180" s="16" t="s">
        <v>165</v>
      </c>
      <c r="M180" s="16" t="s">
        <v>702</v>
      </c>
      <c r="N180" s="16" t="s">
        <v>711</v>
      </c>
      <c r="O180" s="18" t="s">
        <v>61</v>
      </c>
      <c r="P180" s="18" t="s">
        <v>713</v>
      </c>
      <c r="Q180" s="19"/>
      <c r="R180" s="57" t="s">
        <v>61</v>
      </c>
      <c r="S180" s="16" t="s">
        <v>65</v>
      </c>
      <c r="T180" s="16"/>
      <c r="U180" s="16"/>
      <c r="V180" s="16">
        <v>154</v>
      </c>
      <c r="W180" s="16">
        <f t="shared" si="30"/>
        <v>154</v>
      </c>
      <c r="X180" s="16">
        <f t="shared" si="32"/>
        <v>154</v>
      </c>
      <c r="Y180" s="16">
        <f>ROUNDDOWN(W180/HLOOKUP(D180,Table!$C$3:$D$4,2,0)*8,2)</f>
        <v>2.73</v>
      </c>
      <c r="Z180" s="16">
        <v>1</v>
      </c>
      <c r="AA180" s="16" t="s">
        <v>74</v>
      </c>
      <c r="AB180" s="20">
        <v>43966</v>
      </c>
      <c r="AC180" s="20">
        <v>43962</v>
      </c>
      <c r="AD180" s="20">
        <v>43966</v>
      </c>
      <c r="AE180" s="20">
        <v>43966</v>
      </c>
      <c r="AF180" s="20">
        <v>43966</v>
      </c>
      <c r="AG180" s="20" t="s">
        <v>336</v>
      </c>
      <c r="AH180" s="32">
        <v>0.97</v>
      </c>
      <c r="AI180" s="32">
        <v>0.94</v>
      </c>
      <c r="AJ180" s="32">
        <v>1</v>
      </c>
      <c r="AK180" s="20" t="s">
        <v>149</v>
      </c>
      <c r="AL180" s="16" t="s">
        <v>882</v>
      </c>
      <c r="AM180" s="16" t="s">
        <v>61</v>
      </c>
      <c r="AN180" s="16" t="s">
        <v>448</v>
      </c>
    </row>
    <row r="181" spans="2:40" x14ac:dyDescent="0.25">
      <c r="B181" s="129">
        <f t="shared" si="33"/>
        <v>134</v>
      </c>
      <c r="C181" s="17">
        <v>20200511</v>
      </c>
      <c r="D181" s="16" t="s">
        <v>3</v>
      </c>
      <c r="E181" s="16" t="s">
        <v>701</v>
      </c>
      <c r="F181" s="80" t="s">
        <v>757</v>
      </c>
      <c r="G181" s="18">
        <v>1461444</v>
      </c>
      <c r="H181" s="57" t="s">
        <v>61</v>
      </c>
      <c r="I181" s="16" t="s">
        <v>174</v>
      </c>
      <c r="J181" s="57" t="s">
        <v>61</v>
      </c>
      <c r="K181" s="16" t="s">
        <v>161</v>
      </c>
      <c r="L181" s="16" t="s">
        <v>165</v>
      </c>
      <c r="M181" s="16" t="s">
        <v>702</v>
      </c>
      <c r="N181" s="16" t="s">
        <v>711</v>
      </c>
      <c r="O181" s="18" t="s">
        <v>61</v>
      </c>
      <c r="P181" s="18" t="s">
        <v>713</v>
      </c>
      <c r="Q181" s="19"/>
      <c r="R181" s="57" t="s">
        <v>61</v>
      </c>
      <c r="S181" s="16" t="s">
        <v>65</v>
      </c>
      <c r="T181" s="16"/>
      <c r="U181" s="16"/>
      <c r="V181" s="16">
        <v>71</v>
      </c>
      <c r="W181" s="16">
        <f t="shared" si="30"/>
        <v>71</v>
      </c>
      <c r="X181" s="16">
        <f t="shared" si="32"/>
        <v>71</v>
      </c>
      <c r="Y181" s="16">
        <f>ROUNDDOWN(W181/HLOOKUP(D181,Table!$C$3:$D$4,2,0)*8,2)</f>
        <v>1.26</v>
      </c>
      <c r="Z181" s="16">
        <v>1</v>
      </c>
      <c r="AA181" s="16" t="s">
        <v>74</v>
      </c>
      <c r="AB181" s="20">
        <v>43966</v>
      </c>
      <c r="AC181" s="20">
        <v>43962</v>
      </c>
      <c r="AD181" s="20">
        <v>43966</v>
      </c>
      <c r="AE181" s="20">
        <v>43966</v>
      </c>
      <c r="AF181" s="20">
        <v>43966</v>
      </c>
      <c r="AG181" s="20" t="s">
        <v>335</v>
      </c>
      <c r="AH181" s="32">
        <v>1</v>
      </c>
      <c r="AI181" s="32">
        <v>1</v>
      </c>
      <c r="AJ181" s="32">
        <v>1</v>
      </c>
      <c r="AK181" s="20" t="s">
        <v>165</v>
      </c>
      <c r="AL181" s="16" t="s">
        <v>61</v>
      </c>
      <c r="AM181" s="16" t="s">
        <v>61</v>
      </c>
      <c r="AN181" s="16" t="s">
        <v>61</v>
      </c>
    </row>
    <row r="182" spans="2:40" x14ac:dyDescent="0.25">
      <c r="B182" s="129">
        <f t="shared" si="33"/>
        <v>135</v>
      </c>
      <c r="C182" s="17">
        <v>20200511</v>
      </c>
      <c r="D182" s="16" t="s">
        <v>3</v>
      </c>
      <c r="E182" s="16" t="s">
        <v>701</v>
      </c>
      <c r="F182" s="80" t="s">
        <v>758</v>
      </c>
      <c r="G182" s="18">
        <v>1461444</v>
      </c>
      <c r="H182" s="57" t="s">
        <v>61</v>
      </c>
      <c r="I182" s="16" t="s">
        <v>399</v>
      </c>
      <c r="J182" s="57" t="s">
        <v>61</v>
      </c>
      <c r="K182" s="16" t="s">
        <v>161</v>
      </c>
      <c r="L182" s="16" t="s">
        <v>165</v>
      </c>
      <c r="M182" s="16" t="s">
        <v>702</v>
      </c>
      <c r="N182" s="16" t="s">
        <v>711</v>
      </c>
      <c r="O182" s="18" t="s">
        <v>61</v>
      </c>
      <c r="P182" s="18" t="s">
        <v>713</v>
      </c>
      <c r="Q182" s="19"/>
      <c r="R182" s="57" t="s">
        <v>61</v>
      </c>
      <c r="S182" s="16" t="s">
        <v>65</v>
      </c>
      <c r="T182" s="16"/>
      <c r="U182" s="16"/>
      <c r="V182" s="16">
        <v>39</v>
      </c>
      <c r="W182" s="16">
        <f t="shared" si="30"/>
        <v>39</v>
      </c>
      <c r="X182" s="16">
        <f t="shared" si="32"/>
        <v>39</v>
      </c>
      <c r="Y182" s="16">
        <f>ROUNDDOWN(W182/HLOOKUP(D182,Table!$C$3:$D$4,2,0)*8,2)</f>
        <v>0.69</v>
      </c>
      <c r="Z182" s="16">
        <v>1</v>
      </c>
      <c r="AA182" s="16" t="s">
        <v>74</v>
      </c>
      <c r="AB182" s="20">
        <v>43966</v>
      </c>
      <c r="AC182" s="20">
        <v>43962</v>
      </c>
      <c r="AD182" s="20">
        <v>43966</v>
      </c>
      <c r="AE182" s="20">
        <v>43966</v>
      </c>
      <c r="AF182" s="20">
        <v>43966</v>
      </c>
      <c r="AG182" s="20" t="s">
        <v>335</v>
      </c>
      <c r="AH182" s="32">
        <v>1</v>
      </c>
      <c r="AI182" s="32">
        <v>1</v>
      </c>
      <c r="AJ182" s="32">
        <v>1</v>
      </c>
      <c r="AK182" s="20" t="s">
        <v>165</v>
      </c>
      <c r="AL182" s="16" t="s">
        <v>61</v>
      </c>
      <c r="AM182" s="16" t="s">
        <v>61</v>
      </c>
      <c r="AN182" s="16" t="s">
        <v>61</v>
      </c>
    </row>
    <row r="183" spans="2:40" x14ac:dyDescent="0.25">
      <c r="B183" s="129">
        <f t="shared" si="33"/>
        <v>136</v>
      </c>
      <c r="C183" s="17">
        <v>20200511</v>
      </c>
      <c r="D183" s="16" t="s">
        <v>3</v>
      </c>
      <c r="E183" s="16" t="s">
        <v>701</v>
      </c>
      <c r="F183" s="80" t="s">
        <v>759</v>
      </c>
      <c r="G183" s="18">
        <v>1461444</v>
      </c>
      <c r="H183" s="57" t="s">
        <v>61</v>
      </c>
      <c r="I183" s="16" t="s">
        <v>371</v>
      </c>
      <c r="J183" s="57" t="s">
        <v>61</v>
      </c>
      <c r="K183" s="16" t="s">
        <v>161</v>
      </c>
      <c r="L183" s="16" t="s">
        <v>165</v>
      </c>
      <c r="M183" s="16" t="s">
        <v>702</v>
      </c>
      <c r="N183" s="16" t="s">
        <v>711</v>
      </c>
      <c r="O183" s="18" t="s">
        <v>61</v>
      </c>
      <c r="P183" s="18" t="s">
        <v>713</v>
      </c>
      <c r="Q183" s="19"/>
      <c r="R183" s="57" t="s">
        <v>61</v>
      </c>
      <c r="S183" s="16" t="s">
        <v>65</v>
      </c>
      <c r="T183" s="16"/>
      <c r="U183" s="16"/>
      <c r="V183" s="16">
        <v>82</v>
      </c>
      <c r="W183" s="16">
        <f t="shared" si="30"/>
        <v>82</v>
      </c>
      <c r="X183" s="16">
        <f t="shared" si="32"/>
        <v>82</v>
      </c>
      <c r="Y183" s="16">
        <f>ROUNDDOWN(W183/HLOOKUP(D183,Table!$C$3:$D$4,2,0)*8,2)</f>
        <v>1.45</v>
      </c>
      <c r="Z183" s="16">
        <v>1</v>
      </c>
      <c r="AA183" s="16" t="s">
        <v>74</v>
      </c>
      <c r="AB183" s="20">
        <v>43966</v>
      </c>
      <c r="AC183" s="20">
        <v>43962</v>
      </c>
      <c r="AD183" s="20">
        <v>43966</v>
      </c>
      <c r="AE183" s="20">
        <v>43966</v>
      </c>
      <c r="AF183" s="20">
        <v>43966</v>
      </c>
      <c r="AG183" s="20" t="s">
        <v>335</v>
      </c>
      <c r="AH183" s="32">
        <v>1</v>
      </c>
      <c r="AI183" s="32">
        <v>1</v>
      </c>
      <c r="AJ183" s="32">
        <v>1</v>
      </c>
      <c r="AK183" s="20" t="s">
        <v>165</v>
      </c>
      <c r="AL183" s="16" t="s">
        <v>61</v>
      </c>
      <c r="AM183" s="16" t="s">
        <v>61</v>
      </c>
      <c r="AN183" s="16" t="s">
        <v>61</v>
      </c>
    </row>
    <row r="184" spans="2:40" x14ac:dyDescent="0.25">
      <c r="B184" s="129">
        <f t="shared" si="33"/>
        <v>137</v>
      </c>
      <c r="C184" s="17">
        <v>20200511</v>
      </c>
      <c r="D184" s="16" t="s">
        <v>3</v>
      </c>
      <c r="E184" s="16" t="s">
        <v>701</v>
      </c>
      <c r="F184" s="80" t="s">
        <v>760</v>
      </c>
      <c r="G184" s="18">
        <v>1461444</v>
      </c>
      <c r="H184" s="57" t="s">
        <v>61</v>
      </c>
      <c r="I184" s="16" t="s">
        <v>374</v>
      </c>
      <c r="J184" s="57" t="s">
        <v>61</v>
      </c>
      <c r="K184" s="16" t="s">
        <v>161</v>
      </c>
      <c r="L184" s="16" t="s">
        <v>165</v>
      </c>
      <c r="M184" s="16" t="s">
        <v>702</v>
      </c>
      <c r="N184" s="16" t="s">
        <v>711</v>
      </c>
      <c r="O184" s="18" t="s">
        <v>61</v>
      </c>
      <c r="P184" s="18" t="s">
        <v>713</v>
      </c>
      <c r="Q184" s="19"/>
      <c r="R184" s="57" t="s">
        <v>61</v>
      </c>
      <c r="S184" s="16" t="s">
        <v>65</v>
      </c>
      <c r="T184" s="16"/>
      <c r="U184" s="16"/>
      <c r="V184" s="16">
        <v>54</v>
      </c>
      <c r="W184" s="16">
        <f t="shared" si="30"/>
        <v>54</v>
      </c>
      <c r="X184" s="16">
        <f t="shared" si="32"/>
        <v>54</v>
      </c>
      <c r="Y184" s="16">
        <f>ROUNDDOWN(W184/HLOOKUP(D184,Table!$C$3:$D$4,2,0)*8,2)</f>
        <v>0.96</v>
      </c>
      <c r="Z184" s="16">
        <v>1</v>
      </c>
      <c r="AA184" s="16" t="s">
        <v>74</v>
      </c>
      <c r="AB184" s="20">
        <v>43966</v>
      </c>
      <c r="AC184" s="20">
        <v>43962</v>
      </c>
      <c r="AD184" s="20">
        <v>43966</v>
      </c>
      <c r="AE184" s="20">
        <v>43966</v>
      </c>
      <c r="AF184" s="20">
        <v>43966</v>
      </c>
      <c r="AG184" s="20" t="s">
        <v>335</v>
      </c>
      <c r="AH184" s="32">
        <v>1</v>
      </c>
      <c r="AI184" s="32">
        <v>1</v>
      </c>
      <c r="AJ184" s="32">
        <v>1</v>
      </c>
      <c r="AK184" s="20" t="s">
        <v>165</v>
      </c>
      <c r="AL184" s="16" t="s">
        <v>61</v>
      </c>
      <c r="AM184" s="16" t="s">
        <v>61</v>
      </c>
      <c r="AN184" s="16" t="s">
        <v>61</v>
      </c>
    </row>
    <row r="185" spans="2:40" x14ac:dyDescent="0.25">
      <c r="B185" s="129">
        <f t="shared" si="33"/>
        <v>138</v>
      </c>
      <c r="C185" s="17">
        <v>20200511</v>
      </c>
      <c r="D185" s="16" t="s">
        <v>3</v>
      </c>
      <c r="E185" s="16" t="s">
        <v>701</v>
      </c>
      <c r="F185" s="80" t="s">
        <v>761</v>
      </c>
      <c r="G185" s="18">
        <v>1461444</v>
      </c>
      <c r="H185" s="57" t="s">
        <v>61</v>
      </c>
      <c r="I185" s="16" t="s">
        <v>322</v>
      </c>
      <c r="J185" s="57" t="s">
        <v>61</v>
      </c>
      <c r="K185" s="16" t="s">
        <v>161</v>
      </c>
      <c r="L185" s="16" t="s">
        <v>165</v>
      </c>
      <c r="M185" s="16" t="s">
        <v>702</v>
      </c>
      <c r="N185" s="16" t="s">
        <v>711</v>
      </c>
      <c r="O185" s="18" t="s">
        <v>61</v>
      </c>
      <c r="P185" s="18" t="s">
        <v>713</v>
      </c>
      <c r="Q185" s="19"/>
      <c r="R185" s="57" t="s">
        <v>61</v>
      </c>
      <c r="S185" s="16" t="s">
        <v>65</v>
      </c>
      <c r="T185" s="16"/>
      <c r="U185" s="16"/>
      <c r="V185" s="16">
        <v>109</v>
      </c>
      <c r="W185" s="16">
        <f t="shared" si="30"/>
        <v>109</v>
      </c>
      <c r="X185" s="16">
        <f t="shared" si="32"/>
        <v>109</v>
      </c>
      <c r="Y185" s="16">
        <f>ROUNDDOWN(W185/HLOOKUP(D185,Table!$C$3:$D$4,2,0)*8,2)</f>
        <v>1.93</v>
      </c>
      <c r="Z185" s="16">
        <v>1</v>
      </c>
      <c r="AA185" s="16" t="s">
        <v>74</v>
      </c>
      <c r="AB185" s="20">
        <v>43966</v>
      </c>
      <c r="AC185" s="20">
        <v>43962</v>
      </c>
      <c r="AD185" s="20">
        <v>43966</v>
      </c>
      <c r="AE185" s="20">
        <v>43966</v>
      </c>
      <c r="AF185" s="20">
        <v>43966</v>
      </c>
      <c r="AG185" s="20" t="s">
        <v>335</v>
      </c>
      <c r="AH185" s="32">
        <v>1</v>
      </c>
      <c r="AI185" s="32">
        <v>1</v>
      </c>
      <c r="AJ185" s="32">
        <v>1</v>
      </c>
      <c r="AK185" s="20" t="s">
        <v>165</v>
      </c>
      <c r="AL185" s="16" t="s">
        <v>61</v>
      </c>
      <c r="AM185" s="16" t="s">
        <v>61</v>
      </c>
      <c r="AN185" s="16" t="s">
        <v>61</v>
      </c>
    </row>
    <row r="186" spans="2:40" x14ac:dyDescent="0.25">
      <c r="B186" s="129">
        <f t="shared" si="33"/>
        <v>139</v>
      </c>
      <c r="C186" s="17">
        <v>20200511</v>
      </c>
      <c r="D186" s="16" t="s">
        <v>3</v>
      </c>
      <c r="E186" s="16" t="s">
        <v>701</v>
      </c>
      <c r="F186" s="80" t="s">
        <v>762</v>
      </c>
      <c r="G186" s="18">
        <v>1461444</v>
      </c>
      <c r="H186" s="57" t="s">
        <v>61</v>
      </c>
      <c r="I186" s="16" t="s">
        <v>380</v>
      </c>
      <c r="J186" s="57" t="s">
        <v>61</v>
      </c>
      <c r="K186" s="16" t="s">
        <v>161</v>
      </c>
      <c r="L186" s="16" t="s">
        <v>165</v>
      </c>
      <c r="M186" s="16" t="s">
        <v>702</v>
      </c>
      <c r="N186" s="16" t="s">
        <v>711</v>
      </c>
      <c r="O186" s="18" t="s">
        <v>61</v>
      </c>
      <c r="P186" s="18" t="s">
        <v>713</v>
      </c>
      <c r="Q186" s="19"/>
      <c r="R186" s="57" t="s">
        <v>61</v>
      </c>
      <c r="S186" s="16" t="s">
        <v>65</v>
      </c>
      <c r="T186" s="16"/>
      <c r="U186" s="16"/>
      <c r="V186" s="16">
        <v>255</v>
      </c>
      <c r="W186" s="16">
        <f t="shared" si="30"/>
        <v>255</v>
      </c>
      <c r="X186" s="16">
        <f t="shared" si="32"/>
        <v>255</v>
      </c>
      <c r="Y186" s="16">
        <f>ROUNDDOWN(W186/HLOOKUP(D186,Table!$C$3:$D$4,2,0)*8,2)</f>
        <v>4.53</v>
      </c>
      <c r="Z186" s="16">
        <v>1</v>
      </c>
      <c r="AA186" s="16" t="s">
        <v>74</v>
      </c>
      <c r="AB186" s="20">
        <v>43966</v>
      </c>
      <c r="AC186" s="20">
        <v>43962</v>
      </c>
      <c r="AD186" s="20">
        <v>43966</v>
      </c>
      <c r="AE186" s="20">
        <v>43966</v>
      </c>
      <c r="AF186" s="20">
        <v>43966</v>
      </c>
      <c r="AG186" s="20" t="s">
        <v>335</v>
      </c>
      <c r="AH186" s="32">
        <v>1</v>
      </c>
      <c r="AI186" s="32">
        <v>1</v>
      </c>
      <c r="AJ186" s="32">
        <v>1</v>
      </c>
      <c r="AK186" s="20" t="s">
        <v>165</v>
      </c>
      <c r="AL186" s="16" t="s">
        <v>61</v>
      </c>
      <c r="AM186" s="16" t="s">
        <v>61</v>
      </c>
      <c r="AN186" s="16" t="s">
        <v>61</v>
      </c>
    </row>
    <row r="187" spans="2:40" x14ac:dyDescent="0.25">
      <c r="B187" s="129">
        <f t="shared" si="33"/>
        <v>140</v>
      </c>
      <c r="C187" s="17">
        <v>20200511</v>
      </c>
      <c r="D187" s="16" t="s">
        <v>3</v>
      </c>
      <c r="E187" s="16" t="s">
        <v>701</v>
      </c>
      <c r="F187" s="80" t="s">
        <v>763</v>
      </c>
      <c r="G187" s="18">
        <v>1461444</v>
      </c>
      <c r="H187" s="57" t="s">
        <v>61</v>
      </c>
      <c r="I187" s="16" t="s">
        <v>708</v>
      </c>
      <c r="J187" s="57" t="s">
        <v>61</v>
      </c>
      <c r="K187" s="16" t="s">
        <v>161</v>
      </c>
      <c r="L187" s="16" t="s">
        <v>165</v>
      </c>
      <c r="M187" s="16" t="s">
        <v>702</v>
      </c>
      <c r="N187" s="16" t="s">
        <v>711</v>
      </c>
      <c r="O187" s="18" t="s">
        <v>61</v>
      </c>
      <c r="P187" s="18" t="s">
        <v>713</v>
      </c>
      <c r="Q187" s="19"/>
      <c r="R187" s="57" t="s">
        <v>61</v>
      </c>
      <c r="S187" s="16" t="s">
        <v>64</v>
      </c>
      <c r="T187" s="16"/>
      <c r="U187" s="16"/>
      <c r="V187" s="16">
        <v>146</v>
      </c>
      <c r="W187" s="16">
        <f t="shared" si="30"/>
        <v>146</v>
      </c>
      <c r="X187" s="16">
        <f t="shared" ref="X187:X195" si="34">W187</f>
        <v>146</v>
      </c>
      <c r="Y187" s="16">
        <f>ROUNDDOWN(W187/HLOOKUP(D187,Table!$C$3:$D$4,2,0)*8,2)</f>
        <v>2.59</v>
      </c>
      <c r="Z187" s="16">
        <v>2</v>
      </c>
      <c r="AA187" s="16" t="s">
        <v>74</v>
      </c>
      <c r="AB187" s="20">
        <v>43966</v>
      </c>
      <c r="AC187" s="20">
        <v>43962</v>
      </c>
      <c r="AD187" s="20">
        <v>43966</v>
      </c>
      <c r="AE187" s="20">
        <v>43964</v>
      </c>
      <c r="AF187" s="20">
        <v>43964</v>
      </c>
      <c r="AG187" s="20" t="s">
        <v>335</v>
      </c>
      <c r="AH187" s="32" t="s">
        <v>61</v>
      </c>
      <c r="AI187" s="32" t="s">
        <v>61</v>
      </c>
      <c r="AJ187" s="32" t="s">
        <v>61</v>
      </c>
      <c r="AK187" s="20" t="s">
        <v>165</v>
      </c>
      <c r="AL187" s="16" t="s">
        <v>61</v>
      </c>
      <c r="AM187" s="16" t="s">
        <v>61</v>
      </c>
      <c r="AN187" s="16" t="s">
        <v>418</v>
      </c>
    </row>
    <row r="188" spans="2:40" x14ac:dyDescent="0.25">
      <c r="B188" s="129">
        <f t="shared" si="33"/>
        <v>141</v>
      </c>
      <c r="C188" s="17">
        <v>20200511</v>
      </c>
      <c r="D188" s="16" t="s">
        <v>3</v>
      </c>
      <c r="E188" s="16" t="s">
        <v>701</v>
      </c>
      <c r="F188" s="80" t="s">
        <v>764</v>
      </c>
      <c r="G188" s="18">
        <v>1461444</v>
      </c>
      <c r="H188" s="57" t="s">
        <v>61</v>
      </c>
      <c r="I188" s="16" t="s">
        <v>402</v>
      </c>
      <c r="J188" s="57" t="s">
        <v>61</v>
      </c>
      <c r="K188" s="16" t="s">
        <v>161</v>
      </c>
      <c r="L188" s="16" t="s">
        <v>165</v>
      </c>
      <c r="M188" s="16" t="s">
        <v>702</v>
      </c>
      <c r="N188" s="16" t="s">
        <v>711</v>
      </c>
      <c r="O188" s="18" t="s">
        <v>61</v>
      </c>
      <c r="P188" s="18" t="s">
        <v>713</v>
      </c>
      <c r="Q188" s="19"/>
      <c r="R188" s="57" t="s">
        <v>61</v>
      </c>
      <c r="S188" s="16" t="s">
        <v>64</v>
      </c>
      <c r="T188" s="16"/>
      <c r="U188" s="16"/>
      <c r="V188" s="16">
        <v>96</v>
      </c>
      <c r="W188" s="16">
        <f t="shared" si="30"/>
        <v>96</v>
      </c>
      <c r="X188" s="16">
        <f t="shared" si="34"/>
        <v>96</v>
      </c>
      <c r="Y188" s="16">
        <f>ROUNDDOWN(W188/HLOOKUP(D188,Table!$C$3:$D$4,2,0)*8,2)</f>
        <v>1.7</v>
      </c>
      <c r="Z188" s="16">
        <v>1</v>
      </c>
      <c r="AA188" s="16" t="s">
        <v>74</v>
      </c>
      <c r="AB188" s="20">
        <v>43966</v>
      </c>
      <c r="AC188" s="20">
        <v>43962</v>
      </c>
      <c r="AD188" s="20">
        <v>43966</v>
      </c>
      <c r="AE188" s="20">
        <v>43964</v>
      </c>
      <c r="AF188" s="20">
        <v>43964</v>
      </c>
      <c r="AG188" s="20" t="s">
        <v>335</v>
      </c>
      <c r="AH188" s="32">
        <v>0.69</v>
      </c>
      <c r="AI188" s="32">
        <v>0.68</v>
      </c>
      <c r="AJ188" s="32">
        <v>0.5</v>
      </c>
      <c r="AK188" s="20" t="s">
        <v>149</v>
      </c>
      <c r="AL188" s="18" t="s">
        <v>781</v>
      </c>
      <c r="AM188" s="16" t="s">
        <v>61</v>
      </c>
      <c r="AN188" s="16" t="s">
        <v>448</v>
      </c>
    </row>
    <row r="189" spans="2:40" x14ac:dyDescent="0.25">
      <c r="B189" s="129">
        <f t="shared" si="33"/>
        <v>142</v>
      </c>
      <c r="C189" s="17">
        <v>20200511</v>
      </c>
      <c r="D189" s="16" t="s">
        <v>3</v>
      </c>
      <c r="E189" s="16" t="s">
        <v>701</v>
      </c>
      <c r="F189" s="80" t="s">
        <v>885</v>
      </c>
      <c r="G189" s="18">
        <v>1461444</v>
      </c>
      <c r="H189" s="57"/>
      <c r="I189" s="16" t="s">
        <v>884</v>
      </c>
      <c r="J189" s="57"/>
      <c r="K189" s="16" t="s">
        <v>161</v>
      </c>
      <c r="L189" s="16" t="s">
        <v>165</v>
      </c>
      <c r="M189" s="16" t="s">
        <v>702</v>
      </c>
      <c r="N189" s="16" t="s">
        <v>711</v>
      </c>
      <c r="O189" s="18" t="s">
        <v>61</v>
      </c>
      <c r="P189" s="18" t="s">
        <v>713</v>
      </c>
      <c r="Q189" s="19"/>
      <c r="R189" s="57" t="s">
        <v>61</v>
      </c>
      <c r="S189" s="98" t="s">
        <v>64</v>
      </c>
      <c r="T189" s="16"/>
      <c r="U189" s="16"/>
      <c r="V189" s="16">
        <v>104</v>
      </c>
      <c r="W189" s="16">
        <v>104</v>
      </c>
      <c r="X189" s="16">
        <f>W189</f>
        <v>104</v>
      </c>
      <c r="Y189" s="16">
        <f>ROUNDDOWN(W189/HLOOKUP(D189,Table!$C$3:$D$4,2,0)*8,2)</f>
        <v>1.84</v>
      </c>
      <c r="Z189" s="16">
        <v>2</v>
      </c>
      <c r="AA189" s="16" t="s">
        <v>74</v>
      </c>
      <c r="AB189" s="20">
        <v>43969</v>
      </c>
      <c r="AC189" s="20">
        <v>43966</v>
      </c>
      <c r="AD189" s="20">
        <v>43969</v>
      </c>
      <c r="AE189" s="20">
        <v>43969</v>
      </c>
      <c r="AF189" s="20">
        <v>43969</v>
      </c>
      <c r="AG189" s="20" t="s">
        <v>335</v>
      </c>
      <c r="AH189" s="32">
        <v>1</v>
      </c>
      <c r="AI189" s="32">
        <v>1</v>
      </c>
      <c r="AJ189" s="32">
        <v>1</v>
      </c>
      <c r="AK189" s="20" t="s">
        <v>165</v>
      </c>
      <c r="AL189" s="18" t="s">
        <v>61</v>
      </c>
      <c r="AM189" s="16" t="s">
        <v>61</v>
      </c>
      <c r="AN189" s="16" t="s">
        <v>886</v>
      </c>
    </row>
    <row r="190" spans="2:40" x14ac:dyDescent="0.25">
      <c r="B190" s="129">
        <f t="shared" si="33"/>
        <v>143</v>
      </c>
      <c r="C190" s="17">
        <v>20200511</v>
      </c>
      <c r="D190" s="16" t="s">
        <v>3</v>
      </c>
      <c r="E190" s="16" t="s">
        <v>989</v>
      </c>
      <c r="F190" s="128" t="s">
        <v>765</v>
      </c>
      <c r="G190" s="18">
        <v>9.1</v>
      </c>
      <c r="H190" s="57" t="s">
        <v>61</v>
      </c>
      <c r="I190" s="16" t="s">
        <v>782</v>
      </c>
      <c r="J190" s="57" t="s">
        <v>61</v>
      </c>
      <c r="K190" s="16" t="s">
        <v>161</v>
      </c>
      <c r="L190" s="16" t="s">
        <v>165</v>
      </c>
      <c r="M190" s="16" t="s">
        <v>165</v>
      </c>
      <c r="N190" s="16" t="s">
        <v>716</v>
      </c>
      <c r="O190" s="18" t="s">
        <v>714</v>
      </c>
      <c r="P190" s="18" t="s">
        <v>715</v>
      </c>
      <c r="Q190" s="19"/>
      <c r="R190" s="57" t="s">
        <v>61</v>
      </c>
      <c r="S190" s="16" t="s">
        <v>64</v>
      </c>
      <c r="T190" s="16"/>
      <c r="U190" s="16"/>
      <c r="V190" s="16">
        <v>163</v>
      </c>
      <c r="W190" s="16">
        <f t="shared" si="30"/>
        <v>163</v>
      </c>
      <c r="X190" s="16">
        <f t="shared" si="34"/>
        <v>163</v>
      </c>
      <c r="Y190" s="16">
        <f>ROUNDDOWN(W190/HLOOKUP(D190,Table!$C$3:$D$4,2,0)*8,2)</f>
        <v>2.89</v>
      </c>
      <c r="Z190" s="16">
        <v>2</v>
      </c>
      <c r="AA190" s="16" t="s">
        <v>74</v>
      </c>
      <c r="AB190" s="20">
        <v>43966</v>
      </c>
      <c r="AC190" s="20">
        <v>43962</v>
      </c>
      <c r="AD190" s="20">
        <v>43966</v>
      </c>
      <c r="AE190" s="20">
        <v>43965</v>
      </c>
      <c r="AF190" s="20">
        <v>43965</v>
      </c>
      <c r="AG190" s="20" t="s">
        <v>335</v>
      </c>
      <c r="AH190" s="32">
        <v>1</v>
      </c>
      <c r="AI190" s="32">
        <v>1</v>
      </c>
      <c r="AJ190" s="32">
        <v>1</v>
      </c>
      <c r="AK190" s="20" t="s">
        <v>165</v>
      </c>
      <c r="AL190" s="16" t="s">
        <v>61</v>
      </c>
      <c r="AM190" s="16" t="s">
        <v>61</v>
      </c>
      <c r="AN190" s="19" t="s">
        <v>744</v>
      </c>
    </row>
    <row r="191" spans="2:40" x14ac:dyDescent="0.25">
      <c r="B191" s="129">
        <f t="shared" si="33"/>
        <v>144</v>
      </c>
      <c r="C191" s="17">
        <v>20200511</v>
      </c>
      <c r="D191" s="16" t="s">
        <v>2</v>
      </c>
      <c r="E191" s="16" t="s">
        <v>717</v>
      </c>
      <c r="F191" s="18" t="s">
        <v>61</v>
      </c>
      <c r="G191" s="18">
        <v>1404916</v>
      </c>
      <c r="H191" s="57" t="s">
        <v>61</v>
      </c>
      <c r="I191" s="16" t="s">
        <v>718</v>
      </c>
      <c r="J191" s="57" t="s">
        <v>61</v>
      </c>
      <c r="K191" s="16" t="s">
        <v>353</v>
      </c>
      <c r="L191" s="16" t="s">
        <v>165</v>
      </c>
      <c r="M191" s="16" t="s">
        <v>719</v>
      </c>
      <c r="N191" s="16" t="s">
        <v>750</v>
      </c>
      <c r="O191" s="18" t="s">
        <v>365</v>
      </c>
      <c r="P191" s="18" t="s">
        <v>720</v>
      </c>
      <c r="Q191" s="19"/>
      <c r="R191" s="57" t="s">
        <v>61</v>
      </c>
      <c r="S191" s="16" t="s">
        <v>64</v>
      </c>
      <c r="T191" s="16"/>
      <c r="U191" s="16"/>
      <c r="V191" s="16">
        <v>20</v>
      </c>
      <c r="W191" s="16">
        <f t="shared" si="30"/>
        <v>20</v>
      </c>
      <c r="X191" s="16">
        <f t="shared" si="34"/>
        <v>20</v>
      </c>
      <c r="Y191" s="16">
        <f>ROUNDDOWN(W191/HLOOKUP(D191,Table!$C$3:$D$4,2,0)*8,2)</f>
        <v>1.23</v>
      </c>
      <c r="Z191" s="16">
        <f>Y191</f>
        <v>1.23</v>
      </c>
      <c r="AA191" s="16" t="s">
        <v>74</v>
      </c>
      <c r="AB191" s="20">
        <v>43963</v>
      </c>
      <c r="AC191" s="20">
        <v>43962</v>
      </c>
      <c r="AD191" s="20">
        <v>43963</v>
      </c>
      <c r="AE191" s="20">
        <v>43963</v>
      </c>
      <c r="AF191" s="20">
        <v>43963</v>
      </c>
      <c r="AG191" s="20" t="s">
        <v>335</v>
      </c>
      <c r="AH191" s="32">
        <v>1</v>
      </c>
      <c r="AI191" s="32">
        <v>1</v>
      </c>
      <c r="AJ191" s="32" t="s">
        <v>412</v>
      </c>
      <c r="AK191" s="20" t="s">
        <v>165</v>
      </c>
      <c r="AL191" s="16" t="s">
        <v>61</v>
      </c>
      <c r="AM191" s="16" t="s">
        <v>61</v>
      </c>
      <c r="AN191" s="16" t="s">
        <v>727</v>
      </c>
    </row>
    <row r="192" spans="2:40" x14ac:dyDescent="0.25">
      <c r="B192" s="129">
        <f t="shared" si="33"/>
        <v>145</v>
      </c>
      <c r="C192" s="17">
        <v>20200511</v>
      </c>
      <c r="D192" s="16" t="s">
        <v>3</v>
      </c>
      <c r="E192" s="16" t="s">
        <v>746</v>
      </c>
      <c r="F192" s="80" t="s">
        <v>766</v>
      </c>
      <c r="G192" s="18">
        <v>1444984</v>
      </c>
      <c r="H192" s="57" t="s">
        <v>61</v>
      </c>
      <c r="I192" s="16" t="s">
        <v>748</v>
      </c>
      <c r="J192" s="57" t="s">
        <v>61</v>
      </c>
      <c r="K192" s="16" t="s">
        <v>161</v>
      </c>
      <c r="L192" s="16" t="s">
        <v>165</v>
      </c>
      <c r="M192" s="16" t="s">
        <v>747</v>
      </c>
      <c r="N192" s="16" t="s">
        <v>347</v>
      </c>
      <c r="O192" s="18" t="s">
        <v>61</v>
      </c>
      <c r="P192" s="18" t="s">
        <v>749</v>
      </c>
      <c r="Q192" s="19"/>
      <c r="R192" s="57" t="s">
        <v>61</v>
      </c>
      <c r="S192" s="16" t="s">
        <v>157</v>
      </c>
      <c r="T192" s="16"/>
      <c r="U192" s="16"/>
      <c r="V192" s="16">
        <v>159</v>
      </c>
      <c r="W192" s="16">
        <f t="shared" si="30"/>
        <v>159</v>
      </c>
      <c r="X192" s="16">
        <f t="shared" si="34"/>
        <v>159</v>
      </c>
      <c r="Y192" s="16">
        <f>ROUNDDOWN(W192/HLOOKUP(D192,Table!$C$3:$D$4,2,0)*8,2)</f>
        <v>2.82</v>
      </c>
      <c r="Z192" s="16">
        <v>1.5</v>
      </c>
      <c r="AA192" s="16" t="s">
        <v>74</v>
      </c>
      <c r="AB192" s="20">
        <v>43964</v>
      </c>
      <c r="AC192" s="20">
        <v>43962</v>
      </c>
      <c r="AD192" s="20">
        <v>43964</v>
      </c>
      <c r="AE192" s="20">
        <v>43964</v>
      </c>
      <c r="AF192" s="20">
        <v>43964</v>
      </c>
      <c r="AG192" s="20" t="s">
        <v>335</v>
      </c>
      <c r="AH192" s="32">
        <v>1</v>
      </c>
      <c r="AI192" s="32">
        <v>1</v>
      </c>
      <c r="AJ192" s="32">
        <v>1</v>
      </c>
      <c r="AK192" s="20" t="s">
        <v>165</v>
      </c>
      <c r="AL192" s="121" t="s">
        <v>61</v>
      </c>
      <c r="AM192" s="16" t="s">
        <v>61</v>
      </c>
      <c r="AN192" s="16" t="s">
        <v>61</v>
      </c>
    </row>
    <row r="193" spans="2:40" x14ac:dyDescent="0.25">
      <c r="B193" s="106">
        <f t="shared" si="33"/>
        <v>146</v>
      </c>
      <c r="C193" s="17">
        <v>20200513</v>
      </c>
      <c r="D193" s="16" t="s">
        <v>3</v>
      </c>
      <c r="E193" s="92" t="s">
        <v>769</v>
      </c>
      <c r="F193" s="80" t="s">
        <v>771</v>
      </c>
      <c r="G193" s="92">
        <v>1458101</v>
      </c>
      <c r="H193" s="57" t="s">
        <v>61</v>
      </c>
      <c r="I193" s="92" t="s">
        <v>168</v>
      </c>
      <c r="J193" s="57" t="s">
        <v>61</v>
      </c>
      <c r="K193" s="16" t="s">
        <v>161</v>
      </c>
      <c r="L193" s="92">
        <v>81116</v>
      </c>
      <c r="M193" s="16" t="s">
        <v>170</v>
      </c>
      <c r="N193" s="92" t="s">
        <v>348</v>
      </c>
      <c r="O193" s="18" t="s">
        <v>61</v>
      </c>
      <c r="P193" s="86" t="s">
        <v>773</v>
      </c>
      <c r="Q193" s="19"/>
      <c r="R193" s="57" t="s">
        <v>61</v>
      </c>
      <c r="S193" s="16" t="s">
        <v>69</v>
      </c>
      <c r="T193" s="16"/>
      <c r="U193" s="16"/>
      <c r="V193" s="92">
        <v>42</v>
      </c>
      <c r="W193" s="16">
        <f>V193</f>
        <v>42</v>
      </c>
      <c r="X193" s="16">
        <f t="shared" si="34"/>
        <v>42</v>
      </c>
      <c r="Y193" s="16">
        <f>ROUNDDOWN(W193/HLOOKUP(D193,Table!$C$3:$D$4,2,0)*8,2)</f>
        <v>0.74</v>
      </c>
      <c r="Z193" s="16">
        <v>0.5</v>
      </c>
      <c r="AA193" s="16" t="s">
        <v>74</v>
      </c>
      <c r="AB193" s="20">
        <v>43964</v>
      </c>
      <c r="AC193" s="20">
        <v>43964</v>
      </c>
      <c r="AD193" s="20">
        <v>43966</v>
      </c>
      <c r="AE193" s="20">
        <v>43964</v>
      </c>
      <c r="AF193" s="20">
        <v>43964</v>
      </c>
      <c r="AG193" s="20" t="s">
        <v>335</v>
      </c>
      <c r="AH193" s="32">
        <v>1</v>
      </c>
      <c r="AI193" s="32">
        <v>1</v>
      </c>
      <c r="AJ193" s="32">
        <v>1</v>
      </c>
      <c r="AK193" s="20" t="s">
        <v>165</v>
      </c>
      <c r="AL193" s="16" t="s">
        <v>61</v>
      </c>
      <c r="AM193" s="16" t="s">
        <v>61</v>
      </c>
      <c r="AN193" s="16" t="s">
        <v>61</v>
      </c>
    </row>
    <row r="194" spans="2:40" x14ac:dyDescent="0.25">
      <c r="B194" s="106">
        <f t="shared" si="33"/>
        <v>147</v>
      </c>
      <c r="C194" s="17">
        <v>20200513</v>
      </c>
      <c r="D194" s="16" t="s">
        <v>3</v>
      </c>
      <c r="E194" s="92" t="s">
        <v>770</v>
      </c>
      <c r="F194" s="80" t="s">
        <v>772</v>
      </c>
      <c r="G194" s="92">
        <v>1458169</v>
      </c>
      <c r="H194" s="57" t="s">
        <v>61</v>
      </c>
      <c r="I194" s="92" t="s">
        <v>181</v>
      </c>
      <c r="J194" s="57" t="s">
        <v>61</v>
      </c>
      <c r="K194" s="16" t="s">
        <v>161</v>
      </c>
      <c r="L194" s="92">
        <v>81175</v>
      </c>
      <c r="M194" s="16" t="s">
        <v>170</v>
      </c>
      <c r="N194" s="92" t="s">
        <v>348</v>
      </c>
      <c r="O194" s="18" t="s">
        <v>61</v>
      </c>
      <c r="P194" s="86" t="s">
        <v>773</v>
      </c>
      <c r="Q194" s="19"/>
      <c r="R194" s="57" t="s">
        <v>61</v>
      </c>
      <c r="S194" s="16" t="s">
        <v>69</v>
      </c>
      <c r="T194" s="16"/>
      <c r="U194" s="16"/>
      <c r="V194" s="92">
        <v>88</v>
      </c>
      <c r="W194" s="16">
        <f>V194</f>
        <v>88</v>
      </c>
      <c r="X194" s="16">
        <f t="shared" si="34"/>
        <v>88</v>
      </c>
      <c r="Y194" s="16">
        <f>ROUNDDOWN(W194/HLOOKUP(D194,Table!$C$3:$D$4,2,0)*8,2)</f>
        <v>1.56</v>
      </c>
      <c r="Z194" s="16">
        <v>1</v>
      </c>
      <c r="AA194" s="16" t="s">
        <v>74</v>
      </c>
      <c r="AB194" s="20">
        <v>43964</v>
      </c>
      <c r="AC194" s="20">
        <v>43964</v>
      </c>
      <c r="AD194" s="20">
        <v>43966</v>
      </c>
      <c r="AE194" s="20">
        <v>43964</v>
      </c>
      <c r="AF194" s="20">
        <v>43964</v>
      </c>
      <c r="AG194" s="20" t="s">
        <v>335</v>
      </c>
      <c r="AH194" s="32">
        <v>1</v>
      </c>
      <c r="AI194" s="32">
        <v>1</v>
      </c>
      <c r="AJ194" s="32">
        <v>1</v>
      </c>
      <c r="AK194" s="20" t="s">
        <v>165</v>
      </c>
      <c r="AL194" s="16" t="s">
        <v>61</v>
      </c>
      <c r="AM194" s="16" t="s">
        <v>61</v>
      </c>
      <c r="AN194" s="16" t="s">
        <v>61</v>
      </c>
    </row>
    <row r="195" spans="2:40" x14ac:dyDescent="0.25">
      <c r="B195" s="106">
        <f t="shared" si="33"/>
        <v>148</v>
      </c>
      <c r="C195" s="17">
        <v>20200513</v>
      </c>
      <c r="D195" s="16" t="s">
        <v>2</v>
      </c>
      <c r="E195" s="92" t="s">
        <v>746</v>
      </c>
      <c r="F195" s="18" t="s">
        <v>61</v>
      </c>
      <c r="G195" s="92">
        <v>1435036</v>
      </c>
      <c r="H195" s="57" t="s">
        <v>61</v>
      </c>
      <c r="I195" s="92" t="s">
        <v>774</v>
      </c>
      <c r="J195" s="57" t="s">
        <v>61</v>
      </c>
      <c r="K195" s="16" t="s">
        <v>161</v>
      </c>
      <c r="L195" s="16">
        <v>81377</v>
      </c>
      <c r="M195" s="16" t="s">
        <v>747</v>
      </c>
      <c r="N195" s="16" t="s">
        <v>775</v>
      </c>
      <c r="O195" s="86" t="s">
        <v>776</v>
      </c>
      <c r="P195" s="86" t="s">
        <v>777</v>
      </c>
      <c r="Q195" s="19"/>
      <c r="R195" s="57" t="s">
        <v>61</v>
      </c>
      <c r="S195" s="16" t="s">
        <v>67</v>
      </c>
      <c r="T195" s="16"/>
      <c r="U195" s="16"/>
      <c r="V195" s="16">
        <v>40</v>
      </c>
      <c r="W195" s="16">
        <f>V195</f>
        <v>40</v>
      </c>
      <c r="X195" s="16">
        <f t="shared" si="34"/>
        <v>40</v>
      </c>
      <c r="Y195" s="16">
        <f>ROUNDDOWN(W195/HLOOKUP(D195,Table!$C$3:$D$4,2,0)*8,2)</f>
        <v>2.46</v>
      </c>
      <c r="Z195" s="16">
        <v>2</v>
      </c>
      <c r="AA195" s="16" t="s">
        <v>74</v>
      </c>
      <c r="AB195" s="20">
        <v>43964</v>
      </c>
      <c r="AC195" s="20">
        <v>43964</v>
      </c>
      <c r="AD195" s="20">
        <v>43966</v>
      </c>
      <c r="AE195" s="20">
        <v>43964</v>
      </c>
      <c r="AF195" s="20">
        <v>43964</v>
      </c>
      <c r="AG195" s="20" t="s">
        <v>335</v>
      </c>
      <c r="AH195" s="32">
        <v>1</v>
      </c>
      <c r="AI195" s="32">
        <v>1</v>
      </c>
      <c r="AJ195" s="32">
        <v>1</v>
      </c>
      <c r="AK195" s="20" t="s">
        <v>165</v>
      </c>
      <c r="AL195" s="16" t="s">
        <v>61</v>
      </c>
      <c r="AM195" s="16" t="s">
        <v>61</v>
      </c>
      <c r="AN195" s="16" t="s">
        <v>61</v>
      </c>
    </row>
    <row r="196" spans="2:40" x14ac:dyDescent="0.25">
      <c r="B196" s="141">
        <f t="shared" si="33"/>
        <v>149</v>
      </c>
      <c r="C196" s="17">
        <v>20200514</v>
      </c>
      <c r="D196" s="16" t="s">
        <v>3</v>
      </c>
      <c r="E196" s="16" t="s">
        <v>784</v>
      </c>
      <c r="F196" s="128" t="s">
        <v>934</v>
      </c>
      <c r="G196" s="18">
        <v>1433776</v>
      </c>
      <c r="H196" s="57" t="s">
        <v>61</v>
      </c>
      <c r="I196" s="16" t="s">
        <v>935</v>
      </c>
      <c r="J196" s="57" t="s">
        <v>61</v>
      </c>
      <c r="K196" s="16" t="s">
        <v>161</v>
      </c>
      <c r="L196" s="16" t="s">
        <v>786</v>
      </c>
      <c r="M196" s="149" t="s">
        <v>936</v>
      </c>
      <c r="N196" s="143" t="s">
        <v>823</v>
      </c>
      <c r="O196" s="18" t="s">
        <v>61</v>
      </c>
      <c r="P196" s="18" t="s">
        <v>816</v>
      </c>
      <c r="Q196" s="19"/>
      <c r="R196" s="57" t="s">
        <v>61</v>
      </c>
      <c r="S196" s="16" t="s">
        <v>65</v>
      </c>
      <c r="T196" s="16"/>
      <c r="U196" s="16"/>
      <c r="V196" s="16">
        <v>30</v>
      </c>
      <c r="W196" s="16">
        <f t="shared" ref="W196:W227" si="35">V196</f>
        <v>30</v>
      </c>
      <c r="X196" s="16">
        <f t="shared" ref="X196:X201" si="36">W196</f>
        <v>30</v>
      </c>
      <c r="Y196" s="16">
        <f>ROUNDDOWN(W196/HLOOKUP(D196,Table!$C$3:$D$4,2,0)*8,2)</f>
        <v>0.53</v>
      </c>
      <c r="Z196" s="16">
        <v>1</v>
      </c>
      <c r="AA196" s="16" t="s">
        <v>74</v>
      </c>
      <c r="AB196" s="20">
        <v>43970</v>
      </c>
      <c r="AC196" s="20">
        <v>43965</v>
      </c>
      <c r="AD196" s="20">
        <v>43970</v>
      </c>
      <c r="AE196" s="20">
        <v>43969</v>
      </c>
      <c r="AF196" s="20">
        <v>43969</v>
      </c>
      <c r="AG196" s="20" t="s">
        <v>335</v>
      </c>
      <c r="AH196" s="32">
        <v>1</v>
      </c>
      <c r="AI196" s="32">
        <v>1</v>
      </c>
      <c r="AJ196" s="32">
        <v>1</v>
      </c>
      <c r="AK196" s="20" t="s">
        <v>165</v>
      </c>
      <c r="AL196" s="16"/>
      <c r="AM196" s="16"/>
      <c r="AN196" s="112" t="s">
        <v>937</v>
      </c>
    </row>
    <row r="197" spans="2:40" x14ac:dyDescent="0.25">
      <c r="B197" s="141">
        <f t="shared" si="33"/>
        <v>150</v>
      </c>
      <c r="C197" s="17">
        <v>20200514</v>
      </c>
      <c r="D197" s="16" t="s">
        <v>3</v>
      </c>
      <c r="E197" s="16" t="s">
        <v>784</v>
      </c>
      <c r="F197" s="80" t="s">
        <v>825</v>
      </c>
      <c r="G197" s="18">
        <v>1433776</v>
      </c>
      <c r="H197" s="57" t="s">
        <v>61</v>
      </c>
      <c r="I197" s="16" t="s">
        <v>790</v>
      </c>
      <c r="J197" s="57" t="s">
        <v>61</v>
      </c>
      <c r="K197" s="16" t="s">
        <v>161</v>
      </c>
      <c r="L197" s="16" t="s">
        <v>786</v>
      </c>
      <c r="M197" s="149" t="s">
        <v>936</v>
      </c>
      <c r="N197" s="143" t="s">
        <v>823</v>
      </c>
      <c r="O197" s="18" t="s">
        <v>61</v>
      </c>
      <c r="P197" s="18" t="s">
        <v>816</v>
      </c>
      <c r="Q197" s="19"/>
      <c r="R197" s="57" t="s">
        <v>61</v>
      </c>
      <c r="S197" s="16" t="s">
        <v>65</v>
      </c>
      <c r="T197" s="16"/>
      <c r="U197" s="16"/>
      <c r="V197" s="16">
        <v>280</v>
      </c>
      <c r="W197" s="16">
        <f t="shared" si="35"/>
        <v>280</v>
      </c>
      <c r="X197" s="16">
        <f t="shared" si="36"/>
        <v>280</v>
      </c>
      <c r="Y197" s="16">
        <f>ROUNDDOWN(W197/HLOOKUP(D197,Table!$C$3:$D$4,2,0)*8,2)</f>
        <v>4.97</v>
      </c>
      <c r="Z197" s="16">
        <v>1</v>
      </c>
      <c r="AA197" s="16" t="s">
        <v>74</v>
      </c>
      <c r="AB197" s="20">
        <v>43970</v>
      </c>
      <c r="AC197" s="20">
        <v>43965</v>
      </c>
      <c r="AD197" s="20">
        <v>43970</v>
      </c>
      <c r="AE197" s="20">
        <v>43969</v>
      </c>
      <c r="AF197" s="20">
        <v>43969</v>
      </c>
      <c r="AG197" s="20" t="s">
        <v>335</v>
      </c>
      <c r="AH197" s="32">
        <v>1</v>
      </c>
      <c r="AI197" s="32">
        <v>1</v>
      </c>
      <c r="AJ197" s="32">
        <v>1</v>
      </c>
      <c r="AK197" s="20" t="s">
        <v>165</v>
      </c>
      <c r="AL197" s="16"/>
      <c r="AM197" s="16"/>
      <c r="AN197" s="16"/>
    </row>
    <row r="198" spans="2:40" x14ac:dyDescent="0.25">
      <c r="B198" s="141">
        <f t="shared" si="33"/>
        <v>151</v>
      </c>
      <c r="C198" s="17">
        <v>20200514</v>
      </c>
      <c r="D198" s="16" t="s">
        <v>3</v>
      </c>
      <c r="E198" s="16" t="s">
        <v>784</v>
      </c>
      <c r="F198" s="80" t="s">
        <v>826</v>
      </c>
      <c r="G198" s="18">
        <v>1433776</v>
      </c>
      <c r="H198" s="57" t="s">
        <v>61</v>
      </c>
      <c r="I198" s="16" t="s">
        <v>791</v>
      </c>
      <c r="J198" s="57" t="s">
        <v>61</v>
      </c>
      <c r="K198" s="16" t="s">
        <v>161</v>
      </c>
      <c r="L198" s="16" t="s">
        <v>786</v>
      </c>
      <c r="M198" s="149" t="s">
        <v>936</v>
      </c>
      <c r="N198" s="143" t="s">
        <v>823</v>
      </c>
      <c r="O198" s="18" t="s">
        <v>61</v>
      </c>
      <c r="P198" s="18" t="s">
        <v>816</v>
      </c>
      <c r="Q198" s="19"/>
      <c r="R198" s="57" t="s">
        <v>61</v>
      </c>
      <c r="S198" s="16" t="s">
        <v>65</v>
      </c>
      <c r="T198" s="16"/>
      <c r="U198" s="16"/>
      <c r="V198" s="16">
        <v>239</v>
      </c>
      <c r="W198" s="16">
        <f t="shared" si="35"/>
        <v>239</v>
      </c>
      <c r="X198" s="16">
        <f t="shared" si="36"/>
        <v>239</v>
      </c>
      <c r="Y198" s="16">
        <f>ROUNDDOWN(W198/HLOOKUP(D198,Table!$C$3:$D$4,2,0)*8,2)</f>
        <v>4.24</v>
      </c>
      <c r="Z198" s="16">
        <v>1</v>
      </c>
      <c r="AA198" s="16" t="s">
        <v>74</v>
      </c>
      <c r="AB198" s="20">
        <v>43970</v>
      </c>
      <c r="AC198" s="20">
        <v>43965</v>
      </c>
      <c r="AD198" s="20">
        <v>43970</v>
      </c>
      <c r="AE198" s="20">
        <v>43969</v>
      </c>
      <c r="AF198" s="20">
        <v>43969</v>
      </c>
      <c r="AG198" s="20" t="s">
        <v>335</v>
      </c>
      <c r="AH198" s="32">
        <v>1</v>
      </c>
      <c r="AI198" s="32">
        <v>1</v>
      </c>
      <c r="AJ198" s="32">
        <v>1</v>
      </c>
      <c r="AK198" s="20" t="s">
        <v>165</v>
      </c>
      <c r="AL198" s="16"/>
      <c r="AM198" s="16"/>
      <c r="AN198" s="16"/>
    </row>
    <row r="199" spans="2:40" x14ac:dyDescent="0.25">
      <c r="B199" s="141">
        <f t="shared" si="33"/>
        <v>152</v>
      </c>
      <c r="C199" s="17">
        <v>20200514</v>
      </c>
      <c r="D199" s="16" t="s">
        <v>3</v>
      </c>
      <c r="E199" s="16" t="s">
        <v>784</v>
      </c>
      <c r="F199" s="80" t="s">
        <v>827</v>
      </c>
      <c r="G199" s="18">
        <v>1433776</v>
      </c>
      <c r="H199" s="57" t="s">
        <v>61</v>
      </c>
      <c r="I199" s="16" t="s">
        <v>491</v>
      </c>
      <c r="J199" s="57" t="s">
        <v>61</v>
      </c>
      <c r="K199" s="16" t="s">
        <v>161</v>
      </c>
      <c r="L199" s="16" t="s">
        <v>786</v>
      </c>
      <c r="M199" s="149" t="s">
        <v>936</v>
      </c>
      <c r="N199" s="143" t="s">
        <v>823</v>
      </c>
      <c r="O199" s="18" t="s">
        <v>61</v>
      </c>
      <c r="P199" s="18" t="s">
        <v>816</v>
      </c>
      <c r="Q199" s="19"/>
      <c r="R199" s="57" t="s">
        <v>61</v>
      </c>
      <c r="S199" s="16" t="s">
        <v>65</v>
      </c>
      <c r="T199" s="16"/>
      <c r="U199" s="16"/>
      <c r="V199" s="16">
        <v>220</v>
      </c>
      <c r="W199" s="16">
        <f t="shared" si="35"/>
        <v>220</v>
      </c>
      <c r="X199" s="16">
        <f t="shared" si="36"/>
        <v>220</v>
      </c>
      <c r="Y199" s="16">
        <f>ROUNDDOWN(W199/HLOOKUP(D199,Table!$C$3:$D$4,2,0)*8,2)</f>
        <v>3.91</v>
      </c>
      <c r="Z199" s="16">
        <v>1</v>
      </c>
      <c r="AA199" s="16" t="s">
        <v>74</v>
      </c>
      <c r="AB199" s="20">
        <v>43970</v>
      </c>
      <c r="AC199" s="20">
        <v>43965</v>
      </c>
      <c r="AD199" s="20">
        <v>43970</v>
      </c>
      <c r="AE199" s="20">
        <v>43969</v>
      </c>
      <c r="AF199" s="20">
        <v>43969</v>
      </c>
      <c r="AG199" s="20" t="s">
        <v>335</v>
      </c>
      <c r="AH199" s="32">
        <v>1</v>
      </c>
      <c r="AI199" s="32">
        <v>1</v>
      </c>
      <c r="AJ199" s="32">
        <v>1</v>
      </c>
      <c r="AK199" s="20" t="s">
        <v>165</v>
      </c>
      <c r="AL199" s="16"/>
      <c r="AM199" s="16"/>
      <c r="AN199" s="16"/>
    </row>
    <row r="200" spans="2:40" x14ac:dyDescent="0.25">
      <c r="B200" s="141">
        <f t="shared" si="33"/>
        <v>153</v>
      </c>
      <c r="C200" s="17">
        <v>20200514</v>
      </c>
      <c r="D200" s="16" t="s">
        <v>3</v>
      </c>
      <c r="E200" s="16" t="s">
        <v>784</v>
      </c>
      <c r="F200" s="80" t="s">
        <v>828</v>
      </c>
      <c r="G200" s="18">
        <v>1433776</v>
      </c>
      <c r="H200" s="57" t="s">
        <v>61</v>
      </c>
      <c r="I200" s="16" t="s">
        <v>792</v>
      </c>
      <c r="J200" s="57" t="s">
        <v>61</v>
      </c>
      <c r="K200" s="16" t="s">
        <v>161</v>
      </c>
      <c r="L200" s="16" t="s">
        <v>786</v>
      </c>
      <c r="M200" s="149" t="s">
        <v>936</v>
      </c>
      <c r="N200" s="143" t="s">
        <v>823</v>
      </c>
      <c r="O200" s="18" t="s">
        <v>61</v>
      </c>
      <c r="P200" s="18" t="s">
        <v>816</v>
      </c>
      <c r="Q200" s="19"/>
      <c r="R200" s="57" t="s">
        <v>61</v>
      </c>
      <c r="S200" s="16" t="s">
        <v>65</v>
      </c>
      <c r="T200" s="16"/>
      <c r="U200" s="16"/>
      <c r="V200" s="16">
        <v>42</v>
      </c>
      <c r="W200" s="16">
        <f t="shared" si="35"/>
        <v>42</v>
      </c>
      <c r="X200" s="16">
        <f t="shared" si="36"/>
        <v>42</v>
      </c>
      <c r="Y200" s="16">
        <f>ROUNDDOWN(W200/HLOOKUP(D200,Table!$C$3:$D$4,2,0)*8,2)</f>
        <v>0.74</v>
      </c>
      <c r="Z200" s="16">
        <v>1</v>
      </c>
      <c r="AA200" s="16" t="s">
        <v>74</v>
      </c>
      <c r="AB200" s="20">
        <v>43970</v>
      </c>
      <c r="AC200" s="20">
        <v>43965</v>
      </c>
      <c r="AD200" s="20">
        <v>43970</v>
      </c>
      <c r="AE200" s="20">
        <v>43969</v>
      </c>
      <c r="AF200" s="20">
        <v>43969</v>
      </c>
      <c r="AG200" s="20" t="s">
        <v>335</v>
      </c>
      <c r="AH200" s="32">
        <v>1</v>
      </c>
      <c r="AI200" s="32">
        <v>1</v>
      </c>
      <c r="AJ200" s="32">
        <v>1</v>
      </c>
      <c r="AK200" s="20" t="s">
        <v>165</v>
      </c>
      <c r="AL200" s="16"/>
      <c r="AM200" s="16"/>
      <c r="AN200" s="16"/>
    </row>
    <row r="201" spans="2:40" x14ac:dyDescent="0.25">
      <c r="B201" s="141">
        <f t="shared" si="33"/>
        <v>154</v>
      </c>
      <c r="C201" s="17">
        <v>20200514</v>
      </c>
      <c r="D201" s="16" t="s">
        <v>3</v>
      </c>
      <c r="E201" s="16" t="s">
        <v>784</v>
      </c>
      <c r="F201" s="80" t="s">
        <v>829</v>
      </c>
      <c r="G201" s="18">
        <v>1433776</v>
      </c>
      <c r="H201" s="57" t="s">
        <v>61</v>
      </c>
      <c r="I201" s="16" t="s">
        <v>793</v>
      </c>
      <c r="J201" s="57" t="s">
        <v>61</v>
      </c>
      <c r="K201" s="16" t="s">
        <v>161</v>
      </c>
      <c r="L201" s="16" t="s">
        <v>786</v>
      </c>
      <c r="M201" s="149" t="s">
        <v>936</v>
      </c>
      <c r="N201" s="143" t="s">
        <v>823</v>
      </c>
      <c r="O201" s="18" t="s">
        <v>61</v>
      </c>
      <c r="P201" s="18" t="s">
        <v>816</v>
      </c>
      <c r="Q201" s="19"/>
      <c r="R201" s="57" t="s">
        <v>61</v>
      </c>
      <c r="S201" s="16" t="s">
        <v>65</v>
      </c>
      <c r="T201" s="16"/>
      <c r="U201" s="16"/>
      <c r="V201" s="16">
        <v>91</v>
      </c>
      <c r="W201" s="16">
        <f t="shared" si="35"/>
        <v>91</v>
      </c>
      <c r="X201" s="16">
        <f t="shared" si="36"/>
        <v>91</v>
      </c>
      <c r="Y201" s="16">
        <f>ROUNDDOWN(W201/HLOOKUP(D201,Table!$C$3:$D$4,2,0)*8,2)</f>
        <v>1.61</v>
      </c>
      <c r="Z201" s="16">
        <v>1</v>
      </c>
      <c r="AA201" s="16" t="s">
        <v>74</v>
      </c>
      <c r="AB201" s="20">
        <v>43970</v>
      </c>
      <c r="AC201" s="20">
        <v>43965</v>
      </c>
      <c r="AD201" s="20">
        <v>43970</v>
      </c>
      <c r="AE201" s="20">
        <v>43969</v>
      </c>
      <c r="AF201" s="20">
        <v>43969</v>
      </c>
      <c r="AG201" s="20" t="s">
        <v>335</v>
      </c>
      <c r="AH201" s="32">
        <v>1</v>
      </c>
      <c r="AI201" s="32">
        <v>1</v>
      </c>
      <c r="AJ201" s="32">
        <v>1</v>
      </c>
      <c r="AK201" s="20" t="s">
        <v>165</v>
      </c>
      <c r="AL201" s="16"/>
      <c r="AM201" s="16"/>
      <c r="AN201" s="16"/>
    </row>
    <row r="202" spans="2:40" x14ac:dyDescent="0.25">
      <c r="B202" s="141">
        <f t="shared" si="33"/>
        <v>155</v>
      </c>
      <c r="C202" s="17">
        <v>20200514</v>
      </c>
      <c r="D202" s="16" t="s">
        <v>3</v>
      </c>
      <c r="E202" s="16" t="s">
        <v>785</v>
      </c>
      <c r="F202" s="80" t="s">
        <v>830</v>
      </c>
      <c r="G202" s="18">
        <v>1468187</v>
      </c>
      <c r="H202" s="57" t="s">
        <v>61</v>
      </c>
      <c r="I202" s="16" t="s">
        <v>794</v>
      </c>
      <c r="J202" s="57" t="s">
        <v>61</v>
      </c>
      <c r="K202" s="16" t="s">
        <v>161</v>
      </c>
      <c r="L202" s="16" t="s">
        <v>787</v>
      </c>
      <c r="M202" s="16" t="s">
        <v>788</v>
      </c>
      <c r="N202" s="16" t="s">
        <v>815</v>
      </c>
      <c r="O202" s="18" t="s">
        <v>61</v>
      </c>
      <c r="P202" s="18" t="s">
        <v>817</v>
      </c>
      <c r="Q202" s="19"/>
      <c r="R202" s="57" t="s">
        <v>61</v>
      </c>
      <c r="S202" s="16" t="s">
        <v>65</v>
      </c>
      <c r="T202" s="16"/>
      <c r="U202" s="16"/>
      <c r="V202" s="16">
        <v>116</v>
      </c>
      <c r="W202" s="16">
        <f t="shared" si="35"/>
        <v>116</v>
      </c>
      <c r="X202" s="16">
        <f>W202</f>
        <v>116</v>
      </c>
      <c r="Y202" s="16">
        <f>ROUNDDOWN(W202/HLOOKUP(D202,Table!$C$3:$D$4,2,0)*8,2)</f>
        <v>2.06</v>
      </c>
      <c r="Z202" s="16">
        <v>1</v>
      </c>
      <c r="AA202" s="16" t="s">
        <v>74</v>
      </c>
      <c r="AB202" s="20">
        <v>43970</v>
      </c>
      <c r="AC202" s="20">
        <v>43965</v>
      </c>
      <c r="AD202" s="20">
        <v>43970</v>
      </c>
      <c r="AE202" s="20">
        <v>43969</v>
      </c>
      <c r="AF202" s="20">
        <v>43969</v>
      </c>
      <c r="AG202" s="20" t="s">
        <v>335</v>
      </c>
      <c r="AH202" s="32">
        <v>1</v>
      </c>
      <c r="AI202" s="32">
        <v>1</v>
      </c>
      <c r="AJ202" s="32">
        <v>1</v>
      </c>
      <c r="AK202" s="20" t="s">
        <v>165</v>
      </c>
      <c r="AL202" s="16"/>
      <c r="AM202" s="16"/>
      <c r="AN202" s="16"/>
    </row>
    <row r="203" spans="2:40" x14ac:dyDescent="0.25">
      <c r="B203" s="141">
        <f t="shared" si="33"/>
        <v>156</v>
      </c>
      <c r="C203" s="17">
        <v>20200514</v>
      </c>
      <c r="D203" s="16" t="s">
        <v>3</v>
      </c>
      <c r="E203" s="16" t="s">
        <v>785</v>
      </c>
      <c r="F203" s="80" t="s">
        <v>831</v>
      </c>
      <c r="G203" s="18">
        <v>1468187</v>
      </c>
      <c r="H203" s="57" t="s">
        <v>61</v>
      </c>
      <c r="I203" s="16" t="s">
        <v>795</v>
      </c>
      <c r="J203" s="57" t="s">
        <v>61</v>
      </c>
      <c r="K203" s="16" t="s">
        <v>161</v>
      </c>
      <c r="L203" s="16" t="s">
        <v>787</v>
      </c>
      <c r="M203" s="16" t="s">
        <v>788</v>
      </c>
      <c r="N203" s="16" t="s">
        <v>815</v>
      </c>
      <c r="O203" s="18" t="s">
        <v>61</v>
      </c>
      <c r="P203" s="18" t="s">
        <v>817</v>
      </c>
      <c r="Q203" s="19"/>
      <c r="R203" s="57" t="s">
        <v>61</v>
      </c>
      <c r="S203" s="16" t="s">
        <v>65</v>
      </c>
      <c r="T203" s="16"/>
      <c r="U203" s="16"/>
      <c r="V203" s="16">
        <v>132</v>
      </c>
      <c r="W203" s="16">
        <f t="shared" si="35"/>
        <v>132</v>
      </c>
      <c r="X203" s="16">
        <f>W203</f>
        <v>132</v>
      </c>
      <c r="Y203" s="16">
        <f>ROUNDDOWN(W203/HLOOKUP(D203,Table!$C$3:$D$4,2,0)*8,2)</f>
        <v>2.34</v>
      </c>
      <c r="Z203" s="16">
        <v>0.5</v>
      </c>
      <c r="AA203" s="16" t="s">
        <v>74</v>
      </c>
      <c r="AB203" s="20">
        <v>43970</v>
      </c>
      <c r="AC203" s="20">
        <v>43965</v>
      </c>
      <c r="AD203" s="20">
        <v>43970</v>
      </c>
      <c r="AE203" s="20">
        <v>43969</v>
      </c>
      <c r="AF203" s="20">
        <v>43969</v>
      </c>
      <c r="AG203" s="20" t="s">
        <v>335</v>
      </c>
      <c r="AH203" s="32">
        <v>1</v>
      </c>
      <c r="AI203" s="32">
        <v>1</v>
      </c>
      <c r="AJ203" s="32">
        <v>1</v>
      </c>
      <c r="AK203" s="20" t="s">
        <v>165</v>
      </c>
      <c r="AL203" s="16"/>
      <c r="AM203" s="16"/>
      <c r="AN203" s="16"/>
    </row>
    <row r="204" spans="2:40" x14ac:dyDescent="0.25">
      <c r="B204" s="141">
        <f t="shared" si="33"/>
        <v>157</v>
      </c>
      <c r="C204" s="17">
        <v>20200514</v>
      </c>
      <c r="D204" s="16" t="s">
        <v>3</v>
      </c>
      <c r="E204" s="16" t="s">
        <v>785</v>
      </c>
      <c r="F204" s="80" t="s">
        <v>832</v>
      </c>
      <c r="G204" s="18">
        <v>1468187</v>
      </c>
      <c r="H204" s="57" t="s">
        <v>61</v>
      </c>
      <c r="I204" s="16" t="s">
        <v>796</v>
      </c>
      <c r="J204" s="57" t="s">
        <v>61</v>
      </c>
      <c r="K204" s="16" t="s">
        <v>161</v>
      </c>
      <c r="L204" s="16" t="s">
        <v>787</v>
      </c>
      <c r="M204" s="16" t="s">
        <v>788</v>
      </c>
      <c r="N204" s="16" t="s">
        <v>815</v>
      </c>
      <c r="O204" s="18" t="s">
        <v>61</v>
      </c>
      <c r="P204" s="18" t="s">
        <v>817</v>
      </c>
      <c r="Q204" s="19"/>
      <c r="R204" s="57" t="s">
        <v>61</v>
      </c>
      <c r="S204" s="16" t="s">
        <v>65</v>
      </c>
      <c r="T204" s="16"/>
      <c r="U204" s="16"/>
      <c r="V204" s="16">
        <v>162</v>
      </c>
      <c r="W204" s="16">
        <f t="shared" si="35"/>
        <v>162</v>
      </c>
      <c r="X204" s="16">
        <f>W204</f>
        <v>162</v>
      </c>
      <c r="Y204" s="16">
        <f>ROUNDDOWN(W204/HLOOKUP(D204,Table!$C$3:$D$4,2,0)*8,2)</f>
        <v>2.88</v>
      </c>
      <c r="Z204" s="16">
        <v>0.5</v>
      </c>
      <c r="AA204" s="16" t="s">
        <v>74</v>
      </c>
      <c r="AB204" s="20">
        <v>43970</v>
      </c>
      <c r="AC204" s="20">
        <v>43965</v>
      </c>
      <c r="AD204" s="20">
        <v>43970</v>
      </c>
      <c r="AE204" s="20">
        <v>43969</v>
      </c>
      <c r="AF204" s="20">
        <v>43969</v>
      </c>
      <c r="AG204" s="20" t="s">
        <v>335</v>
      </c>
      <c r="AH204" s="32">
        <v>1</v>
      </c>
      <c r="AI204" s="32">
        <v>1</v>
      </c>
      <c r="AJ204" s="32">
        <v>1</v>
      </c>
      <c r="AK204" s="20" t="s">
        <v>165</v>
      </c>
      <c r="AL204" s="16"/>
      <c r="AM204" s="16"/>
      <c r="AN204" s="16"/>
    </row>
    <row r="205" spans="2:40" x14ac:dyDescent="0.25">
      <c r="B205" s="141">
        <f t="shared" si="33"/>
        <v>158</v>
      </c>
      <c r="C205" s="17">
        <v>20200514</v>
      </c>
      <c r="D205" s="16" t="s">
        <v>3</v>
      </c>
      <c r="E205" s="16" t="s">
        <v>785</v>
      </c>
      <c r="F205" s="80" t="s">
        <v>833</v>
      </c>
      <c r="G205" s="18">
        <v>1468187</v>
      </c>
      <c r="H205" s="57" t="s">
        <v>61</v>
      </c>
      <c r="I205" s="16" t="s">
        <v>797</v>
      </c>
      <c r="J205" s="57" t="s">
        <v>61</v>
      </c>
      <c r="K205" s="16" t="s">
        <v>161</v>
      </c>
      <c r="L205" s="16" t="s">
        <v>787</v>
      </c>
      <c r="M205" s="16" t="s">
        <v>788</v>
      </c>
      <c r="N205" s="16" t="s">
        <v>815</v>
      </c>
      <c r="O205" s="18" t="s">
        <v>61</v>
      </c>
      <c r="P205" s="18" t="s">
        <v>817</v>
      </c>
      <c r="Q205" s="19"/>
      <c r="R205" s="57" t="s">
        <v>61</v>
      </c>
      <c r="S205" s="16" t="s">
        <v>65</v>
      </c>
      <c r="T205" s="16"/>
      <c r="U205" s="16"/>
      <c r="V205" s="16">
        <v>72</v>
      </c>
      <c r="W205" s="16">
        <f t="shared" si="35"/>
        <v>72</v>
      </c>
      <c r="X205" s="16">
        <f>W205</f>
        <v>72</v>
      </c>
      <c r="Y205" s="16">
        <f>ROUNDDOWN(W205/HLOOKUP(D205,Table!$C$3:$D$4,2,0)*8,2)</f>
        <v>1.28</v>
      </c>
      <c r="Z205" s="16">
        <v>0.5</v>
      </c>
      <c r="AA205" s="16" t="s">
        <v>74</v>
      </c>
      <c r="AB205" s="20">
        <v>43970</v>
      </c>
      <c r="AC205" s="20">
        <v>43965</v>
      </c>
      <c r="AD205" s="20">
        <v>43970</v>
      </c>
      <c r="AE205" s="20">
        <v>43969</v>
      </c>
      <c r="AF205" s="20">
        <v>43969</v>
      </c>
      <c r="AG205" s="20" t="s">
        <v>335</v>
      </c>
      <c r="AH205" s="32">
        <v>1</v>
      </c>
      <c r="AI205" s="32">
        <v>1</v>
      </c>
      <c r="AJ205" s="32">
        <v>1</v>
      </c>
      <c r="AK205" s="20" t="s">
        <v>165</v>
      </c>
      <c r="AL205" s="16"/>
      <c r="AM205" s="16"/>
      <c r="AN205" s="16"/>
    </row>
    <row r="206" spans="2:40" x14ac:dyDescent="0.25">
      <c r="B206" s="141">
        <f t="shared" si="33"/>
        <v>159</v>
      </c>
      <c r="C206" s="17">
        <v>20200514</v>
      </c>
      <c r="D206" s="16" t="s">
        <v>3</v>
      </c>
      <c r="E206" s="16" t="s">
        <v>785</v>
      </c>
      <c r="F206" s="80" t="s">
        <v>834</v>
      </c>
      <c r="G206" s="18">
        <v>1468172</v>
      </c>
      <c r="H206" s="57" t="s">
        <v>61</v>
      </c>
      <c r="I206" s="16" t="s">
        <v>798</v>
      </c>
      <c r="J206" s="57" t="s">
        <v>61</v>
      </c>
      <c r="K206" s="16" t="s">
        <v>161</v>
      </c>
      <c r="L206" s="16" t="s">
        <v>165</v>
      </c>
      <c r="M206" s="16" t="s">
        <v>788</v>
      </c>
      <c r="N206" s="16" t="s">
        <v>815</v>
      </c>
      <c r="O206" s="18" t="s">
        <v>61</v>
      </c>
      <c r="P206" s="18" t="s">
        <v>818</v>
      </c>
      <c r="Q206" s="19"/>
      <c r="R206" s="57" t="s">
        <v>61</v>
      </c>
      <c r="S206" s="16" t="s">
        <v>70</v>
      </c>
      <c r="T206" s="16"/>
      <c r="U206" s="16"/>
      <c r="V206" s="16">
        <v>51</v>
      </c>
      <c r="W206" s="16">
        <f t="shared" si="35"/>
        <v>51</v>
      </c>
      <c r="X206" s="16">
        <f t="shared" ref="X206:X214" si="37">W206</f>
        <v>51</v>
      </c>
      <c r="Y206" s="16">
        <f>ROUNDDOWN(W206/HLOOKUP(D206,Table!$C$3:$D$4,2,0)*8,2)</f>
        <v>0.9</v>
      </c>
      <c r="Z206" s="16">
        <v>0.5</v>
      </c>
      <c r="AA206" s="16" t="s">
        <v>74</v>
      </c>
      <c r="AB206" s="20">
        <v>43970</v>
      </c>
      <c r="AC206" s="20">
        <v>43965</v>
      </c>
      <c r="AD206" s="20">
        <v>43970</v>
      </c>
      <c r="AE206" s="20">
        <v>43969</v>
      </c>
      <c r="AF206" s="20">
        <v>43969</v>
      </c>
      <c r="AG206" s="20" t="s">
        <v>335</v>
      </c>
      <c r="AH206" s="32">
        <v>1</v>
      </c>
      <c r="AI206" s="32">
        <v>1</v>
      </c>
      <c r="AJ206" s="32">
        <v>1</v>
      </c>
      <c r="AK206" s="20" t="s">
        <v>165</v>
      </c>
      <c r="AL206" s="16" t="s">
        <v>61</v>
      </c>
      <c r="AM206" s="16" t="s">
        <v>61</v>
      </c>
      <c r="AN206" s="16" t="s">
        <v>61</v>
      </c>
    </row>
    <row r="207" spans="2:40" x14ac:dyDescent="0.25">
      <c r="B207" s="141">
        <f t="shared" si="33"/>
        <v>160</v>
      </c>
      <c r="C207" s="17">
        <v>20200514</v>
      </c>
      <c r="D207" s="16" t="s">
        <v>3</v>
      </c>
      <c r="E207" s="16" t="s">
        <v>785</v>
      </c>
      <c r="F207" s="80" t="s">
        <v>835</v>
      </c>
      <c r="G207" s="18">
        <v>1468172</v>
      </c>
      <c r="H207" s="57" t="s">
        <v>61</v>
      </c>
      <c r="I207" s="16" t="s">
        <v>799</v>
      </c>
      <c r="J207" s="57" t="s">
        <v>61</v>
      </c>
      <c r="K207" s="16" t="s">
        <v>161</v>
      </c>
      <c r="L207" s="16" t="s">
        <v>165</v>
      </c>
      <c r="M207" s="16" t="s">
        <v>788</v>
      </c>
      <c r="N207" s="16" t="s">
        <v>815</v>
      </c>
      <c r="O207" s="18" t="s">
        <v>61</v>
      </c>
      <c r="P207" s="18" t="s">
        <v>818</v>
      </c>
      <c r="Q207" s="19"/>
      <c r="R207" s="57" t="s">
        <v>61</v>
      </c>
      <c r="S207" s="16" t="s">
        <v>70</v>
      </c>
      <c r="T207" s="16"/>
      <c r="U207" s="16"/>
      <c r="V207" s="16">
        <v>109</v>
      </c>
      <c r="W207" s="16">
        <f t="shared" si="35"/>
        <v>109</v>
      </c>
      <c r="X207" s="16">
        <f t="shared" si="37"/>
        <v>109</v>
      </c>
      <c r="Y207" s="16">
        <f>ROUNDDOWN(W207/HLOOKUP(D207,Table!$C$3:$D$4,2,0)*8,2)</f>
        <v>1.93</v>
      </c>
      <c r="Z207" s="16">
        <v>0.5</v>
      </c>
      <c r="AA207" s="16" t="s">
        <v>74</v>
      </c>
      <c r="AB207" s="20">
        <v>43970</v>
      </c>
      <c r="AC207" s="20">
        <v>43965</v>
      </c>
      <c r="AD207" s="20">
        <v>43970</v>
      </c>
      <c r="AE207" s="20">
        <v>43969</v>
      </c>
      <c r="AF207" s="20">
        <v>43969</v>
      </c>
      <c r="AG207" s="20" t="s">
        <v>335</v>
      </c>
      <c r="AH207" s="32">
        <v>1</v>
      </c>
      <c r="AI207" s="32">
        <v>1</v>
      </c>
      <c r="AJ207" s="32">
        <v>1</v>
      </c>
      <c r="AK207" s="20" t="s">
        <v>165</v>
      </c>
      <c r="AL207" s="16" t="s">
        <v>61</v>
      </c>
      <c r="AM207" s="16" t="s">
        <v>61</v>
      </c>
      <c r="AN207" s="16" t="s">
        <v>61</v>
      </c>
    </row>
    <row r="208" spans="2:40" x14ac:dyDescent="0.25">
      <c r="B208" s="141">
        <f t="shared" si="33"/>
        <v>161</v>
      </c>
      <c r="C208" s="17">
        <v>20200514</v>
      </c>
      <c r="D208" s="16" t="s">
        <v>3</v>
      </c>
      <c r="E208" s="16" t="s">
        <v>785</v>
      </c>
      <c r="F208" s="80" t="s">
        <v>836</v>
      </c>
      <c r="G208" s="18">
        <v>1468172</v>
      </c>
      <c r="H208" s="57" t="s">
        <v>61</v>
      </c>
      <c r="I208" s="16" t="s">
        <v>800</v>
      </c>
      <c r="J208" s="57" t="s">
        <v>61</v>
      </c>
      <c r="K208" s="16" t="s">
        <v>161</v>
      </c>
      <c r="L208" s="16" t="s">
        <v>165</v>
      </c>
      <c r="M208" s="16" t="s">
        <v>788</v>
      </c>
      <c r="N208" s="16" t="s">
        <v>815</v>
      </c>
      <c r="O208" s="18" t="s">
        <v>61</v>
      </c>
      <c r="P208" s="18" t="s">
        <v>818</v>
      </c>
      <c r="Q208" s="19"/>
      <c r="R208" s="57" t="s">
        <v>61</v>
      </c>
      <c r="S208" s="16" t="s">
        <v>70</v>
      </c>
      <c r="T208" s="16"/>
      <c r="U208" s="16"/>
      <c r="V208" s="16">
        <v>64</v>
      </c>
      <c r="W208" s="16">
        <f t="shared" si="35"/>
        <v>64</v>
      </c>
      <c r="X208" s="16">
        <f t="shared" si="37"/>
        <v>64</v>
      </c>
      <c r="Y208" s="16">
        <f>ROUNDDOWN(W208/HLOOKUP(D208,Table!$C$3:$D$4,2,0)*8,2)</f>
        <v>1.1299999999999999</v>
      </c>
      <c r="Z208" s="16">
        <v>0.5</v>
      </c>
      <c r="AA208" s="16" t="s">
        <v>74</v>
      </c>
      <c r="AB208" s="20">
        <v>43970</v>
      </c>
      <c r="AC208" s="20">
        <v>43965</v>
      </c>
      <c r="AD208" s="20">
        <v>43970</v>
      </c>
      <c r="AE208" s="20">
        <v>43969</v>
      </c>
      <c r="AF208" s="20">
        <v>43969</v>
      </c>
      <c r="AG208" s="20" t="s">
        <v>336</v>
      </c>
      <c r="AH208" s="32">
        <v>1</v>
      </c>
      <c r="AI208" s="32">
        <v>0.9</v>
      </c>
      <c r="AJ208" s="32">
        <v>1</v>
      </c>
      <c r="AK208" s="20" t="s">
        <v>149</v>
      </c>
      <c r="AL208" s="18" t="s">
        <v>890</v>
      </c>
      <c r="AM208" s="16" t="s">
        <v>61</v>
      </c>
      <c r="AN208" s="18" t="s">
        <v>448</v>
      </c>
    </row>
    <row r="209" spans="2:40" x14ac:dyDescent="0.25">
      <c r="B209" s="141">
        <f t="shared" si="33"/>
        <v>162</v>
      </c>
      <c r="C209" s="17">
        <v>20200514</v>
      </c>
      <c r="D209" s="16" t="s">
        <v>3</v>
      </c>
      <c r="E209" s="16" t="s">
        <v>785</v>
      </c>
      <c r="F209" s="80" t="s">
        <v>837</v>
      </c>
      <c r="G209" s="18">
        <v>1468172</v>
      </c>
      <c r="H209" s="57" t="s">
        <v>61</v>
      </c>
      <c r="I209" s="16" t="s">
        <v>485</v>
      </c>
      <c r="J209" s="57" t="s">
        <v>61</v>
      </c>
      <c r="K209" s="16" t="s">
        <v>161</v>
      </c>
      <c r="L209" s="16" t="s">
        <v>165</v>
      </c>
      <c r="M209" s="16" t="s">
        <v>788</v>
      </c>
      <c r="N209" s="16" t="s">
        <v>815</v>
      </c>
      <c r="O209" s="18" t="s">
        <v>61</v>
      </c>
      <c r="P209" s="18" t="s">
        <v>818</v>
      </c>
      <c r="Q209" s="19"/>
      <c r="R209" s="57" t="s">
        <v>61</v>
      </c>
      <c r="S209" s="16" t="s">
        <v>70</v>
      </c>
      <c r="T209" s="16"/>
      <c r="U209" s="16"/>
      <c r="V209" s="16">
        <v>87</v>
      </c>
      <c r="W209" s="16">
        <f t="shared" si="35"/>
        <v>87</v>
      </c>
      <c r="X209" s="16">
        <f t="shared" si="37"/>
        <v>87</v>
      </c>
      <c r="Y209" s="16">
        <f>ROUNDDOWN(W209/HLOOKUP(D209,Table!$C$3:$D$4,2,0)*8,2)</f>
        <v>1.54</v>
      </c>
      <c r="Z209" s="16">
        <v>0.5</v>
      </c>
      <c r="AA209" s="16" t="s">
        <v>74</v>
      </c>
      <c r="AB209" s="20">
        <v>43970</v>
      </c>
      <c r="AC209" s="20">
        <v>43965</v>
      </c>
      <c r="AD209" s="20">
        <v>43970</v>
      </c>
      <c r="AE209" s="20">
        <v>43969</v>
      </c>
      <c r="AF209" s="20">
        <v>43969</v>
      </c>
      <c r="AG209" s="20" t="s">
        <v>335</v>
      </c>
      <c r="AH209" s="32">
        <v>1</v>
      </c>
      <c r="AI209" s="32">
        <v>1</v>
      </c>
      <c r="AJ209" s="32">
        <v>1</v>
      </c>
      <c r="AK209" s="20" t="s">
        <v>165</v>
      </c>
      <c r="AL209" s="16" t="s">
        <v>61</v>
      </c>
      <c r="AM209" s="16" t="s">
        <v>61</v>
      </c>
      <c r="AN209" s="16" t="s">
        <v>61</v>
      </c>
    </row>
    <row r="210" spans="2:40" x14ac:dyDescent="0.25">
      <c r="B210" s="141">
        <f t="shared" si="33"/>
        <v>163</v>
      </c>
      <c r="C210" s="17">
        <v>20200514</v>
      </c>
      <c r="D210" s="16" t="s">
        <v>3</v>
      </c>
      <c r="E210" s="16" t="s">
        <v>785</v>
      </c>
      <c r="F210" s="80" t="s">
        <v>838</v>
      </c>
      <c r="G210" s="18">
        <v>1468172</v>
      </c>
      <c r="H210" s="57" t="s">
        <v>61</v>
      </c>
      <c r="I210" s="16" t="s">
        <v>801</v>
      </c>
      <c r="J210" s="57" t="s">
        <v>61</v>
      </c>
      <c r="K210" s="16" t="s">
        <v>161</v>
      </c>
      <c r="L210" s="16" t="s">
        <v>165</v>
      </c>
      <c r="M210" s="16" t="s">
        <v>788</v>
      </c>
      <c r="N210" s="16" t="s">
        <v>815</v>
      </c>
      <c r="O210" s="18" t="s">
        <v>61</v>
      </c>
      <c r="P210" s="18" t="s">
        <v>818</v>
      </c>
      <c r="Q210" s="19"/>
      <c r="R210" s="57" t="s">
        <v>61</v>
      </c>
      <c r="S210" s="16" t="s">
        <v>70</v>
      </c>
      <c r="T210" s="16"/>
      <c r="U210" s="16"/>
      <c r="V210" s="16">
        <v>55</v>
      </c>
      <c r="W210" s="16">
        <f t="shared" si="35"/>
        <v>55</v>
      </c>
      <c r="X210" s="16">
        <f t="shared" si="37"/>
        <v>55</v>
      </c>
      <c r="Y210" s="16">
        <f>ROUNDDOWN(W210/HLOOKUP(D210,Table!$C$3:$D$4,2,0)*8,2)</f>
        <v>0.97</v>
      </c>
      <c r="Z210" s="16">
        <v>0.5</v>
      </c>
      <c r="AA210" s="16" t="s">
        <v>74</v>
      </c>
      <c r="AB210" s="20">
        <v>43970</v>
      </c>
      <c r="AC210" s="20">
        <v>43965</v>
      </c>
      <c r="AD210" s="20">
        <v>43970</v>
      </c>
      <c r="AE210" s="20">
        <v>43969</v>
      </c>
      <c r="AF210" s="20">
        <v>43969</v>
      </c>
      <c r="AG210" s="20" t="s">
        <v>335</v>
      </c>
      <c r="AH210" s="32">
        <v>1</v>
      </c>
      <c r="AI210" s="32">
        <v>1</v>
      </c>
      <c r="AJ210" s="32">
        <v>1</v>
      </c>
      <c r="AK210" s="20" t="s">
        <v>165</v>
      </c>
      <c r="AL210" s="16" t="s">
        <v>61</v>
      </c>
      <c r="AM210" s="16" t="s">
        <v>61</v>
      </c>
      <c r="AN210" s="16" t="s">
        <v>61</v>
      </c>
    </row>
    <row r="211" spans="2:40" x14ac:dyDescent="0.25">
      <c r="B211" s="141">
        <f t="shared" si="33"/>
        <v>164</v>
      </c>
      <c r="C211" s="17">
        <v>20200514</v>
      </c>
      <c r="D211" s="16" t="s">
        <v>3</v>
      </c>
      <c r="E211" s="16" t="s">
        <v>785</v>
      </c>
      <c r="F211" s="80" t="s">
        <v>839</v>
      </c>
      <c r="G211" s="18">
        <v>1468172</v>
      </c>
      <c r="H211" s="57" t="s">
        <v>61</v>
      </c>
      <c r="I211" s="16" t="s">
        <v>802</v>
      </c>
      <c r="J211" s="57" t="s">
        <v>61</v>
      </c>
      <c r="K211" s="16" t="s">
        <v>161</v>
      </c>
      <c r="L211" s="16" t="s">
        <v>165</v>
      </c>
      <c r="M211" s="16" t="s">
        <v>788</v>
      </c>
      <c r="N211" s="16" t="s">
        <v>815</v>
      </c>
      <c r="O211" s="18" t="s">
        <v>61</v>
      </c>
      <c r="P211" s="18" t="s">
        <v>818</v>
      </c>
      <c r="Q211" s="19"/>
      <c r="R211" s="57" t="s">
        <v>61</v>
      </c>
      <c r="S211" s="16" t="s">
        <v>70</v>
      </c>
      <c r="T211" s="16"/>
      <c r="U211" s="16"/>
      <c r="V211" s="16">
        <v>125</v>
      </c>
      <c r="W211" s="16">
        <f t="shared" si="35"/>
        <v>125</v>
      </c>
      <c r="X211" s="16">
        <f t="shared" si="37"/>
        <v>125</v>
      </c>
      <c r="Y211" s="16">
        <f>ROUNDDOWN(W211/HLOOKUP(D211,Table!$C$3:$D$4,2,0)*8,2)</f>
        <v>2.2200000000000002</v>
      </c>
      <c r="Z211" s="16">
        <v>0.5</v>
      </c>
      <c r="AA211" s="16" t="s">
        <v>74</v>
      </c>
      <c r="AB211" s="20">
        <v>43970</v>
      </c>
      <c r="AC211" s="20">
        <v>43965</v>
      </c>
      <c r="AD211" s="20">
        <v>43970</v>
      </c>
      <c r="AE211" s="20">
        <v>43969</v>
      </c>
      <c r="AF211" s="20">
        <v>43969</v>
      </c>
      <c r="AG211" s="20" t="s">
        <v>335</v>
      </c>
      <c r="AH211" s="32">
        <v>1</v>
      </c>
      <c r="AI211" s="32">
        <v>1</v>
      </c>
      <c r="AJ211" s="32">
        <v>1</v>
      </c>
      <c r="AK211" s="20" t="s">
        <v>165</v>
      </c>
      <c r="AL211" s="16" t="s">
        <v>61</v>
      </c>
      <c r="AM211" s="16" t="s">
        <v>61</v>
      </c>
      <c r="AN211" s="16" t="s">
        <v>61</v>
      </c>
    </row>
    <row r="212" spans="2:40" x14ac:dyDescent="0.25">
      <c r="B212" s="141">
        <f t="shared" si="33"/>
        <v>165</v>
      </c>
      <c r="C212" s="17">
        <v>20200514</v>
      </c>
      <c r="D212" s="16" t="s">
        <v>3</v>
      </c>
      <c r="E212" s="16" t="s">
        <v>785</v>
      </c>
      <c r="F212" s="80" t="s">
        <v>840</v>
      </c>
      <c r="G212" s="18">
        <v>1468172</v>
      </c>
      <c r="H212" s="57" t="s">
        <v>61</v>
      </c>
      <c r="I212" s="16" t="s">
        <v>803</v>
      </c>
      <c r="J212" s="57" t="s">
        <v>61</v>
      </c>
      <c r="K212" s="16" t="s">
        <v>161</v>
      </c>
      <c r="L212" s="16" t="s">
        <v>165</v>
      </c>
      <c r="M212" s="16" t="s">
        <v>788</v>
      </c>
      <c r="N212" s="16" t="s">
        <v>815</v>
      </c>
      <c r="O212" s="18" t="s">
        <v>61</v>
      </c>
      <c r="P212" s="18" t="s">
        <v>818</v>
      </c>
      <c r="Q212" s="19"/>
      <c r="R212" s="57" t="s">
        <v>61</v>
      </c>
      <c r="S212" s="16" t="s">
        <v>70</v>
      </c>
      <c r="T212" s="16"/>
      <c r="U212" s="16"/>
      <c r="V212" s="16">
        <v>107</v>
      </c>
      <c r="W212" s="16">
        <f t="shared" si="35"/>
        <v>107</v>
      </c>
      <c r="X212" s="16">
        <f t="shared" si="37"/>
        <v>107</v>
      </c>
      <c r="Y212" s="16">
        <f>ROUNDDOWN(W212/HLOOKUP(D212,Table!$C$3:$D$4,2,0)*8,2)</f>
        <v>1.9</v>
      </c>
      <c r="Z212" s="16">
        <v>0.5</v>
      </c>
      <c r="AA212" s="16" t="s">
        <v>74</v>
      </c>
      <c r="AB212" s="20">
        <v>43970</v>
      </c>
      <c r="AC212" s="20">
        <v>43965</v>
      </c>
      <c r="AD212" s="20">
        <v>43970</v>
      </c>
      <c r="AE212" s="20">
        <v>43969</v>
      </c>
      <c r="AF212" s="20">
        <v>43969</v>
      </c>
      <c r="AG212" s="20" t="s">
        <v>335</v>
      </c>
      <c r="AH212" s="32">
        <v>1</v>
      </c>
      <c r="AI212" s="32">
        <v>1</v>
      </c>
      <c r="AJ212" s="32">
        <v>1</v>
      </c>
      <c r="AK212" s="20" t="s">
        <v>165</v>
      </c>
      <c r="AL212" s="16" t="s">
        <v>61</v>
      </c>
      <c r="AM212" s="16" t="s">
        <v>61</v>
      </c>
      <c r="AN212" s="16" t="s">
        <v>61</v>
      </c>
    </row>
    <row r="213" spans="2:40" x14ac:dyDescent="0.25">
      <c r="B213" s="141">
        <f t="shared" si="33"/>
        <v>166</v>
      </c>
      <c r="C213" s="17">
        <v>20200514</v>
      </c>
      <c r="D213" s="16" t="s">
        <v>3</v>
      </c>
      <c r="E213" s="16" t="s">
        <v>785</v>
      </c>
      <c r="F213" s="80" t="s">
        <v>841</v>
      </c>
      <c r="G213" s="18">
        <v>1468172</v>
      </c>
      <c r="H213" s="57" t="s">
        <v>61</v>
      </c>
      <c r="I213" s="16" t="s">
        <v>804</v>
      </c>
      <c r="J213" s="57" t="s">
        <v>61</v>
      </c>
      <c r="K213" s="16" t="s">
        <v>161</v>
      </c>
      <c r="L213" s="16" t="s">
        <v>165</v>
      </c>
      <c r="M213" s="16" t="s">
        <v>788</v>
      </c>
      <c r="N213" s="16" t="s">
        <v>815</v>
      </c>
      <c r="O213" s="18" t="s">
        <v>61</v>
      </c>
      <c r="P213" s="18" t="s">
        <v>818</v>
      </c>
      <c r="Q213" s="19"/>
      <c r="R213" s="57" t="s">
        <v>61</v>
      </c>
      <c r="S213" s="16" t="s">
        <v>70</v>
      </c>
      <c r="T213" s="16"/>
      <c r="U213" s="16"/>
      <c r="V213" s="16">
        <v>41</v>
      </c>
      <c r="W213" s="16">
        <f t="shared" si="35"/>
        <v>41</v>
      </c>
      <c r="X213" s="16">
        <f t="shared" si="37"/>
        <v>41</v>
      </c>
      <c r="Y213" s="16">
        <f>ROUNDDOWN(W213/HLOOKUP(D213,Table!$C$3:$D$4,2,0)*8,2)</f>
        <v>0.72</v>
      </c>
      <c r="Z213" s="16">
        <v>0.5</v>
      </c>
      <c r="AA213" s="16" t="s">
        <v>74</v>
      </c>
      <c r="AB213" s="20">
        <v>43970</v>
      </c>
      <c r="AC213" s="20">
        <v>43965</v>
      </c>
      <c r="AD213" s="20">
        <v>43970</v>
      </c>
      <c r="AE213" s="20">
        <v>43969</v>
      </c>
      <c r="AF213" s="20">
        <v>43969</v>
      </c>
      <c r="AG213" s="20" t="s">
        <v>335</v>
      </c>
      <c r="AH213" s="32">
        <v>1</v>
      </c>
      <c r="AI213" s="32">
        <v>1</v>
      </c>
      <c r="AJ213" s="32">
        <v>1</v>
      </c>
      <c r="AK213" s="20" t="s">
        <v>165</v>
      </c>
      <c r="AL213" s="16" t="s">
        <v>61</v>
      </c>
      <c r="AM213" s="16" t="s">
        <v>61</v>
      </c>
      <c r="AN213" s="16" t="s">
        <v>61</v>
      </c>
    </row>
    <row r="214" spans="2:40" x14ac:dyDescent="0.25">
      <c r="B214" s="141">
        <f t="shared" si="33"/>
        <v>167</v>
      </c>
      <c r="C214" s="17">
        <v>20200514</v>
      </c>
      <c r="D214" s="16" t="s">
        <v>3</v>
      </c>
      <c r="E214" s="16" t="s">
        <v>785</v>
      </c>
      <c r="F214" s="80" t="s">
        <v>842</v>
      </c>
      <c r="G214" s="18">
        <v>1468172</v>
      </c>
      <c r="H214" s="57" t="s">
        <v>61</v>
      </c>
      <c r="I214" s="16" t="s">
        <v>805</v>
      </c>
      <c r="J214" s="57" t="s">
        <v>61</v>
      </c>
      <c r="K214" s="16" t="s">
        <v>161</v>
      </c>
      <c r="L214" s="16" t="s">
        <v>165</v>
      </c>
      <c r="M214" s="16" t="s">
        <v>788</v>
      </c>
      <c r="N214" s="16" t="s">
        <v>815</v>
      </c>
      <c r="O214" s="18" t="s">
        <v>61</v>
      </c>
      <c r="P214" s="18" t="s">
        <v>818</v>
      </c>
      <c r="Q214" s="19"/>
      <c r="R214" s="57" t="s">
        <v>61</v>
      </c>
      <c r="S214" s="16" t="s">
        <v>70</v>
      </c>
      <c r="T214" s="16"/>
      <c r="U214" s="16"/>
      <c r="V214" s="16">
        <v>42</v>
      </c>
      <c r="W214" s="16">
        <f t="shared" si="35"/>
        <v>42</v>
      </c>
      <c r="X214" s="16">
        <f t="shared" si="37"/>
        <v>42</v>
      </c>
      <c r="Y214" s="16">
        <f>ROUNDDOWN(W214/HLOOKUP(D214,Table!$C$3:$D$4,2,0)*8,2)</f>
        <v>0.74</v>
      </c>
      <c r="Z214" s="16">
        <v>0.5</v>
      </c>
      <c r="AA214" s="16" t="s">
        <v>74</v>
      </c>
      <c r="AB214" s="20">
        <v>43970</v>
      </c>
      <c r="AC214" s="20">
        <v>43965</v>
      </c>
      <c r="AD214" s="20">
        <v>43970</v>
      </c>
      <c r="AE214" s="20">
        <v>43969</v>
      </c>
      <c r="AF214" s="20">
        <v>43969</v>
      </c>
      <c r="AG214" s="20" t="s">
        <v>335</v>
      </c>
      <c r="AH214" s="32">
        <v>1</v>
      </c>
      <c r="AI214" s="32">
        <v>1</v>
      </c>
      <c r="AJ214" s="32">
        <v>1</v>
      </c>
      <c r="AK214" s="20" t="s">
        <v>165</v>
      </c>
      <c r="AL214" s="16" t="s">
        <v>61</v>
      </c>
      <c r="AM214" s="16" t="s">
        <v>61</v>
      </c>
      <c r="AN214" s="16" t="s">
        <v>61</v>
      </c>
    </row>
    <row r="215" spans="2:40" x14ac:dyDescent="0.25">
      <c r="B215" s="141">
        <f t="shared" si="33"/>
        <v>168</v>
      </c>
      <c r="C215" s="17">
        <v>20200514</v>
      </c>
      <c r="D215" s="16" t="s">
        <v>3</v>
      </c>
      <c r="E215" s="16" t="s">
        <v>785</v>
      </c>
      <c r="F215" s="80" t="s">
        <v>843</v>
      </c>
      <c r="G215" s="18">
        <v>1468172</v>
      </c>
      <c r="H215" s="57" t="s">
        <v>61</v>
      </c>
      <c r="I215" s="16" t="s">
        <v>806</v>
      </c>
      <c r="J215" s="57" t="s">
        <v>61</v>
      </c>
      <c r="K215" s="16" t="s">
        <v>161</v>
      </c>
      <c r="L215" s="16" t="s">
        <v>165</v>
      </c>
      <c r="M215" s="16" t="s">
        <v>788</v>
      </c>
      <c r="N215" s="16" t="s">
        <v>815</v>
      </c>
      <c r="O215" s="18" t="s">
        <v>61</v>
      </c>
      <c r="P215" s="18" t="s">
        <v>818</v>
      </c>
      <c r="Q215" s="19"/>
      <c r="R215" s="57" t="s">
        <v>61</v>
      </c>
      <c r="S215" s="16" t="s">
        <v>64</v>
      </c>
      <c r="T215" s="16"/>
      <c r="U215" s="16"/>
      <c r="V215" s="16">
        <v>11</v>
      </c>
      <c r="W215" s="16">
        <f t="shared" si="35"/>
        <v>11</v>
      </c>
      <c r="X215" s="16">
        <f t="shared" ref="X215:X220" si="38">W215</f>
        <v>11</v>
      </c>
      <c r="Y215" s="16">
        <f>ROUNDDOWN(W215/HLOOKUP(D215,Table!$C$3:$D$4,2,0)*8,2)</f>
        <v>0.19</v>
      </c>
      <c r="Z215" s="16">
        <v>0.1</v>
      </c>
      <c r="AA215" s="16" t="s">
        <v>74</v>
      </c>
      <c r="AB215" s="20">
        <v>43970</v>
      </c>
      <c r="AC215" s="20">
        <v>43965</v>
      </c>
      <c r="AD215" s="20">
        <v>43970</v>
      </c>
      <c r="AE215" s="20">
        <v>43966</v>
      </c>
      <c r="AF215" s="20">
        <v>43966</v>
      </c>
      <c r="AG215" s="20" t="s">
        <v>335</v>
      </c>
      <c r="AH215" s="32">
        <v>1</v>
      </c>
      <c r="AI215" s="32">
        <v>1</v>
      </c>
      <c r="AJ215" s="32">
        <v>1</v>
      </c>
      <c r="AK215" s="20" t="s">
        <v>165</v>
      </c>
      <c r="AL215" s="16"/>
      <c r="AM215" s="16"/>
      <c r="AN215" s="16"/>
    </row>
    <row r="216" spans="2:40" x14ac:dyDescent="0.25">
      <c r="B216" s="141">
        <f t="shared" si="33"/>
        <v>169</v>
      </c>
      <c r="C216" s="17">
        <v>20200514</v>
      </c>
      <c r="D216" s="16" t="s">
        <v>3</v>
      </c>
      <c r="E216" s="16" t="s">
        <v>785</v>
      </c>
      <c r="F216" s="80" t="s">
        <v>844</v>
      </c>
      <c r="G216" s="18">
        <v>1468172</v>
      </c>
      <c r="H216" s="57" t="s">
        <v>61</v>
      </c>
      <c r="I216" s="16" t="s">
        <v>807</v>
      </c>
      <c r="J216" s="57" t="s">
        <v>61</v>
      </c>
      <c r="K216" s="16" t="s">
        <v>161</v>
      </c>
      <c r="L216" s="16" t="s">
        <v>165</v>
      </c>
      <c r="M216" s="16" t="s">
        <v>788</v>
      </c>
      <c r="N216" s="16" t="s">
        <v>815</v>
      </c>
      <c r="O216" s="18" t="s">
        <v>61</v>
      </c>
      <c r="P216" s="18" t="s">
        <v>818</v>
      </c>
      <c r="Q216" s="19"/>
      <c r="R216" s="57" t="s">
        <v>61</v>
      </c>
      <c r="S216" s="16" t="s">
        <v>64</v>
      </c>
      <c r="T216" s="16"/>
      <c r="U216" s="16"/>
      <c r="V216" s="16">
        <v>493</v>
      </c>
      <c r="W216" s="16">
        <f t="shared" si="35"/>
        <v>493</v>
      </c>
      <c r="X216" s="16">
        <f t="shared" si="38"/>
        <v>493</v>
      </c>
      <c r="Y216" s="16">
        <f>ROUNDDOWN(W216/HLOOKUP(D216,Table!$C$3:$D$4,2,0)*8,2)</f>
        <v>8.76</v>
      </c>
      <c r="Z216" s="16">
        <v>4</v>
      </c>
      <c r="AA216" s="16" t="s">
        <v>74</v>
      </c>
      <c r="AB216" s="20">
        <v>43970</v>
      </c>
      <c r="AC216" s="20">
        <v>43965</v>
      </c>
      <c r="AD216" s="20">
        <v>43970</v>
      </c>
      <c r="AE216" s="20">
        <v>43965</v>
      </c>
      <c r="AF216" s="20">
        <v>43965</v>
      </c>
      <c r="AG216" s="20" t="s">
        <v>335</v>
      </c>
      <c r="AH216" s="32">
        <v>1</v>
      </c>
      <c r="AI216" s="32">
        <v>1</v>
      </c>
      <c r="AJ216" s="32">
        <v>1</v>
      </c>
      <c r="AK216" s="20" t="s">
        <v>165</v>
      </c>
      <c r="AL216" s="16"/>
      <c r="AM216" s="16"/>
      <c r="AN216" s="16"/>
    </row>
    <row r="217" spans="2:40" x14ac:dyDescent="0.25">
      <c r="B217" s="141">
        <f t="shared" si="33"/>
        <v>170</v>
      </c>
      <c r="C217" s="17">
        <v>20200514</v>
      </c>
      <c r="D217" s="16" t="s">
        <v>3</v>
      </c>
      <c r="E217" s="16" t="s">
        <v>785</v>
      </c>
      <c r="F217" s="80" t="s">
        <v>845</v>
      </c>
      <c r="G217" s="18">
        <v>1468172</v>
      </c>
      <c r="H217" s="57" t="s">
        <v>61</v>
      </c>
      <c r="I217" s="16" t="s">
        <v>808</v>
      </c>
      <c r="J217" s="57" t="s">
        <v>61</v>
      </c>
      <c r="K217" s="16" t="s">
        <v>161</v>
      </c>
      <c r="L217" s="16" t="s">
        <v>165</v>
      </c>
      <c r="M217" s="16" t="s">
        <v>788</v>
      </c>
      <c r="N217" s="16" t="s">
        <v>815</v>
      </c>
      <c r="O217" s="18" t="s">
        <v>61</v>
      </c>
      <c r="P217" s="18" t="s">
        <v>818</v>
      </c>
      <c r="Q217" s="19"/>
      <c r="R217" s="57" t="s">
        <v>61</v>
      </c>
      <c r="S217" s="16" t="s">
        <v>64</v>
      </c>
      <c r="T217" s="16"/>
      <c r="U217" s="16"/>
      <c r="V217" s="16">
        <v>295</v>
      </c>
      <c r="W217" s="16">
        <f t="shared" si="35"/>
        <v>295</v>
      </c>
      <c r="X217" s="16">
        <f t="shared" si="38"/>
        <v>295</v>
      </c>
      <c r="Y217" s="16">
        <f>ROUNDDOWN(W217/HLOOKUP(D217,Table!$C$3:$D$4,2,0)*8,2)</f>
        <v>5.24</v>
      </c>
      <c r="Z217" s="16">
        <v>2</v>
      </c>
      <c r="AA217" s="16" t="s">
        <v>74</v>
      </c>
      <c r="AB217" s="20">
        <v>43970</v>
      </c>
      <c r="AC217" s="20">
        <v>43965</v>
      </c>
      <c r="AD217" s="20">
        <v>43970</v>
      </c>
      <c r="AE217" s="20">
        <v>43965</v>
      </c>
      <c r="AF217" s="20">
        <v>43965</v>
      </c>
      <c r="AG217" s="20" t="s">
        <v>335</v>
      </c>
      <c r="AH217" s="32">
        <v>1</v>
      </c>
      <c r="AI217" s="32">
        <v>1</v>
      </c>
      <c r="AJ217" s="32">
        <v>1</v>
      </c>
      <c r="AK217" s="20" t="s">
        <v>165</v>
      </c>
      <c r="AL217" s="16"/>
      <c r="AM217" s="16"/>
      <c r="AN217" s="16"/>
    </row>
    <row r="218" spans="2:40" x14ac:dyDescent="0.25">
      <c r="B218" s="141">
        <f t="shared" si="33"/>
        <v>171</v>
      </c>
      <c r="C218" s="17">
        <v>20200514</v>
      </c>
      <c r="D218" s="16" t="s">
        <v>3</v>
      </c>
      <c r="E218" s="16" t="s">
        <v>785</v>
      </c>
      <c r="F218" s="80" t="s">
        <v>846</v>
      </c>
      <c r="G218" s="18">
        <v>1468172</v>
      </c>
      <c r="H218" s="57" t="s">
        <v>61</v>
      </c>
      <c r="I218" s="16" t="s">
        <v>809</v>
      </c>
      <c r="J218" s="57" t="s">
        <v>61</v>
      </c>
      <c r="K218" s="16" t="s">
        <v>161</v>
      </c>
      <c r="L218" s="16" t="s">
        <v>165</v>
      </c>
      <c r="M218" s="16" t="s">
        <v>788</v>
      </c>
      <c r="N218" s="16" t="s">
        <v>815</v>
      </c>
      <c r="O218" s="18" t="s">
        <v>61</v>
      </c>
      <c r="P218" s="18" t="s">
        <v>818</v>
      </c>
      <c r="Q218" s="19"/>
      <c r="R218" s="57" t="s">
        <v>61</v>
      </c>
      <c r="S218" s="16" t="s">
        <v>64</v>
      </c>
      <c r="T218" s="16"/>
      <c r="U218" s="16"/>
      <c r="V218" s="16">
        <v>229</v>
      </c>
      <c r="W218" s="16">
        <f t="shared" si="35"/>
        <v>229</v>
      </c>
      <c r="X218" s="16">
        <f t="shared" si="38"/>
        <v>229</v>
      </c>
      <c r="Y218" s="16">
        <f>ROUNDDOWN(W218/HLOOKUP(D218,Table!$C$3:$D$4,2,0)*8,2)</f>
        <v>4.07</v>
      </c>
      <c r="Z218" s="16">
        <v>2</v>
      </c>
      <c r="AA218" s="16" t="s">
        <v>74</v>
      </c>
      <c r="AB218" s="20">
        <v>43970</v>
      </c>
      <c r="AC218" s="20">
        <v>43965</v>
      </c>
      <c r="AD218" s="20">
        <v>43970</v>
      </c>
      <c r="AE218" s="20">
        <v>43965</v>
      </c>
      <c r="AF218" s="20">
        <v>43965</v>
      </c>
      <c r="AG218" s="20" t="s">
        <v>335</v>
      </c>
      <c r="AH218" s="32">
        <v>1</v>
      </c>
      <c r="AI218" s="32">
        <v>1</v>
      </c>
      <c r="AJ218" s="32">
        <v>1</v>
      </c>
      <c r="AK218" s="20" t="s">
        <v>165</v>
      </c>
      <c r="AL218" s="16"/>
      <c r="AM218" s="16"/>
      <c r="AN218" s="16"/>
    </row>
    <row r="219" spans="2:40" x14ac:dyDescent="0.25">
      <c r="B219" s="141">
        <f t="shared" si="33"/>
        <v>172</v>
      </c>
      <c r="C219" s="17">
        <v>20200514</v>
      </c>
      <c r="D219" s="16" t="s">
        <v>3</v>
      </c>
      <c r="E219" s="16" t="s">
        <v>785</v>
      </c>
      <c r="F219" s="80" t="s">
        <v>847</v>
      </c>
      <c r="G219" s="18">
        <v>1468172</v>
      </c>
      <c r="H219" s="57" t="s">
        <v>61</v>
      </c>
      <c r="I219" s="16" t="s">
        <v>810</v>
      </c>
      <c r="J219" s="57" t="s">
        <v>61</v>
      </c>
      <c r="K219" s="16" t="s">
        <v>161</v>
      </c>
      <c r="L219" s="16" t="s">
        <v>165</v>
      </c>
      <c r="M219" s="16" t="s">
        <v>788</v>
      </c>
      <c r="N219" s="16" t="s">
        <v>815</v>
      </c>
      <c r="O219" s="18" t="s">
        <v>61</v>
      </c>
      <c r="P219" s="18" t="s">
        <v>818</v>
      </c>
      <c r="Q219" s="19"/>
      <c r="R219" s="57" t="s">
        <v>61</v>
      </c>
      <c r="S219" s="16" t="s">
        <v>64</v>
      </c>
      <c r="T219" s="16"/>
      <c r="U219" s="16"/>
      <c r="V219" s="16">
        <v>137</v>
      </c>
      <c r="W219" s="16">
        <f t="shared" si="35"/>
        <v>137</v>
      </c>
      <c r="X219" s="16">
        <f t="shared" si="38"/>
        <v>137</v>
      </c>
      <c r="Y219" s="16">
        <f>ROUNDDOWN(W219/HLOOKUP(D219,Table!$C$3:$D$4,2,0)*8,2)</f>
        <v>2.4300000000000002</v>
      </c>
      <c r="Z219" s="16">
        <v>2</v>
      </c>
      <c r="AA219" s="16" t="s">
        <v>74</v>
      </c>
      <c r="AB219" s="20">
        <v>43970</v>
      </c>
      <c r="AC219" s="20">
        <v>43965</v>
      </c>
      <c r="AD219" s="20">
        <v>43970</v>
      </c>
      <c r="AE219" s="20">
        <v>43966</v>
      </c>
      <c r="AF219" s="20">
        <v>43966</v>
      </c>
      <c r="AG219" s="20" t="s">
        <v>335</v>
      </c>
      <c r="AH219" s="32">
        <v>1</v>
      </c>
      <c r="AI219" s="32">
        <v>1</v>
      </c>
      <c r="AJ219" s="32">
        <v>1</v>
      </c>
      <c r="AK219" s="20" t="s">
        <v>165</v>
      </c>
      <c r="AL219" s="16"/>
      <c r="AM219" s="16"/>
      <c r="AN219" s="16"/>
    </row>
    <row r="220" spans="2:40" x14ac:dyDescent="0.25">
      <c r="B220" s="141">
        <f t="shared" si="33"/>
        <v>173</v>
      </c>
      <c r="C220" s="17">
        <v>20200514</v>
      </c>
      <c r="D220" s="16" t="s">
        <v>3</v>
      </c>
      <c r="E220" s="16" t="s">
        <v>785</v>
      </c>
      <c r="F220" s="80" t="s">
        <v>848</v>
      </c>
      <c r="G220" s="18">
        <v>1468172</v>
      </c>
      <c r="H220" s="57" t="s">
        <v>61</v>
      </c>
      <c r="I220" s="16" t="s">
        <v>811</v>
      </c>
      <c r="J220" s="57" t="s">
        <v>61</v>
      </c>
      <c r="K220" s="16" t="s">
        <v>161</v>
      </c>
      <c r="L220" s="16" t="s">
        <v>165</v>
      </c>
      <c r="M220" s="16" t="s">
        <v>788</v>
      </c>
      <c r="N220" s="16" t="s">
        <v>815</v>
      </c>
      <c r="O220" s="18" t="s">
        <v>61</v>
      </c>
      <c r="P220" s="18" t="s">
        <v>818</v>
      </c>
      <c r="Q220" s="19"/>
      <c r="R220" s="57" t="s">
        <v>61</v>
      </c>
      <c r="S220" s="16" t="s">
        <v>64</v>
      </c>
      <c r="T220" s="16"/>
      <c r="U220" s="16"/>
      <c r="V220" s="16">
        <v>6</v>
      </c>
      <c r="W220" s="16">
        <f t="shared" si="35"/>
        <v>6</v>
      </c>
      <c r="X220" s="16">
        <f t="shared" si="38"/>
        <v>6</v>
      </c>
      <c r="Y220" s="16">
        <f>ROUNDDOWN(W220/HLOOKUP(D220,Table!$C$3:$D$4,2,0)*8,2)</f>
        <v>0.1</v>
      </c>
      <c r="Z220" s="16">
        <v>0.1</v>
      </c>
      <c r="AA220" s="16" t="s">
        <v>74</v>
      </c>
      <c r="AB220" s="20">
        <v>43970</v>
      </c>
      <c r="AC220" s="20">
        <v>43965</v>
      </c>
      <c r="AD220" s="20">
        <v>43970</v>
      </c>
      <c r="AE220" s="20">
        <v>43966</v>
      </c>
      <c r="AF220" s="20">
        <v>43966</v>
      </c>
      <c r="AG220" s="20" t="s">
        <v>335</v>
      </c>
      <c r="AH220" s="32" t="s">
        <v>61</v>
      </c>
      <c r="AI220" s="32" t="s">
        <v>61</v>
      </c>
      <c r="AJ220" s="32" t="s">
        <v>61</v>
      </c>
      <c r="AK220" s="20" t="s">
        <v>165</v>
      </c>
      <c r="AL220" s="16"/>
      <c r="AM220" s="16"/>
      <c r="AN220" s="16" t="s">
        <v>418</v>
      </c>
    </row>
    <row r="221" spans="2:40" x14ac:dyDescent="0.25">
      <c r="B221" s="141">
        <f t="shared" si="33"/>
        <v>174</v>
      </c>
      <c r="C221" s="17">
        <v>20200514</v>
      </c>
      <c r="D221" s="16" t="s">
        <v>3</v>
      </c>
      <c r="E221" s="16" t="s">
        <v>785</v>
      </c>
      <c r="F221" s="80" t="s">
        <v>849</v>
      </c>
      <c r="G221" s="18">
        <v>1468219</v>
      </c>
      <c r="H221" s="57" t="s">
        <v>61</v>
      </c>
      <c r="I221" s="16" t="s">
        <v>812</v>
      </c>
      <c r="J221" s="57" t="s">
        <v>61</v>
      </c>
      <c r="K221" s="16" t="s">
        <v>161</v>
      </c>
      <c r="L221" s="16" t="s">
        <v>789</v>
      </c>
      <c r="M221" s="16" t="s">
        <v>788</v>
      </c>
      <c r="N221" s="16" t="s">
        <v>815</v>
      </c>
      <c r="O221" s="18" t="s">
        <v>61</v>
      </c>
      <c r="P221" s="18" t="s">
        <v>819</v>
      </c>
      <c r="Q221" s="19"/>
      <c r="R221" s="57" t="s">
        <v>61</v>
      </c>
      <c r="S221" s="16" t="s">
        <v>64</v>
      </c>
      <c r="T221" s="16"/>
      <c r="U221" s="16"/>
      <c r="V221" s="16">
        <v>40</v>
      </c>
      <c r="W221" s="16">
        <f t="shared" si="35"/>
        <v>40</v>
      </c>
      <c r="X221" s="16">
        <f>W221</f>
        <v>40</v>
      </c>
      <c r="Y221" s="16">
        <f>ROUNDDOWN(W221/HLOOKUP(D221,Table!$C$3:$D$4,2,0)*8,2)</f>
        <v>0.71</v>
      </c>
      <c r="Z221" s="16">
        <v>1</v>
      </c>
      <c r="AA221" s="16" t="s">
        <v>74</v>
      </c>
      <c r="AB221" s="20">
        <v>43970</v>
      </c>
      <c r="AC221" s="20">
        <v>43965</v>
      </c>
      <c r="AD221" s="20">
        <v>43970</v>
      </c>
      <c r="AE221" s="20">
        <v>43969</v>
      </c>
      <c r="AF221" s="20">
        <v>43969</v>
      </c>
      <c r="AG221" s="20" t="s">
        <v>335</v>
      </c>
      <c r="AH221" s="32">
        <v>1</v>
      </c>
      <c r="AI221" s="32">
        <v>1</v>
      </c>
      <c r="AJ221" s="32">
        <v>1</v>
      </c>
      <c r="AK221" s="20" t="s">
        <v>165</v>
      </c>
      <c r="AL221" s="16"/>
      <c r="AM221" s="16"/>
      <c r="AN221" s="16"/>
    </row>
    <row r="222" spans="2:40" x14ac:dyDescent="0.25">
      <c r="B222" s="141">
        <f t="shared" si="33"/>
        <v>175</v>
      </c>
      <c r="C222" s="17">
        <v>20200514</v>
      </c>
      <c r="D222" s="16" t="s">
        <v>3</v>
      </c>
      <c r="E222" s="16" t="s">
        <v>785</v>
      </c>
      <c r="F222" s="80" t="s">
        <v>850</v>
      </c>
      <c r="G222" s="18">
        <v>1468219</v>
      </c>
      <c r="H222" s="57" t="s">
        <v>61</v>
      </c>
      <c r="I222" s="16" t="s">
        <v>813</v>
      </c>
      <c r="J222" s="57" t="s">
        <v>61</v>
      </c>
      <c r="K222" s="16" t="s">
        <v>161</v>
      </c>
      <c r="L222" s="16" t="s">
        <v>789</v>
      </c>
      <c r="M222" s="16" t="s">
        <v>788</v>
      </c>
      <c r="N222" s="16" t="s">
        <v>815</v>
      </c>
      <c r="O222" s="18" t="s">
        <v>61</v>
      </c>
      <c r="P222" s="18" t="s">
        <v>819</v>
      </c>
      <c r="Q222" s="19"/>
      <c r="R222" s="57" t="s">
        <v>61</v>
      </c>
      <c r="S222" s="16" t="s">
        <v>6</v>
      </c>
      <c r="T222" s="16"/>
      <c r="U222" s="16"/>
      <c r="V222" s="16">
        <v>805</v>
      </c>
      <c r="W222" s="16">
        <f t="shared" si="35"/>
        <v>805</v>
      </c>
      <c r="X222" s="16">
        <f t="shared" ref="X222:X227" si="39">W222</f>
        <v>805</v>
      </c>
      <c r="Y222" s="16">
        <f>ROUNDDOWN(W222/HLOOKUP(D222,Table!$C$3:$D$4,2,0)*8,2)</f>
        <v>14.31</v>
      </c>
      <c r="Z222" s="16">
        <v>8</v>
      </c>
      <c r="AA222" s="16" t="s">
        <v>74</v>
      </c>
      <c r="AB222" s="20">
        <v>43970</v>
      </c>
      <c r="AC222" s="20">
        <v>43965</v>
      </c>
      <c r="AD222" s="20">
        <v>43970</v>
      </c>
      <c r="AE222" s="20">
        <v>43966</v>
      </c>
      <c r="AF222" s="20">
        <v>43966</v>
      </c>
      <c r="AG222" s="20" t="s">
        <v>335</v>
      </c>
      <c r="AH222" s="32">
        <v>1</v>
      </c>
      <c r="AI222" s="32">
        <v>1</v>
      </c>
      <c r="AJ222" s="32">
        <v>1</v>
      </c>
      <c r="AK222" s="20" t="s">
        <v>165</v>
      </c>
      <c r="AL222" s="16"/>
      <c r="AM222" s="16"/>
      <c r="AN222" s="16"/>
    </row>
    <row r="223" spans="2:40" x14ac:dyDescent="0.25">
      <c r="B223" s="141">
        <f t="shared" si="33"/>
        <v>176</v>
      </c>
      <c r="C223" s="17">
        <v>20200514</v>
      </c>
      <c r="D223" s="16" t="s">
        <v>3</v>
      </c>
      <c r="E223" s="16" t="s">
        <v>785</v>
      </c>
      <c r="F223" s="80" t="s">
        <v>851</v>
      </c>
      <c r="G223" s="18">
        <v>1468219</v>
      </c>
      <c r="H223" s="57" t="s">
        <v>61</v>
      </c>
      <c r="I223" s="16" t="s">
        <v>814</v>
      </c>
      <c r="J223" s="57" t="s">
        <v>61</v>
      </c>
      <c r="K223" s="16" t="s">
        <v>161</v>
      </c>
      <c r="L223" s="16" t="s">
        <v>789</v>
      </c>
      <c r="M223" s="16" t="s">
        <v>788</v>
      </c>
      <c r="N223" s="16" t="s">
        <v>815</v>
      </c>
      <c r="O223" s="18" t="s">
        <v>61</v>
      </c>
      <c r="P223" s="18" t="s">
        <v>819</v>
      </c>
      <c r="Q223" s="19"/>
      <c r="R223" s="57" t="s">
        <v>61</v>
      </c>
      <c r="S223" s="16" t="s">
        <v>64</v>
      </c>
      <c r="T223" s="16"/>
      <c r="U223" s="16"/>
      <c r="V223" s="16">
        <v>73</v>
      </c>
      <c r="W223" s="16">
        <f t="shared" si="35"/>
        <v>73</v>
      </c>
      <c r="X223" s="16">
        <f t="shared" si="39"/>
        <v>73</v>
      </c>
      <c r="Y223" s="16">
        <f>ROUNDDOWN(W223/HLOOKUP(D223,Table!$C$3:$D$4,2,0)*8,2)</f>
        <v>1.29</v>
      </c>
      <c r="Z223" s="16">
        <v>1</v>
      </c>
      <c r="AA223" s="16" t="s">
        <v>74</v>
      </c>
      <c r="AB223" s="20">
        <v>43970</v>
      </c>
      <c r="AC223" s="20">
        <v>43965</v>
      </c>
      <c r="AD223" s="20">
        <v>43970</v>
      </c>
      <c r="AE223" s="20">
        <v>43966</v>
      </c>
      <c r="AF223" s="20">
        <v>43966</v>
      </c>
      <c r="AG223" s="20" t="s">
        <v>335</v>
      </c>
      <c r="AH223" s="32">
        <v>1</v>
      </c>
      <c r="AI223" s="32">
        <v>1</v>
      </c>
      <c r="AJ223" s="32">
        <v>1</v>
      </c>
      <c r="AK223" s="20" t="s">
        <v>165</v>
      </c>
      <c r="AL223" s="16"/>
      <c r="AM223" s="16"/>
      <c r="AN223" s="16"/>
    </row>
    <row r="224" spans="2:40" x14ac:dyDescent="0.25">
      <c r="B224" s="141">
        <f t="shared" si="33"/>
        <v>177</v>
      </c>
      <c r="C224" s="17">
        <v>20200514</v>
      </c>
      <c r="D224" s="16" t="s">
        <v>3</v>
      </c>
      <c r="E224" s="16" t="s">
        <v>785</v>
      </c>
      <c r="F224" s="80" t="s">
        <v>852</v>
      </c>
      <c r="G224" s="18">
        <v>1468219</v>
      </c>
      <c r="H224" s="57" t="s">
        <v>61</v>
      </c>
      <c r="I224" s="16" t="s">
        <v>168</v>
      </c>
      <c r="J224" s="57" t="s">
        <v>61</v>
      </c>
      <c r="K224" s="16" t="s">
        <v>161</v>
      </c>
      <c r="L224" s="16" t="s">
        <v>789</v>
      </c>
      <c r="M224" s="16" t="s">
        <v>788</v>
      </c>
      <c r="N224" s="16" t="s">
        <v>815</v>
      </c>
      <c r="O224" s="18" t="s">
        <v>61</v>
      </c>
      <c r="P224" s="18" t="s">
        <v>819</v>
      </c>
      <c r="Q224" s="19"/>
      <c r="R224" s="57" t="s">
        <v>61</v>
      </c>
      <c r="S224" s="16" t="s">
        <v>64</v>
      </c>
      <c r="T224" s="16"/>
      <c r="U224" s="16"/>
      <c r="V224" s="16">
        <v>175</v>
      </c>
      <c r="W224" s="16">
        <f t="shared" si="35"/>
        <v>175</v>
      </c>
      <c r="X224" s="16">
        <f t="shared" si="39"/>
        <v>175</v>
      </c>
      <c r="Y224" s="16">
        <f>ROUNDDOWN(W224/HLOOKUP(D224,Table!$C$3:$D$4,2,0)*8,2)</f>
        <v>3.11</v>
      </c>
      <c r="Z224" s="16">
        <v>3</v>
      </c>
      <c r="AA224" s="16" t="s">
        <v>74</v>
      </c>
      <c r="AB224" s="20">
        <v>43970</v>
      </c>
      <c r="AC224" s="20">
        <v>43965</v>
      </c>
      <c r="AD224" s="20">
        <v>43970</v>
      </c>
      <c r="AE224" s="20">
        <v>43966</v>
      </c>
      <c r="AF224" s="20">
        <v>43966</v>
      </c>
      <c r="AG224" s="20" t="s">
        <v>335</v>
      </c>
      <c r="AH224" s="32">
        <v>1</v>
      </c>
      <c r="AI224" s="32">
        <v>1</v>
      </c>
      <c r="AJ224" s="32">
        <v>1</v>
      </c>
      <c r="AK224" s="20" t="s">
        <v>165</v>
      </c>
      <c r="AL224" s="16"/>
      <c r="AM224" s="16"/>
      <c r="AN224" s="16"/>
    </row>
    <row r="225" spans="2:40" x14ac:dyDescent="0.25">
      <c r="B225" s="141">
        <f t="shared" si="33"/>
        <v>178</v>
      </c>
      <c r="C225" s="17">
        <v>20200514</v>
      </c>
      <c r="D225" s="16" t="s">
        <v>3</v>
      </c>
      <c r="E225" s="16" t="s">
        <v>785</v>
      </c>
      <c r="F225" s="80" t="s">
        <v>853</v>
      </c>
      <c r="G225" s="18">
        <v>1468219</v>
      </c>
      <c r="H225" s="57" t="s">
        <v>61</v>
      </c>
      <c r="I225" s="16" t="s">
        <v>168</v>
      </c>
      <c r="J225" s="57" t="s">
        <v>61</v>
      </c>
      <c r="K225" s="16" t="s">
        <v>161</v>
      </c>
      <c r="L225" s="16" t="s">
        <v>789</v>
      </c>
      <c r="M225" s="16" t="s">
        <v>788</v>
      </c>
      <c r="N225" s="16" t="s">
        <v>815</v>
      </c>
      <c r="O225" s="18" t="s">
        <v>61</v>
      </c>
      <c r="P225" s="18" t="s">
        <v>819</v>
      </c>
      <c r="Q225" s="19"/>
      <c r="R225" s="57" t="s">
        <v>61</v>
      </c>
      <c r="S225" s="16" t="s">
        <v>64</v>
      </c>
      <c r="T225" s="16"/>
      <c r="U225" s="16"/>
      <c r="V225" s="16">
        <v>175</v>
      </c>
      <c r="W225" s="16">
        <f t="shared" si="35"/>
        <v>175</v>
      </c>
      <c r="X225" s="16">
        <f t="shared" si="39"/>
        <v>175</v>
      </c>
      <c r="Y225" s="16">
        <f>ROUNDDOWN(W225/HLOOKUP(D225,Table!$C$3:$D$4,2,0)*8,2)</f>
        <v>3.11</v>
      </c>
      <c r="Z225" s="16">
        <v>3</v>
      </c>
      <c r="AA225" s="16" t="s">
        <v>74</v>
      </c>
      <c r="AB225" s="20">
        <v>43970</v>
      </c>
      <c r="AC225" s="20">
        <v>43965</v>
      </c>
      <c r="AD225" s="20">
        <v>43970</v>
      </c>
      <c r="AE225" s="20">
        <v>43966</v>
      </c>
      <c r="AF225" s="20">
        <v>43966</v>
      </c>
      <c r="AG225" s="20" t="s">
        <v>335</v>
      </c>
      <c r="AH225" s="32">
        <v>1</v>
      </c>
      <c r="AI225" s="32">
        <v>1</v>
      </c>
      <c r="AJ225" s="32">
        <v>1</v>
      </c>
      <c r="AK225" s="20" t="s">
        <v>165</v>
      </c>
      <c r="AL225" s="16"/>
      <c r="AM225" s="16"/>
      <c r="AN225" s="16"/>
    </row>
    <row r="226" spans="2:40" x14ac:dyDescent="0.25">
      <c r="B226" s="141">
        <f t="shared" si="33"/>
        <v>179</v>
      </c>
      <c r="C226" s="17">
        <v>20200514</v>
      </c>
      <c r="D226" s="16" t="s">
        <v>3</v>
      </c>
      <c r="E226" s="16" t="s">
        <v>785</v>
      </c>
      <c r="F226" s="80" t="s">
        <v>854</v>
      </c>
      <c r="G226" s="18">
        <v>1468219</v>
      </c>
      <c r="H226" s="57" t="s">
        <v>61</v>
      </c>
      <c r="I226" s="16" t="s">
        <v>168</v>
      </c>
      <c r="J226" s="57" t="s">
        <v>61</v>
      </c>
      <c r="K226" s="16" t="s">
        <v>161</v>
      </c>
      <c r="L226" s="16" t="s">
        <v>789</v>
      </c>
      <c r="M226" s="16" t="s">
        <v>788</v>
      </c>
      <c r="N226" s="16" t="s">
        <v>815</v>
      </c>
      <c r="O226" s="18" t="s">
        <v>61</v>
      </c>
      <c r="P226" s="18" t="s">
        <v>819</v>
      </c>
      <c r="Q226" s="19"/>
      <c r="R226" s="57" t="s">
        <v>61</v>
      </c>
      <c r="S226" s="16" t="s">
        <v>64</v>
      </c>
      <c r="T226" s="16"/>
      <c r="U226" s="16"/>
      <c r="V226" s="16">
        <v>175</v>
      </c>
      <c r="W226" s="16">
        <f t="shared" si="35"/>
        <v>175</v>
      </c>
      <c r="X226" s="16">
        <f t="shared" si="39"/>
        <v>175</v>
      </c>
      <c r="Y226" s="16">
        <f>ROUNDDOWN(W226/HLOOKUP(D226,Table!$C$3:$D$4,2,0)*8,2)</f>
        <v>3.11</v>
      </c>
      <c r="Z226" s="16">
        <v>3</v>
      </c>
      <c r="AA226" s="16" t="s">
        <v>74</v>
      </c>
      <c r="AB226" s="20">
        <v>43970</v>
      </c>
      <c r="AC226" s="20">
        <v>43965</v>
      </c>
      <c r="AD226" s="20">
        <v>43970</v>
      </c>
      <c r="AE226" s="20">
        <v>43966</v>
      </c>
      <c r="AF226" s="20">
        <v>43966</v>
      </c>
      <c r="AG226" s="20" t="s">
        <v>335</v>
      </c>
      <c r="AH226" s="32">
        <v>1</v>
      </c>
      <c r="AI226" s="32">
        <v>1</v>
      </c>
      <c r="AJ226" s="32">
        <v>1</v>
      </c>
      <c r="AK226" s="20" t="s">
        <v>165</v>
      </c>
      <c r="AL226" s="16"/>
      <c r="AM226" s="16"/>
      <c r="AN226" s="16"/>
    </row>
    <row r="227" spans="2:40" x14ac:dyDescent="0.25">
      <c r="B227" s="141">
        <f t="shared" si="33"/>
        <v>180</v>
      </c>
      <c r="C227" s="17">
        <v>20200514</v>
      </c>
      <c r="D227" s="16" t="s">
        <v>3</v>
      </c>
      <c r="E227" s="16" t="s">
        <v>785</v>
      </c>
      <c r="F227" s="80" t="s">
        <v>855</v>
      </c>
      <c r="G227" s="18">
        <v>1468219</v>
      </c>
      <c r="H227" s="57" t="s">
        <v>61</v>
      </c>
      <c r="I227" s="16" t="s">
        <v>168</v>
      </c>
      <c r="J227" s="57" t="s">
        <v>61</v>
      </c>
      <c r="K227" s="16" t="s">
        <v>161</v>
      </c>
      <c r="L227" s="16" t="s">
        <v>789</v>
      </c>
      <c r="M227" s="16" t="s">
        <v>788</v>
      </c>
      <c r="N227" s="16" t="s">
        <v>815</v>
      </c>
      <c r="O227" s="18" t="s">
        <v>61</v>
      </c>
      <c r="P227" s="18" t="s">
        <v>819</v>
      </c>
      <c r="Q227" s="19"/>
      <c r="R227" s="57" t="s">
        <v>61</v>
      </c>
      <c r="S227" s="16" t="s">
        <v>64</v>
      </c>
      <c r="T227" s="16"/>
      <c r="U227" s="16"/>
      <c r="V227" s="16">
        <v>175</v>
      </c>
      <c r="W227" s="16">
        <f t="shared" si="35"/>
        <v>175</v>
      </c>
      <c r="X227" s="16">
        <f t="shared" si="39"/>
        <v>175</v>
      </c>
      <c r="Y227" s="16">
        <f>ROUNDDOWN(W227/HLOOKUP(D227,Table!$C$3:$D$4,2,0)*8,2)</f>
        <v>3.11</v>
      </c>
      <c r="Z227" s="16">
        <v>3</v>
      </c>
      <c r="AA227" s="16" t="s">
        <v>74</v>
      </c>
      <c r="AB227" s="20">
        <v>43970</v>
      </c>
      <c r="AC227" s="20">
        <v>43965</v>
      </c>
      <c r="AD227" s="20">
        <v>43970</v>
      </c>
      <c r="AE227" s="20">
        <v>43966</v>
      </c>
      <c r="AF227" s="20">
        <v>43966</v>
      </c>
      <c r="AG227" s="20" t="s">
        <v>335</v>
      </c>
      <c r="AH227" s="32">
        <v>1</v>
      </c>
      <c r="AI227" s="32">
        <v>1</v>
      </c>
      <c r="AJ227" s="32">
        <v>1</v>
      </c>
      <c r="AK227" s="20" t="s">
        <v>165</v>
      </c>
      <c r="AL227" s="16"/>
      <c r="AM227" s="16"/>
      <c r="AN227" s="16"/>
    </row>
    <row r="228" spans="2:40" x14ac:dyDescent="0.25">
      <c r="B228" s="142">
        <f t="shared" si="33"/>
        <v>181</v>
      </c>
      <c r="C228" s="17">
        <v>20200514</v>
      </c>
      <c r="D228" s="16" t="s">
        <v>3</v>
      </c>
      <c r="E228" s="92" t="s">
        <v>169</v>
      </c>
      <c r="F228" s="80" t="s">
        <v>963</v>
      </c>
      <c r="G228" s="92">
        <v>1465749</v>
      </c>
      <c r="H228" s="57" t="s">
        <v>61</v>
      </c>
      <c r="I228" s="92" t="s">
        <v>172</v>
      </c>
      <c r="J228" s="57" t="s">
        <v>61</v>
      </c>
      <c r="K228" s="16" t="s">
        <v>161</v>
      </c>
      <c r="L228" s="92" t="s">
        <v>324</v>
      </c>
      <c r="M228" s="92" t="s">
        <v>334</v>
      </c>
      <c r="N228" s="92" t="s">
        <v>326</v>
      </c>
      <c r="O228" s="18" t="s">
        <v>61</v>
      </c>
      <c r="P228" s="86" t="s">
        <v>822</v>
      </c>
      <c r="Q228" s="19"/>
      <c r="R228" s="57" t="s">
        <v>61</v>
      </c>
      <c r="S228" s="16" t="s">
        <v>70</v>
      </c>
      <c r="T228" s="16"/>
      <c r="U228" s="16"/>
      <c r="V228" s="92">
        <v>101</v>
      </c>
      <c r="W228" s="16">
        <f t="shared" ref="W228:X230" si="40">V228</f>
        <v>101</v>
      </c>
      <c r="X228" s="16">
        <f t="shared" si="40"/>
        <v>101</v>
      </c>
      <c r="Y228" s="16">
        <f>ROUNDDOWN(W228/HLOOKUP(D228,Table!$C$3:$D$4,2,0)*8,2)</f>
        <v>1.79</v>
      </c>
      <c r="Z228" s="16">
        <v>1</v>
      </c>
      <c r="AA228" s="16" t="s">
        <v>74</v>
      </c>
      <c r="AB228" s="20">
        <v>43965</v>
      </c>
      <c r="AC228" s="20">
        <v>43964</v>
      </c>
      <c r="AD228" s="20">
        <v>43965</v>
      </c>
      <c r="AE228" s="20">
        <v>43965</v>
      </c>
      <c r="AF228" s="20">
        <v>43965</v>
      </c>
      <c r="AG228" s="20" t="s">
        <v>336</v>
      </c>
      <c r="AH228" s="32">
        <v>0.97</v>
      </c>
      <c r="AI228" s="32">
        <v>0.97</v>
      </c>
      <c r="AJ228" s="32">
        <v>0.5</v>
      </c>
      <c r="AK228" s="20" t="s">
        <v>149</v>
      </c>
      <c r="AL228" s="18" t="s">
        <v>856</v>
      </c>
      <c r="AM228" s="18" t="s">
        <v>61</v>
      </c>
      <c r="AN228" s="18" t="s">
        <v>448</v>
      </c>
    </row>
    <row r="229" spans="2:40" x14ac:dyDescent="0.25">
      <c r="B229" s="142">
        <f t="shared" si="33"/>
        <v>182</v>
      </c>
      <c r="C229" s="17">
        <v>20200514</v>
      </c>
      <c r="D229" s="16" t="s">
        <v>3</v>
      </c>
      <c r="E229" s="92" t="s">
        <v>169</v>
      </c>
      <c r="F229" s="80" t="s">
        <v>964</v>
      </c>
      <c r="G229" s="92">
        <v>1465749</v>
      </c>
      <c r="H229" s="57" t="s">
        <v>61</v>
      </c>
      <c r="I229" s="92" t="s">
        <v>481</v>
      </c>
      <c r="J229" s="57" t="s">
        <v>61</v>
      </c>
      <c r="K229" s="16" t="s">
        <v>161</v>
      </c>
      <c r="L229" s="92" t="s">
        <v>324</v>
      </c>
      <c r="M229" s="16" t="s">
        <v>334</v>
      </c>
      <c r="N229" s="92" t="s">
        <v>326</v>
      </c>
      <c r="O229" s="18" t="s">
        <v>61</v>
      </c>
      <c r="P229" s="86" t="s">
        <v>822</v>
      </c>
      <c r="Q229" s="19"/>
      <c r="R229" s="57" t="s">
        <v>61</v>
      </c>
      <c r="S229" s="16" t="s">
        <v>69</v>
      </c>
      <c r="T229" s="16"/>
      <c r="U229" s="16"/>
      <c r="V229" s="92">
        <v>62</v>
      </c>
      <c r="W229" s="16">
        <f t="shared" si="40"/>
        <v>62</v>
      </c>
      <c r="X229" s="16">
        <f t="shared" si="40"/>
        <v>62</v>
      </c>
      <c r="Y229" s="16">
        <f>ROUNDDOWN(W229/HLOOKUP(D229,Table!$C$3:$D$4,2,0)*8,2)</f>
        <v>1.1000000000000001</v>
      </c>
      <c r="Z229" s="16">
        <v>1</v>
      </c>
      <c r="AA229" s="16" t="s">
        <v>74</v>
      </c>
      <c r="AB229" s="20">
        <v>43965</v>
      </c>
      <c r="AC229" s="20">
        <v>43964</v>
      </c>
      <c r="AD229" s="20">
        <v>43965</v>
      </c>
      <c r="AE229" s="20">
        <v>43965</v>
      </c>
      <c r="AF229" s="20">
        <v>43965</v>
      </c>
      <c r="AG229" s="20" t="s">
        <v>335</v>
      </c>
      <c r="AH229" s="32">
        <v>1</v>
      </c>
      <c r="AI229" s="32">
        <v>1</v>
      </c>
      <c r="AJ229" s="32">
        <v>1</v>
      </c>
      <c r="AK229" s="20" t="s">
        <v>165</v>
      </c>
      <c r="AL229" s="18" t="s">
        <v>61</v>
      </c>
      <c r="AM229" s="18" t="s">
        <v>61</v>
      </c>
      <c r="AN229" s="18" t="s">
        <v>61</v>
      </c>
    </row>
    <row r="230" spans="2:40" x14ac:dyDescent="0.25">
      <c r="B230" s="142">
        <f t="shared" si="33"/>
        <v>183</v>
      </c>
      <c r="C230" s="17">
        <v>20200514</v>
      </c>
      <c r="D230" s="16" t="s">
        <v>3</v>
      </c>
      <c r="E230" s="92" t="s">
        <v>821</v>
      </c>
      <c r="F230" s="80" t="s">
        <v>965</v>
      </c>
      <c r="G230" s="92">
        <v>1466100</v>
      </c>
      <c r="H230" s="57" t="s">
        <v>61</v>
      </c>
      <c r="I230" s="92" t="s">
        <v>696</v>
      </c>
      <c r="J230" s="57" t="s">
        <v>61</v>
      </c>
      <c r="K230" s="16" t="s">
        <v>161</v>
      </c>
      <c r="L230" s="16" t="s">
        <v>590</v>
      </c>
      <c r="M230" s="92" t="s">
        <v>574</v>
      </c>
      <c r="N230" s="16" t="s">
        <v>591</v>
      </c>
      <c r="O230" s="18" t="s">
        <v>61</v>
      </c>
      <c r="P230" s="86" t="s">
        <v>586</v>
      </c>
      <c r="Q230" s="19"/>
      <c r="R230" s="57" t="s">
        <v>61</v>
      </c>
      <c r="S230" s="16" t="s">
        <v>69</v>
      </c>
      <c r="T230" s="16"/>
      <c r="U230" s="16"/>
      <c r="V230" s="92">
        <v>63</v>
      </c>
      <c r="W230" s="16">
        <f t="shared" si="40"/>
        <v>63</v>
      </c>
      <c r="X230" s="16">
        <f t="shared" si="40"/>
        <v>63</v>
      </c>
      <c r="Y230" s="16">
        <f>ROUNDDOWN(W230/HLOOKUP(D230,Table!$C$3:$D$4,2,0)*8,2)</f>
        <v>1.1200000000000001</v>
      </c>
      <c r="Z230" s="16">
        <v>1</v>
      </c>
      <c r="AA230" s="16" t="s">
        <v>74</v>
      </c>
      <c r="AB230" s="20">
        <v>43965</v>
      </c>
      <c r="AC230" s="20">
        <v>43964</v>
      </c>
      <c r="AD230" s="20">
        <v>43965</v>
      </c>
      <c r="AE230" s="20">
        <v>43965</v>
      </c>
      <c r="AF230" s="20">
        <v>43965</v>
      </c>
      <c r="AG230" s="20" t="s">
        <v>336</v>
      </c>
      <c r="AH230" s="32">
        <v>1</v>
      </c>
      <c r="AI230" s="32">
        <v>1</v>
      </c>
      <c r="AJ230" s="32">
        <v>0.9</v>
      </c>
      <c r="AK230" s="20" t="s">
        <v>165</v>
      </c>
      <c r="AL230" s="18" t="s">
        <v>824</v>
      </c>
      <c r="AM230" s="18" t="s">
        <v>61</v>
      </c>
      <c r="AN230" s="18" t="s">
        <v>824</v>
      </c>
    </row>
    <row r="231" spans="2:40" x14ac:dyDescent="0.25">
      <c r="B231" s="78">
        <f t="shared" si="33"/>
        <v>184</v>
      </c>
      <c r="C231" s="17">
        <v>20200515</v>
      </c>
      <c r="D231" s="16" t="s">
        <v>3</v>
      </c>
      <c r="E231" s="16" t="s">
        <v>858</v>
      </c>
      <c r="F231" s="80" t="s">
        <v>966</v>
      </c>
      <c r="G231" s="18">
        <v>1460288</v>
      </c>
      <c r="H231" s="57" t="s">
        <v>61</v>
      </c>
      <c r="I231" s="16" t="s">
        <v>862</v>
      </c>
      <c r="J231" s="57" t="s">
        <v>61</v>
      </c>
      <c r="K231" s="16" t="s">
        <v>161</v>
      </c>
      <c r="L231" s="16" t="s">
        <v>876</v>
      </c>
      <c r="M231" s="16" t="s">
        <v>165</v>
      </c>
      <c r="N231" s="16" t="s">
        <v>327</v>
      </c>
      <c r="O231" s="18" t="s">
        <v>61</v>
      </c>
      <c r="P231" s="86" t="s">
        <v>880</v>
      </c>
      <c r="Q231" s="19"/>
      <c r="R231" s="57" t="s">
        <v>61</v>
      </c>
      <c r="S231" s="16" t="s">
        <v>67</v>
      </c>
      <c r="T231" s="16"/>
      <c r="U231" s="16"/>
      <c r="V231" s="16">
        <v>417</v>
      </c>
      <c r="W231" s="16">
        <f>V231</f>
        <v>417</v>
      </c>
      <c r="X231" s="16">
        <f>W231</f>
        <v>417</v>
      </c>
      <c r="Y231" s="16">
        <f>ROUNDDOWN(W231/HLOOKUP(D231,Table!$C$3:$D$4,2,0)*8,2)</f>
        <v>7.41</v>
      </c>
      <c r="Z231" s="16">
        <v>7</v>
      </c>
      <c r="AA231" s="16" t="s">
        <v>74</v>
      </c>
      <c r="AB231" s="20">
        <v>43969</v>
      </c>
      <c r="AC231" s="20">
        <v>43966</v>
      </c>
      <c r="AD231" s="20">
        <v>43971</v>
      </c>
      <c r="AE231" s="20">
        <v>43966</v>
      </c>
      <c r="AF231" s="20">
        <v>43966</v>
      </c>
      <c r="AG231" s="20" t="s">
        <v>336</v>
      </c>
      <c r="AH231" s="32">
        <v>1</v>
      </c>
      <c r="AI231" s="32">
        <v>0.98</v>
      </c>
      <c r="AJ231" s="32">
        <v>0.87</v>
      </c>
      <c r="AK231" s="20" t="s">
        <v>149</v>
      </c>
      <c r="AL231" s="18" t="s">
        <v>888</v>
      </c>
      <c r="AM231" s="18" t="s">
        <v>61</v>
      </c>
      <c r="AN231" s="18" t="s">
        <v>889</v>
      </c>
    </row>
    <row r="232" spans="2:40" x14ac:dyDescent="0.25">
      <c r="B232" s="78">
        <f t="shared" si="33"/>
        <v>185</v>
      </c>
      <c r="C232" s="17">
        <v>20200515</v>
      </c>
      <c r="D232" s="16" t="s">
        <v>3</v>
      </c>
      <c r="E232" s="16" t="s">
        <v>858</v>
      </c>
      <c r="F232" s="80" t="s">
        <v>967</v>
      </c>
      <c r="G232" s="18">
        <v>1460288</v>
      </c>
      <c r="H232" s="57" t="s">
        <v>61</v>
      </c>
      <c r="I232" s="16" t="s">
        <v>863</v>
      </c>
      <c r="J232" s="57" t="s">
        <v>61</v>
      </c>
      <c r="K232" s="16" t="s">
        <v>161</v>
      </c>
      <c r="L232" s="16" t="s">
        <v>876</v>
      </c>
      <c r="M232" s="16" t="s">
        <v>165</v>
      </c>
      <c r="N232" s="16" t="s">
        <v>327</v>
      </c>
      <c r="O232" s="18" t="s">
        <v>61</v>
      </c>
      <c r="P232" s="86" t="s">
        <v>880</v>
      </c>
      <c r="Q232" s="19"/>
      <c r="R232" s="57" t="s">
        <v>61</v>
      </c>
      <c r="S232" s="16" t="s">
        <v>68</v>
      </c>
      <c r="T232" s="16"/>
      <c r="U232" s="16"/>
      <c r="V232" s="16">
        <v>400</v>
      </c>
      <c r="W232" s="16">
        <f t="shared" ref="W232:W243" si="41">V232</f>
        <v>400</v>
      </c>
      <c r="X232" s="16">
        <f t="shared" ref="X232:X237" si="42">W232</f>
        <v>400</v>
      </c>
      <c r="Y232" s="16">
        <f>ROUNDDOWN(W232/HLOOKUP(D232,Table!$C$3:$D$4,2,0)*8,2)</f>
        <v>7.11</v>
      </c>
      <c r="Z232" s="16">
        <f>Y232</f>
        <v>7.11</v>
      </c>
      <c r="AA232" s="16" t="s">
        <v>74</v>
      </c>
      <c r="AB232" s="20">
        <v>43969</v>
      </c>
      <c r="AC232" s="20">
        <v>43966</v>
      </c>
      <c r="AD232" s="20">
        <v>43971</v>
      </c>
      <c r="AE232" s="20">
        <v>43969</v>
      </c>
      <c r="AF232" s="20">
        <v>43969</v>
      </c>
      <c r="AG232" s="20" t="s">
        <v>336</v>
      </c>
      <c r="AH232" s="32">
        <v>1</v>
      </c>
      <c r="AI232" s="32">
        <v>0.97</v>
      </c>
      <c r="AJ232" s="32">
        <v>0.5</v>
      </c>
      <c r="AK232" s="20" t="s">
        <v>149</v>
      </c>
      <c r="AL232" s="18" t="s">
        <v>887</v>
      </c>
      <c r="AM232" s="18" t="s">
        <v>61</v>
      </c>
      <c r="AN232" s="18" t="s">
        <v>448</v>
      </c>
    </row>
    <row r="233" spans="2:40" x14ac:dyDescent="0.25">
      <c r="B233" s="78">
        <f t="shared" si="33"/>
        <v>186</v>
      </c>
      <c r="C233" s="17">
        <v>20200515</v>
      </c>
      <c r="D233" s="16" t="s">
        <v>3</v>
      </c>
      <c r="E233" s="16" t="s">
        <v>859</v>
      </c>
      <c r="F233" s="80" t="s">
        <v>968</v>
      </c>
      <c r="G233" s="18">
        <v>1435414</v>
      </c>
      <c r="H233" s="57" t="s">
        <v>61</v>
      </c>
      <c r="I233" s="16" t="s">
        <v>864</v>
      </c>
      <c r="J233" s="57" t="s">
        <v>61</v>
      </c>
      <c r="K233" s="16" t="s">
        <v>161</v>
      </c>
      <c r="L233" s="16" t="s">
        <v>789</v>
      </c>
      <c r="M233" s="16" t="s">
        <v>788</v>
      </c>
      <c r="N233" s="16" t="s">
        <v>815</v>
      </c>
      <c r="O233" s="18" t="s">
        <v>61</v>
      </c>
      <c r="P233" s="86" t="s">
        <v>881</v>
      </c>
      <c r="Q233" s="19"/>
      <c r="R233" s="57" t="s">
        <v>61</v>
      </c>
      <c r="S233" s="16" t="s">
        <v>69</v>
      </c>
      <c r="T233" s="16"/>
      <c r="U233" s="16"/>
      <c r="V233" s="16">
        <v>62</v>
      </c>
      <c r="W233" s="16">
        <f t="shared" si="41"/>
        <v>62</v>
      </c>
      <c r="X233" s="16">
        <f t="shared" si="42"/>
        <v>62</v>
      </c>
      <c r="Y233" s="16">
        <f>ROUNDDOWN(W233/HLOOKUP(D233,Table!$C$3:$D$4,2,0)*8,2)</f>
        <v>1.1000000000000001</v>
      </c>
      <c r="Z233" s="16">
        <v>1</v>
      </c>
      <c r="AA233" s="16" t="s">
        <v>74</v>
      </c>
      <c r="AB233" s="20">
        <v>43969</v>
      </c>
      <c r="AC233" s="20">
        <v>43966</v>
      </c>
      <c r="AD233" s="20">
        <v>43971</v>
      </c>
      <c r="AE233" s="20">
        <v>43969</v>
      </c>
      <c r="AF233" s="20">
        <v>43969</v>
      </c>
      <c r="AG233" s="20" t="s">
        <v>335</v>
      </c>
      <c r="AH233" s="32">
        <v>1</v>
      </c>
      <c r="AI233" s="32">
        <v>1</v>
      </c>
      <c r="AJ233" s="32">
        <v>1</v>
      </c>
      <c r="AK233" s="20" t="s">
        <v>165</v>
      </c>
      <c r="AL233" s="18" t="s">
        <v>61</v>
      </c>
      <c r="AM233" s="18" t="s">
        <v>61</v>
      </c>
      <c r="AN233" s="18" t="s">
        <v>61</v>
      </c>
    </row>
    <row r="234" spans="2:40" x14ac:dyDescent="0.25">
      <c r="B234" s="78">
        <f t="shared" si="33"/>
        <v>187</v>
      </c>
      <c r="C234" s="17">
        <v>20200515</v>
      </c>
      <c r="D234" s="16" t="s">
        <v>3</v>
      </c>
      <c r="E234" s="16" t="s">
        <v>859</v>
      </c>
      <c r="F234" s="80" t="s">
        <v>968</v>
      </c>
      <c r="G234" s="18">
        <v>1435414</v>
      </c>
      <c r="H234" s="57" t="s">
        <v>61</v>
      </c>
      <c r="I234" s="16" t="s">
        <v>865</v>
      </c>
      <c r="J234" s="57" t="s">
        <v>61</v>
      </c>
      <c r="K234" s="16" t="s">
        <v>161</v>
      </c>
      <c r="L234" s="16" t="s">
        <v>789</v>
      </c>
      <c r="M234" s="16" t="s">
        <v>788</v>
      </c>
      <c r="N234" s="16" t="s">
        <v>815</v>
      </c>
      <c r="O234" s="18" t="s">
        <v>61</v>
      </c>
      <c r="P234" s="86" t="s">
        <v>881</v>
      </c>
      <c r="Q234" s="19"/>
      <c r="R234" s="57" t="s">
        <v>61</v>
      </c>
      <c r="S234" s="16" t="s">
        <v>67</v>
      </c>
      <c r="T234" s="16"/>
      <c r="U234" s="16"/>
      <c r="V234" s="16">
        <v>3</v>
      </c>
      <c r="W234" s="16">
        <f t="shared" si="41"/>
        <v>3</v>
      </c>
      <c r="X234" s="16">
        <f t="shared" si="42"/>
        <v>3</v>
      </c>
      <c r="Y234" s="16">
        <f>ROUNDDOWN(W234/HLOOKUP(D234,Table!$C$3:$D$4,2,0)*8,2)</f>
        <v>0.05</v>
      </c>
      <c r="Z234" s="16">
        <f>Y234</f>
        <v>0.05</v>
      </c>
      <c r="AA234" s="16" t="s">
        <v>74</v>
      </c>
      <c r="AB234" s="20">
        <v>43969</v>
      </c>
      <c r="AC234" s="20">
        <v>43966</v>
      </c>
      <c r="AD234" s="20">
        <v>43971</v>
      </c>
      <c r="AE234" s="20">
        <v>43969</v>
      </c>
      <c r="AF234" s="20">
        <v>43969</v>
      </c>
      <c r="AG234" s="20" t="s">
        <v>335</v>
      </c>
      <c r="AH234" s="91" t="s">
        <v>61</v>
      </c>
      <c r="AI234" s="91" t="s">
        <v>61</v>
      </c>
      <c r="AJ234" s="91" t="s">
        <v>61</v>
      </c>
      <c r="AK234" s="91" t="s">
        <v>165</v>
      </c>
      <c r="AL234" s="91" t="s">
        <v>61</v>
      </c>
      <c r="AM234" s="18" t="s">
        <v>61</v>
      </c>
      <c r="AN234" s="16" t="s">
        <v>418</v>
      </c>
    </row>
    <row r="235" spans="2:40" x14ac:dyDescent="0.25">
      <c r="B235" s="78">
        <f t="shared" si="33"/>
        <v>188</v>
      </c>
      <c r="C235" s="17">
        <v>20200515</v>
      </c>
      <c r="D235" s="16" t="s">
        <v>3</v>
      </c>
      <c r="E235" s="16" t="s">
        <v>859</v>
      </c>
      <c r="F235" s="80" t="s">
        <v>969</v>
      </c>
      <c r="G235" s="18">
        <v>1435414</v>
      </c>
      <c r="H235" s="57" t="s">
        <v>61</v>
      </c>
      <c r="I235" s="16" t="s">
        <v>866</v>
      </c>
      <c r="J235" s="57" t="s">
        <v>61</v>
      </c>
      <c r="K235" s="16" t="s">
        <v>161</v>
      </c>
      <c r="L235" s="16" t="s">
        <v>789</v>
      </c>
      <c r="M235" s="16" t="s">
        <v>788</v>
      </c>
      <c r="N235" s="16" t="s">
        <v>815</v>
      </c>
      <c r="O235" s="18" t="s">
        <v>61</v>
      </c>
      <c r="P235" s="86" t="s">
        <v>881</v>
      </c>
      <c r="Q235" s="19"/>
      <c r="R235" s="57" t="s">
        <v>61</v>
      </c>
      <c r="S235" s="16" t="s">
        <v>67</v>
      </c>
      <c r="T235" s="16"/>
      <c r="U235" s="16"/>
      <c r="V235" s="16">
        <v>12</v>
      </c>
      <c r="W235" s="16">
        <f t="shared" si="41"/>
        <v>12</v>
      </c>
      <c r="X235" s="16">
        <f t="shared" si="42"/>
        <v>12</v>
      </c>
      <c r="Y235" s="16">
        <f>ROUNDDOWN(W235/HLOOKUP(D235,Table!$C$3:$D$4,2,0)*8,2)</f>
        <v>0.21</v>
      </c>
      <c r="Z235" s="16">
        <f>Y235</f>
        <v>0.21</v>
      </c>
      <c r="AA235" s="16" t="s">
        <v>74</v>
      </c>
      <c r="AB235" s="20">
        <v>43969</v>
      </c>
      <c r="AC235" s="20">
        <v>43966</v>
      </c>
      <c r="AD235" s="20">
        <v>43971</v>
      </c>
      <c r="AE235" s="20">
        <v>43969</v>
      </c>
      <c r="AF235" s="20">
        <v>43969</v>
      </c>
      <c r="AG235" s="20" t="s">
        <v>335</v>
      </c>
      <c r="AH235" s="91" t="s">
        <v>61</v>
      </c>
      <c r="AI235" s="91" t="s">
        <v>61</v>
      </c>
      <c r="AJ235" s="91" t="s">
        <v>61</v>
      </c>
      <c r="AK235" s="91" t="s">
        <v>165</v>
      </c>
      <c r="AL235" s="91" t="s">
        <v>61</v>
      </c>
      <c r="AM235" s="18" t="s">
        <v>61</v>
      </c>
      <c r="AN235" s="16" t="s">
        <v>418</v>
      </c>
    </row>
    <row r="236" spans="2:40" x14ac:dyDescent="0.25">
      <c r="B236" s="78">
        <f t="shared" si="33"/>
        <v>189</v>
      </c>
      <c r="C236" s="17">
        <v>20200515</v>
      </c>
      <c r="D236" s="16" t="s">
        <v>3</v>
      </c>
      <c r="E236" s="16" t="s">
        <v>859</v>
      </c>
      <c r="F236" s="80" t="s">
        <v>970</v>
      </c>
      <c r="G236" s="18">
        <v>1435414</v>
      </c>
      <c r="H236" s="57" t="s">
        <v>61</v>
      </c>
      <c r="I236" s="16" t="s">
        <v>867</v>
      </c>
      <c r="J236" s="57" t="s">
        <v>61</v>
      </c>
      <c r="K236" s="16" t="s">
        <v>161</v>
      </c>
      <c r="L236" s="16" t="s">
        <v>789</v>
      </c>
      <c r="M236" s="16" t="s">
        <v>788</v>
      </c>
      <c r="N236" s="16" t="s">
        <v>815</v>
      </c>
      <c r="O236" s="18" t="s">
        <v>61</v>
      </c>
      <c r="P236" s="86" t="s">
        <v>881</v>
      </c>
      <c r="Q236" s="19"/>
      <c r="R236" s="57" t="s">
        <v>61</v>
      </c>
      <c r="S236" s="16" t="s">
        <v>67</v>
      </c>
      <c r="T236" s="16"/>
      <c r="U236" s="16"/>
      <c r="V236" s="16">
        <v>3</v>
      </c>
      <c r="W236" s="16">
        <f t="shared" si="41"/>
        <v>3</v>
      </c>
      <c r="X236" s="16">
        <f t="shared" si="42"/>
        <v>3</v>
      </c>
      <c r="Y236" s="16">
        <f>ROUNDDOWN(W236/HLOOKUP(D236,Table!$C$3:$D$4,2,0)*8,2)</f>
        <v>0.05</v>
      </c>
      <c r="Z236" s="16">
        <f>Y236</f>
        <v>0.05</v>
      </c>
      <c r="AA236" s="16" t="s">
        <v>74</v>
      </c>
      <c r="AB236" s="20">
        <v>43969</v>
      </c>
      <c r="AC236" s="20">
        <v>43966</v>
      </c>
      <c r="AD236" s="20">
        <v>43971</v>
      </c>
      <c r="AE236" s="20">
        <v>43969</v>
      </c>
      <c r="AF236" s="20">
        <v>43969</v>
      </c>
      <c r="AG236" s="20" t="s">
        <v>335</v>
      </c>
      <c r="AH236" s="91" t="s">
        <v>61</v>
      </c>
      <c r="AI236" s="91" t="s">
        <v>61</v>
      </c>
      <c r="AJ236" s="91" t="s">
        <v>61</v>
      </c>
      <c r="AK236" s="91" t="s">
        <v>165</v>
      </c>
      <c r="AL236" s="91" t="s">
        <v>61</v>
      </c>
      <c r="AM236" s="18" t="s">
        <v>61</v>
      </c>
      <c r="AN236" s="16" t="s">
        <v>418</v>
      </c>
    </row>
    <row r="237" spans="2:40" x14ac:dyDescent="0.25">
      <c r="B237" s="78">
        <f t="shared" si="33"/>
        <v>190</v>
      </c>
      <c r="C237" s="17">
        <v>20200515</v>
      </c>
      <c r="D237" s="16" t="s">
        <v>3</v>
      </c>
      <c r="E237" s="16" t="s">
        <v>859</v>
      </c>
      <c r="F237" s="144" t="s">
        <v>970</v>
      </c>
      <c r="G237" s="18">
        <v>1435414</v>
      </c>
      <c r="H237" s="57" t="s">
        <v>61</v>
      </c>
      <c r="I237" s="16" t="s">
        <v>868</v>
      </c>
      <c r="J237" s="57" t="s">
        <v>61</v>
      </c>
      <c r="K237" s="16" t="s">
        <v>161</v>
      </c>
      <c r="L237" s="16" t="s">
        <v>789</v>
      </c>
      <c r="M237" s="16" t="s">
        <v>788</v>
      </c>
      <c r="N237" s="16" t="s">
        <v>815</v>
      </c>
      <c r="O237" s="18" t="s">
        <v>61</v>
      </c>
      <c r="P237" s="86" t="s">
        <v>881</v>
      </c>
      <c r="Q237" s="19"/>
      <c r="R237" s="57" t="s">
        <v>61</v>
      </c>
      <c r="S237" s="16" t="s">
        <v>68</v>
      </c>
      <c r="T237" s="16"/>
      <c r="U237" s="16"/>
      <c r="V237" s="16">
        <v>20</v>
      </c>
      <c r="W237" s="16">
        <f t="shared" si="41"/>
        <v>20</v>
      </c>
      <c r="X237" s="16">
        <f t="shared" si="42"/>
        <v>20</v>
      </c>
      <c r="Y237" s="16">
        <f>ROUNDDOWN(W237/HLOOKUP(D237,Table!$C$3:$D$4,2,0)*8,2)</f>
        <v>0.35</v>
      </c>
      <c r="Z237" s="16">
        <f>Y237</f>
        <v>0.35</v>
      </c>
      <c r="AA237" s="16" t="s">
        <v>74</v>
      </c>
      <c r="AB237" s="20">
        <v>43969</v>
      </c>
      <c r="AC237" s="20">
        <v>43966</v>
      </c>
      <c r="AD237" s="20">
        <v>43971</v>
      </c>
      <c r="AE237" s="20">
        <v>43969</v>
      </c>
      <c r="AF237" s="20">
        <v>43969</v>
      </c>
      <c r="AG237" s="20" t="s">
        <v>335</v>
      </c>
      <c r="AH237" s="91" t="s">
        <v>61</v>
      </c>
      <c r="AI237" s="91" t="s">
        <v>61</v>
      </c>
      <c r="AJ237" s="91" t="s">
        <v>61</v>
      </c>
      <c r="AK237" s="20" t="s">
        <v>165</v>
      </c>
      <c r="AL237" s="18" t="s">
        <v>61</v>
      </c>
      <c r="AM237" s="18" t="s">
        <v>61</v>
      </c>
      <c r="AN237" s="16" t="s">
        <v>418</v>
      </c>
    </row>
    <row r="238" spans="2:40" x14ac:dyDescent="0.25">
      <c r="B238" s="78">
        <f t="shared" si="33"/>
        <v>191</v>
      </c>
      <c r="C238" s="17">
        <v>20200515</v>
      </c>
      <c r="D238" s="16" t="s">
        <v>3</v>
      </c>
      <c r="E238" s="16" t="s">
        <v>859</v>
      </c>
      <c r="F238" s="80" t="s">
        <v>940</v>
      </c>
      <c r="G238" s="18">
        <v>1435414</v>
      </c>
      <c r="H238" s="57" t="s">
        <v>61</v>
      </c>
      <c r="I238" s="16" t="s">
        <v>869</v>
      </c>
      <c r="J238" s="57" t="s">
        <v>61</v>
      </c>
      <c r="K238" s="16" t="s">
        <v>161</v>
      </c>
      <c r="L238" s="16" t="s">
        <v>789</v>
      </c>
      <c r="M238" s="16" t="s">
        <v>788</v>
      </c>
      <c r="N238" s="16" t="s">
        <v>815</v>
      </c>
      <c r="O238" s="18" t="s">
        <v>61</v>
      </c>
      <c r="P238" s="86" t="s">
        <v>881</v>
      </c>
      <c r="Q238" s="19"/>
      <c r="R238" s="57" t="s">
        <v>61</v>
      </c>
      <c r="S238" s="16" t="s">
        <v>69</v>
      </c>
      <c r="T238" s="16"/>
      <c r="U238" s="16"/>
      <c r="V238" s="16">
        <v>111</v>
      </c>
      <c r="W238" s="16">
        <f t="shared" si="41"/>
        <v>111</v>
      </c>
      <c r="X238" s="16">
        <f t="shared" ref="X238:X243" si="43">W238</f>
        <v>111</v>
      </c>
      <c r="Y238" s="16">
        <f>ROUNDDOWN(W238/HLOOKUP(D238,Table!$C$3:$D$4,2,0)*8,2)</f>
        <v>1.97</v>
      </c>
      <c r="Z238" s="16">
        <v>2</v>
      </c>
      <c r="AA238" s="16" t="s">
        <v>74</v>
      </c>
      <c r="AB238" s="20">
        <v>43969</v>
      </c>
      <c r="AC238" s="20">
        <v>43966</v>
      </c>
      <c r="AD238" s="20">
        <v>43971</v>
      </c>
      <c r="AE238" s="20">
        <v>43969</v>
      </c>
      <c r="AF238" s="20">
        <v>43969</v>
      </c>
      <c r="AG238" s="20" t="s">
        <v>335</v>
      </c>
      <c r="AH238" s="32">
        <v>1</v>
      </c>
      <c r="AI238" s="32">
        <v>1</v>
      </c>
      <c r="AJ238" s="32">
        <v>1</v>
      </c>
      <c r="AK238" s="20" t="s">
        <v>165</v>
      </c>
      <c r="AL238" s="18" t="s">
        <v>61</v>
      </c>
      <c r="AM238" s="18" t="s">
        <v>61</v>
      </c>
      <c r="AN238" s="18" t="s">
        <v>61</v>
      </c>
    </row>
    <row r="239" spans="2:40" x14ac:dyDescent="0.25">
      <c r="B239" s="78">
        <f t="shared" si="33"/>
        <v>192</v>
      </c>
      <c r="C239" s="17">
        <v>20200515</v>
      </c>
      <c r="D239" s="16" t="s">
        <v>3</v>
      </c>
      <c r="E239" s="16" t="s">
        <v>859</v>
      </c>
      <c r="F239" s="80" t="s">
        <v>940</v>
      </c>
      <c r="G239" s="18">
        <v>1435414</v>
      </c>
      <c r="H239" s="57" t="s">
        <v>61</v>
      </c>
      <c r="I239" s="16" t="s">
        <v>870</v>
      </c>
      <c r="J239" s="57" t="s">
        <v>61</v>
      </c>
      <c r="K239" s="16" t="s">
        <v>161</v>
      </c>
      <c r="L239" s="16" t="s">
        <v>789</v>
      </c>
      <c r="M239" s="16" t="s">
        <v>788</v>
      </c>
      <c r="N239" s="16" t="s">
        <v>815</v>
      </c>
      <c r="O239" s="18" t="s">
        <v>61</v>
      </c>
      <c r="P239" s="86" t="s">
        <v>881</v>
      </c>
      <c r="Q239" s="19"/>
      <c r="R239" s="57" t="s">
        <v>61</v>
      </c>
      <c r="S239" s="16" t="s">
        <v>68</v>
      </c>
      <c r="T239" s="16"/>
      <c r="U239" s="16"/>
      <c r="V239" s="16">
        <v>28</v>
      </c>
      <c r="W239" s="16">
        <f t="shared" si="41"/>
        <v>28</v>
      </c>
      <c r="X239" s="16">
        <f t="shared" si="43"/>
        <v>28</v>
      </c>
      <c r="Y239" s="16">
        <f>ROUNDDOWN(W239/HLOOKUP(D239,Table!$C$3:$D$4,2,0)*8,2)</f>
        <v>0.49</v>
      </c>
      <c r="Z239" s="16">
        <f>Y239</f>
        <v>0.49</v>
      </c>
      <c r="AA239" s="16" t="s">
        <v>74</v>
      </c>
      <c r="AB239" s="20">
        <v>43969</v>
      </c>
      <c r="AC239" s="20">
        <v>43966</v>
      </c>
      <c r="AD239" s="20">
        <v>43971</v>
      </c>
      <c r="AE239" s="20">
        <v>43969</v>
      </c>
      <c r="AF239" s="20">
        <v>43969</v>
      </c>
      <c r="AG239" s="20" t="s">
        <v>335</v>
      </c>
      <c r="AH239" s="32">
        <v>1</v>
      </c>
      <c r="AI239" s="32">
        <v>1</v>
      </c>
      <c r="AJ239" s="32">
        <v>1</v>
      </c>
      <c r="AK239" s="20" t="s">
        <v>165</v>
      </c>
      <c r="AL239" s="18" t="s">
        <v>61</v>
      </c>
      <c r="AM239" s="18" t="s">
        <v>61</v>
      </c>
      <c r="AN239" s="18" t="s">
        <v>61</v>
      </c>
    </row>
    <row r="240" spans="2:40" x14ac:dyDescent="0.25">
      <c r="B240" s="78">
        <f t="shared" si="33"/>
        <v>193</v>
      </c>
      <c r="C240" s="17">
        <v>20200515</v>
      </c>
      <c r="D240" s="16" t="s">
        <v>3</v>
      </c>
      <c r="E240" s="16" t="s">
        <v>859</v>
      </c>
      <c r="F240" s="80" t="s">
        <v>940</v>
      </c>
      <c r="G240" s="18">
        <v>1435414</v>
      </c>
      <c r="H240" s="57" t="s">
        <v>61</v>
      </c>
      <c r="I240" s="16" t="s">
        <v>871</v>
      </c>
      <c r="J240" s="57" t="s">
        <v>61</v>
      </c>
      <c r="K240" s="16" t="s">
        <v>161</v>
      </c>
      <c r="L240" s="16" t="s">
        <v>789</v>
      </c>
      <c r="M240" s="16" t="s">
        <v>788</v>
      </c>
      <c r="N240" s="16" t="s">
        <v>815</v>
      </c>
      <c r="O240" s="18" t="s">
        <v>61</v>
      </c>
      <c r="P240" s="86" t="s">
        <v>881</v>
      </c>
      <c r="Q240" s="19"/>
      <c r="R240" s="57" t="s">
        <v>61</v>
      </c>
      <c r="S240" s="16" t="s">
        <v>69</v>
      </c>
      <c r="T240" s="16"/>
      <c r="U240" s="16"/>
      <c r="V240" s="16">
        <v>23</v>
      </c>
      <c r="W240" s="16">
        <f t="shared" si="41"/>
        <v>23</v>
      </c>
      <c r="X240" s="16">
        <f t="shared" si="43"/>
        <v>23</v>
      </c>
      <c r="Y240" s="16">
        <f>ROUNDDOWN(W240/HLOOKUP(D240,Table!$C$3:$D$4,2,0)*8,2)</f>
        <v>0.4</v>
      </c>
      <c r="Z240" s="16">
        <v>0.5</v>
      </c>
      <c r="AA240" s="16" t="s">
        <v>74</v>
      </c>
      <c r="AB240" s="20">
        <v>43969</v>
      </c>
      <c r="AC240" s="20">
        <v>43966</v>
      </c>
      <c r="AD240" s="20">
        <v>43971</v>
      </c>
      <c r="AE240" s="20">
        <v>43969</v>
      </c>
      <c r="AF240" s="20">
        <v>43969</v>
      </c>
      <c r="AG240" s="20" t="s">
        <v>335</v>
      </c>
      <c r="AH240" s="32">
        <v>1</v>
      </c>
      <c r="AI240" s="32">
        <v>1</v>
      </c>
      <c r="AJ240" s="32">
        <v>1</v>
      </c>
      <c r="AK240" s="20" t="s">
        <v>165</v>
      </c>
      <c r="AL240" s="18" t="s">
        <v>61</v>
      </c>
      <c r="AM240" s="18" t="s">
        <v>61</v>
      </c>
      <c r="AN240" s="18" t="s">
        <v>61</v>
      </c>
    </row>
    <row r="241" spans="2:40" x14ac:dyDescent="0.25">
      <c r="B241" s="78">
        <f t="shared" ref="B241:B268" si="44">B240+1</f>
        <v>194</v>
      </c>
      <c r="C241" s="17">
        <v>20200515</v>
      </c>
      <c r="D241" s="16" t="s">
        <v>3</v>
      </c>
      <c r="E241" s="16" t="s">
        <v>859</v>
      </c>
      <c r="F241" s="80" t="s">
        <v>971</v>
      </c>
      <c r="G241" s="18">
        <v>1435414</v>
      </c>
      <c r="H241" s="57" t="s">
        <v>61</v>
      </c>
      <c r="I241" s="16" t="s">
        <v>872</v>
      </c>
      <c r="J241" s="57" t="s">
        <v>61</v>
      </c>
      <c r="K241" s="16" t="s">
        <v>161</v>
      </c>
      <c r="L241" s="16" t="s">
        <v>789</v>
      </c>
      <c r="M241" s="16" t="s">
        <v>788</v>
      </c>
      <c r="N241" s="16" t="s">
        <v>815</v>
      </c>
      <c r="O241" s="18" t="s">
        <v>61</v>
      </c>
      <c r="P241" s="86" t="s">
        <v>881</v>
      </c>
      <c r="Q241" s="19"/>
      <c r="R241" s="57" t="s">
        <v>61</v>
      </c>
      <c r="S241" s="16" t="s">
        <v>67</v>
      </c>
      <c r="T241" s="16"/>
      <c r="U241" s="16"/>
      <c r="V241" s="16">
        <v>5</v>
      </c>
      <c r="W241" s="16">
        <f t="shared" si="41"/>
        <v>5</v>
      </c>
      <c r="X241" s="16">
        <f t="shared" si="43"/>
        <v>5</v>
      </c>
      <c r="Y241" s="16">
        <f>ROUNDDOWN(W241/HLOOKUP(D241,Table!$C$3:$D$4,2,0)*8,2)</f>
        <v>0.08</v>
      </c>
      <c r="Z241" s="16">
        <f>Y241</f>
        <v>0.08</v>
      </c>
      <c r="AA241" s="16" t="s">
        <v>74</v>
      </c>
      <c r="AB241" s="20">
        <v>43969</v>
      </c>
      <c r="AC241" s="20">
        <v>43966</v>
      </c>
      <c r="AD241" s="20">
        <v>43971</v>
      </c>
      <c r="AE241" s="20">
        <v>43969</v>
      </c>
      <c r="AF241" s="20">
        <v>43969</v>
      </c>
      <c r="AG241" s="20" t="s">
        <v>335</v>
      </c>
      <c r="AH241" s="91" t="s">
        <v>61</v>
      </c>
      <c r="AI241" s="91" t="s">
        <v>61</v>
      </c>
      <c r="AJ241" s="91" t="s">
        <v>61</v>
      </c>
      <c r="AK241" s="20" t="s">
        <v>165</v>
      </c>
      <c r="AL241" s="18" t="s">
        <v>61</v>
      </c>
      <c r="AM241" s="18" t="s">
        <v>61</v>
      </c>
      <c r="AN241" s="16" t="s">
        <v>418</v>
      </c>
    </row>
    <row r="242" spans="2:40" x14ac:dyDescent="0.25">
      <c r="B242" s="78">
        <f t="shared" si="44"/>
        <v>195</v>
      </c>
      <c r="C242" s="17">
        <v>20200515</v>
      </c>
      <c r="D242" s="16" t="s">
        <v>3</v>
      </c>
      <c r="E242" s="16" t="s">
        <v>860</v>
      </c>
      <c r="F242" s="80" t="s">
        <v>972</v>
      </c>
      <c r="G242" s="18">
        <v>1468235</v>
      </c>
      <c r="H242" s="57" t="s">
        <v>61</v>
      </c>
      <c r="I242" s="16" t="s">
        <v>873</v>
      </c>
      <c r="J242" s="57" t="s">
        <v>61</v>
      </c>
      <c r="K242" s="16" t="s">
        <v>161</v>
      </c>
      <c r="L242" s="16" t="s">
        <v>875</v>
      </c>
      <c r="M242" s="16" t="s">
        <v>684</v>
      </c>
      <c r="N242" s="16" t="s">
        <v>175</v>
      </c>
      <c r="O242" s="18" t="s">
        <v>61</v>
      </c>
      <c r="P242" s="18" t="s">
        <v>879</v>
      </c>
      <c r="Q242" s="19"/>
      <c r="R242" s="57" t="s">
        <v>61</v>
      </c>
      <c r="S242" s="16" t="s">
        <v>70</v>
      </c>
      <c r="T242" s="16"/>
      <c r="U242" s="16"/>
      <c r="V242" s="16">
        <v>857</v>
      </c>
      <c r="W242" s="16">
        <f t="shared" si="41"/>
        <v>857</v>
      </c>
      <c r="X242" s="16">
        <f t="shared" si="43"/>
        <v>857</v>
      </c>
      <c r="Y242" s="16">
        <f>ROUNDDOWN(W242/HLOOKUP(D242,Table!$C$3:$D$4,2,0)*8,2)</f>
        <v>15.23</v>
      </c>
      <c r="Z242" s="16">
        <v>0.5</v>
      </c>
      <c r="AA242" s="16" t="s">
        <v>74</v>
      </c>
      <c r="AB242" s="20">
        <v>43969</v>
      </c>
      <c r="AC242" s="20">
        <v>43966</v>
      </c>
      <c r="AD242" s="20">
        <v>43971</v>
      </c>
      <c r="AE242" s="20">
        <v>43969</v>
      </c>
      <c r="AF242" s="20">
        <v>43969</v>
      </c>
      <c r="AG242" s="20" t="s">
        <v>335</v>
      </c>
      <c r="AH242" s="32">
        <v>1</v>
      </c>
      <c r="AI242" s="32">
        <v>1</v>
      </c>
      <c r="AJ242" s="32">
        <v>1</v>
      </c>
      <c r="AK242" s="20" t="s">
        <v>165</v>
      </c>
      <c r="AL242" s="18" t="s">
        <v>61</v>
      </c>
      <c r="AM242" s="18" t="s">
        <v>61</v>
      </c>
      <c r="AN242" s="18" t="s">
        <v>61</v>
      </c>
    </row>
    <row r="243" spans="2:40" x14ac:dyDescent="0.25">
      <c r="B243" s="78">
        <f t="shared" si="44"/>
        <v>196</v>
      </c>
      <c r="C243" s="17">
        <v>20200515</v>
      </c>
      <c r="D243" s="16" t="s">
        <v>3</v>
      </c>
      <c r="E243" s="16" t="s">
        <v>861</v>
      </c>
      <c r="F243" s="80" t="s">
        <v>891</v>
      </c>
      <c r="G243" s="18">
        <v>1469754</v>
      </c>
      <c r="H243" s="57" t="s">
        <v>61</v>
      </c>
      <c r="I243" s="16" t="s">
        <v>874</v>
      </c>
      <c r="J243" s="57" t="s">
        <v>61</v>
      </c>
      <c r="K243" s="16" t="s">
        <v>161</v>
      </c>
      <c r="L243" s="16" t="s">
        <v>165</v>
      </c>
      <c r="M243" s="16" t="s">
        <v>341</v>
      </c>
      <c r="N243" s="16" t="s">
        <v>877</v>
      </c>
      <c r="O243" s="18" t="s">
        <v>61</v>
      </c>
      <c r="P243" s="18" t="s">
        <v>878</v>
      </c>
      <c r="Q243" s="19"/>
      <c r="R243" s="57" t="s">
        <v>61</v>
      </c>
      <c r="S243" s="16" t="s">
        <v>69</v>
      </c>
      <c r="T243" s="16"/>
      <c r="U243" s="16"/>
      <c r="V243" s="16">
        <v>220</v>
      </c>
      <c r="W243" s="16">
        <f t="shared" si="41"/>
        <v>220</v>
      </c>
      <c r="X243" s="16">
        <f t="shared" si="43"/>
        <v>220</v>
      </c>
      <c r="Y243" s="16">
        <f>ROUNDDOWN(W243/HLOOKUP(D243,Table!$C$3:$D$4,2,0)*8,2)</f>
        <v>3.91</v>
      </c>
      <c r="Z243" s="16">
        <v>3</v>
      </c>
      <c r="AA243" s="16" t="s">
        <v>74</v>
      </c>
      <c r="AB243" s="20">
        <v>43969</v>
      </c>
      <c r="AC243" s="20">
        <v>43966</v>
      </c>
      <c r="AD243" s="20">
        <v>43971</v>
      </c>
      <c r="AE243" s="20">
        <v>43966</v>
      </c>
      <c r="AF243" s="20">
        <v>43966</v>
      </c>
      <c r="AG243" s="20" t="s">
        <v>335</v>
      </c>
      <c r="AH243" s="32">
        <v>1</v>
      </c>
      <c r="AI243" s="32">
        <v>1</v>
      </c>
      <c r="AJ243" s="32">
        <v>1</v>
      </c>
      <c r="AK243" s="20" t="s">
        <v>165</v>
      </c>
      <c r="AL243" s="18" t="s">
        <v>61</v>
      </c>
      <c r="AM243" s="18" t="s">
        <v>61</v>
      </c>
      <c r="AN243" s="18" t="s">
        <v>61</v>
      </c>
    </row>
    <row r="244" spans="2:40" x14ac:dyDescent="0.25">
      <c r="B244" s="145">
        <f t="shared" si="44"/>
        <v>197</v>
      </c>
      <c r="C244" s="17">
        <v>20200518</v>
      </c>
      <c r="D244" s="16" t="s">
        <v>3</v>
      </c>
      <c r="E244" s="16" t="s">
        <v>892</v>
      </c>
      <c r="F244" s="144" t="s">
        <v>973</v>
      </c>
      <c r="G244" s="18">
        <v>1453440</v>
      </c>
      <c r="H244" s="57" t="s">
        <v>61</v>
      </c>
      <c r="I244" s="16" t="s">
        <v>799</v>
      </c>
      <c r="J244" s="57" t="s">
        <v>61</v>
      </c>
      <c r="K244" s="16" t="s">
        <v>161</v>
      </c>
      <c r="L244" s="16" t="s">
        <v>902</v>
      </c>
      <c r="M244" s="16" t="s">
        <v>901</v>
      </c>
      <c r="N244" s="16" t="s">
        <v>903</v>
      </c>
      <c r="O244" s="18" t="s">
        <v>61</v>
      </c>
      <c r="P244" s="18" t="s">
        <v>904</v>
      </c>
      <c r="Q244" s="19"/>
      <c r="R244" s="57" t="s">
        <v>61</v>
      </c>
      <c r="S244" s="16" t="s">
        <v>69</v>
      </c>
      <c r="T244" s="16"/>
      <c r="U244" s="16"/>
      <c r="V244" s="16">
        <v>109</v>
      </c>
      <c r="W244" s="16">
        <f>V244</f>
        <v>109</v>
      </c>
      <c r="X244" s="16">
        <f>W244</f>
        <v>109</v>
      </c>
      <c r="Y244" s="16">
        <f>ROUNDDOWN(W244/HLOOKUP(D244,Table!$C$3:$D$4,2,0)*8,2)</f>
        <v>1.93</v>
      </c>
      <c r="Z244" s="16">
        <v>1</v>
      </c>
      <c r="AA244" s="16" t="s">
        <v>74</v>
      </c>
      <c r="AB244" s="20">
        <v>43971</v>
      </c>
      <c r="AC244" s="20">
        <v>43969</v>
      </c>
      <c r="AD244" s="20">
        <v>43973</v>
      </c>
      <c r="AE244" s="20">
        <v>43969</v>
      </c>
      <c r="AF244" s="20">
        <v>43969</v>
      </c>
      <c r="AG244" s="20" t="s">
        <v>335</v>
      </c>
      <c r="AH244" s="32">
        <v>1</v>
      </c>
      <c r="AI244" s="32">
        <v>1</v>
      </c>
      <c r="AJ244" s="32">
        <v>1</v>
      </c>
      <c r="AK244" s="20" t="s">
        <v>165</v>
      </c>
      <c r="AL244" s="18" t="s">
        <v>61</v>
      </c>
      <c r="AM244" s="18" t="s">
        <v>61</v>
      </c>
      <c r="AN244" s="18" t="s">
        <v>61</v>
      </c>
    </row>
    <row r="245" spans="2:40" x14ac:dyDescent="0.25">
      <c r="B245" s="145">
        <f t="shared" si="44"/>
        <v>198</v>
      </c>
      <c r="C245" s="17">
        <v>20200518</v>
      </c>
      <c r="D245" s="16" t="s">
        <v>3</v>
      </c>
      <c r="E245" s="16" t="s">
        <v>892</v>
      </c>
      <c r="F245" s="144" t="s">
        <v>974</v>
      </c>
      <c r="G245" s="18">
        <v>1453440</v>
      </c>
      <c r="H245" s="57" t="s">
        <v>61</v>
      </c>
      <c r="I245" s="16" t="s">
        <v>893</v>
      </c>
      <c r="J245" s="57" t="s">
        <v>61</v>
      </c>
      <c r="K245" s="16" t="s">
        <v>161</v>
      </c>
      <c r="L245" s="16" t="s">
        <v>902</v>
      </c>
      <c r="M245" s="16" t="s">
        <v>901</v>
      </c>
      <c r="N245" s="16" t="s">
        <v>903</v>
      </c>
      <c r="O245" s="18" t="s">
        <v>61</v>
      </c>
      <c r="P245" s="18" t="s">
        <v>904</v>
      </c>
      <c r="Q245" s="19"/>
      <c r="R245" s="57" t="s">
        <v>61</v>
      </c>
      <c r="S245" s="16" t="s">
        <v>68</v>
      </c>
      <c r="T245" s="16"/>
      <c r="U245" s="16"/>
      <c r="V245" s="16">
        <v>59</v>
      </c>
      <c r="W245" s="16">
        <f t="shared" ref="W245:W256" si="45">V245</f>
        <v>59</v>
      </c>
      <c r="X245" s="16">
        <f t="shared" ref="X245:X248" si="46">W245</f>
        <v>59</v>
      </c>
      <c r="Y245" s="16">
        <f>ROUNDDOWN(W245/HLOOKUP(D245,Table!$C$3:$D$4,2,0)*8,2)</f>
        <v>1.04</v>
      </c>
      <c r="Z245" s="16">
        <f>Y245</f>
        <v>1.04</v>
      </c>
      <c r="AA245" s="16" t="s">
        <v>74</v>
      </c>
      <c r="AB245" s="20">
        <v>43971</v>
      </c>
      <c r="AC245" s="20">
        <v>43969</v>
      </c>
      <c r="AD245" s="20">
        <v>43973</v>
      </c>
      <c r="AE245" s="20">
        <v>43969</v>
      </c>
      <c r="AF245" s="20">
        <v>43969</v>
      </c>
      <c r="AG245" s="20" t="s">
        <v>335</v>
      </c>
      <c r="AH245" s="32">
        <v>1</v>
      </c>
      <c r="AI245" s="32">
        <v>1</v>
      </c>
      <c r="AJ245" s="32">
        <v>1</v>
      </c>
      <c r="AK245" s="20" t="s">
        <v>165</v>
      </c>
      <c r="AL245" s="18" t="s">
        <v>61</v>
      </c>
      <c r="AM245" s="18" t="s">
        <v>61</v>
      </c>
      <c r="AN245" s="18" t="s">
        <v>61</v>
      </c>
    </row>
    <row r="246" spans="2:40" x14ac:dyDescent="0.25">
      <c r="B246" s="145">
        <f t="shared" si="44"/>
        <v>199</v>
      </c>
      <c r="C246" s="17">
        <v>20200518</v>
      </c>
      <c r="D246" s="16" t="s">
        <v>3</v>
      </c>
      <c r="E246" s="16" t="s">
        <v>892</v>
      </c>
      <c r="F246" s="144" t="s">
        <v>974</v>
      </c>
      <c r="G246" s="18">
        <v>1453440</v>
      </c>
      <c r="H246" s="57" t="s">
        <v>61</v>
      </c>
      <c r="I246" s="16" t="s">
        <v>486</v>
      </c>
      <c r="J246" s="57" t="s">
        <v>61</v>
      </c>
      <c r="K246" s="16" t="s">
        <v>161</v>
      </c>
      <c r="L246" s="16" t="s">
        <v>902</v>
      </c>
      <c r="M246" s="16" t="s">
        <v>901</v>
      </c>
      <c r="N246" s="16" t="s">
        <v>903</v>
      </c>
      <c r="O246" s="18" t="s">
        <v>61</v>
      </c>
      <c r="P246" s="18" t="s">
        <v>904</v>
      </c>
      <c r="Q246" s="19"/>
      <c r="R246" s="57" t="s">
        <v>61</v>
      </c>
      <c r="S246" s="16" t="s">
        <v>68</v>
      </c>
      <c r="T246" s="16"/>
      <c r="U246" s="16"/>
      <c r="V246" s="16">
        <v>18</v>
      </c>
      <c r="W246" s="16">
        <f t="shared" si="45"/>
        <v>18</v>
      </c>
      <c r="X246" s="16">
        <f t="shared" si="46"/>
        <v>18</v>
      </c>
      <c r="Y246" s="16">
        <f>ROUNDDOWN(W246/HLOOKUP(D246,Table!$C$3:$D$4,2,0)*8,2)</f>
        <v>0.32</v>
      </c>
      <c r="Z246" s="16">
        <f>Y246</f>
        <v>0.32</v>
      </c>
      <c r="AA246" s="16" t="s">
        <v>74</v>
      </c>
      <c r="AB246" s="20">
        <v>43971</v>
      </c>
      <c r="AC246" s="20">
        <v>43969</v>
      </c>
      <c r="AD246" s="20">
        <v>43973</v>
      </c>
      <c r="AE246" s="20">
        <v>43969</v>
      </c>
      <c r="AF246" s="20">
        <v>43969</v>
      </c>
      <c r="AG246" s="20" t="s">
        <v>335</v>
      </c>
      <c r="AH246" s="32">
        <v>1</v>
      </c>
      <c r="AI246" s="32">
        <v>1</v>
      </c>
      <c r="AJ246" s="32">
        <v>1</v>
      </c>
      <c r="AK246" s="20" t="s">
        <v>165</v>
      </c>
      <c r="AL246" s="18" t="s">
        <v>61</v>
      </c>
      <c r="AM246" s="18" t="s">
        <v>61</v>
      </c>
      <c r="AN246" s="18" t="s">
        <v>61</v>
      </c>
    </row>
    <row r="247" spans="2:40" x14ac:dyDescent="0.25">
      <c r="B247" s="145">
        <f t="shared" si="44"/>
        <v>200</v>
      </c>
      <c r="C247" s="17">
        <v>20200518</v>
      </c>
      <c r="D247" s="16" t="s">
        <v>3</v>
      </c>
      <c r="E247" s="16" t="s">
        <v>892</v>
      </c>
      <c r="F247" s="144" t="s">
        <v>973</v>
      </c>
      <c r="G247" s="18">
        <v>1453440</v>
      </c>
      <c r="H247" s="57" t="s">
        <v>61</v>
      </c>
      <c r="I247" s="16" t="s">
        <v>894</v>
      </c>
      <c r="J247" s="57" t="s">
        <v>61</v>
      </c>
      <c r="K247" s="16" t="s">
        <v>161</v>
      </c>
      <c r="L247" s="16" t="s">
        <v>902</v>
      </c>
      <c r="M247" s="16" t="s">
        <v>901</v>
      </c>
      <c r="N247" s="16" t="s">
        <v>903</v>
      </c>
      <c r="O247" s="18" t="s">
        <v>61</v>
      </c>
      <c r="P247" s="18" t="s">
        <v>904</v>
      </c>
      <c r="Q247" s="19"/>
      <c r="R247" s="57" t="s">
        <v>61</v>
      </c>
      <c r="S247" s="16" t="s">
        <v>69</v>
      </c>
      <c r="T247" s="16"/>
      <c r="U247" s="16"/>
      <c r="V247" s="16">
        <v>27</v>
      </c>
      <c r="W247" s="16">
        <f t="shared" si="45"/>
        <v>27</v>
      </c>
      <c r="X247" s="16">
        <f t="shared" si="46"/>
        <v>27</v>
      </c>
      <c r="Y247" s="16">
        <f>ROUNDDOWN(W247/HLOOKUP(D247,Table!$C$3:$D$4,2,0)*8,2)</f>
        <v>0.48</v>
      </c>
      <c r="Z247" s="16">
        <v>0.4</v>
      </c>
      <c r="AA247" s="16" t="s">
        <v>74</v>
      </c>
      <c r="AB247" s="20">
        <v>43971</v>
      </c>
      <c r="AC247" s="20">
        <v>43969</v>
      </c>
      <c r="AD247" s="20">
        <v>43973</v>
      </c>
      <c r="AE247" s="20">
        <v>43969</v>
      </c>
      <c r="AF247" s="20">
        <v>43969</v>
      </c>
      <c r="AG247" s="20" t="s">
        <v>335</v>
      </c>
      <c r="AH247" s="32">
        <v>1</v>
      </c>
      <c r="AI247" s="32">
        <v>1</v>
      </c>
      <c r="AJ247" s="32">
        <v>1</v>
      </c>
      <c r="AK247" s="20" t="s">
        <v>165</v>
      </c>
      <c r="AL247" s="18" t="s">
        <v>61</v>
      </c>
      <c r="AM247" s="18" t="s">
        <v>61</v>
      </c>
      <c r="AN247" s="18" t="s">
        <v>61</v>
      </c>
    </row>
    <row r="248" spans="2:40" x14ac:dyDescent="0.25">
      <c r="B248" s="145">
        <f t="shared" si="44"/>
        <v>201</v>
      </c>
      <c r="C248" s="17">
        <v>20200518</v>
      </c>
      <c r="D248" s="16" t="s">
        <v>3</v>
      </c>
      <c r="E248" s="16" t="s">
        <v>892</v>
      </c>
      <c r="F248" s="80" t="s">
        <v>975</v>
      </c>
      <c r="G248" s="18">
        <v>1453440</v>
      </c>
      <c r="H248" s="57" t="s">
        <v>61</v>
      </c>
      <c r="I248" s="16" t="s">
        <v>491</v>
      </c>
      <c r="J248" s="57" t="s">
        <v>61</v>
      </c>
      <c r="K248" s="16" t="s">
        <v>161</v>
      </c>
      <c r="L248" s="16" t="s">
        <v>902</v>
      </c>
      <c r="M248" s="16" t="s">
        <v>901</v>
      </c>
      <c r="N248" s="16" t="s">
        <v>903</v>
      </c>
      <c r="O248" s="18" t="s">
        <v>61</v>
      </c>
      <c r="P248" s="18" t="s">
        <v>904</v>
      </c>
      <c r="Q248" s="19"/>
      <c r="R248" s="57" t="s">
        <v>61</v>
      </c>
      <c r="S248" s="16" t="s">
        <v>67</v>
      </c>
      <c r="T248" s="16"/>
      <c r="U248" s="16"/>
      <c r="V248" s="16">
        <v>220</v>
      </c>
      <c r="W248" s="16">
        <f t="shared" si="45"/>
        <v>220</v>
      </c>
      <c r="X248" s="16">
        <f t="shared" si="46"/>
        <v>220</v>
      </c>
      <c r="Y248" s="16">
        <f>ROUNDDOWN(W248/HLOOKUP(D248,Table!$C$3:$D$4,2,0)*8,2)</f>
        <v>3.91</v>
      </c>
      <c r="Z248" s="16">
        <v>3</v>
      </c>
      <c r="AA248" s="16" t="s">
        <v>74</v>
      </c>
      <c r="AB248" s="20">
        <v>43971</v>
      </c>
      <c r="AC248" s="20">
        <v>43969</v>
      </c>
      <c r="AD248" s="20">
        <v>43973</v>
      </c>
      <c r="AE248" s="20">
        <v>43969</v>
      </c>
      <c r="AF248" s="20">
        <v>43969</v>
      </c>
      <c r="AG248" s="20" t="s">
        <v>335</v>
      </c>
      <c r="AH248" s="32">
        <v>1</v>
      </c>
      <c r="AI248" s="32">
        <v>1</v>
      </c>
      <c r="AJ248" s="32">
        <v>1</v>
      </c>
      <c r="AK248" s="20" t="s">
        <v>165</v>
      </c>
      <c r="AL248" s="18" t="s">
        <v>61</v>
      </c>
      <c r="AM248" s="18" t="s">
        <v>61</v>
      </c>
      <c r="AN248" s="18" t="s">
        <v>61</v>
      </c>
    </row>
    <row r="249" spans="2:40" x14ac:dyDescent="0.25">
      <c r="B249" s="145">
        <f t="shared" si="44"/>
        <v>202</v>
      </c>
      <c r="C249" s="17">
        <v>20200518</v>
      </c>
      <c r="D249" s="16" t="s">
        <v>3</v>
      </c>
      <c r="E249" s="16" t="s">
        <v>892</v>
      </c>
      <c r="F249" s="144" t="s">
        <v>976</v>
      </c>
      <c r="G249" s="18">
        <v>1473319</v>
      </c>
      <c r="H249" s="57" t="s">
        <v>61</v>
      </c>
      <c r="I249" s="16" t="s">
        <v>895</v>
      </c>
      <c r="J249" s="57" t="s">
        <v>61</v>
      </c>
      <c r="K249" s="16" t="s">
        <v>161</v>
      </c>
      <c r="L249" s="16" t="s">
        <v>902</v>
      </c>
      <c r="M249" s="16" t="s">
        <v>901</v>
      </c>
      <c r="N249" s="16" t="s">
        <v>903</v>
      </c>
      <c r="O249" s="18" t="s">
        <v>61</v>
      </c>
      <c r="P249" s="18" t="s">
        <v>906</v>
      </c>
      <c r="Q249" s="19"/>
      <c r="R249" s="57" t="s">
        <v>61</v>
      </c>
      <c r="S249" s="16" t="s">
        <v>68</v>
      </c>
      <c r="T249" s="16"/>
      <c r="U249" s="16"/>
      <c r="V249" s="16">
        <v>74</v>
      </c>
      <c r="W249" s="16">
        <f t="shared" si="45"/>
        <v>74</v>
      </c>
      <c r="X249" s="16">
        <f t="shared" ref="X249:X256" si="47">W249</f>
        <v>74</v>
      </c>
      <c r="Y249" s="16">
        <f>ROUNDDOWN(W249/HLOOKUP(D249,Table!$C$3:$D$4,2,0)*8,2)</f>
        <v>1.31</v>
      </c>
      <c r="Z249" s="16">
        <f>Y249</f>
        <v>1.31</v>
      </c>
      <c r="AA249" s="16" t="s">
        <v>74</v>
      </c>
      <c r="AB249" s="20">
        <v>43971</v>
      </c>
      <c r="AC249" s="20">
        <v>43969</v>
      </c>
      <c r="AD249" s="20">
        <v>43973</v>
      </c>
      <c r="AE249" s="20">
        <v>43969</v>
      </c>
      <c r="AF249" s="20">
        <v>43969</v>
      </c>
      <c r="AG249" s="20" t="s">
        <v>335</v>
      </c>
      <c r="AH249" s="32">
        <v>1</v>
      </c>
      <c r="AI249" s="32">
        <v>1</v>
      </c>
      <c r="AJ249" s="32">
        <v>1</v>
      </c>
      <c r="AK249" s="20" t="s">
        <v>165</v>
      </c>
      <c r="AL249" s="18" t="s">
        <v>61</v>
      </c>
      <c r="AM249" s="18" t="s">
        <v>61</v>
      </c>
      <c r="AN249" s="18" t="s">
        <v>61</v>
      </c>
    </row>
    <row r="250" spans="2:40" x14ac:dyDescent="0.25">
      <c r="B250" s="145">
        <f t="shared" si="44"/>
        <v>203</v>
      </c>
      <c r="C250" s="17">
        <v>20200518</v>
      </c>
      <c r="D250" s="16" t="s">
        <v>3</v>
      </c>
      <c r="E250" s="16" t="s">
        <v>892</v>
      </c>
      <c r="F250" s="144" t="s">
        <v>976</v>
      </c>
      <c r="G250" s="18">
        <v>1473319</v>
      </c>
      <c r="H250" s="57" t="s">
        <v>61</v>
      </c>
      <c r="I250" s="16" t="s">
        <v>896</v>
      </c>
      <c r="J250" s="57" t="s">
        <v>61</v>
      </c>
      <c r="K250" s="16" t="s">
        <v>161</v>
      </c>
      <c r="L250" s="16" t="s">
        <v>902</v>
      </c>
      <c r="M250" s="16" t="s">
        <v>901</v>
      </c>
      <c r="N250" s="16" t="s">
        <v>903</v>
      </c>
      <c r="O250" s="18" t="s">
        <v>61</v>
      </c>
      <c r="P250" s="18" t="s">
        <v>906</v>
      </c>
      <c r="Q250" s="19"/>
      <c r="R250" s="57" t="s">
        <v>61</v>
      </c>
      <c r="S250" s="16" t="s">
        <v>69</v>
      </c>
      <c r="T250" s="16"/>
      <c r="U250" s="16"/>
      <c r="V250" s="16">
        <v>26</v>
      </c>
      <c r="W250" s="16">
        <f t="shared" si="45"/>
        <v>26</v>
      </c>
      <c r="X250" s="16">
        <f t="shared" si="47"/>
        <v>26</v>
      </c>
      <c r="Y250" s="16">
        <f>ROUNDDOWN(W250/HLOOKUP(D250,Table!$C$3:$D$4,2,0)*8,2)</f>
        <v>0.46</v>
      </c>
      <c r="Z250" s="16">
        <v>0.4</v>
      </c>
      <c r="AA250" s="16" t="s">
        <v>74</v>
      </c>
      <c r="AB250" s="20">
        <v>43971</v>
      </c>
      <c r="AC250" s="20">
        <v>43969</v>
      </c>
      <c r="AD250" s="20">
        <v>43973</v>
      </c>
      <c r="AE250" s="20">
        <v>43969</v>
      </c>
      <c r="AF250" s="20">
        <v>43969</v>
      </c>
      <c r="AG250" s="20" t="s">
        <v>335</v>
      </c>
      <c r="AH250" s="32">
        <v>1</v>
      </c>
      <c r="AI250" s="32">
        <v>1</v>
      </c>
      <c r="AJ250" s="32">
        <v>1</v>
      </c>
      <c r="AK250" s="20" t="s">
        <v>165</v>
      </c>
      <c r="AL250" s="18" t="s">
        <v>61</v>
      </c>
      <c r="AM250" s="18" t="s">
        <v>61</v>
      </c>
      <c r="AN250" s="18" t="s">
        <v>61</v>
      </c>
    </row>
    <row r="251" spans="2:40" x14ac:dyDescent="0.25">
      <c r="B251" s="145">
        <f t="shared" si="44"/>
        <v>204</v>
      </c>
      <c r="C251" s="17">
        <v>20200518</v>
      </c>
      <c r="D251" s="16" t="s">
        <v>3</v>
      </c>
      <c r="E251" s="16" t="s">
        <v>892</v>
      </c>
      <c r="F251" s="144" t="s">
        <v>977</v>
      </c>
      <c r="G251" s="18">
        <v>1472760</v>
      </c>
      <c r="H251" s="57" t="s">
        <v>61</v>
      </c>
      <c r="I251" s="16" t="s">
        <v>168</v>
      </c>
      <c r="J251" s="57" t="s">
        <v>61</v>
      </c>
      <c r="K251" s="16" t="s">
        <v>161</v>
      </c>
      <c r="L251" s="16" t="s">
        <v>165</v>
      </c>
      <c r="M251" s="16" t="s">
        <v>901</v>
      </c>
      <c r="N251" s="16" t="s">
        <v>903</v>
      </c>
      <c r="O251" s="18" t="s">
        <v>61</v>
      </c>
      <c r="P251" s="18" t="s">
        <v>905</v>
      </c>
      <c r="Q251" s="19"/>
      <c r="R251" s="57" t="s">
        <v>61</v>
      </c>
      <c r="S251" s="16" t="s">
        <v>68</v>
      </c>
      <c r="T251" s="16"/>
      <c r="U251" s="16"/>
      <c r="V251" s="16">
        <v>175</v>
      </c>
      <c r="W251" s="16">
        <f t="shared" si="45"/>
        <v>175</v>
      </c>
      <c r="X251" s="16">
        <f t="shared" si="47"/>
        <v>175</v>
      </c>
      <c r="Y251" s="16">
        <f>ROUNDDOWN(W251/HLOOKUP(D251,Table!$C$3:$D$4,2,0)*8,2)</f>
        <v>3.11</v>
      </c>
      <c r="Z251" s="16">
        <f>Y251</f>
        <v>3.11</v>
      </c>
      <c r="AA251" s="16" t="s">
        <v>74</v>
      </c>
      <c r="AB251" s="20">
        <v>43971</v>
      </c>
      <c r="AC251" s="20">
        <v>43969</v>
      </c>
      <c r="AD251" s="20">
        <v>43973</v>
      </c>
      <c r="AE251" s="20">
        <v>43970</v>
      </c>
      <c r="AF251" s="20">
        <v>43970</v>
      </c>
      <c r="AG251" s="20" t="s">
        <v>335</v>
      </c>
      <c r="AH251" s="32">
        <v>1</v>
      </c>
      <c r="AI251" s="32">
        <v>1</v>
      </c>
      <c r="AJ251" s="32">
        <v>1</v>
      </c>
      <c r="AK251" s="20" t="s">
        <v>165</v>
      </c>
      <c r="AL251" s="18" t="s">
        <v>61</v>
      </c>
      <c r="AM251" s="18" t="s">
        <v>61</v>
      </c>
      <c r="AN251" s="18" t="s">
        <v>61</v>
      </c>
    </row>
    <row r="252" spans="2:40" x14ac:dyDescent="0.25">
      <c r="B252" s="145">
        <f t="shared" si="44"/>
        <v>205</v>
      </c>
      <c r="C252" s="17">
        <v>20200518</v>
      </c>
      <c r="D252" s="16" t="s">
        <v>3</v>
      </c>
      <c r="E252" s="16" t="s">
        <v>892</v>
      </c>
      <c r="F252" s="144" t="s">
        <v>978</v>
      </c>
      <c r="G252" s="18">
        <v>1362417</v>
      </c>
      <c r="H252" s="57" t="s">
        <v>61</v>
      </c>
      <c r="I252" s="98" t="s">
        <v>897</v>
      </c>
      <c r="J252" s="57" t="s">
        <v>61</v>
      </c>
      <c r="K252" s="16" t="s">
        <v>161</v>
      </c>
      <c r="L252" s="146" t="s">
        <v>902</v>
      </c>
      <c r="M252" s="16" t="s">
        <v>901</v>
      </c>
      <c r="N252" s="16" t="s">
        <v>903</v>
      </c>
      <c r="O252" s="18" t="s">
        <v>61</v>
      </c>
      <c r="P252" s="18" t="s">
        <v>907</v>
      </c>
      <c r="Q252" s="19"/>
      <c r="R252" s="57" t="s">
        <v>61</v>
      </c>
      <c r="S252" s="16" t="s">
        <v>70</v>
      </c>
      <c r="T252" s="16"/>
      <c r="U252" s="16"/>
      <c r="V252" s="16">
        <v>25</v>
      </c>
      <c r="W252" s="16">
        <f t="shared" si="45"/>
        <v>25</v>
      </c>
      <c r="X252" s="16">
        <f t="shared" si="47"/>
        <v>25</v>
      </c>
      <c r="Y252" s="16">
        <f>ROUNDDOWN(W252/HLOOKUP(D252,Table!$C$3:$D$4,2,0)*8,2)</f>
        <v>0.44</v>
      </c>
      <c r="Z252" s="16">
        <v>0.5</v>
      </c>
      <c r="AA252" s="16" t="s">
        <v>74</v>
      </c>
      <c r="AB252" s="20">
        <v>43971</v>
      </c>
      <c r="AC252" s="20">
        <v>43969</v>
      </c>
      <c r="AD252" s="20">
        <v>43973</v>
      </c>
      <c r="AE252" s="20">
        <v>43970</v>
      </c>
      <c r="AF252" s="20">
        <v>43970</v>
      </c>
      <c r="AG252" s="20" t="s">
        <v>335</v>
      </c>
      <c r="AH252" s="32">
        <v>1</v>
      </c>
      <c r="AI252" s="32">
        <v>1</v>
      </c>
      <c r="AJ252" s="32">
        <v>1</v>
      </c>
      <c r="AK252" s="20" t="s">
        <v>165</v>
      </c>
      <c r="AL252" s="18" t="s">
        <v>61</v>
      </c>
      <c r="AM252" s="18" t="s">
        <v>61</v>
      </c>
      <c r="AN252" s="18" t="s">
        <v>61</v>
      </c>
    </row>
    <row r="253" spans="2:40" x14ac:dyDescent="0.25">
      <c r="B253" s="145">
        <f t="shared" si="44"/>
        <v>206</v>
      </c>
      <c r="C253" s="17">
        <v>20200518</v>
      </c>
      <c r="D253" s="16" t="s">
        <v>3</v>
      </c>
      <c r="E253" s="16" t="s">
        <v>892</v>
      </c>
      <c r="F253" s="80" t="s">
        <v>979</v>
      </c>
      <c r="G253" s="18">
        <v>1362417</v>
      </c>
      <c r="H253" s="57" t="s">
        <v>61</v>
      </c>
      <c r="I253" s="16" t="s">
        <v>686</v>
      </c>
      <c r="J253" s="57" t="s">
        <v>61</v>
      </c>
      <c r="K253" s="16" t="s">
        <v>161</v>
      </c>
      <c r="L253" s="146" t="s">
        <v>902</v>
      </c>
      <c r="M253" s="16" t="s">
        <v>901</v>
      </c>
      <c r="N253" s="16" t="s">
        <v>903</v>
      </c>
      <c r="O253" s="18" t="s">
        <v>61</v>
      </c>
      <c r="P253" s="18" t="s">
        <v>907</v>
      </c>
      <c r="Q253" s="19"/>
      <c r="R253" s="57" t="s">
        <v>61</v>
      </c>
      <c r="S253" s="16" t="s">
        <v>67</v>
      </c>
      <c r="T253" s="16"/>
      <c r="U253" s="16"/>
      <c r="V253" s="16">
        <v>259</v>
      </c>
      <c r="W253" s="16">
        <f t="shared" si="45"/>
        <v>259</v>
      </c>
      <c r="X253" s="16">
        <f t="shared" si="47"/>
        <v>259</v>
      </c>
      <c r="Y253" s="16">
        <f>ROUNDDOWN(W253/HLOOKUP(D253,Table!$C$3:$D$4,2,0)*8,2)</f>
        <v>4.5999999999999996</v>
      </c>
      <c r="Z253" s="16">
        <v>4</v>
      </c>
      <c r="AA253" s="16" t="s">
        <v>74</v>
      </c>
      <c r="AB253" s="20">
        <v>43971</v>
      </c>
      <c r="AC253" s="20">
        <v>43969</v>
      </c>
      <c r="AD253" s="20">
        <v>43973</v>
      </c>
      <c r="AE253" s="20">
        <v>43970</v>
      </c>
      <c r="AF253" s="20">
        <v>43970</v>
      </c>
      <c r="AG253" s="20" t="s">
        <v>336</v>
      </c>
      <c r="AH253" s="32">
        <v>1</v>
      </c>
      <c r="AI253" s="32">
        <v>1</v>
      </c>
      <c r="AJ253" s="32">
        <v>0.87</v>
      </c>
      <c r="AK253" s="20" t="s">
        <v>149</v>
      </c>
      <c r="AL253" s="18" t="s">
        <v>938</v>
      </c>
      <c r="AM253" s="18" t="s">
        <v>61</v>
      </c>
      <c r="AN253" s="18" t="s">
        <v>939</v>
      </c>
    </row>
    <row r="254" spans="2:40" x14ac:dyDescent="0.25">
      <c r="B254" s="145">
        <f t="shared" si="44"/>
        <v>207</v>
      </c>
      <c r="C254" s="17">
        <v>20200518</v>
      </c>
      <c r="D254" s="16" t="s">
        <v>3</v>
      </c>
      <c r="E254" s="16" t="s">
        <v>892</v>
      </c>
      <c r="F254" s="144" t="s">
        <v>976</v>
      </c>
      <c r="G254" s="18">
        <v>1362417</v>
      </c>
      <c r="H254" s="57" t="s">
        <v>61</v>
      </c>
      <c r="I254" s="16" t="s">
        <v>898</v>
      </c>
      <c r="J254" s="57" t="s">
        <v>61</v>
      </c>
      <c r="K254" s="16" t="s">
        <v>161</v>
      </c>
      <c r="L254" s="146" t="s">
        <v>902</v>
      </c>
      <c r="M254" s="16" t="s">
        <v>901</v>
      </c>
      <c r="N254" s="16" t="s">
        <v>903</v>
      </c>
      <c r="O254" s="18" t="s">
        <v>61</v>
      </c>
      <c r="P254" s="18" t="s">
        <v>907</v>
      </c>
      <c r="Q254" s="19"/>
      <c r="R254" s="57" t="s">
        <v>61</v>
      </c>
      <c r="S254" s="16" t="s">
        <v>69</v>
      </c>
      <c r="T254" s="16"/>
      <c r="U254" s="16"/>
      <c r="V254" s="16">
        <v>77</v>
      </c>
      <c r="W254" s="16">
        <f t="shared" si="45"/>
        <v>77</v>
      </c>
      <c r="X254" s="16">
        <f t="shared" si="47"/>
        <v>77</v>
      </c>
      <c r="Y254" s="16">
        <f>ROUNDDOWN(W254/HLOOKUP(D254,Table!$C$3:$D$4,2,0)*8,2)</f>
        <v>1.36</v>
      </c>
      <c r="Z254" s="16">
        <v>1</v>
      </c>
      <c r="AA254" s="16" t="s">
        <v>74</v>
      </c>
      <c r="AB254" s="20">
        <v>43971</v>
      </c>
      <c r="AC254" s="20">
        <v>43969</v>
      </c>
      <c r="AD254" s="20">
        <v>43973</v>
      </c>
      <c r="AE254" s="20">
        <v>43969</v>
      </c>
      <c r="AF254" s="20">
        <v>43969</v>
      </c>
      <c r="AG254" s="20" t="s">
        <v>335</v>
      </c>
      <c r="AH254" s="32">
        <v>1</v>
      </c>
      <c r="AI254" s="32">
        <v>1</v>
      </c>
      <c r="AJ254" s="32">
        <v>1</v>
      </c>
      <c r="AK254" s="20" t="s">
        <v>165</v>
      </c>
      <c r="AL254" s="18" t="s">
        <v>61</v>
      </c>
      <c r="AM254" s="18" t="s">
        <v>61</v>
      </c>
      <c r="AN254" s="18" t="s">
        <v>61</v>
      </c>
    </row>
    <row r="255" spans="2:40" x14ac:dyDescent="0.25">
      <c r="B255" s="145">
        <f t="shared" si="44"/>
        <v>208</v>
      </c>
      <c r="C255" s="17">
        <v>20200518</v>
      </c>
      <c r="D255" s="16" t="s">
        <v>3</v>
      </c>
      <c r="E255" s="16" t="s">
        <v>892</v>
      </c>
      <c r="F255" s="144" t="s">
        <v>976</v>
      </c>
      <c r="G255" s="18">
        <v>1362417</v>
      </c>
      <c r="H255" s="57" t="s">
        <v>61</v>
      </c>
      <c r="I255" s="16" t="s">
        <v>899</v>
      </c>
      <c r="J255" s="57" t="s">
        <v>61</v>
      </c>
      <c r="K255" s="16" t="s">
        <v>161</v>
      </c>
      <c r="L255" s="146" t="s">
        <v>902</v>
      </c>
      <c r="M255" s="16" t="s">
        <v>901</v>
      </c>
      <c r="N255" s="16" t="s">
        <v>903</v>
      </c>
      <c r="O255" s="18" t="s">
        <v>61</v>
      </c>
      <c r="P255" s="18" t="s">
        <v>907</v>
      </c>
      <c r="Q255" s="19"/>
      <c r="R255" s="57" t="s">
        <v>61</v>
      </c>
      <c r="S255" s="16" t="s">
        <v>67</v>
      </c>
      <c r="T255" s="16"/>
      <c r="U255" s="16"/>
      <c r="V255" s="16">
        <v>44</v>
      </c>
      <c r="W255" s="16">
        <f t="shared" si="45"/>
        <v>44</v>
      </c>
      <c r="X255" s="16">
        <f t="shared" si="47"/>
        <v>44</v>
      </c>
      <c r="Y255" s="16">
        <f>ROUNDDOWN(W255/HLOOKUP(D255,Table!$C$3:$D$4,2,0)*8,2)</f>
        <v>0.78</v>
      </c>
      <c r="Z255" s="16">
        <v>0.5</v>
      </c>
      <c r="AA255" s="16" t="s">
        <v>74</v>
      </c>
      <c r="AB255" s="20">
        <v>43971</v>
      </c>
      <c r="AC255" s="20">
        <v>43969</v>
      </c>
      <c r="AD255" s="20">
        <v>43973</v>
      </c>
      <c r="AE255" s="20">
        <v>43970</v>
      </c>
      <c r="AF255" s="20">
        <v>43970</v>
      </c>
      <c r="AG255" s="20" t="s">
        <v>335</v>
      </c>
      <c r="AH255" s="32">
        <v>1</v>
      </c>
      <c r="AI255" s="32">
        <v>1</v>
      </c>
      <c r="AJ255" s="32">
        <v>1</v>
      </c>
      <c r="AK255" s="20" t="s">
        <v>165</v>
      </c>
      <c r="AL255" s="18" t="s">
        <v>61</v>
      </c>
      <c r="AM255" s="18" t="s">
        <v>61</v>
      </c>
      <c r="AN255" s="18" t="s">
        <v>61</v>
      </c>
    </row>
    <row r="256" spans="2:40" x14ac:dyDescent="0.25">
      <c r="B256" s="145">
        <f t="shared" si="44"/>
        <v>209</v>
      </c>
      <c r="C256" s="17">
        <v>20200518</v>
      </c>
      <c r="D256" s="16" t="s">
        <v>3</v>
      </c>
      <c r="E256" s="16" t="s">
        <v>892</v>
      </c>
      <c r="F256" s="144" t="s">
        <v>976</v>
      </c>
      <c r="G256" s="18">
        <v>1362417</v>
      </c>
      <c r="H256" s="57" t="s">
        <v>61</v>
      </c>
      <c r="I256" s="16" t="s">
        <v>900</v>
      </c>
      <c r="J256" s="57" t="s">
        <v>61</v>
      </c>
      <c r="K256" s="16" t="s">
        <v>161</v>
      </c>
      <c r="L256" s="146" t="s">
        <v>902</v>
      </c>
      <c r="M256" s="16" t="s">
        <v>901</v>
      </c>
      <c r="N256" s="16" t="s">
        <v>903</v>
      </c>
      <c r="O256" s="18" t="s">
        <v>61</v>
      </c>
      <c r="P256" s="18" t="s">
        <v>907</v>
      </c>
      <c r="Q256" s="19"/>
      <c r="R256" s="57" t="s">
        <v>61</v>
      </c>
      <c r="S256" s="16" t="s">
        <v>67</v>
      </c>
      <c r="T256" s="16"/>
      <c r="U256" s="16"/>
      <c r="V256" s="16">
        <v>20</v>
      </c>
      <c r="W256" s="16">
        <f t="shared" si="45"/>
        <v>20</v>
      </c>
      <c r="X256" s="16">
        <f t="shared" si="47"/>
        <v>20</v>
      </c>
      <c r="Y256" s="16">
        <f>ROUNDDOWN(W256/HLOOKUP(D256,Table!$C$3:$D$4,2,0)*8,2)</f>
        <v>0.35</v>
      </c>
      <c r="Z256" s="16">
        <v>0.3</v>
      </c>
      <c r="AA256" s="16" t="s">
        <v>74</v>
      </c>
      <c r="AB256" s="20">
        <v>43971</v>
      </c>
      <c r="AC256" s="20">
        <v>43969</v>
      </c>
      <c r="AD256" s="20">
        <v>43973</v>
      </c>
      <c r="AE256" s="20">
        <v>43970</v>
      </c>
      <c r="AF256" s="20">
        <v>43970</v>
      </c>
      <c r="AG256" s="20" t="s">
        <v>335</v>
      </c>
      <c r="AH256" s="32">
        <v>1</v>
      </c>
      <c r="AI256" s="32">
        <v>1</v>
      </c>
      <c r="AJ256" s="32">
        <v>1</v>
      </c>
      <c r="AK256" s="20" t="s">
        <v>165</v>
      </c>
      <c r="AL256" s="18" t="s">
        <v>61</v>
      </c>
      <c r="AM256" s="18" t="s">
        <v>61</v>
      </c>
      <c r="AN256" s="18" t="s">
        <v>61</v>
      </c>
    </row>
    <row r="257" spans="2:42" x14ac:dyDescent="0.25">
      <c r="B257" s="147">
        <f t="shared" si="44"/>
        <v>210</v>
      </c>
      <c r="C257" s="17">
        <v>20200518</v>
      </c>
      <c r="D257" s="16" t="s">
        <v>3</v>
      </c>
      <c r="E257" s="16" t="s">
        <v>908</v>
      </c>
      <c r="F257" s="80" t="s">
        <v>912</v>
      </c>
      <c r="G257" s="18">
        <v>1473584</v>
      </c>
      <c r="H257" s="57" t="s">
        <v>61</v>
      </c>
      <c r="I257" s="16" t="s">
        <v>176</v>
      </c>
      <c r="J257" s="57" t="s">
        <v>61</v>
      </c>
      <c r="K257" s="16" t="s">
        <v>161</v>
      </c>
      <c r="L257" s="16" t="s">
        <v>909</v>
      </c>
      <c r="M257" s="16" t="s">
        <v>911</v>
      </c>
      <c r="N257" s="16" t="s">
        <v>910</v>
      </c>
      <c r="O257" s="18" t="s">
        <v>61</v>
      </c>
      <c r="P257" s="18" t="s">
        <v>328</v>
      </c>
      <c r="Q257" s="19"/>
      <c r="R257" s="57" t="s">
        <v>61</v>
      </c>
      <c r="S257" s="16" t="s">
        <v>157</v>
      </c>
      <c r="T257" s="16"/>
      <c r="U257" s="16"/>
      <c r="V257" s="16">
        <v>145</v>
      </c>
      <c r="W257" s="16">
        <f t="shared" ref="W257:X264" si="48">V257</f>
        <v>145</v>
      </c>
      <c r="X257" s="16">
        <f t="shared" si="48"/>
        <v>145</v>
      </c>
      <c r="Y257" s="16">
        <f>ROUNDDOWN(W257/HLOOKUP(D257,Table!$C$3:$D$4,2,0)*8,2)</f>
        <v>2.57</v>
      </c>
      <c r="Z257" s="16">
        <v>0.4</v>
      </c>
      <c r="AA257" s="16" t="s">
        <v>74</v>
      </c>
      <c r="AB257" s="20">
        <v>43971</v>
      </c>
      <c r="AC257" s="20">
        <v>43969</v>
      </c>
      <c r="AD257" s="162">
        <v>43971</v>
      </c>
      <c r="AE257" s="20">
        <v>43970</v>
      </c>
      <c r="AF257" s="20">
        <v>43970</v>
      </c>
      <c r="AG257" s="20" t="s">
        <v>335</v>
      </c>
      <c r="AH257" s="32">
        <v>1</v>
      </c>
      <c r="AI257" s="32">
        <v>1</v>
      </c>
      <c r="AJ257" s="32">
        <v>1</v>
      </c>
      <c r="AK257" s="20" t="s">
        <v>165</v>
      </c>
      <c r="AL257" s="121"/>
      <c r="AM257" s="32" t="s">
        <v>61</v>
      </c>
      <c r="AN257" s="32" t="s">
        <v>61</v>
      </c>
    </row>
    <row r="258" spans="2:42" x14ac:dyDescent="0.25">
      <c r="B258" s="147">
        <f t="shared" si="44"/>
        <v>211</v>
      </c>
      <c r="C258" s="17">
        <v>20200518</v>
      </c>
      <c r="D258" s="16" t="s">
        <v>3</v>
      </c>
      <c r="E258" s="16" t="s">
        <v>908</v>
      </c>
      <c r="F258" s="80" t="s">
        <v>913</v>
      </c>
      <c r="G258" s="18">
        <v>1473584</v>
      </c>
      <c r="H258" s="57" t="s">
        <v>61</v>
      </c>
      <c r="I258" s="16" t="s">
        <v>172</v>
      </c>
      <c r="J258" s="57" t="s">
        <v>61</v>
      </c>
      <c r="K258" s="16" t="s">
        <v>161</v>
      </c>
      <c r="L258" s="16" t="s">
        <v>909</v>
      </c>
      <c r="M258" s="16" t="s">
        <v>911</v>
      </c>
      <c r="N258" s="16" t="s">
        <v>910</v>
      </c>
      <c r="O258" s="18" t="s">
        <v>61</v>
      </c>
      <c r="P258" s="18" t="s">
        <v>328</v>
      </c>
      <c r="Q258" s="19"/>
      <c r="R258" s="57" t="s">
        <v>61</v>
      </c>
      <c r="S258" s="16" t="s">
        <v>157</v>
      </c>
      <c r="T258" s="16"/>
      <c r="U258" s="16"/>
      <c r="V258" s="16">
        <v>101</v>
      </c>
      <c r="W258" s="16">
        <f t="shared" si="48"/>
        <v>101</v>
      </c>
      <c r="X258" s="16">
        <f t="shared" si="48"/>
        <v>101</v>
      </c>
      <c r="Y258" s="16">
        <f>ROUNDDOWN(W258/HLOOKUP(D258,Table!$C$3:$D$4,2,0)*8,2)</f>
        <v>1.79</v>
      </c>
      <c r="Z258" s="16">
        <v>0.4</v>
      </c>
      <c r="AA258" s="16" t="s">
        <v>74</v>
      </c>
      <c r="AB258" s="20">
        <v>43971</v>
      </c>
      <c r="AC258" s="20">
        <v>43969</v>
      </c>
      <c r="AD258" s="162">
        <v>43971</v>
      </c>
      <c r="AE258" s="20">
        <v>43970</v>
      </c>
      <c r="AF258" s="20">
        <v>43970</v>
      </c>
      <c r="AG258" s="20" t="s">
        <v>336</v>
      </c>
      <c r="AH258" s="32">
        <v>1</v>
      </c>
      <c r="AI258" s="32">
        <v>1</v>
      </c>
      <c r="AJ258" s="32">
        <v>0.5</v>
      </c>
      <c r="AK258" s="20" t="s">
        <v>149</v>
      </c>
      <c r="AL258" s="157" t="s">
        <v>986</v>
      </c>
      <c r="AM258" s="157" t="s">
        <v>61</v>
      </c>
      <c r="AN258" s="169" t="s">
        <v>448</v>
      </c>
    </row>
    <row r="259" spans="2:42" ht="15.75" x14ac:dyDescent="0.3">
      <c r="B259" s="147">
        <f t="shared" si="44"/>
        <v>212</v>
      </c>
      <c r="C259" s="17">
        <v>20200518</v>
      </c>
      <c r="D259" s="16" t="s">
        <v>3</v>
      </c>
      <c r="E259" s="16" t="s">
        <v>908</v>
      </c>
      <c r="F259" s="80" t="s">
        <v>914</v>
      </c>
      <c r="G259" s="18">
        <v>1473584</v>
      </c>
      <c r="H259" s="57" t="s">
        <v>61</v>
      </c>
      <c r="I259" s="16" t="s">
        <v>173</v>
      </c>
      <c r="J259" s="57" t="s">
        <v>61</v>
      </c>
      <c r="K259" s="16" t="s">
        <v>161</v>
      </c>
      <c r="L259" s="16" t="s">
        <v>909</v>
      </c>
      <c r="M259" s="16" t="s">
        <v>911</v>
      </c>
      <c r="N259" s="16" t="s">
        <v>910</v>
      </c>
      <c r="O259" s="18" t="s">
        <v>61</v>
      </c>
      <c r="P259" s="18" t="s">
        <v>328</v>
      </c>
      <c r="Q259" s="19"/>
      <c r="R259" s="57" t="s">
        <v>61</v>
      </c>
      <c r="S259" s="16" t="s">
        <v>157</v>
      </c>
      <c r="T259" s="16"/>
      <c r="U259" s="16"/>
      <c r="V259" s="16">
        <v>154</v>
      </c>
      <c r="W259" s="16">
        <f t="shared" si="48"/>
        <v>154</v>
      </c>
      <c r="X259" s="16">
        <f>W259</f>
        <v>154</v>
      </c>
      <c r="Y259" s="16">
        <f>ROUNDDOWN(W259/HLOOKUP(D259,Table!$C$3:$D$4,2,0)*8,2)</f>
        <v>2.73</v>
      </c>
      <c r="Z259" s="16">
        <v>0.5</v>
      </c>
      <c r="AA259" s="16" t="s">
        <v>74</v>
      </c>
      <c r="AB259" s="20">
        <v>43971</v>
      </c>
      <c r="AC259" s="20">
        <v>43969</v>
      </c>
      <c r="AD259" s="162">
        <v>43971</v>
      </c>
      <c r="AE259" s="20">
        <v>43970</v>
      </c>
      <c r="AF259" s="20">
        <v>43970</v>
      </c>
      <c r="AG259" s="20" t="s">
        <v>336</v>
      </c>
      <c r="AH259" s="32">
        <v>0.96</v>
      </c>
      <c r="AI259" s="32">
        <v>0.9</v>
      </c>
      <c r="AJ259" s="32">
        <v>1</v>
      </c>
      <c r="AK259" s="20" t="s">
        <v>149</v>
      </c>
      <c r="AL259" s="159" t="s">
        <v>942</v>
      </c>
      <c r="AM259" s="157" t="s">
        <v>61</v>
      </c>
      <c r="AN259" s="158" t="s">
        <v>448</v>
      </c>
    </row>
    <row r="260" spans="2:42" x14ac:dyDescent="0.25">
      <c r="B260" s="147">
        <f t="shared" si="44"/>
        <v>213</v>
      </c>
      <c r="C260" s="17">
        <v>20200518</v>
      </c>
      <c r="D260" s="16" t="s">
        <v>3</v>
      </c>
      <c r="E260" s="16" t="s">
        <v>908</v>
      </c>
      <c r="F260" s="80" t="s">
        <v>915</v>
      </c>
      <c r="G260" s="18">
        <v>1473584</v>
      </c>
      <c r="H260" s="57" t="s">
        <v>61</v>
      </c>
      <c r="I260" s="16" t="s">
        <v>177</v>
      </c>
      <c r="J260" s="57" t="s">
        <v>61</v>
      </c>
      <c r="K260" s="16" t="s">
        <v>161</v>
      </c>
      <c r="L260" s="16" t="s">
        <v>909</v>
      </c>
      <c r="M260" s="16" t="s">
        <v>911</v>
      </c>
      <c r="N260" s="16" t="s">
        <v>910</v>
      </c>
      <c r="O260" s="18" t="s">
        <v>61</v>
      </c>
      <c r="P260" s="18" t="s">
        <v>328</v>
      </c>
      <c r="Q260" s="19"/>
      <c r="R260" s="57" t="s">
        <v>61</v>
      </c>
      <c r="S260" s="16" t="s">
        <v>157</v>
      </c>
      <c r="T260" s="16"/>
      <c r="U260" s="16"/>
      <c r="V260" s="16">
        <v>120</v>
      </c>
      <c r="W260" s="16">
        <f t="shared" si="48"/>
        <v>120</v>
      </c>
      <c r="X260" s="16">
        <f>W260</f>
        <v>120</v>
      </c>
      <c r="Y260" s="16">
        <f>ROUNDDOWN(W260/HLOOKUP(D260,Table!$C$3:$D$4,2,0)*8,2)</f>
        <v>2.13</v>
      </c>
      <c r="Z260" s="16">
        <v>1</v>
      </c>
      <c r="AA260" s="16" t="s">
        <v>74</v>
      </c>
      <c r="AB260" s="20">
        <v>43971</v>
      </c>
      <c r="AC260" s="20">
        <v>43969</v>
      </c>
      <c r="AD260" s="162">
        <v>43971</v>
      </c>
      <c r="AE260" s="20">
        <v>43970</v>
      </c>
      <c r="AF260" s="20">
        <v>43970</v>
      </c>
      <c r="AG260" s="20" t="s">
        <v>336</v>
      </c>
      <c r="AH260" s="32">
        <v>1</v>
      </c>
      <c r="AI260" s="32">
        <v>0.98</v>
      </c>
      <c r="AJ260" s="32">
        <v>1</v>
      </c>
      <c r="AK260" s="20" t="s">
        <v>149</v>
      </c>
      <c r="AL260" s="148" t="s">
        <v>941</v>
      </c>
      <c r="AM260" s="157" t="s">
        <v>61</v>
      </c>
      <c r="AN260" s="158" t="s">
        <v>448</v>
      </c>
    </row>
    <row r="261" spans="2:42" x14ac:dyDescent="0.25">
      <c r="B261" s="147">
        <f t="shared" si="44"/>
        <v>214</v>
      </c>
      <c r="C261" s="17">
        <v>20200518</v>
      </c>
      <c r="D261" s="16" t="s">
        <v>3</v>
      </c>
      <c r="E261" s="16" t="s">
        <v>908</v>
      </c>
      <c r="F261" s="80" t="s">
        <v>916</v>
      </c>
      <c r="G261" s="18">
        <v>1473584</v>
      </c>
      <c r="H261" s="57" t="s">
        <v>61</v>
      </c>
      <c r="I261" s="16" t="s">
        <v>178</v>
      </c>
      <c r="J261" s="57" t="s">
        <v>61</v>
      </c>
      <c r="K261" s="16" t="s">
        <v>161</v>
      </c>
      <c r="L261" s="16" t="s">
        <v>909</v>
      </c>
      <c r="M261" s="16" t="s">
        <v>911</v>
      </c>
      <c r="N261" s="16" t="s">
        <v>910</v>
      </c>
      <c r="O261" s="18" t="s">
        <v>61</v>
      </c>
      <c r="P261" s="18" t="s">
        <v>328</v>
      </c>
      <c r="Q261" s="19"/>
      <c r="R261" s="57" t="s">
        <v>61</v>
      </c>
      <c r="S261" s="16" t="s">
        <v>157</v>
      </c>
      <c r="T261" s="16"/>
      <c r="U261" s="16"/>
      <c r="V261" s="16">
        <v>178</v>
      </c>
      <c r="W261" s="16">
        <f t="shared" si="48"/>
        <v>178</v>
      </c>
      <c r="X261" s="16">
        <f>W261</f>
        <v>178</v>
      </c>
      <c r="Y261" s="16">
        <f>ROUNDDOWN(W261/HLOOKUP(D261,Table!$C$3:$D$4,2,0)*8,2)</f>
        <v>3.16</v>
      </c>
      <c r="Z261" s="16">
        <v>0.1</v>
      </c>
      <c r="AA261" s="16" t="s">
        <v>74</v>
      </c>
      <c r="AB261" s="20">
        <v>43971</v>
      </c>
      <c r="AC261" s="20">
        <v>43969</v>
      </c>
      <c r="AD261" s="162">
        <v>43971</v>
      </c>
      <c r="AE261" s="20">
        <v>43970</v>
      </c>
      <c r="AF261" s="20">
        <v>43970</v>
      </c>
      <c r="AG261" s="20" t="s">
        <v>335</v>
      </c>
      <c r="AH261" s="32" t="s">
        <v>61</v>
      </c>
      <c r="AI261" s="32" t="s">
        <v>61</v>
      </c>
      <c r="AJ261" s="32" t="s">
        <v>61</v>
      </c>
      <c r="AK261" s="32" t="s">
        <v>165</v>
      </c>
      <c r="AL261" s="157" t="s">
        <v>61</v>
      </c>
      <c r="AM261" s="157" t="s">
        <v>61</v>
      </c>
      <c r="AN261" s="158" t="s">
        <v>418</v>
      </c>
      <c r="AO261" s="160"/>
      <c r="AP261" s="160"/>
    </row>
    <row r="262" spans="2:42" x14ac:dyDescent="0.25">
      <c r="B262" s="147">
        <f t="shared" si="44"/>
        <v>215</v>
      </c>
      <c r="C262" s="17">
        <v>20200518</v>
      </c>
      <c r="D262" s="16" t="s">
        <v>3</v>
      </c>
      <c r="E262" s="16" t="s">
        <v>908</v>
      </c>
      <c r="F262" s="80" t="s">
        <v>917</v>
      </c>
      <c r="G262" s="18">
        <v>1473584</v>
      </c>
      <c r="H262" s="57" t="s">
        <v>61</v>
      </c>
      <c r="I262" s="16" t="s">
        <v>174</v>
      </c>
      <c r="J262" s="57" t="s">
        <v>61</v>
      </c>
      <c r="K262" s="16" t="s">
        <v>161</v>
      </c>
      <c r="L262" s="16" t="s">
        <v>909</v>
      </c>
      <c r="M262" s="16" t="s">
        <v>911</v>
      </c>
      <c r="N262" s="16" t="s">
        <v>910</v>
      </c>
      <c r="O262" s="18" t="s">
        <v>61</v>
      </c>
      <c r="P262" s="18" t="s">
        <v>328</v>
      </c>
      <c r="Q262" s="19"/>
      <c r="R262" s="57" t="s">
        <v>61</v>
      </c>
      <c r="S262" s="16" t="s">
        <v>157</v>
      </c>
      <c r="T262" s="16"/>
      <c r="U262" s="16"/>
      <c r="V262" s="16">
        <v>124</v>
      </c>
      <c r="W262" s="16">
        <f t="shared" si="48"/>
        <v>124</v>
      </c>
      <c r="X262" s="16">
        <f>W262</f>
        <v>124</v>
      </c>
      <c r="Y262" s="16">
        <f>ROUNDDOWN(W262/HLOOKUP(D262,Table!$C$3:$D$4,2,0)*8,2)</f>
        <v>2.2000000000000002</v>
      </c>
      <c r="Z262" s="16">
        <v>0.5</v>
      </c>
      <c r="AA262" s="16" t="s">
        <v>74</v>
      </c>
      <c r="AB262" s="20">
        <v>43971</v>
      </c>
      <c r="AC262" s="20">
        <v>43969</v>
      </c>
      <c r="AD262" s="162">
        <v>43971</v>
      </c>
      <c r="AE262" s="20">
        <v>43970</v>
      </c>
      <c r="AF262" s="20">
        <v>43970</v>
      </c>
      <c r="AG262" s="20" t="s">
        <v>335</v>
      </c>
      <c r="AH262" s="32">
        <v>1</v>
      </c>
      <c r="AI262" s="32">
        <v>1</v>
      </c>
      <c r="AJ262" s="32">
        <v>1</v>
      </c>
      <c r="AK262" s="20" t="s">
        <v>165</v>
      </c>
      <c r="AL262" s="157" t="s">
        <v>61</v>
      </c>
      <c r="AM262" s="157" t="s">
        <v>61</v>
      </c>
      <c r="AN262" s="157" t="s">
        <v>61</v>
      </c>
    </row>
    <row r="263" spans="2:42" x14ac:dyDescent="0.25">
      <c r="B263" s="147">
        <f t="shared" si="44"/>
        <v>216</v>
      </c>
      <c r="C263" s="17">
        <v>20200518</v>
      </c>
      <c r="D263" s="16" t="s">
        <v>3</v>
      </c>
      <c r="E263" s="16" t="s">
        <v>908</v>
      </c>
      <c r="F263" s="80" t="s">
        <v>918</v>
      </c>
      <c r="G263" s="18">
        <v>1473584</v>
      </c>
      <c r="H263" s="57" t="s">
        <v>61</v>
      </c>
      <c r="I263" s="16" t="s">
        <v>402</v>
      </c>
      <c r="J263" s="57" t="s">
        <v>61</v>
      </c>
      <c r="K263" s="16" t="s">
        <v>161</v>
      </c>
      <c r="L263" s="16" t="s">
        <v>909</v>
      </c>
      <c r="M263" s="16" t="s">
        <v>911</v>
      </c>
      <c r="N263" s="16" t="s">
        <v>910</v>
      </c>
      <c r="O263" s="18" t="s">
        <v>61</v>
      </c>
      <c r="P263" s="18" t="s">
        <v>328</v>
      </c>
      <c r="Q263" s="19"/>
      <c r="R263" s="57" t="s">
        <v>61</v>
      </c>
      <c r="S263" s="16" t="s">
        <v>157</v>
      </c>
      <c r="T263" s="16"/>
      <c r="U263" s="16"/>
      <c r="V263" s="16">
        <v>77</v>
      </c>
      <c r="W263" s="16">
        <f t="shared" si="48"/>
        <v>77</v>
      </c>
      <c r="X263" s="92">
        <v>77</v>
      </c>
      <c r="Y263" s="92">
        <v>1.36</v>
      </c>
      <c r="Z263" s="92">
        <v>1</v>
      </c>
      <c r="AA263" s="16" t="s">
        <v>74</v>
      </c>
      <c r="AB263" s="102">
        <v>43971</v>
      </c>
      <c r="AC263" s="102">
        <v>43969</v>
      </c>
      <c r="AD263" s="162">
        <v>43971</v>
      </c>
      <c r="AE263" s="102">
        <v>43971</v>
      </c>
      <c r="AF263" s="102">
        <v>43971</v>
      </c>
      <c r="AG263" s="102" t="s">
        <v>335</v>
      </c>
      <c r="AH263" s="103">
        <v>1</v>
      </c>
      <c r="AI263" s="103">
        <v>1</v>
      </c>
      <c r="AJ263" s="103">
        <v>1</v>
      </c>
      <c r="AK263" s="102" t="s">
        <v>165</v>
      </c>
      <c r="AL263" s="163" t="s">
        <v>61</v>
      </c>
      <c r="AM263" s="92"/>
      <c r="AN263" s="92" t="s">
        <v>984</v>
      </c>
    </row>
    <row r="264" spans="2:42" x14ac:dyDescent="0.25">
      <c r="B264" s="147">
        <f t="shared" si="44"/>
        <v>217</v>
      </c>
      <c r="C264" s="17">
        <v>20200518</v>
      </c>
      <c r="D264" s="16" t="s">
        <v>3</v>
      </c>
      <c r="E264" s="16" t="s">
        <v>908</v>
      </c>
      <c r="F264" s="80" t="s">
        <v>919</v>
      </c>
      <c r="G264" s="18">
        <v>1473584</v>
      </c>
      <c r="H264" s="57" t="s">
        <v>61</v>
      </c>
      <c r="I264" s="16" t="s">
        <v>374</v>
      </c>
      <c r="J264" s="57" t="s">
        <v>61</v>
      </c>
      <c r="K264" s="16" t="s">
        <v>161</v>
      </c>
      <c r="L264" s="16" t="s">
        <v>909</v>
      </c>
      <c r="M264" s="16" t="s">
        <v>911</v>
      </c>
      <c r="N264" s="16" t="s">
        <v>910</v>
      </c>
      <c r="O264" s="18" t="s">
        <v>61</v>
      </c>
      <c r="P264" s="18" t="s">
        <v>328</v>
      </c>
      <c r="Q264" s="19"/>
      <c r="R264" s="57" t="s">
        <v>61</v>
      </c>
      <c r="S264" s="16" t="s">
        <v>157</v>
      </c>
      <c r="T264" s="16"/>
      <c r="U264" s="16"/>
      <c r="V264" s="16">
        <v>58</v>
      </c>
      <c r="W264" s="16">
        <f t="shared" si="48"/>
        <v>58</v>
      </c>
      <c r="X264" s="16">
        <f t="shared" ref="X264" si="49">W264</f>
        <v>58</v>
      </c>
      <c r="Y264" s="16">
        <f>ROUNDDOWN(W264/HLOOKUP(D264,Table!$C$3:$D$4,2,0)*8,2)</f>
        <v>1.03</v>
      </c>
      <c r="Z264" s="16">
        <v>0.6</v>
      </c>
      <c r="AA264" s="16" t="s">
        <v>74</v>
      </c>
      <c r="AB264" s="20">
        <v>43971</v>
      </c>
      <c r="AC264" s="20">
        <v>43969</v>
      </c>
      <c r="AD264" s="162">
        <v>43971</v>
      </c>
      <c r="AE264" s="20">
        <v>43971</v>
      </c>
      <c r="AF264" s="20">
        <v>43971</v>
      </c>
      <c r="AG264" s="20" t="s">
        <v>335</v>
      </c>
      <c r="AH264" s="32">
        <v>1</v>
      </c>
      <c r="AI264" s="32">
        <v>1</v>
      </c>
      <c r="AJ264" s="32">
        <v>1</v>
      </c>
      <c r="AK264" s="20" t="s">
        <v>165</v>
      </c>
      <c r="AL264" s="148" t="s">
        <v>61</v>
      </c>
      <c r="AM264" s="148" t="s">
        <v>61</v>
      </c>
      <c r="AN264" s="148" t="s">
        <v>983</v>
      </c>
    </row>
    <row r="265" spans="2:42" x14ac:dyDescent="0.25">
      <c r="B265" s="107">
        <f t="shared" si="44"/>
        <v>218</v>
      </c>
      <c r="C265" s="17">
        <v>20200519</v>
      </c>
      <c r="D265" s="16" t="s">
        <v>3</v>
      </c>
      <c r="E265" s="16" t="s">
        <v>921</v>
      </c>
      <c r="F265" s="80" t="s">
        <v>930</v>
      </c>
      <c r="G265" s="18">
        <v>1445994</v>
      </c>
      <c r="H265" s="57" t="s">
        <v>61</v>
      </c>
      <c r="I265" s="16" t="s">
        <v>923</v>
      </c>
      <c r="J265" s="57" t="s">
        <v>61</v>
      </c>
      <c r="K265" s="16" t="s">
        <v>161</v>
      </c>
      <c r="L265" s="16" t="s">
        <v>928</v>
      </c>
      <c r="M265" s="16" t="s">
        <v>922</v>
      </c>
      <c r="N265" s="16" t="s">
        <v>929</v>
      </c>
      <c r="O265" s="18" t="s">
        <v>61</v>
      </c>
      <c r="P265" s="18" t="s">
        <v>927</v>
      </c>
      <c r="Q265" s="19"/>
      <c r="R265" s="57" t="s">
        <v>61</v>
      </c>
      <c r="S265" s="16" t="s">
        <v>64</v>
      </c>
      <c r="T265" s="16"/>
      <c r="U265" s="16"/>
      <c r="V265" s="16">
        <v>114</v>
      </c>
      <c r="W265" s="16">
        <v>114</v>
      </c>
      <c r="X265" s="16">
        <v>114</v>
      </c>
      <c r="Y265" s="16">
        <v>2.02</v>
      </c>
      <c r="Z265" s="16">
        <v>1</v>
      </c>
      <c r="AA265" s="16" t="s">
        <v>74</v>
      </c>
      <c r="AB265" s="20">
        <v>43971</v>
      </c>
      <c r="AC265" s="20">
        <v>43970</v>
      </c>
      <c r="AD265" s="151">
        <v>43971</v>
      </c>
      <c r="AE265" s="20">
        <v>43970</v>
      </c>
      <c r="AF265" s="20">
        <v>43970</v>
      </c>
      <c r="AG265" s="20" t="s">
        <v>335</v>
      </c>
      <c r="AH265" s="32">
        <v>1</v>
      </c>
      <c r="AI265" s="32">
        <v>1</v>
      </c>
      <c r="AJ265" s="32">
        <v>1</v>
      </c>
      <c r="AK265" s="20" t="s">
        <v>165</v>
      </c>
      <c r="AL265" s="16"/>
      <c r="AM265" s="16"/>
      <c r="AN265" s="16"/>
    </row>
    <row r="266" spans="2:42" x14ac:dyDescent="0.25">
      <c r="B266" s="107">
        <f t="shared" si="44"/>
        <v>219</v>
      </c>
      <c r="C266" s="17">
        <v>20200519</v>
      </c>
      <c r="D266" s="16" t="s">
        <v>3</v>
      </c>
      <c r="E266" s="16" t="s">
        <v>921</v>
      </c>
      <c r="F266" s="144" t="s">
        <v>931</v>
      </c>
      <c r="G266" s="18">
        <v>1445994</v>
      </c>
      <c r="H266" s="57" t="s">
        <v>61</v>
      </c>
      <c r="I266" s="16" t="s">
        <v>924</v>
      </c>
      <c r="J266" s="57" t="s">
        <v>61</v>
      </c>
      <c r="K266" s="16" t="s">
        <v>161</v>
      </c>
      <c r="L266" s="146" t="s">
        <v>928</v>
      </c>
      <c r="M266" s="16" t="s">
        <v>922</v>
      </c>
      <c r="N266" s="16" t="s">
        <v>929</v>
      </c>
      <c r="O266" s="18" t="s">
        <v>61</v>
      </c>
      <c r="P266" s="18" t="s">
        <v>927</v>
      </c>
      <c r="Q266" s="19"/>
      <c r="R266" s="57" t="s">
        <v>61</v>
      </c>
      <c r="S266" s="16" t="s">
        <v>64</v>
      </c>
      <c r="T266" s="16"/>
      <c r="U266" s="16"/>
      <c r="V266" s="16">
        <v>103</v>
      </c>
      <c r="W266" s="16">
        <v>103</v>
      </c>
      <c r="X266" s="16">
        <v>103</v>
      </c>
      <c r="Y266" s="16">
        <v>1.83</v>
      </c>
      <c r="Z266" s="16">
        <v>1</v>
      </c>
      <c r="AA266" s="16" t="s">
        <v>74</v>
      </c>
      <c r="AB266" s="20">
        <v>43971</v>
      </c>
      <c r="AC266" s="20">
        <v>43970</v>
      </c>
      <c r="AD266" s="20">
        <v>43971</v>
      </c>
      <c r="AE266" s="20">
        <v>43970</v>
      </c>
      <c r="AF266" s="20">
        <v>43970</v>
      </c>
      <c r="AG266" s="20" t="s">
        <v>335</v>
      </c>
      <c r="AH266" s="32">
        <v>1</v>
      </c>
      <c r="AI266" s="32">
        <v>1</v>
      </c>
      <c r="AJ266" s="32">
        <v>1</v>
      </c>
      <c r="AK266" s="20" t="s">
        <v>165</v>
      </c>
      <c r="AL266" s="16"/>
      <c r="AM266" s="16"/>
      <c r="AN266" s="16"/>
    </row>
    <row r="267" spans="2:42" x14ac:dyDescent="0.25">
      <c r="B267" s="107">
        <f t="shared" si="44"/>
        <v>220</v>
      </c>
      <c r="C267" s="17">
        <v>20200519</v>
      </c>
      <c r="D267" s="16" t="s">
        <v>3</v>
      </c>
      <c r="E267" s="16" t="s">
        <v>921</v>
      </c>
      <c r="F267" s="80" t="s">
        <v>932</v>
      </c>
      <c r="G267" s="18">
        <v>1445994</v>
      </c>
      <c r="H267" s="57" t="s">
        <v>61</v>
      </c>
      <c r="I267" s="16" t="s">
        <v>925</v>
      </c>
      <c r="J267" s="57" t="s">
        <v>61</v>
      </c>
      <c r="K267" s="16" t="s">
        <v>161</v>
      </c>
      <c r="L267" s="16" t="s">
        <v>928</v>
      </c>
      <c r="M267" s="16" t="s">
        <v>922</v>
      </c>
      <c r="N267" s="16" t="s">
        <v>929</v>
      </c>
      <c r="O267" s="18" t="s">
        <v>61</v>
      </c>
      <c r="P267" s="18" t="s">
        <v>927</v>
      </c>
      <c r="Q267" s="19"/>
      <c r="R267" s="57" t="s">
        <v>61</v>
      </c>
      <c r="S267" s="16" t="s">
        <v>64</v>
      </c>
      <c r="T267" s="16"/>
      <c r="U267" s="16"/>
      <c r="V267" s="16">
        <v>235</v>
      </c>
      <c r="W267" s="16">
        <v>235</v>
      </c>
      <c r="X267" s="16">
        <v>235</v>
      </c>
      <c r="Y267" s="16">
        <v>4.17</v>
      </c>
      <c r="Z267" s="16">
        <v>1</v>
      </c>
      <c r="AA267" s="16" t="s">
        <v>74</v>
      </c>
      <c r="AB267" s="20">
        <v>43971</v>
      </c>
      <c r="AC267" s="20">
        <v>43970</v>
      </c>
      <c r="AD267" s="151">
        <v>43971</v>
      </c>
      <c r="AE267" s="20">
        <v>43970</v>
      </c>
      <c r="AF267" s="20">
        <v>43970</v>
      </c>
      <c r="AG267" s="20" t="s">
        <v>335</v>
      </c>
      <c r="AH267" s="32">
        <v>1</v>
      </c>
      <c r="AI267" s="32">
        <v>1</v>
      </c>
      <c r="AJ267" s="32">
        <v>1</v>
      </c>
      <c r="AK267" s="20" t="s">
        <v>165</v>
      </c>
      <c r="AL267" s="16"/>
      <c r="AM267" s="16"/>
      <c r="AN267" s="16"/>
    </row>
    <row r="268" spans="2:42" x14ac:dyDescent="0.25">
      <c r="B268" s="107">
        <f t="shared" si="44"/>
        <v>221</v>
      </c>
      <c r="C268" s="17">
        <v>20200519</v>
      </c>
      <c r="D268" s="16" t="s">
        <v>3</v>
      </c>
      <c r="E268" s="16" t="s">
        <v>921</v>
      </c>
      <c r="F268" s="80" t="s">
        <v>933</v>
      </c>
      <c r="G268" s="18">
        <v>1445994</v>
      </c>
      <c r="H268" s="57" t="s">
        <v>61</v>
      </c>
      <c r="I268" s="16" t="s">
        <v>926</v>
      </c>
      <c r="J268" s="57" t="s">
        <v>61</v>
      </c>
      <c r="K268" s="16" t="s">
        <v>161</v>
      </c>
      <c r="L268" s="16" t="s">
        <v>928</v>
      </c>
      <c r="M268" s="16" t="s">
        <v>922</v>
      </c>
      <c r="N268" s="16" t="s">
        <v>929</v>
      </c>
      <c r="O268" s="18" t="s">
        <v>61</v>
      </c>
      <c r="P268" s="18" t="s">
        <v>927</v>
      </c>
      <c r="Q268" s="19"/>
      <c r="R268" s="57" t="s">
        <v>61</v>
      </c>
      <c r="S268" s="16" t="s">
        <v>64</v>
      </c>
      <c r="T268" s="16"/>
      <c r="U268" s="16"/>
      <c r="V268" s="16">
        <v>635</v>
      </c>
      <c r="W268" s="16">
        <v>635</v>
      </c>
      <c r="X268" s="16">
        <v>635</v>
      </c>
      <c r="Y268" s="16">
        <v>11.28</v>
      </c>
      <c r="Z268" s="16">
        <v>3</v>
      </c>
      <c r="AA268" s="16" t="s">
        <v>74</v>
      </c>
      <c r="AB268" s="20">
        <v>43971</v>
      </c>
      <c r="AC268" s="20">
        <v>43970</v>
      </c>
      <c r="AD268" s="151">
        <v>43971</v>
      </c>
      <c r="AE268" s="20">
        <v>43971</v>
      </c>
      <c r="AF268" s="20">
        <v>43971</v>
      </c>
      <c r="AG268" s="20" t="s">
        <v>336</v>
      </c>
      <c r="AH268" s="32">
        <v>1</v>
      </c>
      <c r="AI268" s="32">
        <v>0.99</v>
      </c>
      <c r="AJ268" s="32">
        <v>1</v>
      </c>
      <c r="AK268" s="20" t="s">
        <v>149</v>
      </c>
      <c r="AL268" s="16" t="s">
        <v>982</v>
      </c>
      <c r="AM268" s="16"/>
      <c r="AN268" s="16" t="s">
        <v>987</v>
      </c>
    </row>
    <row r="269" spans="2:42" x14ac:dyDescent="0.25">
      <c r="B269" s="21"/>
      <c r="C269" s="17"/>
      <c r="D269" s="16"/>
      <c r="E269" s="16"/>
      <c r="F269" s="18"/>
      <c r="G269" s="18"/>
      <c r="H269" s="57" t="s">
        <v>61</v>
      </c>
      <c r="I269" s="16"/>
      <c r="J269" s="57" t="s">
        <v>61</v>
      </c>
      <c r="K269" s="16"/>
      <c r="L269" s="16"/>
      <c r="M269" s="16"/>
      <c r="N269" s="16"/>
      <c r="O269" s="18"/>
      <c r="P269" s="18"/>
      <c r="Q269" s="19"/>
      <c r="R269" s="57" t="s">
        <v>61</v>
      </c>
      <c r="S269" s="16"/>
      <c r="T269" s="16"/>
      <c r="U269" s="16"/>
      <c r="V269" s="16"/>
      <c r="W269" s="16"/>
      <c r="X269" s="16"/>
      <c r="Y269" s="16"/>
      <c r="Z269" s="16"/>
      <c r="AA269" s="16"/>
      <c r="AB269" s="20"/>
      <c r="AC269" s="20"/>
      <c r="AD269" s="20"/>
      <c r="AE269" s="20"/>
      <c r="AF269" s="20"/>
      <c r="AG269" s="20"/>
      <c r="AH269" s="32"/>
      <c r="AI269" s="32"/>
      <c r="AJ269" s="32"/>
      <c r="AK269" s="20"/>
      <c r="AL269" s="16"/>
      <c r="AM269" s="16"/>
      <c r="AN269" s="16"/>
    </row>
    <row r="270" spans="2:42" x14ac:dyDescent="0.25">
      <c r="B270" s="21"/>
      <c r="C270" s="17"/>
      <c r="D270" s="16"/>
      <c r="E270" s="16"/>
      <c r="F270" s="18"/>
      <c r="G270" s="18"/>
      <c r="H270" s="57" t="s">
        <v>61</v>
      </c>
      <c r="I270" s="16"/>
      <c r="J270" s="57" t="s">
        <v>61</v>
      </c>
      <c r="K270" s="16"/>
      <c r="L270" s="16"/>
      <c r="M270" s="16"/>
      <c r="N270" s="16"/>
      <c r="O270" s="18"/>
      <c r="P270" s="18"/>
      <c r="Q270" s="19"/>
      <c r="R270" s="57" t="s">
        <v>61</v>
      </c>
      <c r="S270" s="16"/>
      <c r="T270" s="16"/>
      <c r="U270" s="16"/>
      <c r="V270" s="16"/>
      <c r="W270" s="16"/>
      <c r="X270" s="16"/>
      <c r="Y270" s="16"/>
      <c r="Z270" s="16"/>
      <c r="AA270" s="16"/>
      <c r="AB270" s="20"/>
      <c r="AC270" s="20"/>
      <c r="AD270" s="20"/>
      <c r="AE270" s="20"/>
      <c r="AF270" s="20"/>
      <c r="AG270" s="20"/>
      <c r="AH270" s="32"/>
      <c r="AI270" s="32"/>
      <c r="AJ270" s="32"/>
      <c r="AK270" s="20"/>
      <c r="AL270" s="16"/>
      <c r="AM270" s="16"/>
      <c r="AN270" s="16"/>
    </row>
    <row r="271" spans="2:42" x14ac:dyDescent="0.25">
      <c r="B271" s="21"/>
      <c r="C271" s="17"/>
      <c r="D271" s="16"/>
      <c r="E271" s="16"/>
      <c r="F271" s="18"/>
      <c r="G271" s="18"/>
      <c r="H271" s="57" t="s">
        <v>61</v>
      </c>
      <c r="I271" s="16"/>
      <c r="J271" s="57" t="s">
        <v>61</v>
      </c>
      <c r="K271" s="16"/>
      <c r="L271" s="16"/>
      <c r="M271" s="16"/>
      <c r="N271" s="16"/>
      <c r="O271" s="18"/>
      <c r="P271" s="18"/>
      <c r="Q271" s="19"/>
      <c r="R271" s="57" t="s">
        <v>61</v>
      </c>
      <c r="S271" s="16"/>
      <c r="T271" s="16"/>
      <c r="U271" s="16"/>
      <c r="V271" s="16"/>
      <c r="W271" s="16"/>
      <c r="X271" s="16"/>
      <c r="Y271" s="16"/>
      <c r="Z271" s="16"/>
      <c r="AA271" s="16"/>
      <c r="AB271" s="20"/>
      <c r="AC271" s="20"/>
      <c r="AD271" s="20"/>
      <c r="AE271" s="20"/>
      <c r="AF271" s="20"/>
      <c r="AG271" s="20"/>
      <c r="AH271" s="32"/>
      <c r="AI271" s="32"/>
      <c r="AJ271" s="32"/>
      <c r="AK271" s="20"/>
      <c r="AL271" s="16"/>
      <c r="AM271" s="16"/>
      <c r="AN271" s="16"/>
    </row>
    <row r="272" spans="2:42" x14ac:dyDescent="0.25">
      <c r="B272" s="21"/>
      <c r="C272" s="17"/>
      <c r="D272" s="16"/>
      <c r="E272" s="16"/>
      <c r="F272" s="18"/>
      <c r="G272" s="18"/>
      <c r="H272" s="57" t="s">
        <v>61</v>
      </c>
      <c r="I272" s="16"/>
      <c r="J272" s="57" t="s">
        <v>61</v>
      </c>
      <c r="K272" s="16"/>
      <c r="L272" s="16"/>
      <c r="M272" s="16"/>
      <c r="N272" s="16"/>
      <c r="O272" s="18"/>
      <c r="P272" s="18"/>
      <c r="Q272" s="19"/>
      <c r="R272" s="57" t="s">
        <v>61</v>
      </c>
      <c r="S272" s="16"/>
      <c r="T272" s="16"/>
      <c r="U272" s="16"/>
      <c r="V272" s="16"/>
      <c r="W272" s="16"/>
      <c r="X272" s="16"/>
      <c r="Y272" s="16"/>
      <c r="Z272" s="16"/>
      <c r="AA272" s="16"/>
      <c r="AB272" s="20"/>
      <c r="AC272" s="20"/>
      <c r="AD272" s="20"/>
      <c r="AE272" s="20"/>
      <c r="AF272" s="20"/>
      <c r="AG272" s="20"/>
      <c r="AH272" s="32"/>
      <c r="AI272" s="32"/>
      <c r="AJ272" s="32"/>
      <c r="AK272" s="20"/>
      <c r="AL272" s="16"/>
      <c r="AM272" s="16"/>
      <c r="AN272" s="16"/>
    </row>
    <row r="273" spans="2:40" x14ac:dyDescent="0.25">
      <c r="B273" s="21"/>
      <c r="C273" s="17"/>
      <c r="D273" s="16"/>
      <c r="E273" s="16"/>
      <c r="F273" s="18"/>
      <c r="G273" s="18"/>
      <c r="H273" s="57" t="s">
        <v>61</v>
      </c>
      <c r="I273" s="16"/>
      <c r="J273" s="57" t="s">
        <v>61</v>
      </c>
      <c r="K273" s="16"/>
      <c r="L273" s="16"/>
      <c r="M273" s="16"/>
      <c r="N273" s="16"/>
      <c r="O273" s="18"/>
      <c r="P273" s="18"/>
      <c r="Q273" s="19"/>
      <c r="R273" s="57" t="s">
        <v>61</v>
      </c>
      <c r="S273" s="16"/>
      <c r="T273" s="16"/>
      <c r="U273" s="16"/>
      <c r="V273" s="16"/>
      <c r="W273" s="16"/>
      <c r="X273" s="16"/>
      <c r="Y273" s="16"/>
      <c r="Z273" s="16"/>
      <c r="AA273" s="16"/>
      <c r="AB273" s="20"/>
      <c r="AC273" s="20"/>
      <c r="AD273" s="20"/>
      <c r="AE273" s="20"/>
      <c r="AF273" s="20"/>
      <c r="AG273" s="20"/>
      <c r="AH273" s="32"/>
      <c r="AI273" s="32"/>
      <c r="AJ273" s="32"/>
      <c r="AK273" s="20"/>
      <c r="AL273" s="16"/>
      <c r="AM273" s="16"/>
      <c r="AN273" s="16"/>
    </row>
    <row r="274" spans="2:40" x14ac:dyDescent="0.25">
      <c r="B274" s="21"/>
      <c r="C274" s="17"/>
      <c r="D274" s="16"/>
      <c r="E274" s="16"/>
      <c r="F274" s="18"/>
      <c r="G274" s="18"/>
      <c r="H274" s="57" t="s">
        <v>61</v>
      </c>
      <c r="I274" s="16"/>
      <c r="J274" s="57" t="s">
        <v>61</v>
      </c>
      <c r="K274" s="16"/>
      <c r="L274" s="16"/>
      <c r="M274" s="16"/>
      <c r="N274" s="16"/>
      <c r="O274" s="18"/>
      <c r="P274" s="18"/>
      <c r="Q274" s="19"/>
      <c r="R274" s="57" t="s">
        <v>61</v>
      </c>
      <c r="S274" s="16"/>
      <c r="T274" s="16"/>
      <c r="U274" s="16"/>
      <c r="V274" s="16"/>
      <c r="W274" s="16"/>
      <c r="X274" s="16"/>
      <c r="Y274" s="16"/>
      <c r="Z274" s="16"/>
      <c r="AA274" s="16"/>
      <c r="AB274" s="20"/>
      <c r="AC274" s="20"/>
      <c r="AD274" s="20"/>
      <c r="AE274" s="20"/>
      <c r="AF274" s="20"/>
      <c r="AG274" s="20"/>
      <c r="AH274" s="32"/>
      <c r="AI274" s="32"/>
      <c r="AJ274" s="32"/>
      <c r="AK274" s="20"/>
      <c r="AL274" s="16"/>
      <c r="AM274" s="16"/>
      <c r="AN274" s="16"/>
    </row>
    <row r="275" spans="2:40" x14ac:dyDescent="0.25">
      <c r="B275" s="21"/>
      <c r="C275" s="17"/>
      <c r="D275" s="16"/>
      <c r="E275" s="16"/>
      <c r="F275" s="18"/>
      <c r="G275" s="18"/>
      <c r="H275" s="57" t="s">
        <v>61</v>
      </c>
      <c r="I275" s="16"/>
      <c r="J275" s="57" t="s">
        <v>61</v>
      </c>
      <c r="K275" s="16"/>
      <c r="L275" s="16"/>
      <c r="M275" s="16"/>
      <c r="N275" s="16"/>
      <c r="O275" s="18"/>
      <c r="P275" s="18"/>
      <c r="Q275" s="19"/>
      <c r="R275" s="57" t="s">
        <v>61</v>
      </c>
      <c r="S275" s="16"/>
      <c r="T275" s="16"/>
      <c r="U275" s="16"/>
      <c r="V275" s="16"/>
      <c r="W275" s="16"/>
      <c r="X275" s="16"/>
      <c r="Y275" s="16"/>
      <c r="Z275" s="16"/>
      <c r="AA275" s="16"/>
      <c r="AB275" s="20"/>
      <c r="AC275" s="20"/>
      <c r="AD275" s="20"/>
      <c r="AE275" s="20"/>
      <c r="AF275" s="20"/>
      <c r="AG275" s="20"/>
      <c r="AH275" s="32"/>
      <c r="AI275" s="32"/>
      <c r="AJ275" s="32"/>
      <c r="AK275" s="20"/>
      <c r="AL275" s="16"/>
      <c r="AM275" s="16"/>
      <c r="AN275" s="16"/>
    </row>
    <row r="276" spans="2:40" x14ac:dyDescent="0.25">
      <c r="B276" s="21"/>
      <c r="C276" s="17"/>
      <c r="D276" s="16"/>
      <c r="E276" s="16"/>
      <c r="F276" s="18"/>
      <c r="G276" s="18"/>
      <c r="H276" s="57" t="s">
        <v>61</v>
      </c>
      <c r="I276" s="16"/>
      <c r="J276" s="57" t="s">
        <v>61</v>
      </c>
      <c r="K276" s="16"/>
      <c r="L276" s="16"/>
      <c r="M276" s="16"/>
      <c r="N276" s="16"/>
      <c r="O276" s="18"/>
      <c r="P276" s="18"/>
      <c r="Q276" s="19"/>
      <c r="R276" s="57" t="s">
        <v>61</v>
      </c>
      <c r="S276" s="16"/>
      <c r="T276" s="16"/>
      <c r="U276" s="16"/>
      <c r="V276" s="16"/>
      <c r="W276" s="16"/>
      <c r="X276" s="16"/>
      <c r="Y276" s="16"/>
      <c r="Z276" s="16"/>
      <c r="AA276" s="16"/>
      <c r="AB276" s="20"/>
      <c r="AC276" s="20"/>
      <c r="AD276" s="20"/>
      <c r="AE276" s="20"/>
      <c r="AF276" s="20"/>
      <c r="AG276" s="20"/>
      <c r="AH276" s="32"/>
      <c r="AI276" s="32"/>
      <c r="AJ276" s="32"/>
      <c r="AK276" s="20"/>
      <c r="AL276" s="16"/>
      <c r="AM276" s="16"/>
      <c r="AN276" s="16"/>
    </row>
    <row r="277" spans="2:40" x14ac:dyDescent="0.25">
      <c r="B277" s="21"/>
      <c r="C277" s="17"/>
      <c r="D277" s="16"/>
      <c r="E277" s="16"/>
      <c r="F277" s="18"/>
      <c r="G277" s="18"/>
      <c r="H277" s="57" t="s">
        <v>61</v>
      </c>
      <c r="I277" s="16"/>
      <c r="J277" s="57" t="s">
        <v>61</v>
      </c>
      <c r="K277" s="16"/>
      <c r="L277" s="16"/>
      <c r="M277" s="16"/>
      <c r="N277" s="16"/>
      <c r="O277" s="18"/>
      <c r="P277" s="18"/>
      <c r="Q277" s="19"/>
      <c r="R277" s="57" t="s">
        <v>61</v>
      </c>
      <c r="S277" s="16"/>
      <c r="T277" s="16"/>
      <c r="U277" s="16"/>
      <c r="V277" s="16"/>
      <c r="W277" s="16"/>
      <c r="X277" s="16"/>
      <c r="Y277" s="16"/>
      <c r="Z277" s="16"/>
      <c r="AA277" s="16"/>
      <c r="AB277" s="20"/>
      <c r="AC277" s="20"/>
      <c r="AD277" s="20"/>
      <c r="AE277" s="20"/>
      <c r="AF277" s="20"/>
      <c r="AG277" s="20"/>
      <c r="AH277" s="32"/>
      <c r="AI277" s="32"/>
      <c r="AJ277" s="32"/>
      <c r="AK277" s="20"/>
      <c r="AL277" s="16"/>
      <c r="AM277" s="16"/>
      <c r="AN277" s="16"/>
    </row>
    <row r="278" spans="2:40" x14ac:dyDescent="0.25">
      <c r="B278" s="21"/>
      <c r="C278" s="17"/>
      <c r="D278" s="16"/>
      <c r="E278" s="16"/>
      <c r="F278" s="18"/>
      <c r="G278" s="18"/>
      <c r="H278" s="57" t="s">
        <v>61</v>
      </c>
      <c r="I278" s="16"/>
      <c r="J278" s="57" t="s">
        <v>61</v>
      </c>
      <c r="K278" s="16"/>
      <c r="L278" s="16"/>
      <c r="M278" s="16"/>
      <c r="N278" s="16"/>
      <c r="O278" s="18"/>
      <c r="P278" s="18"/>
      <c r="Q278" s="19"/>
      <c r="R278" s="57" t="s">
        <v>61</v>
      </c>
      <c r="S278" s="16"/>
      <c r="T278" s="16"/>
      <c r="U278" s="16"/>
      <c r="V278" s="16"/>
      <c r="W278" s="16"/>
      <c r="X278" s="16"/>
      <c r="Y278" s="16"/>
      <c r="Z278" s="16"/>
      <c r="AA278" s="16"/>
      <c r="AB278" s="20"/>
      <c r="AC278" s="20"/>
      <c r="AD278" s="20"/>
      <c r="AE278" s="20"/>
      <c r="AF278" s="20"/>
      <c r="AG278" s="20"/>
      <c r="AH278" s="32"/>
      <c r="AI278" s="32"/>
      <c r="AJ278" s="32"/>
      <c r="AK278" s="20"/>
      <c r="AL278" s="16"/>
      <c r="AM278" s="16"/>
      <c r="AN278" s="16"/>
    </row>
    <row r="279" spans="2:40" x14ac:dyDescent="0.25">
      <c r="B279" s="21"/>
      <c r="C279" s="17"/>
      <c r="D279" s="16"/>
      <c r="E279" s="16"/>
      <c r="F279" s="18"/>
      <c r="G279" s="18"/>
      <c r="H279" s="57" t="s">
        <v>61</v>
      </c>
      <c r="I279" s="16"/>
      <c r="J279" s="57" t="s">
        <v>61</v>
      </c>
      <c r="K279" s="16"/>
      <c r="L279" s="16"/>
      <c r="M279" s="16"/>
      <c r="N279" s="16"/>
      <c r="O279" s="18"/>
      <c r="P279" s="18"/>
      <c r="Q279" s="19"/>
      <c r="R279" s="57" t="s">
        <v>61</v>
      </c>
      <c r="S279" s="16"/>
      <c r="T279" s="16"/>
      <c r="U279" s="16"/>
      <c r="V279" s="16"/>
      <c r="W279" s="16"/>
      <c r="X279" s="16"/>
      <c r="Y279" s="16"/>
      <c r="Z279" s="16"/>
      <c r="AA279" s="16"/>
      <c r="AB279" s="20"/>
      <c r="AC279" s="20"/>
      <c r="AD279" s="20"/>
      <c r="AE279" s="20"/>
      <c r="AF279" s="20"/>
      <c r="AG279" s="20"/>
      <c r="AH279" s="32"/>
      <c r="AI279" s="32"/>
      <c r="AJ279" s="32"/>
      <c r="AK279" s="20"/>
      <c r="AL279" s="16"/>
      <c r="AM279" s="16"/>
      <c r="AN279" s="16"/>
    </row>
    <row r="280" spans="2:40" x14ac:dyDescent="0.25">
      <c r="B280" s="21"/>
      <c r="C280" s="17"/>
      <c r="D280" s="16"/>
      <c r="E280" s="16"/>
      <c r="F280" s="18"/>
      <c r="G280" s="18"/>
      <c r="H280" s="57" t="s">
        <v>61</v>
      </c>
      <c r="I280" s="16"/>
      <c r="J280" s="57" t="s">
        <v>61</v>
      </c>
      <c r="K280" s="16"/>
      <c r="L280" s="16"/>
      <c r="M280" s="16"/>
      <c r="N280" s="16"/>
      <c r="O280" s="18"/>
      <c r="P280" s="18"/>
      <c r="Q280" s="19"/>
      <c r="R280" s="57" t="s">
        <v>61</v>
      </c>
      <c r="S280" s="16"/>
      <c r="T280" s="16"/>
      <c r="U280" s="16"/>
      <c r="V280" s="16"/>
      <c r="W280" s="16"/>
      <c r="X280" s="16"/>
      <c r="Y280" s="16"/>
      <c r="Z280" s="16"/>
      <c r="AA280" s="16"/>
      <c r="AB280" s="20"/>
      <c r="AC280" s="20"/>
      <c r="AD280" s="20"/>
      <c r="AE280" s="20"/>
      <c r="AF280" s="20"/>
      <c r="AG280" s="20"/>
      <c r="AH280" s="32"/>
      <c r="AI280" s="32"/>
      <c r="AJ280" s="32"/>
      <c r="AK280" s="20"/>
      <c r="AL280" s="16"/>
      <c r="AM280" s="16"/>
      <c r="AN280" s="16"/>
    </row>
    <row r="281" spans="2:40" x14ac:dyDescent="0.25">
      <c r="B281" s="21"/>
      <c r="C281" s="17"/>
      <c r="D281" s="16"/>
      <c r="E281" s="16"/>
      <c r="F281" s="18"/>
      <c r="G281" s="18"/>
      <c r="H281" s="57" t="s">
        <v>61</v>
      </c>
      <c r="I281" s="16"/>
      <c r="J281" s="57" t="s">
        <v>61</v>
      </c>
      <c r="K281" s="16"/>
      <c r="L281" s="16"/>
      <c r="M281" s="16"/>
      <c r="N281" s="16"/>
      <c r="O281" s="18"/>
      <c r="P281" s="18"/>
      <c r="Q281" s="19"/>
      <c r="R281" s="57" t="s">
        <v>61</v>
      </c>
      <c r="S281" s="16"/>
      <c r="T281" s="16"/>
      <c r="U281" s="16"/>
      <c r="V281" s="16"/>
      <c r="W281" s="16"/>
      <c r="X281" s="16"/>
      <c r="Y281" s="16"/>
      <c r="Z281" s="16"/>
      <c r="AA281" s="16"/>
      <c r="AB281" s="20"/>
      <c r="AC281" s="20"/>
      <c r="AD281" s="20"/>
      <c r="AE281" s="20"/>
      <c r="AF281" s="20"/>
      <c r="AG281" s="20"/>
      <c r="AH281" s="32"/>
      <c r="AI281" s="32"/>
      <c r="AJ281" s="32"/>
      <c r="AK281" s="20"/>
      <c r="AL281" s="16"/>
      <c r="AM281" s="16"/>
      <c r="AN281" s="16"/>
    </row>
    <row r="282" spans="2:40" x14ac:dyDescent="0.25">
      <c r="B282" s="21"/>
      <c r="C282" s="17"/>
      <c r="D282" s="16"/>
      <c r="E282" s="16"/>
      <c r="F282" s="18"/>
      <c r="G282" s="18"/>
      <c r="H282" s="57" t="s">
        <v>61</v>
      </c>
      <c r="I282" s="16"/>
      <c r="J282" s="57" t="s">
        <v>61</v>
      </c>
      <c r="K282" s="16"/>
      <c r="L282" s="16"/>
      <c r="M282" s="16"/>
      <c r="N282" s="16"/>
      <c r="O282" s="18"/>
      <c r="P282" s="18"/>
      <c r="Q282" s="19"/>
      <c r="R282" s="57" t="s">
        <v>61</v>
      </c>
      <c r="S282" s="16"/>
      <c r="T282" s="16"/>
      <c r="U282" s="16"/>
      <c r="V282" s="16"/>
      <c r="W282" s="16"/>
      <c r="X282" s="16"/>
      <c r="Y282" s="16"/>
      <c r="Z282" s="16"/>
      <c r="AA282" s="16"/>
      <c r="AB282" s="20"/>
      <c r="AC282" s="20"/>
      <c r="AD282" s="20"/>
      <c r="AE282" s="20"/>
      <c r="AF282" s="20"/>
      <c r="AG282" s="20"/>
      <c r="AH282" s="32"/>
      <c r="AI282" s="32"/>
      <c r="AJ282" s="32"/>
      <c r="AK282" s="20"/>
      <c r="AL282" s="16"/>
      <c r="AM282" s="16"/>
      <c r="AN282" s="16"/>
    </row>
    <row r="283" spans="2:40" x14ac:dyDescent="0.25">
      <c r="B283" s="21"/>
      <c r="C283" s="17"/>
      <c r="D283" s="16"/>
      <c r="E283" s="16"/>
      <c r="F283" s="18"/>
      <c r="G283" s="18"/>
      <c r="H283" s="57" t="s">
        <v>61</v>
      </c>
      <c r="I283" s="16"/>
      <c r="J283" s="57" t="s">
        <v>61</v>
      </c>
      <c r="K283" s="16"/>
      <c r="L283" s="16"/>
      <c r="M283" s="16"/>
      <c r="N283" s="16"/>
      <c r="O283" s="18"/>
      <c r="P283" s="18"/>
      <c r="Q283" s="19"/>
      <c r="R283" s="57" t="s">
        <v>61</v>
      </c>
      <c r="S283" s="16"/>
      <c r="T283" s="16"/>
      <c r="U283" s="16"/>
      <c r="V283" s="16"/>
      <c r="W283" s="16"/>
      <c r="X283" s="16"/>
      <c r="Y283" s="16"/>
      <c r="Z283" s="16"/>
      <c r="AA283" s="16"/>
      <c r="AB283" s="20"/>
      <c r="AC283" s="20"/>
      <c r="AD283" s="20"/>
      <c r="AE283" s="20"/>
      <c r="AF283" s="20"/>
      <c r="AG283" s="20"/>
      <c r="AH283" s="32"/>
      <c r="AI283" s="32"/>
      <c r="AJ283" s="32"/>
      <c r="AK283" s="20"/>
      <c r="AL283" s="16"/>
      <c r="AM283" s="16"/>
      <c r="AN283" s="16"/>
    </row>
    <row r="284" spans="2:40" x14ac:dyDescent="0.25">
      <c r="B284" s="21"/>
      <c r="C284" s="17"/>
      <c r="D284" s="16"/>
      <c r="E284" s="16"/>
      <c r="F284" s="18"/>
      <c r="G284" s="18"/>
      <c r="H284" s="57" t="s">
        <v>61</v>
      </c>
      <c r="I284" s="16"/>
      <c r="J284" s="57" t="s">
        <v>61</v>
      </c>
      <c r="K284" s="16"/>
      <c r="L284" s="16"/>
      <c r="M284" s="16"/>
      <c r="N284" s="16"/>
      <c r="O284" s="18"/>
      <c r="P284" s="18"/>
      <c r="Q284" s="19"/>
      <c r="R284" s="57" t="s">
        <v>61</v>
      </c>
      <c r="S284" s="16"/>
      <c r="T284" s="16"/>
      <c r="U284" s="16"/>
      <c r="V284" s="16"/>
      <c r="W284" s="16"/>
      <c r="X284" s="16"/>
      <c r="Y284" s="16"/>
      <c r="Z284" s="16"/>
      <c r="AA284" s="16"/>
      <c r="AB284" s="20"/>
      <c r="AC284" s="20"/>
      <c r="AD284" s="20"/>
      <c r="AE284" s="20"/>
      <c r="AF284" s="20"/>
      <c r="AG284" s="20"/>
      <c r="AH284" s="32"/>
      <c r="AI284" s="32"/>
      <c r="AJ284" s="32"/>
      <c r="AK284" s="20"/>
      <c r="AL284" s="16"/>
      <c r="AM284" s="16"/>
      <c r="AN284" s="16"/>
    </row>
    <row r="285" spans="2:40" x14ac:dyDescent="0.25">
      <c r="B285" s="21"/>
      <c r="C285" s="17"/>
      <c r="D285" s="16"/>
      <c r="E285" s="16"/>
      <c r="F285" s="18"/>
      <c r="G285" s="18"/>
      <c r="H285" s="57" t="s">
        <v>61</v>
      </c>
      <c r="I285" s="16"/>
      <c r="J285" s="57" t="s">
        <v>61</v>
      </c>
      <c r="K285" s="16"/>
      <c r="L285" s="16"/>
      <c r="M285" s="16"/>
      <c r="N285" s="16"/>
      <c r="O285" s="18"/>
      <c r="P285" s="18"/>
      <c r="Q285" s="19"/>
      <c r="R285" s="57" t="s">
        <v>61</v>
      </c>
      <c r="S285" s="16"/>
      <c r="T285" s="16"/>
      <c r="U285" s="16"/>
      <c r="V285" s="16"/>
      <c r="W285" s="16"/>
      <c r="X285" s="16"/>
      <c r="Y285" s="16"/>
      <c r="Z285" s="16"/>
      <c r="AA285" s="16"/>
      <c r="AB285" s="20"/>
      <c r="AC285" s="20"/>
      <c r="AD285" s="20"/>
      <c r="AE285" s="20"/>
      <c r="AF285" s="20"/>
      <c r="AG285" s="20"/>
      <c r="AH285" s="32"/>
      <c r="AI285" s="32"/>
      <c r="AJ285" s="32"/>
      <c r="AK285" s="20"/>
      <c r="AL285" s="16"/>
      <c r="AM285" s="16"/>
      <c r="AN285" s="16"/>
    </row>
    <row r="286" spans="2:40" x14ac:dyDescent="0.25">
      <c r="B286" s="21"/>
      <c r="C286" s="17"/>
      <c r="D286" s="16"/>
      <c r="E286" s="16"/>
      <c r="F286" s="18"/>
      <c r="G286" s="18"/>
      <c r="H286" s="57" t="s">
        <v>61</v>
      </c>
      <c r="I286" s="16"/>
      <c r="J286" s="57" t="s">
        <v>61</v>
      </c>
      <c r="K286" s="16"/>
      <c r="L286" s="16"/>
      <c r="M286" s="16"/>
      <c r="N286" s="16"/>
      <c r="O286" s="18"/>
      <c r="P286" s="18"/>
      <c r="Q286" s="19"/>
      <c r="R286" s="57" t="s">
        <v>61</v>
      </c>
      <c r="S286" s="16"/>
      <c r="T286" s="16"/>
      <c r="U286" s="16"/>
      <c r="V286" s="16"/>
      <c r="W286" s="16"/>
      <c r="X286" s="16"/>
      <c r="Y286" s="16"/>
      <c r="Z286" s="16"/>
      <c r="AA286" s="16"/>
      <c r="AB286" s="20"/>
      <c r="AC286" s="20"/>
      <c r="AD286" s="20"/>
      <c r="AE286" s="20"/>
      <c r="AF286" s="20"/>
      <c r="AG286" s="20"/>
      <c r="AH286" s="32"/>
      <c r="AI286" s="32"/>
      <c r="AJ286" s="32"/>
      <c r="AK286" s="20"/>
      <c r="AL286" s="16"/>
      <c r="AM286" s="16"/>
      <c r="AN286" s="16"/>
    </row>
    <row r="287" spans="2:40" x14ac:dyDescent="0.25">
      <c r="B287" s="21"/>
      <c r="C287" s="17"/>
      <c r="D287" s="16"/>
      <c r="E287" s="16"/>
      <c r="F287" s="18"/>
      <c r="G287" s="18"/>
      <c r="H287" s="57" t="s">
        <v>61</v>
      </c>
      <c r="I287" s="16"/>
      <c r="J287" s="57" t="s">
        <v>61</v>
      </c>
      <c r="K287" s="16"/>
      <c r="L287" s="16"/>
      <c r="M287" s="16"/>
      <c r="N287" s="16"/>
      <c r="O287" s="18"/>
      <c r="P287" s="18"/>
      <c r="Q287" s="19"/>
      <c r="R287" s="57" t="s">
        <v>61</v>
      </c>
      <c r="S287" s="16"/>
      <c r="T287" s="16"/>
      <c r="U287" s="16"/>
      <c r="V287" s="16"/>
      <c r="W287" s="16"/>
      <c r="X287" s="16"/>
      <c r="Y287" s="16"/>
      <c r="Z287" s="16"/>
      <c r="AA287" s="16"/>
      <c r="AB287" s="20"/>
      <c r="AC287" s="20"/>
      <c r="AD287" s="20"/>
      <c r="AE287" s="20"/>
      <c r="AF287" s="20"/>
      <c r="AG287" s="20"/>
      <c r="AH287" s="32"/>
      <c r="AI287" s="32"/>
      <c r="AJ287" s="32"/>
      <c r="AK287" s="20"/>
      <c r="AL287" s="16"/>
      <c r="AM287" s="16"/>
      <c r="AN287" s="16"/>
    </row>
    <row r="288" spans="2:40" x14ac:dyDescent="0.25">
      <c r="B288" s="21"/>
      <c r="C288" s="17"/>
      <c r="D288" s="16"/>
      <c r="E288" s="16"/>
      <c r="F288" s="18"/>
      <c r="G288" s="18"/>
      <c r="H288" s="57" t="s">
        <v>61</v>
      </c>
      <c r="I288" s="16"/>
      <c r="J288" s="57" t="s">
        <v>61</v>
      </c>
      <c r="K288" s="16"/>
      <c r="L288" s="16"/>
      <c r="M288" s="16"/>
      <c r="N288" s="16"/>
      <c r="O288" s="18"/>
      <c r="P288" s="18"/>
      <c r="Q288" s="19"/>
      <c r="R288" s="57" t="s">
        <v>61</v>
      </c>
      <c r="S288" s="16"/>
      <c r="T288" s="16"/>
      <c r="U288" s="16"/>
      <c r="V288" s="16"/>
      <c r="W288" s="16"/>
      <c r="X288" s="16"/>
      <c r="Y288" s="16"/>
      <c r="Z288" s="16"/>
      <c r="AA288" s="16"/>
      <c r="AB288" s="20"/>
      <c r="AC288" s="20"/>
      <c r="AD288" s="20"/>
      <c r="AE288" s="20"/>
      <c r="AF288" s="20"/>
      <c r="AG288" s="20"/>
      <c r="AH288" s="32"/>
      <c r="AI288" s="32"/>
      <c r="AJ288" s="32"/>
      <c r="AK288" s="20"/>
      <c r="AL288" s="16"/>
      <c r="AM288" s="16"/>
      <c r="AN288" s="16"/>
    </row>
    <row r="289" spans="2:40" x14ac:dyDescent="0.25">
      <c r="B289" s="21"/>
      <c r="C289" s="17"/>
      <c r="D289" s="16"/>
      <c r="E289" s="16"/>
      <c r="F289" s="18"/>
      <c r="G289" s="18"/>
      <c r="H289" s="57" t="s">
        <v>61</v>
      </c>
      <c r="I289" s="16"/>
      <c r="J289" s="57" t="s">
        <v>61</v>
      </c>
      <c r="K289" s="16"/>
      <c r="L289" s="16"/>
      <c r="M289" s="16"/>
      <c r="N289" s="16"/>
      <c r="O289" s="18"/>
      <c r="P289" s="18"/>
      <c r="Q289" s="19"/>
      <c r="R289" s="57" t="s">
        <v>61</v>
      </c>
      <c r="S289" s="16"/>
      <c r="T289" s="16"/>
      <c r="U289" s="16"/>
      <c r="V289" s="16"/>
      <c r="W289" s="16"/>
      <c r="X289" s="16"/>
      <c r="Y289" s="16"/>
      <c r="Z289" s="16"/>
      <c r="AA289" s="16"/>
      <c r="AB289" s="20"/>
      <c r="AC289" s="20"/>
      <c r="AD289" s="20"/>
      <c r="AE289" s="20"/>
      <c r="AF289" s="20"/>
      <c r="AG289" s="20"/>
      <c r="AH289" s="32"/>
      <c r="AI289" s="32"/>
      <c r="AJ289" s="32"/>
      <c r="AK289" s="20"/>
      <c r="AL289" s="16"/>
      <c r="AM289" s="16"/>
      <c r="AN289" s="16"/>
    </row>
    <row r="290" spans="2:40" x14ac:dyDescent="0.25">
      <c r="B290" s="21"/>
      <c r="C290" s="17"/>
      <c r="D290" s="16"/>
      <c r="E290" s="16"/>
      <c r="F290" s="18"/>
      <c r="G290" s="18"/>
      <c r="H290" s="57" t="s">
        <v>61</v>
      </c>
      <c r="I290" s="16"/>
      <c r="J290" s="57" t="s">
        <v>61</v>
      </c>
      <c r="K290" s="16"/>
      <c r="L290" s="16"/>
      <c r="M290" s="16"/>
      <c r="N290" s="16"/>
      <c r="O290" s="18"/>
      <c r="P290" s="18"/>
      <c r="Q290" s="19"/>
      <c r="R290" s="57" t="s">
        <v>61</v>
      </c>
      <c r="S290" s="16"/>
      <c r="T290" s="16"/>
      <c r="U290" s="16"/>
      <c r="V290" s="16"/>
      <c r="W290" s="16"/>
      <c r="X290" s="16"/>
      <c r="Y290" s="16"/>
      <c r="Z290" s="16"/>
      <c r="AA290" s="16"/>
      <c r="AB290" s="20"/>
      <c r="AC290" s="20"/>
      <c r="AD290" s="20"/>
      <c r="AE290" s="20"/>
      <c r="AF290" s="20"/>
      <c r="AG290" s="20"/>
      <c r="AH290" s="32"/>
      <c r="AI290" s="32"/>
      <c r="AJ290" s="32"/>
      <c r="AK290" s="20"/>
      <c r="AL290" s="16"/>
      <c r="AM290" s="16"/>
      <c r="AN290" s="16"/>
    </row>
    <row r="291" spans="2:40" x14ac:dyDescent="0.25">
      <c r="B291" s="21"/>
      <c r="C291" s="17"/>
      <c r="D291" s="16"/>
      <c r="E291" s="16"/>
      <c r="F291" s="18"/>
      <c r="G291" s="18"/>
      <c r="H291" s="57" t="s">
        <v>61</v>
      </c>
      <c r="I291" s="16"/>
      <c r="J291" s="57" t="s">
        <v>61</v>
      </c>
      <c r="K291" s="16"/>
      <c r="L291" s="16"/>
      <c r="M291" s="16"/>
      <c r="N291" s="16"/>
      <c r="O291" s="18"/>
      <c r="P291" s="18"/>
      <c r="Q291" s="19"/>
      <c r="R291" s="57" t="s">
        <v>61</v>
      </c>
      <c r="S291" s="16"/>
      <c r="T291" s="16"/>
      <c r="U291" s="16"/>
      <c r="V291" s="16"/>
      <c r="W291" s="16"/>
      <c r="X291" s="16"/>
      <c r="Y291" s="16"/>
      <c r="Z291" s="16"/>
      <c r="AA291" s="16"/>
      <c r="AB291" s="20"/>
      <c r="AC291" s="20"/>
      <c r="AD291" s="20"/>
      <c r="AE291" s="20"/>
      <c r="AF291" s="20"/>
      <c r="AG291" s="20"/>
      <c r="AH291" s="32"/>
      <c r="AI291" s="32"/>
      <c r="AJ291" s="32"/>
      <c r="AK291" s="20"/>
      <c r="AL291" s="16"/>
      <c r="AM291" s="16"/>
      <c r="AN291" s="16"/>
    </row>
    <row r="292" spans="2:40" x14ac:dyDescent="0.25">
      <c r="B292" s="21"/>
      <c r="C292" s="17"/>
      <c r="D292" s="16"/>
      <c r="E292" s="16"/>
      <c r="F292" s="18"/>
      <c r="G292" s="18"/>
      <c r="H292" s="57" t="s">
        <v>61</v>
      </c>
      <c r="I292" s="16"/>
      <c r="J292" s="57" t="s">
        <v>61</v>
      </c>
      <c r="K292" s="16"/>
      <c r="L292" s="16"/>
      <c r="M292" s="16"/>
      <c r="N292" s="16"/>
      <c r="O292" s="18"/>
      <c r="P292" s="18"/>
      <c r="Q292" s="19"/>
      <c r="R292" s="57" t="s">
        <v>61</v>
      </c>
      <c r="S292" s="16"/>
      <c r="T292" s="16"/>
      <c r="U292" s="16"/>
      <c r="V292" s="16"/>
      <c r="W292" s="16"/>
      <c r="X292" s="16"/>
      <c r="Y292" s="16"/>
      <c r="Z292" s="16"/>
      <c r="AA292" s="16"/>
      <c r="AB292" s="20"/>
      <c r="AC292" s="20"/>
      <c r="AD292" s="20"/>
      <c r="AE292" s="20"/>
      <c r="AF292" s="20"/>
      <c r="AG292" s="20"/>
      <c r="AH292" s="32"/>
      <c r="AI292" s="32"/>
      <c r="AJ292" s="32"/>
      <c r="AK292" s="20"/>
      <c r="AL292" s="16"/>
      <c r="AM292" s="16"/>
      <c r="AN292" s="16"/>
    </row>
    <row r="293" spans="2:40" x14ac:dyDescent="0.25">
      <c r="B293" s="21"/>
      <c r="C293" s="17"/>
      <c r="D293" s="16"/>
      <c r="E293" s="16"/>
      <c r="F293" s="18"/>
      <c r="G293" s="18"/>
      <c r="H293" s="57" t="s">
        <v>61</v>
      </c>
      <c r="I293" s="16"/>
      <c r="J293" s="57" t="s">
        <v>61</v>
      </c>
      <c r="K293" s="16"/>
      <c r="L293" s="16"/>
      <c r="M293" s="16"/>
      <c r="N293" s="16"/>
      <c r="O293" s="18"/>
      <c r="P293" s="18"/>
      <c r="Q293" s="19"/>
      <c r="R293" s="57" t="s">
        <v>61</v>
      </c>
      <c r="S293" s="16"/>
      <c r="T293" s="16"/>
      <c r="U293" s="16"/>
      <c r="V293" s="16"/>
      <c r="W293" s="16"/>
      <c r="X293" s="16"/>
      <c r="Y293" s="16"/>
      <c r="Z293" s="16"/>
      <c r="AA293" s="16"/>
      <c r="AB293" s="20"/>
      <c r="AC293" s="20"/>
      <c r="AD293" s="20"/>
      <c r="AE293" s="20"/>
      <c r="AF293" s="20"/>
      <c r="AG293" s="20"/>
      <c r="AH293" s="32"/>
      <c r="AI293" s="32"/>
      <c r="AJ293" s="32"/>
      <c r="AK293" s="20"/>
      <c r="AL293" s="16"/>
      <c r="AM293" s="16"/>
      <c r="AN293" s="16"/>
    </row>
    <row r="294" spans="2:40" x14ac:dyDescent="0.25">
      <c r="B294" s="21"/>
      <c r="C294" s="17"/>
      <c r="D294" s="16"/>
      <c r="E294" s="16"/>
      <c r="F294" s="18"/>
      <c r="G294" s="18"/>
      <c r="H294" s="57" t="s">
        <v>61</v>
      </c>
      <c r="I294" s="16"/>
      <c r="J294" s="57" t="s">
        <v>61</v>
      </c>
      <c r="K294" s="16"/>
      <c r="L294" s="16"/>
      <c r="M294" s="16"/>
      <c r="N294" s="16"/>
      <c r="O294" s="18"/>
      <c r="P294" s="18"/>
      <c r="Q294" s="19"/>
      <c r="R294" s="57" t="s">
        <v>61</v>
      </c>
      <c r="S294" s="16"/>
      <c r="T294" s="16"/>
      <c r="U294" s="16"/>
      <c r="V294" s="16"/>
      <c r="W294" s="16"/>
      <c r="X294" s="16"/>
      <c r="Y294" s="16"/>
      <c r="Z294" s="16"/>
      <c r="AA294" s="16"/>
      <c r="AB294" s="20"/>
      <c r="AC294" s="20"/>
      <c r="AD294" s="20"/>
      <c r="AE294" s="20"/>
      <c r="AF294" s="20"/>
      <c r="AG294" s="20"/>
      <c r="AH294" s="32"/>
      <c r="AI294" s="32"/>
      <c r="AJ294" s="32"/>
      <c r="AK294" s="20"/>
      <c r="AL294" s="16"/>
      <c r="AM294" s="16"/>
      <c r="AN294" s="16"/>
    </row>
    <row r="295" spans="2:40" x14ac:dyDescent="0.25">
      <c r="B295" s="21"/>
      <c r="C295" s="17"/>
      <c r="D295" s="16"/>
      <c r="E295" s="16"/>
      <c r="F295" s="18"/>
      <c r="G295" s="18"/>
      <c r="H295" s="57" t="s">
        <v>61</v>
      </c>
      <c r="I295" s="16"/>
      <c r="J295" s="57" t="s">
        <v>61</v>
      </c>
      <c r="K295" s="16"/>
      <c r="L295" s="16"/>
      <c r="M295" s="16"/>
      <c r="N295" s="16"/>
      <c r="O295" s="18"/>
      <c r="P295" s="18"/>
      <c r="Q295" s="19"/>
      <c r="R295" s="57" t="s">
        <v>61</v>
      </c>
      <c r="S295" s="16"/>
      <c r="T295" s="16"/>
      <c r="U295" s="16"/>
      <c r="V295" s="16"/>
      <c r="W295" s="16"/>
      <c r="X295" s="16"/>
      <c r="Y295" s="16"/>
      <c r="Z295" s="16"/>
      <c r="AA295" s="16"/>
      <c r="AB295" s="20"/>
      <c r="AC295" s="20"/>
      <c r="AD295" s="20"/>
      <c r="AE295" s="20"/>
      <c r="AF295" s="20"/>
      <c r="AG295" s="20"/>
      <c r="AH295" s="32"/>
      <c r="AI295" s="32"/>
      <c r="AJ295" s="32"/>
      <c r="AK295" s="20"/>
      <c r="AL295" s="16"/>
      <c r="AM295" s="16"/>
      <c r="AN295" s="16"/>
    </row>
    <row r="296" spans="2:40" x14ac:dyDescent="0.25">
      <c r="B296" s="21"/>
      <c r="C296" s="17"/>
      <c r="D296" s="16"/>
      <c r="E296" s="16"/>
      <c r="F296" s="18"/>
      <c r="G296" s="18"/>
      <c r="H296" s="57" t="s">
        <v>61</v>
      </c>
      <c r="I296" s="16"/>
      <c r="J296" s="57" t="s">
        <v>61</v>
      </c>
      <c r="K296" s="16"/>
      <c r="L296" s="16"/>
      <c r="M296" s="16"/>
      <c r="N296" s="16"/>
      <c r="O296" s="18"/>
      <c r="P296" s="18"/>
      <c r="Q296" s="19"/>
      <c r="R296" s="57" t="s">
        <v>61</v>
      </c>
      <c r="S296" s="16"/>
      <c r="T296" s="16"/>
      <c r="U296" s="16"/>
      <c r="V296" s="16"/>
      <c r="W296" s="16"/>
      <c r="X296" s="16"/>
      <c r="Y296" s="16"/>
      <c r="Z296" s="16"/>
      <c r="AA296" s="16"/>
      <c r="AB296" s="20"/>
      <c r="AC296" s="20"/>
      <c r="AD296" s="20"/>
      <c r="AE296" s="20"/>
      <c r="AF296" s="20"/>
      <c r="AG296" s="20"/>
      <c r="AH296" s="32"/>
      <c r="AI296" s="32"/>
      <c r="AJ296" s="32"/>
      <c r="AK296" s="20"/>
      <c r="AL296" s="16"/>
      <c r="AM296" s="16"/>
      <c r="AN296" s="16"/>
    </row>
    <row r="297" spans="2:40" x14ac:dyDescent="0.25">
      <c r="B297" s="21"/>
      <c r="C297" s="17"/>
      <c r="D297" s="16"/>
      <c r="E297" s="16"/>
      <c r="F297" s="18"/>
      <c r="G297" s="18"/>
      <c r="H297" s="57" t="s">
        <v>61</v>
      </c>
      <c r="I297" s="16"/>
      <c r="J297" s="57" t="s">
        <v>61</v>
      </c>
      <c r="K297" s="16"/>
      <c r="L297" s="16"/>
      <c r="M297" s="16"/>
      <c r="N297" s="16"/>
      <c r="O297" s="18"/>
      <c r="P297" s="18"/>
      <c r="Q297" s="19"/>
      <c r="R297" s="57" t="s">
        <v>61</v>
      </c>
      <c r="S297" s="16"/>
      <c r="T297" s="16"/>
      <c r="U297" s="16"/>
      <c r="V297" s="16"/>
      <c r="W297" s="16"/>
      <c r="X297" s="16"/>
      <c r="Y297" s="16"/>
      <c r="Z297" s="16"/>
      <c r="AA297" s="16"/>
      <c r="AB297" s="20"/>
      <c r="AC297" s="20"/>
      <c r="AD297" s="20"/>
      <c r="AE297" s="20"/>
      <c r="AF297" s="20"/>
      <c r="AG297" s="20"/>
      <c r="AH297" s="32"/>
      <c r="AI297" s="32"/>
      <c r="AJ297" s="32"/>
      <c r="AK297" s="20"/>
      <c r="AL297" s="16"/>
      <c r="AM297" s="16"/>
      <c r="AN297" s="16"/>
    </row>
    <row r="298" spans="2:40" x14ac:dyDescent="0.25">
      <c r="B298" s="21"/>
      <c r="C298" s="17"/>
      <c r="D298" s="16"/>
      <c r="E298" s="16"/>
      <c r="F298" s="18"/>
      <c r="G298" s="18"/>
      <c r="H298" s="57" t="s">
        <v>61</v>
      </c>
      <c r="I298" s="16"/>
      <c r="J298" s="57" t="s">
        <v>61</v>
      </c>
      <c r="K298" s="16"/>
      <c r="L298" s="16"/>
      <c r="M298" s="16"/>
      <c r="N298" s="16"/>
      <c r="O298" s="18"/>
      <c r="P298" s="18"/>
      <c r="Q298" s="19"/>
      <c r="R298" s="57" t="s">
        <v>61</v>
      </c>
      <c r="S298" s="16"/>
      <c r="T298" s="16"/>
      <c r="U298" s="16"/>
      <c r="V298" s="16"/>
      <c r="W298" s="16"/>
      <c r="X298" s="16"/>
      <c r="Y298" s="16"/>
      <c r="Z298" s="16"/>
      <c r="AA298" s="16"/>
      <c r="AB298" s="20"/>
      <c r="AC298" s="20"/>
      <c r="AD298" s="20"/>
      <c r="AE298" s="20"/>
      <c r="AF298" s="20"/>
      <c r="AG298" s="20"/>
      <c r="AH298" s="32"/>
      <c r="AI298" s="32"/>
      <c r="AJ298" s="32"/>
      <c r="AK298" s="20"/>
      <c r="AL298" s="16"/>
      <c r="AM298" s="16"/>
      <c r="AN298" s="16"/>
    </row>
    <row r="299" spans="2:40" x14ac:dyDescent="0.25">
      <c r="B299" s="21"/>
      <c r="C299" s="17"/>
      <c r="D299" s="16"/>
      <c r="E299" s="16"/>
      <c r="F299" s="18"/>
      <c r="G299" s="18"/>
      <c r="H299" s="57" t="s">
        <v>61</v>
      </c>
      <c r="I299" s="16"/>
      <c r="J299" s="57" t="s">
        <v>61</v>
      </c>
      <c r="K299" s="16"/>
      <c r="L299" s="16"/>
      <c r="M299" s="16"/>
      <c r="N299" s="16"/>
      <c r="O299" s="18"/>
      <c r="P299" s="18"/>
      <c r="Q299" s="19"/>
      <c r="R299" s="57" t="s">
        <v>61</v>
      </c>
      <c r="S299" s="16"/>
      <c r="T299" s="16"/>
      <c r="U299" s="16"/>
      <c r="V299" s="16"/>
      <c r="W299" s="16"/>
      <c r="X299" s="16"/>
      <c r="Y299" s="16"/>
      <c r="Z299" s="16"/>
      <c r="AA299" s="16"/>
      <c r="AB299" s="20"/>
      <c r="AC299" s="20"/>
      <c r="AD299" s="20"/>
      <c r="AE299" s="20"/>
      <c r="AF299" s="20"/>
      <c r="AG299" s="20"/>
      <c r="AH299" s="32"/>
      <c r="AI299" s="32"/>
      <c r="AJ299" s="32"/>
      <c r="AK299" s="20"/>
      <c r="AL299" s="16"/>
      <c r="AM299" s="16"/>
      <c r="AN299" s="16"/>
    </row>
    <row r="300" spans="2:40" x14ac:dyDescent="0.25">
      <c r="B300" s="21"/>
      <c r="C300" s="17"/>
      <c r="D300" s="16"/>
      <c r="E300" s="16"/>
      <c r="F300" s="18"/>
      <c r="G300" s="18"/>
      <c r="H300" s="57" t="s">
        <v>61</v>
      </c>
      <c r="I300" s="16"/>
      <c r="J300" s="57" t="s">
        <v>61</v>
      </c>
      <c r="K300" s="16"/>
      <c r="L300" s="16"/>
      <c r="M300" s="16"/>
      <c r="N300" s="16"/>
      <c r="O300" s="18"/>
      <c r="P300" s="18"/>
      <c r="Q300" s="19"/>
      <c r="R300" s="57" t="s">
        <v>61</v>
      </c>
      <c r="S300" s="16"/>
      <c r="T300" s="16"/>
      <c r="U300" s="16"/>
      <c r="V300" s="16"/>
      <c r="W300" s="16"/>
      <c r="X300" s="16"/>
      <c r="Y300" s="16"/>
      <c r="Z300" s="16"/>
      <c r="AA300" s="16"/>
      <c r="AB300" s="20"/>
      <c r="AC300" s="20"/>
      <c r="AD300" s="20"/>
      <c r="AE300" s="20"/>
      <c r="AF300" s="20"/>
      <c r="AG300" s="20"/>
      <c r="AH300" s="32"/>
      <c r="AI300" s="32"/>
      <c r="AJ300" s="32"/>
      <c r="AK300" s="20"/>
      <c r="AL300" s="16"/>
      <c r="AM300" s="16"/>
      <c r="AN300" s="16"/>
    </row>
    <row r="301" spans="2:40" x14ac:dyDescent="0.25">
      <c r="B301" s="21"/>
      <c r="C301" s="17"/>
      <c r="D301" s="16"/>
      <c r="E301" s="16"/>
      <c r="F301" s="18"/>
      <c r="G301" s="18"/>
      <c r="H301" s="57" t="s">
        <v>61</v>
      </c>
      <c r="I301" s="16"/>
      <c r="J301" s="57" t="s">
        <v>61</v>
      </c>
      <c r="K301" s="16"/>
      <c r="L301" s="16"/>
      <c r="M301" s="16"/>
      <c r="N301" s="16"/>
      <c r="O301" s="18"/>
      <c r="P301" s="18"/>
      <c r="Q301" s="19"/>
      <c r="R301" s="57" t="s">
        <v>61</v>
      </c>
      <c r="S301" s="16"/>
      <c r="T301" s="16"/>
      <c r="U301" s="16"/>
      <c r="V301" s="16"/>
      <c r="W301" s="16"/>
      <c r="X301" s="16"/>
      <c r="Y301" s="16"/>
      <c r="Z301" s="16"/>
      <c r="AA301" s="16"/>
      <c r="AB301" s="20"/>
      <c r="AC301" s="20"/>
      <c r="AD301" s="20"/>
      <c r="AE301" s="20"/>
      <c r="AF301" s="20"/>
      <c r="AG301" s="20"/>
      <c r="AH301" s="32"/>
      <c r="AI301" s="32"/>
      <c r="AJ301" s="32"/>
      <c r="AK301" s="20"/>
      <c r="AL301" s="16"/>
      <c r="AM301" s="16"/>
      <c r="AN301" s="16"/>
    </row>
    <row r="302" spans="2:40" x14ac:dyDescent="0.25">
      <c r="B302" s="21"/>
      <c r="C302" s="17"/>
      <c r="D302" s="16"/>
      <c r="E302" s="16"/>
      <c r="F302" s="18"/>
      <c r="G302" s="18"/>
      <c r="H302" s="57" t="s">
        <v>61</v>
      </c>
      <c r="I302" s="16"/>
      <c r="J302" s="57" t="s">
        <v>61</v>
      </c>
      <c r="K302" s="16"/>
      <c r="L302" s="16"/>
      <c r="M302" s="16"/>
      <c r="N302" s="16"/>
      <c r="O302" s="18"/>
      <c r="P302" s="18"/>
      <c r="Q302" s="19"/>
      <c r="R302" s="57" t="s">
        <v>61</v>
      </c>
      <c r="S302" s="16"/>
      <c r="T302" s="16"/>
      <c r="U302" s="16"/>
      <c r="V302" s="16"/>
      <c r="W302" s="16"/>
      <c r="X302" s="16"/>
      <c r="Y302" s="16"/>
      <c r="Z302" s="16"/>
      <c r="AA302" s="16"/>
      <c r="AB302" s="20"/>
      <c r="AC302" s="20"/>
      <c r="AD302" s="20"/>
      <c r="AE302" s="20"/>
      <c r="AF302" s="20"/>
      <c r="AG302" s="20"/>
      <c r="AH302" s="32"/>
      <c r="AI302" s="32"/>
      <c r="AJ302" s="32"/>
      <c r="AK302" s="20"/>
      <c r="AL302" s="16"/>
      <c r="AM302" s="16"/>
      <c r="AN302" s="16"/>
    </row>
    <row r="303" spans="2:40" x14ac:dyDescent="0.25">
      <c r="B303" s="21"/>
      <c r="C303" s="17"/>
      <c r="D303" s="16"/>
      <c r="E303" s="16"/>
      <c r="F303" s="18"/>
      <c r="G303" s="18"/>
      <c r="H303" s="57" t="s">
        <v>61</v>
      </c>
      <c r="I303" s="16"/>
      <c r="J303" s="57" t="s">
        <v>61</v>
      </c>
      <c r="K303" s="16"/>
      <c r="L303" s="16"/>
      <c r="M303" s="16"/>
      <c r="N303" s="16"/>
      <c r="O303" s="18"/>
      <c r="P303" s="18"/>
      <c r="Q303" s="19"/>
      <c r="R303" s="57" t="s">
        <v>61</v>
      </c>
      <c r="S303" s="16"/>
      <c r="T303" s="16"/>
      <c r="U303" s="16"/>
      <c r="V303" s="16"/>
      <c r="W303" s="16"/>
      <c r="X303" s="16"/>
      <c r="Y303" s="16"/>
      <c r="Z303" s="16"/>
      <c r="AA303" s="16"/>
      <c r="AB303" s="20"/>
      <c r="AC303" s="20"/>
      <c r="AD303" s="20"/>
      <c r="AE303" s="20"/>
      <c r="AF303" s="20"/>
      <c r="AG303" s="20"/>
      <c r="AH303" s="32"/>
      <c r="AI303" s="32"/>
      <c r="AJ303" s="32"/>
      <c r="AK303" s="20"/>
      <c r="AL303" s="16"/>
      <c r="AM303" s="16"/>
      <c r="AN303" s="16"/>
    </row>
    <row r="304" spans="2:40" x14ac:dyDescent="0.25">
      <c r="B304" s="21"/>
      <c r="C304" s="17"/>
      <c r="D304" s="16"/>
      <c r="E304" s="16"/>
      <c r="F304" s="18"/>
      <c r="G304" s="18"/>
      <c r="H304" s="57" t="s">
        <v>61</v>
      </c>
      <c r="I304" s="16"/>
      <c r="J304" s="57" t="s">
        <v>61</v>
      </c>
      <c r="K304" s="16"/>
      <c r="L304" s="16"/>
      <c r="M304" s="16"/>
      <c r="N304" s="16"/>
      <c r="O304" s="18"/>
      <c r="P304" s="18"/>
      <c r="Q304" s="19"/>
      <c r="R304" s="57" t="s">
        <v>61</v>
      </c>
      <c r="S304" s="16"/>
      <c r="T304" s="16"/>
      <c r="U304" s="16"/>
      <c r="V304" s="16"/>
      <c r="W304" s="16"/>
      <c r="X304" s="16"/>
      <c r="Y304" s="16"/>
      <c r="Z304" s="16"/>
      <c r="AA304" s="16"/>
      <c r="AB304" s="20"/>
      <c r="AC304" s="20"/>
      <c r="AD304" s="20"/>
      <c r="AE304" s="20"/>
      <c r="AF304" s="20"/>
      <c r="AG304" s="20"/>
      <c r="AH304" s="32"/>
      <c r="AI304" s="32"/>
      <c r="AJ304" s="32"/>
      <c r="AK304" s="20"/>
      <c r="AL304" s="16"/>
      <c r="AM304" s="16"/>
      <c r="AN304" s="16"/>
    </row>
    <row r="305" spans="2:40" x14ac:dyDescent="0.25">
      <c r="B305" s="21"/>
      <c r="C305" s="17"/>
      <c r="D305" s="16"/>
      <c r="E305" s="16"/>
      <c r="F305" s="18"/>
      <c r="G305" s="18"/>
      <c r="H305" s="57" t="s">
        <v>61</v>
      </c>
      <c r="I305" s="16"/>
      <c r="J305" s="57" t="s">
        <v>61</v>
      </c>
      <c r="K305" s="16"/>
      <c r="L305" s="16"/>
      <c r="M305" s="16"/>
      <c r="N305" s="16"/>
      <c r="O305" s="18"/>
      <c r="P305" s="18"/>
      <c r="Q305" s="19"/>
      <c r="R305" s="57" t="s">
        <v>61</v>
      </c>
      <c r="S305" s="16"/>
      <c r="T305" s="16"/>
      <c r="U305" s="16"/>
      <c r="V305" s="16"/>
      <c r="W305" s="16"/>
      <c r="X305" s="16"/>
      <c r="Y305" s="16"/>
      <c r="Z305" s="16"/>
      <c r="AA305" s="16"/>
      <c r="AB305" s="20"/>
      <c r="AC305" s="20"/>
      <c r="AD305" s="20"/>
      <c r="AE305" s="20"/>
      <c r="AF305" s="20"/>
      <c r="AG305" s="20"/>
      <c r="AH305" s="32"/>
      <c r="AI305" s="32"/>
      <c r="AJ305" s="32"/>
      <c r="AK305" s="20"/>
      <c r="AL305" s="16"/>
      <c r="AM305" s="16"/>
      <c r="AN305" s="16"/>
    </row>
    <row r="306" spans="2:40" x14ac:dyDescent="0.25">
      <c r="B306" s="21"/>
      <c r="C306" s="17"/>
      <c r="D306" s="16"/>
      <c r="E306" s="16"/>
      <c r="F306" s="18"/>
      <c r="G306" s="18"/>
      <c r="H306" s="57" t="s">
        <v>61</v>
      </c>
      <c r="I306" s="16"/>
      <c r="J306" s="57" t="s">
        <v>61</v>
      </c>
      <c r="K306" s="16"/>
      <c r="L306" s="16"/>
      <c r="M306" s="16"/>
      <c r="N306" s="16"/>
      <c r="O306" s="18"/>
      <c r="P306" s="18"/>
      <c r="Q306" s="19"/>
      <c r="R306" s="57" t="s">
        <v>61</v>
      </c>
      <c r="S306" s="16"/>
      <c r="T306" s="16"/>
      <c r="U306" s="16"/>
      <c r="V306" s="16"/>
      <c r="W306" s="16"/>
      <c r="X306" s="16"/>
      <c r="Y306" s="16"/>
      <c r="Z306" s="16"/>
      <c r="AA306" s="16"/>
      <c r="AB306" s="20"/>
      <c r="AC306" s="20"/>
      <c r="AD306" s="20"/>
      <c r="AE306" s="20"/>
      <c r="AF306" s="20"/>
      <c r="AG306" s="20"/>
      <c r="AH306" s="32"/>
      <c r="AI306" s="32"/>
      <c r="AJ306" s="32"/>
      <c r="AK306" s="20"/>
      <c r="AL306" s="16"/>
      <c r="AM306" s="16"/>
      <c r="AN306" s="16"/>
    </row>
    <row r="307" spans="2:40" x14ac:dyDescent="0.25">
      <c r="B307" s="21"/>
      <c r="C307" s="17"/>
      <c r="D307" s="16"/>
      <c r="E307" s="16"/>
      <c r="F307" s="18"/>
      <c r="G307" s="18"/>
      <c r="H307" s="57" t="s">
        <v>61</v>
      </c>
      <c r="I307" s="16"/>
      <c r="J307" s="57" t="s">
        <v>61</v>
      </c>
      <c r="K307" s="16"/>
      <c r="L307" s="16"/>
      <c r="M307" s="16"/>
      <c r="N307" s="16"/>
      <c r="O307" s="18"/>
      <c r="P307" s="18"/>
      <c r="Q307" s="19"/>
      <c r="R307" s="57" t="s">
        <v>61</v>
      </c>
      <c r="S307" s="16"/>
      <c r="T307" s="16"/>
      <c r="U307" s="16"/>
      <c r="V307" s="16"/>
      <c r="W307" s="16"/>
      <c r="X307" s="16"/>
      <c r="Y307" s="16"/>
      <c r="Z307" s="16"/>
      <c r="AA307" s="16"/>
      <c r="AB307" s="20"/>
      <c r="AC307" s="20"/>
      <c r="AD307" s="20"/>
      <c r="AE307" s="20"/>
      <c r="AF307" s="20"/>
      <c r="AG307" s="20"/>
      <c r="AH307" s="32"/>
      <c r="AI307" s="32"/>
      <c r="AJ307" s="32"/>
      <c r="AK307" s="20"/>
      <c r="AL307" s="16"/>
      <c r="AM307" s="16"/>
      <c r="AN307" s="16"/>
    </row>
    <row r="308" spans="2:40" x14ac:dyDescent="0.25">
      <c r="B308" s="21"/>
      <c r="C308" s="17"/>
      <c r="D308" s="16"/>
      <c r="E308" s="16"/>
      <c r="F308" s="18"/>
      <c r="G308" s="18"/>
      <c r="H308" s="57" t="s">
        <v>61</v>
      </c>
      <c r="I308" s="16"/>
      <c r="J308" s="57" t="s">
        <v>61</v>
      </c>
      <c r="K308" s="16"/>
      <c r="L308" s="16"/>
      <c r="M308" s="16"/>
      <c r="N308" s="16"/>
      <c r="O308" s="18"/>
      <c r="P308" s="18"/>
      <c r="Q308" s="19"/>
      <c r="R308" s="57" t="s">
        <v>61</v>
      </c>
      <c r="S308" s="16"/>
      <c r="T308" s="16"/>
      <c r="U308" s="16"/>
      <c r="V308" s="16"/>
      <c r="W308" s="16"/>
      <c r="X308" s="16"/>
      <c r="Y308" s="16"/>
      <c r="Z308" s="16"/>
      <c r="AA308" s="16"/>
      <c r="AB308" s="20"/>
      <c r="AC308" s="20"/>
      <c r="AD308" s="20"/>
      <c r="AE308" s="20"/>
      <c r="AF308" s="20"/>
      <c r="AG308" s="20"/>
      <c r="AH308" s="32"/>
      <c r="AI308" s="32"/>
      <c r="AJ308" s="32"/>
      <c r="AK308" s="20"/>
      <c r="AL308" s="16"/>
      <c r="AM308" s="16"/>
      <c r="AN308" s="16"/>
    </row>
    <row r="309" spans="2:40" x14ac:dyDescent="0.25">
      <c r="B309" s="5"/>
      <c r="C309" s="5"/>
      <c r="D309" s="5"/>
      <c r="E309" s="5"/>
      <c r="F309" s="5"/>
      <c r="G309" s="5"/>
      <c r="H309" s="5"/>
      <c r="I309" s="5"/>
      <c r="J309" s="5"/>
      <c r="K309" s="5"/>
      <c r="L309" s="5"/>
      <c r="M309" s="5"/>
      <c r="N309" s="5"/>
      <c r="O309" s="5"/>
      <c r="P309" s="5"/>
      <c r="Q309" s="5"/>
    </row>
    <row r="311" spans="2:40" x14ac:dyDescent="0.25">
      <c r="U311" s="5"/>
      <c r="V311" s="161"/>
      <c r="W311" s="5"/>
    </row>
    <row r="312" spans="2:40" x14ac:dyDescent="0.25">
      <c r="V312" s="5"/>
    </row>
    <row r="313" spans="2:40" x14ac:dyDescent="0.25">
      <c r="V313" s="161"/>
      <c r="AC313" t="s">
        <v>1025</v>
      </c>
    </row>
    <row r="314" spans="2:40" x14ac:dyDescent="0.25">
      <c r="V314" s="5"/>
    </row>
    <row r="315" spans="2:40" x14ac:dyDescent="0.25">
      <c r="V315" s="5"/>
    </row>
    <row r="316" spans="2:40" x14ac:dyDescent="0.25">
      <c r="V316" s="5"/>
    </row>
    <row r="317" spans="2:40" x14ac:dyDescent="0.25">
      <c r="V317" s="161"/>
    </row>
    <row r="318" spans="2:40" x14ac:dyDescent="0.25">
      <c r="V318" s="5"/>
    </row>
    <row r="319" spans="2:40" x14ac:dyDescent="0.25">
      <c r="V319" s="5"/>
    </row>
  </sheetData>
  <customSheetViews>
    <customSheetView guid="{D33AC7AF-C8AB-4CE9-94C7-9237011A5FC3}" scale="70" topLeftCell="T92">
      <selection activeCell="M263" sqref="M263"/>
      <pageMargins left="0.7" right="0.7" top="0.75" bottom="0.75" header="0.3" footer="0.3"/>
      <pageSetup orientation="portrait" horizontalDpi="300" verticalDpi="0" r:id="rId1"/>
    </customSheetView>
    <customSheetView guid="{250915DF-0B97-45D7-B29D-7EED4C89C1C1}" scale="70" topLeftCell="A257">
      <selection activeCell="F274" sqref="F274"/>
      <pageMargins left="0.7" right="0.7" top="0.75" bottom="0.75" header="0.3" footer="0.3"/>
      <pageSetup orientation="portrait" horizontalDpi="300" r:id="rId2"/>
    </customSheetView>
    <customSheetView guid="{3B3E6719-EACB-4D2C-89C1-05FFAB6020FD}" scale="70" filter="1" showAutoFilter="1" topLeftCell="L39">
      <selection activeCell="AC309" sqref="AC309"/>
      <pageMargins left="0.7" right="0.7" top="0.75" bottom="0.75" header="0.3" footer="0.3"/>
      <pageSetup orientation="portrait" horizontalDpi="300" r:id="rId3"/>
      <autoFilter ref="B47:AN308">
        <filterColumn colId="17">
          <filters>
            <filter val="phuong.nguyen-thanh"/>
          </filters>
        </filterColumn>
      </autoFilter>
    </customSheetView>
    <customSheetView guid="{72A6EB0A-84D5-4B8A-AC51-54CCD061630B}" scale="85" filter="1" showAutoFilter="1" topLeftCell="A31">
      <selection activeCell="A345" sqref="A345:XFD345"/>
      <pageMargins left="0.7" right="0.7" top="0.75" bottom="0.75" header="0.3" footer="0.3"/>
      <pageSetup orientation="portrait" horizontalDpi="300" r:id="rId4"/>
      <autoFilter ref="B47:AN423">
        <filterColumn colId="12">
          <filters>
            <filter val="CNMS_ESP_Carbon_Int"/>
            <filter val="CNMS_ESPHevX_Carbon_Int"/>
          </filters>
        </filterColumn>
        <filterColumn colId="17">
          <filters>
            <filter val="loc.do-phu"/>
          </filters>
        </filterColumn>
      </autoFilter>
    </customSheetView>
    <customSheetView guid="{4E06BDBF-2CED-473B-850B-2A6C7311FF41}" scale="85" filter="1" showAutoFilter="1" topLeftCell="K135">
      <selection activeCell="AG342" sqref="AG342:AK342"/>
      <pageMargins left="0.7" right="0.7" top="0.75" bottom="0.75" header="0.3" footer="0.3"/>
      <pageSetup orientation="portrait" horizontalDpi="300" verticalDpi="0" r:id="rId5"/>
      <autoFilter ref="A47:AN423">
        <filterColumn colId="18">
          <filters>
            <filter val="thanh.nguyen-kim"/>
          </filters>
        </filterColumn>
      </autoFilter>
    </customSheetView>
    <customSheetView guid="{A2C66332-A809-458E-971B-FDB6D62C74C3}" filter="1" showAutoFilter="1" topLeftCell="O64">
      <selection activeCell="AG426" sqref="AG426"/>
      <pageMargins left="0.7" right="0.7" top="0.75" bottom="0.75" header="0.3" footer="0.3"/>
      <pageSetup orientation="portrait" horizontalDpi="300" verticalDpi="0" r:id="rId6"/>
      <autoFilter ref="B47:AN423">
        <filterColumn colId="17">
          <filters>
            <filter val="bang.nguyen-duy"/>
          </filters>
        </filterColumn>
      </autoFilter>
    </customSheetView>
    <customSheetView guid="{336B6883-2145-4B58-921E-CEC7185A847E}" scale="85" showAutoFilter="1" topLeftCell="A10">
      <selection activeCell="G35" sqref="G35"/>
      <pageMargins left="0.7" right="0.7" top="0.75" bottom="0.75" header="0.3" footer="0.3"/>
      <pageSetup orientation="portrait" horizontalDpi="300" verticalDpi="0" r:id="rId7"/>
      <autoFilter ref="P47:P423"/>
    </customSheetView>
    <customSheetView guid="{7ECC2B8E-6A82-42F5-8AB0-4A51C54EA5EC}" scale="70" filter="1" showAutoFilter="1" topLeftCell="O13">
      <selection activeCell="AA425" sqref="AA425"/>
      <pageMargins left="0.7" right="0.7" top="0.75" bottom="0.75" header="0.3" footer="0.3"/>
      <pageSetup orientation="portrait" horizontalDpi="300" verticalDpi="0" r:id="rId8"/>
      <autoFilter ref="B47:AN422">
        <filterColumn colId="1">
          <filters>
            <filter val="20200519"/>
            <filter val="20200520"/>
          </filters>
        </filterColumn>
        <filterColumn colId="17">
          <filters>
            <filter val="hau.nguyen-tai"/>
          </filters>
        </filterColumn>
      </autoFilter>
    </customSheetView>
    <customSheetView guid="{60D2C030-4E31-4E07-8E1C-44D2EE84B177}" scale="85" filter="1" showAutoFilter="1" topLeftCell="P100">
      <selection activeCell="AI428" sqref="AI428"/>
      <pageMargins left="0.7" right="0.7" top="0.75" bottom="0.75" header="0.3" footer="0.3"/>
      <pageSetup orientation="portrait" horizontalDpi="300" verticalDpi="0" r:id="rId9"/>
      <autoFilter ref="B47:AN422">
        <filterColumn colId="17">
          <filters>
            <filter val="chung.ly"/>
          </filters>
        </filterColumn>
      </autoFilter>
    </customSheetView>
    <customSheetView guid="{7E0EA425-A420-4443-B9E0-CDF0AA9E5D09}" scale="85" filter="1" showAutoFilter="1">
      <pageMargins left="0.7" right="0.7" top="0.75" bottom="0.75" header="0.3" footer="0.3"/>
      <pageSetup orientation="portrait" horizontalDpi="300" verticalDpi="0" r:id="rId10"/>
      <autoFilter ref="B47:AO308">
        <filterColumn colId="17">
          <filters>
            <filter val="chung.ly"/>
            <filter val="duong.nguyen"/>
            <filter val="loc.do-phu"/>
            <filter val="thanh.nguyen-kim"/>
          </filters>
        </filterColumn>
      </autoFilter>
    </customSheetView>
  </customSheetViews>
  <conditionalFormatting sqref="H4:H13 H19:H29">
    <cfRule type="cellIs" dxfId="103" priority="103" operator="equal">
      <formula>1</formula>
    </cfRule>
    <cfRule type="cellIs" dxfId="102" priority="104" operator="lessThan">
      <formula>1</formula>
    </cfRule>
  </conditionalFormatting>
  <conditionalFormatting sqref="AG64:AG65 AK64:AK65 AG67:AG308 AK67:AK308">
    <cfRule type="cellIs" dxfId="101" priority="101" operator="equal">
      <formula>"OK"</formula>
    </cfRule>
    <cfRule type="cellIs" dxfId="100" priority="102" operator="equal">
      <formula>"NG"</formula>
    </cfRule>
  </conditionalFormatting>
  <conditionalFormatting sqref="O48:P228 O229 O230:P308">
    <cfRule type="cellIs" dxfId="99" priority="100" operator="equal">
      <formula>"PUT_VERSION"</formula>
    </cfRule>
  </conditionalFormatting>
  <conditionalFormatting sqref="D14">
    <cfRule type="expression" dxfId="98" priority="88">
      <formula>$D$14=SUM($D$4:$D$13)</formula>
    </cfRule>
  </conditionalFormatting>
  <conditionalFormatting sqref="E14">
    <cfRule type="expression" dxfId="97" priority="87">
      <formula>$E$14=SUM($E$4:$E$13)</formula>
    </cfRule>
  </conditionalFormatting>
  <conditionalFormatting sqref="F14">
    <cfRule type="expression" dxfId="96" priority="86">
      <formula>$F$14=SUM($F$4:$F$13)</formula>
    </cfRule>
  </conditionalFormatting>
  <conditionalFormatting sqref="D29">
    <cfRule type="expression" dxfId="95" priority="85">
      <formula>$D$29=SUM($D$19:$D$28)</formula>
    </cfRule>
  </conditionalFormatting>
  <conditionalFormatting sqref="E29">
    <cfRule type="expression" dxfId="94" priority="84">
      <formula>$E$29=SUM($E$19:$E$28)</formula>
    </cfRule>
  </conditionalFormatting>
  <conditionalFormatting sqref="H34">
    <cfRule type="cellIs" dxfId="93" priority="69" operator="equal">
      <formula>1</formula>
    </cfRule>
    <cfRule type="cellIs" dxfId="92" priority="70" operator="lessThan">
      <formula>1</formula>
    </cfRule>
  </conditionalFormatting>
  <conditionalFormatting sqref="H35:H43">
    <cfRule type="cellIs" dxfId="91" priority="67" operator="equal">
      <formula>1</formula>
    </cfRule>
    <cfRule type="cellIs" dxfId="90" priority="68" operator="lessThan">
      <formula>1</formula>
    </cfRule>
  </conditionalFormatting>
  <conditionalFormatting sqref="H44">
    <cfRule type="cellIs" dxfId="89" priority="61" operator="equal">
      <formula>1</formula>
    </cfRule>
    <cfRule type="cellIs" dxfId="88" priority="62" operator="lessThan">
      <formula>1</formula>
    </cfRule>
  </conditionalFormatting>
  <conditionalFormatting sqref="F29">
    <cfRule type="expression" dxfId="87" priority="121">
      <formula>$F$29=SUM($F$19:$F$28)</formula>
    </cfRule>
  </conditionalFormatting>
  <conditionalFormatting sqref="AG48">
    <cfRule type="cellIs" dxfId="86" priority="11" operator="equal">
      <formula>"OK"</formula>
    </cfRule>
    <cfRule type="cellIs" dxfId="85" priority="12" operator="equal">
      <formula>"NG"</formula>
    </cfRule>
  </conditionalFormatting>
  <conditionalFormatting sqref="AG49:AG63">
    <cfRule type="cellIs" dxfId="84" priority="8" operator="equal">
      <formula>"OK"</formula>
    </cfRule>
    <cfRule type="cellIs" dxfId="83" priority="9" operator="equal">
      <formula>"NG"</formula>
    </cfRule>
  </conditionalFormatting>
  <conditionalFormatting sqref="K48:K308">
    <cfRule type="cellIs" dxfId="82" priority="3" operator="equal">
      <formula>"Manual"</formula>
    </cfRule>
    <cfRule type="cellIs" dxfId="81" priority="4" operator="equal">
      <formula>"Auto"</formula>
    </cfRule>
  </conditionalFormatting>
  <dataValidations count="2">
    <dataValidation type="list" allowBlank="1" showInputMessage="1" showErrorMessage="1" sqref="AK84 AK69:AK71 AK81:AK82 AG64:AG65 AG67:AG308">
      <formula1>"OK,NG"</formula1>
    </dataValidation>
    <dataValidation type="list" allowBlank="1" showInputMessage="1" showErrorMessage="1" sqref="U48:U167 U169:U308">
      <formula1>"Yes,No"</formula1>
    </dataValidation>
  </dataValidations>
  <pageMargins left="0.7" right="0.7" top="0.75" bottom="0.75" header="0.3" footer="0.3"/>
  <pageSetup orientation="portrait" horizontalDpi="300" verticalDpi="0" r:id="rId11"/>
  <legacyDrawing r:id="rId12"/>
  <extLst>
    <ext xmlns:x14="http://schemas.microsoft.com/office/spreadsheetml/2009/9/main" uri="{78C0D931-6437-407d-A8EE-F0AAD7539E65}">
      <x14:conditionalFormattings>
        <x14:conditionalFormatting xmlns:xm="http://schemas.microsoft.com/office/excel/2006/main">
          <x14:cfRule type="cellIs" priority="1" operator="equal" id="{2B9DA05D-2BDF-40F2-AAB9-55EE4E3A4914}">
            <xm:f>Table!$C$3</xm:f>
            <x14:dxf>
              <fill>
                <patternFill>
                  <bgColor rgb="FF0066FF"/>
                </patternFill>
              </fill>
            </x14:dxf>
          </x14:cfRule>
          <x14:cfRule type="cellIs" priority="2" operator="equal" id="{CF72E758-246C-461F-BACD-F624487058C4}">
            <xm:f>Table!$D$3</xm:f>
            <x14:dxf>
              <fill>
                <patternFill>
                  <bgColor rgb="FF92D050"/>
                </patternFill>
              </fill>
            </x14:dxf>
          </x14:cfRule>
          <xm:sqref>D48:D308</xm:sqref>
        </x14:conditionalFormatting>
        <x14:conditionalFormatting xmlns:xm="http://schemas.microsoft.com/office/excel/2006/main">
          <x14:cfRule type="cellIs" priority="105" operator="greaterThanOrEqual" id="{880EA441-2590-4E05-81FB-030A6B262BA2}">
            <xm:f>Table!$C$4</xm:f>
            <x14:dxf>
              <font>
                <color rgb="FF006100"/>
              </font>
              <fill>
                <patternFill>
                  <bgColor rgb="FFC6EFCE"/>
                </patternFill>
              </fill>
            </x14:dxf>
          </x14:cfRule>
          <x14:cfRule type="cellIs" priority="106" operator="lessThan" id="{008E8A9C-0A54-48C8-BAA6-2040624D4B14}">
            <xm:f>Table!$C$4</xm:f>
            <x14:dxf>
              <font>
                <color rgb="FF9C0006"/>
              </font>
              <fill>
                <patternFill>
                  <bgColor rgb="FFFFC7CE"/>
                </patternFill>
              </fill>
            </x14:dxf>
          </x14:cfRule>
          <xm:sqref>G19:G29</xm:sqref>
        </x14:conditionalFormatting>
        <x14:conditionalFormatting xmlns:xm="http://schemas.microsoft.com/office/excel/2006/main">
          <x14:cfRule type="cellIs" priority="107" operator="greaterThanOrEqual" id="{055B1730-1858-463E-9B0B-33FF6EF9C729}">
            <xm:f>Table!$D$4</xm:f>
            <x14:dxf>
              <font>
                <color rgb="FF006100"/>
              </font>
              <fill>
                <patternFill>
                  <bgColor rgb="FFC6EFCE"/>
                </patternFill>
              </fill>
            </x14:dxf>
          </x14:cfRule>
          <x14:cfRule type="cellIs" priority="108" operator="lessThan" id="{9D0890AA-8BE8-4E6A-8479-B03F791D816F}">
            <xm:f>Table!$D$4</xm:f>
            <x14:dxf>
              <font>
                <color rgb="FF9C0006"/>
              </font>
              <fill>
                <patternFill>
                  <bgColor rgb="FFFFC7CE"/>
                </patternFill>
              </fill>
            </x14:dxf>
          </x14:cfRule>
          <xm:sqref>G4:G13</xm:sqref>
        </x14:conditionalFormatting>
        <x14:conditionalFormatting xmlns:xm="http://schemas.microsoft.com/office/excel/2006/main">
          <x14:cfRule type="cellIs" priority="81" operator="greaterThanOrEqual" id="{8D99BF4A-D908-47F1-8E24-1697DAA263CD}">
            <xm:f>Table!$D$4</xm:f>
            <x14:dxf>
              <font>
                <color rgb="FF006100"/>
              </font>
              <fill>
                <patternFill>
                  <bgColor rgb="FFC6EFCE"/>
                </patternFill>
              </fill>
            </x14:dxf>
          </x14:cfRule>
          <x14:cfRule type="cellIs" priority="82" operator="lessThan" id="{64E1D647-CB0B-4B5E-B51F-CD909D56D8BD}">
            <xm:f>Table!$D$4</xm:f>
            <x14:dxf>
              <font>
                <color rgb="FF9C0006"/>
              </font>
              <fill>
                <patternFill>
                  <bgColor rgb="FFFFC7CE"/>
                </patternFill>
              </fill>
            </x14:dxf>
          </x14:cfRule>
          <xm:sqref>G14</xm:sqref>
        </x14:conditionalFormatting>
        <x14:conditionalFormatting xmlns:xm="http://schemas.microsoft.com/office/excel/2006/main">
          <x14:cfRule type="cellIs" priority="79" operator="greaterThanOrEqual" id="{42805A51-A68C-45B4-950B-7CB2B9B10AB3}">
            <xm:f>Table!$D$4</xm:f>
            <x14:dxf>
              <font>
                <color rgb="FF006100"/>
              </font>
              <fill>
                <patternFill>
                  <bgColor rgb="FFC6EFCE"/>
                </patternFill>
              </fill>
            </x14:dxf>
          </x14:cfRule>
          <x14:cfRule type="cellIs" priority="80" operator="lessThan" id="{9B93FBAF-A588-4F7B-8232-CC7E656FD59C}">
            <xm:f>Table!$D$4</xm:f>
            <x14:dxf>
              <font>
                <color rgb="FF9C0006"/>
              </font>
              <fill>
                <patternFill>
                  <bgColor rgb="FFFFC7CE"/>
                </patternFill>
              </fill>
            </x14:dxf>
          </x14:cfRule>
          <xm:sqref>G44</xm:sqref>
        </x14:conditionalFormatting>
        <x14:conditionalFormatting xmlns:xm="http://schemas.microsoft.com/office/excel/2006/main">
          <x14:cfRule type="cellIs" priority="77" operator="greaterThanOrEqual" id="{2AA0948F-74AB-46EC-B255-A7ABEAF4E4D2}">
            <xm:f>Table!$D$4</xm:f>
            <x14:dxf>
              <font>
                <color rgb="FF006100"/>
              </font>
              <fill>
                <patternFill>
                  <bgColor rgb="FFC6EFCE"/>
                </patternFill>
              </fill>
            </x14:dxf>
          </x14:cfRule>
          <x14:cfRule type="cellIs" priority="78" operator="lessThan" id="{B1A166C1-E984-4616-BBDF-3553DC14A7FD}">
            <xm:f>Table!$D$4</xm:f>
            <x14:dxf>
              <font>
                <color rgb="FF9C0006"/>
              </font>
              <fill>
                <patternFill>
                  <bgColor rgb="FFFFC7CE"/>
                </patternFill>
              </fill>
            </x14:dxf>
          </x14:cfRule>
          <xm:sqref>G34</xm:sqref>
        </x14:conditionalFormatting>
        <x14:conditionalFormatting xmlns:xm="http://schemas.microsoft.com/office/excel/2006/main">
          <x14:cfRule type="cellIs" priority="75" operator="greaterThanOrEqual" id="{B0B60969-8423-4320-940F-E9B989674632}">
            <xm:f>Table!$D$4</xm:f>
            <x14:dxf>
              <font>
                <color rgb="FF006100"/>
              </font>
              <fill>
                <patternFill>
                  <bgColor rgb="FFC6EFCE"/>
                </patternFill>
              </fill>
            </x14:dxf>
          </x14:cfRule>
          <x14:cfRule type="cellIs" priority="76" operator="lessThan" id="{BDD78E5B-3530-4B93-BD9F-24457BFDC72C}">
            <xm:f>Table!$D$4</xm:f>
            <x14:dxf>
              <font>
                <color rgb="FF9C0006"/>
              </font>
              <fill>
                <patternFill>
                  <bgColor rgb="FFFFC7CE"/>
                </patternFill>
              </fill>
            </x14:dxf>
          </x14:cfRule>
          <xm:sqref>G35:G43</xm:sqref>
        </x14:conditionalFormatting>
        <x14:conditionalFormatting xmlns:xm="http://schemas.microsoft.com/office/excel/2006/main">
          <x14:cfRule type="cellIs" priority="5" operator="equal" id="{19639308-71F0-43E5-B386-FDDD54B39B80}">
            <xm:f>Table!$C$37</xm:f>
            <x14:dxf>
              <font>
                <b/>
                <i val="0"/>
              </font>
              <fill>
                <patternFill>
                  <bgColor rgb="FFFF0000"/>
                </patternFill>
              </fill>
            </x14:dxf>
          </x14:cfRule>
          <x14:cfRule type="cellIs" priority="6" operator="equal" id="{49FA013F-6BB2-447B-B4B6-033B25DE33AE}">
            <xm:f>Table!$C$36</xm:f>
            <x14:dxf>
              <font>
                <b/>
                <i val="0"/>
              </font>
              <fill>
                <patternFill>
                  <bgColor rgb="FFFFFF00"/>
                </patternFill>
              </fill>
            </x14:dxf>
          </x14:cfRule>
          <xm:sqref>AK48:AK65 AK67:AK308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Table!$C$26:$C$32</xm:f>
          </x14:formula1>
          <xm:sqref>AA48:AA65 AA67:AA308</xm:sqref>
        </x14:dataValidation>
        <x14:dataValidation type="list" allowBlank="1" showInputMessage="1" showErrorMessage="1">
          <x14:formula1>
            <xm:f>Table!$C$36:$C$38</xm:f>
          </x14:formula1>
          <xm:sqref>AK72:AK80 AK83 AK67:AK68 AK48:AK65 AK85:AK308</xm:sqref>
        </x14:dataValidation>
        <x14:dataValidation type="list" allowBlank="1" showInputMessage="1" showErrorMessage="1">
          <x14:formula1>
            <xm:f>Table!$C$42:$C$43</xm:f>
          </x14:formula1>
          <xm:sqref>AG48:AG63</xm:sqref>
        </x14:dataValidation>
        <x14:dataValidation type="list" allowBlank="1" showInputMessage="1" showErrorMessage="1">
          <x14:formula1>
            <xm:f>Table!$C$13:$C$22</xm:f>
          </x14:formula1>
          <xm:sqref>S48:T308</xm:sqref>
        </x14:dataValidation>
        <x14:dataValidation type="list" allowBlank="1" showInputMessage="1" showErrorMessage="1">
          <x14:formula1>
            <xm:f>Table!$C$8:$C$9</xm:f>
          </x14:formula1>
          <xm:sqref>D48:D308</xm:sqref>
        </x14:dataValidation>
        <x14:dataValidation type="list" allowBlank="1" showInputMessage="1" showErrorMessage="1">
          <x14:formula1>
            <xm:f>Table!$C$47:$C$48</xm:f>
          </x14:formula1>
          <xm:sqref>K48:K308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sheetPr>
  <dimension ref="A1:AN176"/>
  <sheetViews>
    <sheetView tabSelected="1" topLeftCell="J101" zoomScale="70" zoomScaleNormal="85" workbookViewId="0">
      <selection activeCell="AC135" sqref="AC135"/>
    </sheetView>
  </sheetViews>
  <sheetFormatPr defaultRowHeight="15" x14ac:dyDescent="0.25"/>
  <cols>
    <col min="3" max="3" width="21" bestFit="1" customWidth="1"/>
    <col min="5" max="5" width="24.28515625" bestFit="1" customWidth="1"/>
    <col min="6" max="6" width="35.85546875" bestFit="1" customWidth="1"/>
    <col min="9" max="9" width="59.7109375" customWidth="1"/>
    <col min="11" max="11" width="12.42578125" customWidth="1"/>
    <col min="13" max="13" width="12.85546875" customWidth="1"/>
    <col min="14" max="14" width="36.140625" bestFit="1" customWidth="1"/>
    <col min="26" max="26" width="11.140625" bestFit="1" customWidth="1"/>
    <col min="27" max="27" width="16.85546875" bestFit="1" customWidth="1"/>
    <col min="28" max="28" width="17.140625" bestFit="1" customWidth="1"/>
    <col min="29" max="29" width="17.42578125" bestFit="1" customWidth="1"/>
    <col min="30" max="30" width="16" bestFit="1" customWidth="1"/>
    <col min="31" max="32" width="14.5703125" bestFit="1" customWidth="1"/>
    <col min="34" max="36" width="10.140625" bestFit="1" customWidth="1"/>
    <col min="37" max="37" width="11.140625" bestFit="1" customWidth="1"/>
  </cols>
  <sheetData>
    <row r="1" spans="1:13" x14ac:dyDescent="0.25">
      <c r="A1" s="73" t="s">
        <v>150</v>
      </c>
    </row>
    <row r="2" spans="1:13" x14ac:dyDescent="0.25">
      <c r="B2" s="73" t="s">
        <v>52</v>
      </c>
      <c r="C2" s="24"/>
      <c r="D2" s="24"/>
      <c r="E2" s="24"/>
      <c r="F2" s="24"/>
      <c r="G2" s="24"/>
      <c r="H2" s="24"/>
    </row>
    <row r="3" spans="1:13" x14ac:dyDescent="0.25">
      <c r="B3" s="66" t="s">
        <v>0</v>
      </c>
      <c r="C3" s="66" t="s">
        <v>8</v>
      </c>
      <c r="D3" s="66" t="s">
        <v>129</v>
      </c>
      <c r="E3" s="66" t="s">
        <v>53</v>
      </c>
      <c r="F3" s="66" t="s">
        <v>136</v>
      </c>
      <c r="G3" s="66" t="s">
        <v>22</v>
      </c>
      <c r="H3" s="67" t="s">
        <v>24</v>
      </c>
      <c r="J3" s="73" t="s">
        <v>39</v>
      </c>
    </row>
    <row r="4" spans="1:13" x14ac:dyDescent="0.25">
      <c r="B4" s="68">
        <v>1</v>
      </c>
      <c r="C4" s="83" t="s">
        <v>6</v>
      </c>
      <c r="D4" s="70">
        <f>SUMIFS($W$48:$W$174,$D$48:$D$174,Table!$D$3,$S$48:$S$174,C4)</f>
        <v>341.1</v>
      </c>
      <c r="E4" s="70">
        <f>SUMIFS($X$48:$X$174,$D$48:$D$174,Table!$D$3,$S$48:$S$174,C4)-SUM(SUMIFS($X$48:$X$174,$D$48:$D$174,Table!$D$3,$S$48:$S$174,C4,$AA$48:$AA$174,{"Ongoing","N/A",""}))</f>
        <v>341.1</v>
      </c>
      <c r="F4" s="70">
        <f>1/8*(SUMIFS($Z$48:$Z$174,$D$48:$D$174,Table!$D$3,$S$48:$S$174,C4)-SUM(SUMIFS($Z$48:$Z$174,$D$48:$D$174,Table!$D$3,$S$48:$S$174,C4,$AA$48:$AA$174,{"Ongoing","N/A",""})))</f>
        <v>0.875</v>
      </c>
      <c r="G4" s="70">
        <f>IF(ISERROR(E4/(F4)),"N/A",E4/F4)</f>
        <v>389.82857142857148</v>
      </c>
      <c r="H4" s="71">
        <f>IF(ISERROR(E4/D4),"N/A",E4/D4)</f>
        <v>1</v>
      </c>
      <c r="K4" s="73" t="s">
        <v>41</v>
      </c>
    </row>
    <row r="5" spans="1:13" x14ac:dyDescent="0.25">
      <c r="B5" s="68">
        <v>2</v>
      </c>
      <c r="C5" s="83" t="s">
        <v>64</v>
      </c>
      <c r="D5" s="70">
        <f>SUMIFS($W$48:$W$174,$D$48:$D$174,Table!$D$3,$S$48:$S$174,C5)</f>
        <v>0</v>
      </c>
      <c r="E5" s="70">
        <f>SUMIFS($X$48:$X$174,$D$48:$D$174,Table!$D$3,$S$48:$S$174,C5)-SUM(SUMIFS($X$48:$X$174,$D$48:$D$174,Table!$D$3,$S$48:$S$174,C5,$AA$48:$AA$174,{"Ongoing","N/A",""}))</f>
        <v>0</v>
      </c>
      <c r="F5" s="70">
        <f>1/8*(SUMIFS($Z$48:$Z$174,$D$48:$D$174,Table!$D$3,$S$48:$S$174,C5)-SUM(SUMIFS($Z$48:$Z$174,$D$48:$D$174,Table!$D$3,$S$48:$S$174,C5,$AA$48:$AA$174,{"Ongoing","N/A",""})))</f>
        <v>0</v>
      </c>
      <c r="G5" s="70" t="str">
        <f t="shared" ref="G5:G13" si="0">IF(ISERROR(E5/(F5)),"N/A",E5/F5)</f>
        <v>N/A</v>
      </c>
      <c r="H5" s="71" t="str">
        <f t="shared" ref="H5:H14" si="1">IF(ISERROR(E5/D5),"N/A",E5/D5)</f>
        <v>N/A</v>
      </c>
      <c r="L5" s="24" t="s">
        <v>40</v>
      </c>
    </row>
    <row r="6" spans="1:13" x14ac:dyDescent="0.25">
      <c r="B6" s="68">
        <v>3</v>
      </c>
      <c r="C6" s="83" t="s">
        <v>65</v>
      </c>
      <c r="D6" s="70">
        <f>SUMIFS($W$48:$W$174,$D$48:$D$174,Table!$D$3,$S$48:$S$174,C6)</f>
        <v>0</v>
      </c>
      <c r="E6" s="70">
        <f>SUMIFS($X$48:$X$174,$D$48:$D$174,Table!$D$3,$S$48:$S$174,C6)-SUM(SUMIFS($X$48:$X$174,$D$48:$D$174,Table!$D$3,$S$48:$S$174,C6,$AA$48:$AA$174,{"Ongoing","N/A",""}))</f>
        <v>0</v>
      </c>
      <c r="F6" s="70">
        <f>1/8*(SUMIFS($Z$48:$Z$174,$D$48:$D$174,Table!$D$3,$S$48:$S$174,C6)-SUM(SUMIFS($Z$48:$Z$174,$D$48:$D$174,Table!$D$3,$S$48:$S$174,C6,$AA$48:$AA$174,{"Ongoing","N/A",""})))</f>
        <v>0</v>
      </c>
      <c r="G6" s="70" t="str">
        <f t="shared" si="0"/>
        <v>N/A</v>
      </c>
      <c r="H6" s="71" t="str">
        <f t="shared" si="1"/>
        <v>N/A</v>
      </c>
      <c r="L6" s="24" t="s">
        <v>100</v>
      </c>
    </row>
    <row r="7" spans="1:13" x14ac:dyDescent="0.25">
      <c r="B7" s="68">
        <v>4</v>
      </c>
      <c r="C7" s="79" t="s">
        <v>66</v>
      </c>
      <c r="D7" s="70">
        <f>SUMIFS($W$48:$W$174,$D$48:$D$174,Table!$D$3,$S$48:$S$174,C7)</f>
        <v>4711.2749999999996</v>
      </c>
      <c r="E7" s="70">
        <f>SUMIFS($X$48:$X$174,$D$48:$D$174,Table!$D$3,$S$48:$S$174,C7)-SUM(SUMIFS($X$48:$X$174,$D$48:$D$174,Table!$D$3,$S$48:$S$174,C7,$AA$48:$AA$174,{"Ongoing","N/A",""}))</f>
        <v>4711.2749999999996</v>
      </c>
      <c r="F7" s="70">
        <f>1/8*(SUMIFS($Z$48:$Z$174,$D$48:$D$174,Table!$D$3,$S$48:$S$174,C7)-SUM(SUMIFS($Z$48:$Z$174,$D$48:$D$174,Table!$D$3,$S$48:$S$174,C7,$AA$48:$AA$174,{"Ongoing","N/A",""})))</f>
        <v>4.9024999999999999</v>
      </c>
      <c r="G7" s="70">
        <f t="shared" si="0"/>
        <v>960.99439061703208</v>
      </c>
      <c r="H7" s="71">
        <f t="shared" si="1"/>
        <v>1</v>
      </c>
      <c r="K7" s="73" t="s">
        <v>42</v>
      </c>
    </row>
    <row r="8" spans="1:13" x14ac:dyDescent="0.25">
      <c r="B8" s="68">
        <v>5</v>
      </c>
      <c r="C8" s="69" t="s">
        <v>67</v>
      </c>
      <c r="D8" s="70">
        <f>SUMIFS($W$48:$W$174,$D$48:$D$174,Table!$D$3,$S$48:$S$174,C8)</f>
        <v>0</v>
      </c>
      <c r="E8" s="70">
        <f>SUMIFS($X$48:$X$174,$D$48:$D$174,Table!$D$3,$S$48:$S$174,C8)-SUM(SUMIFS($X$48:$X$174,$D$48:$D$174,Table!$D$3,$S$48:$S$174,C8,$AA$48:$AA$174,{"Ongoing","N/A",""}))</f>
        <v>0</v>
      </c>
      <c r="F8" s="70">
        <f>1/8*(SUMIFS($Z$48:$Z$174,$D$48:$D$174,Table!$D$3,$S$48:$S$174,C8)-SUM(SUMIFS($Z$48:$Z$174,$D$48:$D$174,Table!$D$3,$S$48:$S$174,C8,$AA$48:$AA$174,{"Ongoing","N/A",""})))</f>
        <v>0</v>
      </c>
      <c r="G8" s="70" t="str">
        <f t="shared" si="0"/>
        <v>N/A</v>
      </c>
      <c r="H8" s="71" t="str">
        <f t="shared" si="1"/>
        <v>N/A</v>
      </c>
      <c r="L8" s="24" t="s">
        <v>43</v>
      </c>
    </row>
    <row r="9" spans="1:13" x14ac:dyDescent="0.25">
      <c r="B9" s="68">
        <v>6</v>
      </c>
      <c r="C9" s="69" t="s">
        <v>68</v>
      </c>
      <c r="D9" s="70">
        <f>SUMIFS($W$48:$W$174,$D$48:$D$174,Table!$D$3,$S$48:$S$174,C9)</f>
        <v>0</v>
      </c>
      <c r="E9" s="70">
        <f>SUMIFS($X$48:$X$174,$D$48:$D$174,Table!$D$3,$S$48:$S$174,C9)-SUM(SUMIFS($X$48:$X$174,$D$48:$D$174,Table!$D$3,$S$48:$S$174,C9,$AA$48:$AA$174,{"Ongoing","N/A",""}))</f>
        <v>0</v>
      </c>
      <c r="F9" s="70">
        <f>1/8*(SUMIFS($Z$48:$Z$174,$D$48:$D$174,Table!$D$3,$S$48:$S$174,C9)-SUM(SUMIFS($Z$48:$Z$174,$D$48:$D$174,Table!$D$3,$S$48:$S$174,C9,$AA$48:$AA$174,{"Ongoing","N/A",""})))</f>
        <v>0</v>
      </c>
      <c r="G9" s="70" t="str">
        <f t="shared" si="0"/>
        <v>N/A</v>
      </c>
      <c r="H9" s="71" t="str">
        <f t="shared" si="1"/>
        <v>N/A</v>
      </c>
      <c r="L9" s="24" t="s">
        <v>44</v>
      </c>
    </row>
    <row r="10" spans="1:13" x14ac:dyDescent="0.25">
      <c r="B10" s="68">
        <v>7</v>
      </c>
      <c r="C10" s="69" t="s">
        <v>69</v>
      </c>
      <c r="D10" s="70">
        <f>SUMIFS($W$48:$W$174,$D$48:$D$174,Table!$D$3,$S$48:$S$174,C10)</f>
        <v>0</v>
      </c>
      <c r="E10" s="70">
        <f>SUMIFS($X$48:$X$174,$D$48:$D$174,Table!$D$3,$S$48:$S$174,C10)-SUM(SUMIFS($X$48:$X$174,$D$48:$D$174,Table!$D$3,$S$48:$S$174,C10,$AA$48:$AA$174,{"Ongoing","N/A",""}))</f>
        <v>0</v>
      </c>
      <c r="F10" s="70">
        <f>1/8*(SUMIFS($Z$48:$Z$174,$D$48:$D$174,Table!$D$3,$S$48:$S$174,C10)-SUM(SUMIFS($Z$48:$Z$174,$D$48:$D$174,Table!$D$3,$S$48:$S$174,C10,$AA$48:$AA$174,{"Ongoing","N/A",""})))</f>
        <v>0</v>
      </c>
      <c r="G10" s="70" t="str">
        <f t="shared" si="0"/>
        <v>N/A</v>
      </c>
      <c r="H10" s="71" t="str">
        <f t="shared" si="1"/>
        <v>N/A</v>
      </c>
    </row>
    <row r="11" spans="1:13" x14ac:dyDescent="0.25">
      <c r="B11" s="68">
        <v>8</v>
      </c>
      <c r="C11" s="69" t="s">
        <v>70</v>
      </c>
      <c r="D11" s="70">
        <f>SUMIFS($W$48:$W$174,$D$48:$D$174,Table!$D$3,$S$48:$S$174,C11)</f>
        <v>0</v>
      </c>
      <c r="E11" s="70">
        <f>SUMIFS($X$48:$X$174,$D$48:$D$174,Table!$D$3,$S$48:$S$174,C11)-SUM(SUMIFS($X$48:$X$174,$D$48:$D$174,Table!$D$3,$S$48:$S$174,C11,$AA$48:$AA$174,{"Ongoing","N/A",""}))</f>
        <v>0</v>
      </c>
      <c r="F11" s="70">
        <f>1/8*(SUMIFS($Z$48:$Z$174,$D$48:$D$174,Table!$D$3,$S$48:$S$174,C11)-SUM(SUMIFS($Z$48:$Z$174,$D$48:$D$174,Table!$D$3,$S$48:$S$174,C11,$AA$48:$AA$174,{"Ongoing","N/A",""})))</f>
        <v>0</v>
      </c>
      <c r="G11" s="70" t="str">
        <f t="shared" si="0"/>
        <v>N/A</v>
      </c>
      <c r="H11" s="71" t="str">
        <f t="shared" si="1"/>
        <v>N/A</v>
      </c>
    </row>
    <row r="12" spans="1:13" x14ac:dyDescent="0.25">
      <c r="B12" s="68">
        <v>9</v>
      </c>
      <c r="C12" s="79" t="s">
        <v>156</v>
      </c>
      <c r="D12" s="70">
        <f>SUMIFS($W$48:$W$174,$D$48:$D$174,Table!$D$3,$S$48:$S$174,C12)</f>
        <v>5027.8500000000004</v>
      </c>
      <c r="E12" s="70">
        <f>SUMIFS($X$48:$X$174,$D$48:$D$174,Table!$D$3,$S$48:$S$174,C12)-SUM(SUMIFS($X$48:$X$174,$D$48:$D$174,Table!$D$3,$S$48:$S$174,C12,$AA$48:$AA$174,{"Ongoing","N/A",""}))</f>
        <v>5027.8500000000004</v>
      </c>
      <c r="F12" s="70">
        <f>1/8*(SUMIFS($Z$48:$Z$174,$D$48:$D$174,Table!$D$3,$S$48:$S$174,C12)-SUM(SUMIFS($Z$48:$Z$174,$D$48:$D$174,Table!$D$3,$S$48:$S$174,C12,$AA$48:$AA$174,{"Ongoing","N/A",""})))</f>
        <v>6.2874999999999996</v>
      </c>
      <c r="G12" s="70">
        <f t="shared" si="0"/>
        <v>799.65805168986094</v>
      </c>
      <c r="H12" s="71">
        <f t="shared" si="1"/>
        <v>1</v>
      </c>
    </row>
    <row r="13" spans="1:13" x14ac:dyDescent="0.25">
      <c r="B13" s="68">
        <v>10</v>
      </c>
      <c r="C13" s="83" t="s">
        <v>157</v>
      </c>
      <c r="D13" s="70">
        <f>SUMIFS($W$48:$W$174,$D$48:$D$174,Table!$D$3,$S$48:$S$174,C13)</f>
        <v>0</v>
      </c>
      <c r="E13" s="70">
        <f>SUMIFS($X$48:$X$174,$D$48:$D$174,Table!$D$3,$S$48:$S$174,C13)-SUM(SUMIFS($X$48:$X$174,$D$48:$D$174,Table!$D$3,$S$48:$S$174,C13,$AA$48:$AA$174,{"Ongoing","N/A",""}))</f>
        <v>0</v>
      </c>
      <c r="F13" s="70">
        <f>1/8*(SUMIFS($Z$48:$Z$174,$D$48:$D$174,Table!$D$3,$S$48:$S$174,C13)-SUM(SUMIFS($Z$48:$Z$174,$D$48:$D$174,Table!$D$3,$S$48:$S$174,C13,$AA$48:$AA$174,{"Ongoing","N/A",""})))</f>
        <v>0</v>
      </c>
      <c r="G13" s="70" t="str">
        <f t="shared" si="0"/>
        <v>N/A</v>
      </c>
      <c r="H13" s="71" t="str">
        <f t="shared" si="1"/>
        <v>N/A</v>
      </c>
      <c r="J13" s="73" t="s">
        <v>38</v>
      </c>
      <c r="K13" s="36">
        <v>43952</v>
      </c>
      <c r="M13" s="36">
        <v>43971</v>
      </c>
    </row>
    <row r="14" spans="1:13" x14ac:dyDescent="0.25">
      <c r="B14" s="66" t="s">
        <v>109</v>
      </c>
      <c r="C14" s="72"/>
      <c r="D14" s="74">
        <f>SUMIFS($W$48:$W$174,$D$48:$D$174,Table!$D$3)</f>
        <v>10080.225</v>
      </c>
      <c r="E14" s="74">
        <f>SUMIFS($W$48:$W$174,$D$48:$D$174,Table!$D$3)-SUM(SUMIFS($W$48:$W$174,$D$48:$D$174,Table!$D$3,$AA$48:$AA$174,{"Ongoing","N/A",""}))</f>
        <v>10080.225</v>
      </c>
      <c r="F14" s="74">
        <f>1/8*(SUMIFS($Z$48:$Z$174,$D$48:$D$174,Table!$D$3)-SUM(SUMIFS($Z$48:$Z$174,$D$48:$D$174,Table!$D$3,$AA$48:$AA$174,{"Ongoing","N/A",""})))</f>
        <v>12.065000000000001</v>
      </c>
      <c r="G14" s="70">
        <f>IF(ISERROR(E14/(F14)),"N/A",E14/F14)</f>
        <v>835.49316203895557</v>
      </c>
      <c r="H14" s="71">
        <f t="shared" si="1"/>
        <v>1</v>
      </c>
      <c r="J14" s="73" t="s">
        <v>30</v>
      </c>
      <c r="K14" s="76">
        <f>SUM(INT((WEEKDAY(K13-{2,3,4,5,6}) +M13-K13)/7))</f>
        <v>14</v>
      </c>
    </row>
    <row r="15" spans="1:13" x14ac:dyDescent="0.25">
      <c r="J15" s="73" t="s">
        <v>145</v>
      </c>
      <c r="K15" s="76">
        <v>1</v>
      </c>
      <c r="L15" s="77" t="s">
        <v>318</v>
      </c>
    </row>
    <row r="16" spans="1:13" x14ac:dyDescent="0.25">
      <c r="J16" s="73" t="s">
        <v>111</v>
      </c>
      <c r="K16" s="24">
        <f ca="1">IF(TODAY()&lt;M13,SUM(INT((WEEKDAY(K13-{2,3,4,5,6})+TODAY()-K13)/7)),SUM(INT((WEEKDAY(K13-{2,3,4,5,6})+M13-K13)/7)))-K15</f>
        <v>13</v>
      </c>
    </row>
    <row r="17" spans="1:12" x14ac:dyDescent="0.25">
      <c r="B17" s="73" t="s">
        <v>51</v>
      </c>
    </row>
    <row r="18" spans="1:12" x14ac:dyDescent="0.25">
      <c r="B18" s="66" t="s">
        <v>0</v>
      </c>
      <c r="C18" s="66" t="s">
        <v>8</v>
      </c>
      <c r="D18" s="66" t="s">
        <v>129</v>
      </c>
      <c r="E18" s="66" t="s">
        <v>53</v>
      </c>
      <c r="F18" s="66" t="s">
        <v>136</v>
      </c>
      <c r="G18" s="66" t="s">
        <v>22</v>
      </c>
      <c r="H18" s="67" t="s">
        <v>24</v>
      </c>
    </row>
    <row r="19" spans="1:12" x14ac:dyDescent="0.25">
      <c r="B19" s="68">
        <v>1</v>
      </c>
      <c r="C19" s="83" t="s">
        <v>6</v>
      </c>
      <c r="D19" s="70">
        <f>SUMIFS($W$48:$W$174,$D$48:$D$174,Table!$C$3,$S$48:$S$174,C19)</f>
        <v>0</v>
      </c>
      <c r="E19" s="70">
        <f>SUMIFS($X$48:$X$174,$D$48:$D$174,Table!$C$3,$S$48:$S$174,C19)-SUM(SUMIFS($X$48:$X$174,$D$48:$D$174,Table!$C$3,$S$48:$S$174,C19,$AA$48:$AA$174,{"Ongoing","N/A",""}))</f>
        <v>0</v>
      </c>
      <c r="F19" s="70">
        <f>1/8*(SUMIFS($Z$48:$Z$174,$D$48:$D$174,Table!$C$3,$S$48:$S$174,C19)-SUM(SUMIFS($Z$48:$Z$174,$D$48:$D$174,Table!$C$3,$S$48:$S$174,C19,$AA$48:$AA$174,{"Ongoing","N/A",""})))</f>
        <v>0</v>
      </c>
      <c r="G19" s="70" t="str">
        <f>IF(ISERROR(E19/(F19)),"N/A",E19/F19)</f>
        <v>N/A</v>
      </c>
      <c r="H19" s="71" t="str">
        <f>IF(ISERROR(E19/D19),"N/A",E19/D19)</f>
        <v>N/A</v>
      </c>
    </row>
    <row r="20" spans="1:12" x14ac:dyDescent="0.25">
      <c r="B20" s="68">
        <v>2</v>
      </c>
      <c r="C20" s="83" t="s">
        <v>64</v>
      </c>
      <c r="D20" s="70">
        <f>SUMIFS($W$48:$W$174,$D$48:$D$174,Table!$C$3,$S$48:$S$174,C20)</f>
        <v>0</v>
      </c>
      <c r="E20" s="70">
        <f>SUMIFS($X$48:$X$174,$D$48:$D$174,Table!$C$3,$S$48:$S$174,C20)-SUM(SUMIFS($X$48:$X$174,$D$48:$D$174,Table!$C$3,$S$48:$S$174,C20,$AA$48:$AA$174,{"Ongoing","N/A",""}))</f>
        <v>0</v>
      </c>
      <c r="F20" s="70">
        <f>1/8*(SUMIFS($Z$48:$Z$174,$D$48:$D$174,Table!$C$3,$S$48:$S$174,C20)-SUM(SUMIFS($Z$48:$Z$174,$D$48:$D$174,Table!$C$3,$S$48:$S$174,C20,$AA$48:$AA$174,{"Ongoing","N/A",""})))</f>
        <v>0</v>
      </c>
      <c r="G20" s="70" t="str">
        <f t="shared" ref="G20:G29" si="2">IF(ISERROR(E20/(F20)),"N/A",E20/F20)</f>
        <v>N/A</v>
      </c>
      <c r="H20" s="71" t="str">
        <f t="shared" ref="H20:H29" si="3">IF(ISERROR(E20/D20),"N/A",E20/D20)</f>
        <v>N/A</v>
      </c>
    </row>
    <row r="21" spans="1:12" x14ac:dyDescent="0.25">
      <c r="B21" s="68">
        <v>3</v>
      </c>
      <c r="C21" s="83" t="s">
        <v>65</v>
      </c>
      <c r="D21" s="70">
        <f>SUMIFS($W$48:$W$174,$D$48:$D$174,Table!$C$3,$S$48:$S$174,C21)</f>
        <v>0</v>
      </c>
      <c r="E21" s="70">
        <f>SUMIFS($X$48:$X$174,$D$48:$D$174,Table!$C$3,$S$48:$S$174,C21)-SUM(SUMIFS($X$48:$X$174,$D$48:$D$174,Table!$C$3,$S$48:$S$174,C21,$AA$48:$AA$174,{"Ongoing","N/A",""}))</f>
        <v>0</v>
      </c>
      <c r="F21" s="70">
        <f>1/8*(SUMIFS($Z$48:$Z$174,$D$48:$D$174,Table!$C$3,$S$48:$S$174,C21)-SUM(SUMIFS($Z$48:$Z$174,$D$48:$D$174,Table!$C$3,$S$48:$S$174,C21,$AA$48:$AA$174,{"Ongoing","N/A",""})))</f>
        <v>0</v>
      </c>
      <c r="G21" s="70" t="str">
        <f t="shared" si="2"/>
        <v>N/A</v>
      </c>
      <c r="H21" s="71" t="str">
        <f t="shared" si="3"/>
        <v>N/A</v>
      </c>
    </row>
    <row r="22" spans="1:12" x14ac:dyDescent="0.25">
      <c r="B22" s="68">
        <v>4</v>
      </c>
      <c r="C22" s="79" t="s">
        <v>66</v>
      </c>
      <c r="D22" s="70">
        <f>SUMIFS($W$48:$W$174,$D$48:$D$174,Table!$C$3,$S$48:$S$174,C22)</f>
        <v>1764.1000000000001</v>
      </c>
      <c r="E22" s="70">
        <f>SUMIFS($X$48:$X$174,$D$48:$D$174,Table!$C$3,$S$48:$S$174,C22)-SUM(SUMIFS($X$48:$X$174,$D$48:$D$174,Table!$C$3,$S$48:$S$174,C22,$AA$48:$AA$174,{"Ongoing","N/A",""}))</f>
        <v>1764.1000000000001</v>
      </c>
      <c r="F22" s="70">
        <f>1/8*(SUMIFS($Z$48:$Z$174,$D$48:$D$174,Table!$C$3,$S$48:$S$174,C22)-SUM(SUMIFS($Z$48:$Z$174,$D$48:$D$174,Table!$C$3,$S$48:$S$174,C22,$AA$48:$AA$174,{"Ongoing","N/A",""})))</f>
        <v>7.625</v>
      </c>
      <c r="G22" s="70">
        <f t="shared" si="2"/>
        <v>231.35737704918034</v>
      </c>
      <c r="H22" s="71">
        <f t="shared" si="3"/>
        <v>1</v>
      </c>
    </row>
    <row r="23" spans="1:12" x14ac:dyDescent="0.25">
      <c r="B23" s="68">
        <v>5</v>
      </c>
      <c r="C23" s="69" t="s">
        <v>67</v>
      </c>
      <c r="D23" s="70">
        <f>SUMIFS($W$48:$W$174,$D$48:$D$174,Table!$C$3,$S$48:$S$174,C23)</f>
        <v>0</v>
      </c>
      <c r="E23" s="70">
        <f>SUMIFS($X$48:$X$174,$D$48:$D$174,Table!$C$3,$S$48:$S$174,C23)-SUM(SUMIFS($X$48:$X$174,$D$48:$D$174,Table!$C$3,$S$48:$S$174,C23,$AA$48:$AA$174,{"Ongoing","N/A",""}))</f>
        <v>0</v>
      </c>
      <c r="F23" s="70">
        <f>1/8*(SUMIFS($Z$48:$Z$174,$D$48:$D$174,Table!$C$3,$S$48:$S$174,C23)-SUM(SUMIFS($Z$48:$Z$174,$D$48:$D$174,Table!$C$3,$S$48:$S$174,C23,$AA$48:$AA$174,{"Ongoing","N/A",""})))</f>
        <v>0</v>
      </c>
      <c r="G23" s="70" t="str">
        <f t="shared" si="2"/>
        <v>N/A</v>
      </c>
      <c r="H23" s="71" t="str">
        <f t="shared" si="3"/>
        <v>N/A</v>
      </c>
    </row>
    <row r="24" spans="1:12" x14ac:dyDescent="0.25">
      <c r="B24" s="68">
        <v>6</v>
      </c>
      <c r="C24" s="69" t="s">
        <v>68</v>
      </c>
      <c r="D24" s="70">
        <f>SUMIFS($W$48:$W$174,$D$48:$D$174,Table!$C$3,$S$48:$S$174,C24)</f>
        <v>0</v>
      </c>
      <c r="E24" s="70">
        <f>SUMIFS($X$48:$X$174,$D$48:$D$174,Table!$C$3,$S$48:$S$174,C24)-SUM(SUMIFS($X$48:$X$174,$D$48:$D$174,Table!$C$3,$S$48:$S$174,C24,$AA$48:$AA$174,{"Ongoing","N/A",""}))</f>
        <v>0</v>
      </c>
      <c r="F24" s="70">
        <f>1/8*(SUMIFS($Z$48:$Z$174,$D$48:$D$174,Table!$C$3,$S$48:$S$174,C24)-SUM(SUMIFS($Z$48:$Z$174,$D$48:$D$174,Table!$C$3,$S$48:$S$174,C24,$AA$48:$AA$174,{"Ongoing","N/A",""})))</f>
        <v>0</v>
      </c>
      <c r="G24" s="70" t="str">
        <f t="shared" si="2"/>
        <v>N/A</v>
      </c>
      <c r="H24" s="71" t="str">
        <f t="shared" si="3"/>
        <v>N/A</v>
      </c>
    </row>
    <row r="25" spans="1:12" x14ac:dyDescent="0.25">
      <c r="B25" s="68">
        <v>7</v>
      </c>
      <c r="C25" s="69" t="s">
        <v>69</v>
      </c>
      <c r="D25" s="70">
        <f>SUMIFS($W$48:$W$174,$D$48:$D$174,Table!$C$3,$S$48:$S$174,C25)</f>
        <v>0</v>
      </c>
      <c r="E25" s="70">
        <f>SUMIFS($X$48:$X$174,$D$48:$D$174,Table!$C$3,$S$48:$S$174,C25)-SUM(SUMIFS($X$48:$X$174,$D$48:$D$174,Table!$C$3,$S$48:$S$174,C25,$AA$48:$AA$174,{"Ongoing","N/A",""}))</f>
        <v>0</v>
      </c>
      <c r="F25" s="70">
        <f>1/8*(SUMIFS($Z$48:$Z$174,$D$48:$D$174,Table!$C$3,$S$48:$S$174,C25)-SUM(SUMIFS($Z$48:$Z$174,$D$48:$D$174,Table!$C$3,$S$48:$S$174,C25,$AA$48:$AA$174,{"Ongoing","N/A",""})))</f>
        <v>0</v>
      </c>
      <c r="G25" s="70" t="str">
        <f t="shared" si="2"/>
        <v>N/A</v>
      </c>
      <c r="H25" s="71" t="str">
        <f t="shared" si="3"/>
        <v>N/A</v>
      </c>
    </row>
    <row r="26" spans="1:12" x14ac:dyDescent="0.25">
      <c r="B26" s="68">
        <v>8</v>
      </c>
      <c r="C26" s="69" t="s">
        <v>70</v>
      </c>
      <c r="D26" s="70">
        <f>SUMIFS($W$48:$W$174,$D$48:$D$174,Table!$C$3,$S$48:$S$174,C26)</f>
        <v>0</v>
      </c>
      <c r="E26" s="70">
        <f>SUMIFS($X$48:$X$174,$D$48:$D$174,Table!$C$3,$S$48:$S$174,C26)-SUM(SUMIFS($X$48:$X$174,$D$48:$D$174,Table!$C$3,$S$48:$S$174,C26,$AA$48:$AA$174,{"Ongoing","N/A",""}))</f>
        <v>0</v>
      </c>
      <c r="F26" s="70">
        <f>1/8*(SUMIFS($Z$48:$Z$174,$D$48:$D$174,Table!$C$3,$S$48:$S$174,C26)-SUM(SUMIFS($Z$48:$Z$174,$D$48:$D$174,Table!$C$3,$S$48:$S$174,C26,$AA$48:$AA$174,{"Ongoing","N/A",""})))</f>
        <v>0</v>
      </c>
      <c r="G26" s="70" t="str">
        <f t="shared" si="2"/>
        <v>N/A</v>
      </c>
      <c r="H26" s="71" t="str">
        <f t="shared" si="3"/>
        <v>N/A</v>
      </c>
    </row>
    <row r="27" spans="1:12" x14ac:dyDescent="0.25">
      <c r="B27" s="68">
        <v>9</v>
      </c>
      <c r="C27" s="79" t="s">
        <v>156</v>
      </c>
      <c r="D27" s="70">
        <f>SUMIFS($W$48:$W$174,$D$48:$D$174,Table!$C$3,$S$48:$S$174,C27)</f>
        <v>384.8</v>
      </c>
      <c r="E27" s="70">
        <f>SUMIFS($X$48:$X$174,$D$48:$D$174,Table!$C$3,$S$48:$S$174,C27)-SUM(SUMIFS($X$48:$X$174,$D$48:$D$174,Table!$C$3,$S$48:$S$174,C27,$AA$48:$AA$174,{"Ongoing","N/A",""}))</f>
        <v>384.8</v>
      </c>
      <c r="F27" s="70">
        <f>1/8*(SUMIFS($Z$48:$Z$174,$D$48:$D$174,Table!$C$3,$S$48:$S$174,C27)-SUM(SUMIFS($Z$48:$Z$174,$D$48:$D$174,Table!$C$3,$S$48:$S$174,C27,$AA$48:$AA$174,{"Ongoing","N/A",""})))</f>
        <v>2</v>
      </c>
      <c r="G27" s="70">
        <f t="shared" si="2"/>
        <v>192.4</v>
      </c>
      <c r="H27" s="71">
        <f t="shared" si="3"/>
        <v>1</v>
      </c>
    </row>
    <row r="28" spans="1:12" x14ac:dyDescent="0.25">
      <c r="B28" s="68">
        <v>10</v>
      </c>
      <c r="C28" s="83" t="s">
        <v>157</v>
      </c>
      <c r="D28" s="70">
        <f>SUMIFS($W$48:$W$174,$D$48:$D$174,Table!$C$3,$S$48:$S$174,C28)</f>
        <v>0</v>
      </c>
      <c r="E28" s="70">
        <f>SUMIFS($X$48:$X$174,$D$48:$D$174,Table!$C$3,$S$48:$S$174,C28)-SUM(SUMIFS($X$48:$X$174,$D$48:$D$174,Table!$C$3,$S$48:$S$174,C28,$AA$48:$AA$174,{"Ongoing","N/A",""}))</f>
        <v>0</v>
      </c>
      <c r="F28" s="70">
        <f>1/8*(SUMIFS($Z$48:$Z$174,$D$48:$D$174,Table!$C$3,$S$48:$S$174,C28)-SUM(SUMIFS($Z$48:$Z$174,$D$48:$D$174,Table!$C$3,$S$48:$S$174,C28,$AA$48:$AA$174,{"Ongoing","N/A",""})))</f>
        <v>0</v>
      </c>
      <c r="G28" s="70" t="str">
        <f t="shared" si="2"/>
        <v>N/A</v>
      </c>
      <c r="H28" s="71" t="str">
        <f t="shared" si="3"/>
        <v>N/A</v>
      </c>
    </row>
    <row r="29" spans="1:12" x14ac:dyDescent="0.25">
      <c r="B29" s="66" t="s">
        <v>109</v>
      </c>
      <c r="C29" s="72"/>
      <c r="D29" s="74">
        <f>ROUND(SUMIFS($W$48:$W$174,$D$48:$D$174,Table!$C$3),3)</f>
        <v>2148.9</v>
      </c>
      <c r="E29" s="74">
        <f>ROUND(SUMIFS($W$48:$W$174,$D$48:$D$174,Table!$C$3)-SUM(SUMIFS($W$48:$W$174,$D$48:$D$174,Table!$C$3,$AA$48:$AA$174,{"Ongoing","N/A",""})),3)</f>
        <v>2148.9</v>
      </c>
      <c r="F29" s="74">
        <f>1/8*(SUMIFS($Z$48:$Z$174,$D$48:$D$174,Table!$C$3)-SUM(SUMIFS($Z$48:$Z$174,$D$48:$D$174,Table!$C$3,$AA$48:$AA$174,{"Ongoing","N/A",""})))</f>
        <v>9.625</v>
      </c>
      <c r="G29" s="70">
        <f t="shared" si="2"/>
        <v>223.26233766233767</v>
      </c>
      <c r="H29" s="71">
        <f t="shared" si="3"/>
        <v>1</v>
      </c>
      <c r="L29" s="6"/>
    </row>
    <row r="32" spans="1:12" x14ac:dyDescent="0.25">
      <c r="A32" s="1" t="s">
        <v>417</v>
      </c>
      <c r="B32" s="73" t="s">
        <v>110</v>
      </c>
    </row>
    <row r="33" spans="2:40" x14ac:dyDescent="0.25">
      <c r="B33" s="66" t="s">
        <v>0</v>
      </c>
      <c r="C33" s="66" t="s">
        <v>8</v>
      </c>
      <c r="D33" s="66" t="s">
        <v>129</v>
      </c>
      <c r="E33" s="66" t="s">
        <v>53</v>
      </c>
      <c r="F33" s="66" t="s">
        <v>102</v>
      </c>
      <c r="G33" s="66" t="s">
        <v>22</v>
      </c>
      <c r="H33" s="67" t="s">
        <v>24</v>
      </c>
      <c r="I33" s="67" t="s">
        <v>149</v>
      </c>
      <c r="J33" s="67" t="s">
        <v>164</v>
      </c>
    </row>
    <row r="34" spans="2:40" x14ac:dyDescent="0.25">
      <c r="B34" s="68">
        <v>1</v>
      </c>
      <c r="C34" s="83" t="s">
        <v>6</v>
      </c>
      <c r="D34" s="70">
        <f>SUM(D19*Table!$D$4/Table!$C$4,D4)</f>
        <v>341.1</v>
      </c>
      <c r="E34" s="70">
        <f>SUM(E19*Table!$D$4/Table!$C$4,E4)</f>
        <v>341.1</v>
      </c>
      <c r="F34" s="70">
        <f t="shared" ref="F34:F43" ca="1" si="4">$K$16</f>
        <v>13</v>
      </c>
      <c r="G34" s="70">
        <f t="shared" ref="G34" ca="1" si="5">IF(ISERROR(E34/(F34)),"N/A",E34/F34)</f>
        <v>26.238461538461539</v>
      </c>
      <c r="H34" s="71">
        <f t="shared" ref="H34:H44" si="6">IF(ISERROR(E34/D34),"N/A",E34/D34)</f>
        <v>1</v>
      </c>
      <c r="I34" s="3">
        <f>COUNTIFS($S$48:$S$174,C34,$AK$48:$AK$174,Table!$C$36)</f>
        <v>0</v>
      </c>
      <c r="J34" s="3">
        <f>COUNTIFS($S$48:$S$174,C34,$AK$48:$AK$174,Table!$C$37)</f>
        <v>0</v>
      </c>
    </row>
    <row r="35" spans="2:40" x14ac:dyDescent="0.25">
      <c r="B35" s="68">
        <v>2</v>
      </c>
      <c r="C35" s="83" t="s">
        <v>64</v>
      </c>
      <c r="D35" s="70">
        <f>SUM(D20*Table!$D$4/Table!$C$4,D5)</f>
        <v>0</v>
      </c>
      <c r="E35" s="70">
        <f>SUM(E20*Table!$D$4/Table!$C$4,E5)</f>
        <v>0</v>
      </c>
      <c r="F35" s="70">
        <f t="shared" ca="1" si="4"/>
        <v>13</v>
      </c>
      <c r="G35" s="70">
        <f ca="1">IF(ISERROR(E35/(F35)),"N/A",E35/F35)</f>
        <v>0</v>
      </c>
      <c r="H35" s="71" t="str">
        <f t="shared" si="6"/>
        <v>N/A</v>
      </c>
      <c r="I35" s="3">
        <f>COUNTIFS($S$48:$S$174,C35,$AK$48:$AK$174,Table!$C$36)</f>
        <v>0</v>
      </c>
      <c r="J35" s="3">
        <f>COUNTIFS($S$48:$S$174,C35,$AK$48:$AK$174,Table!$C$37)</f>
        <v>0</v>
      </c>
    </row>
    <row r="36" spans="2:40" x14ac:dyDescent="0.25">
      <c r="B36" s="68">
        <v>3</v>
      </c>
      <c r="C36" s="83" t="s">
        <v>65</v>
      </c>
      <c r="D36" s="70">
        <f>SUM(D21*Table!$D$4/Table!$C$4,D6)</f>
        <v>0</v>
      </c>
      <c r="E36" s="70">
        <f>SUM(E21*Table!$D$4/Table!$C$4,E6)</f>
        <v>0</v>
      </c>
      <c r="F36" s="70">
        <f t="shared" ca="1" si="4"/>
        <v>13</v>
      </c>
      <c r="G36" s="70">
        <f t="shared" ref="G36:G43" ca="1" si="7">IF(ISERROR(E36/(F36)),"N/A",E36/F36)</f>
        <v>0</v>
      </c>
      <c r="H36" s="71" t="str">
        <f t="shared" si="6"/>
        <v>N/A</v>
      </c>
      <c r="I36" s="3">
        <f>COUNTIFS($S$48:$S$174,C36,$AK$48:$AK$174,Table!$C$36)</f>
        <v>0</v>
      </c>
      <c r="J36" s="3">
        <f>COUNTIFS($S$48:$S$174,C36,$AK$48:$AK$174,Table!$C$37)</f>
        <v>0</v>
      </c>
    </row>
    <row r="37" spans="2:40" x14ac:dyDescent="0.25">
      <c r="B37" s="68">
        <v>4</v>
      </c>
      <c r="C37" s="79" t="s">
        <v>66</v>
      </c>
      <c r="D37" s="70">
        <f>SUM(D22*Table!$D$4/Table!$C$4,D7)</f>
        <v>10817.775000000001</v>
      </c>
      <c r="E37" s="70">
        <f>SUM(E22*Table!$D$4/Table!$C$4,E7)</f>
        <v>10817.775000000001</v>
      </c>
      <c r="F37" s="70">
        <f t="shared" ca="1" si="4"/>
        <v>13</v>
      </c>
      <c r="G37" s="70">
        <f t="shared" ca="1" si="7"/>
        <v>832.13653846153852</v>
      </c>
      <c r="H37" s="71">
        <f t="shared" si="6"/>
        <v>1</v>
      </c>
      <c r="I37" s="3">
        <f>COUNTIFS($S$48:$S$174,C37,$AK$48:$AK$174,Table!$C$36)</f>
        <v>0</v>
      </c>
      <c r="J37" s="3">
        <f>COUNTIFS($S$48:$S$174,C37,$AK$48:$AK$174,Table!$C$37)</f>
        <v>0</v>
      </c>
    </row>
    <row r="38" spans="2:40" x14ac:dyDescent="0.25">
      <c r="B38" s="68">
        <v>5</v>
      </c>
      <c r="C38" s="69" t="s">
        <v>67</v>
      </c>
      <c r="D38" s="70">
        <f>SUM(D23*Table!$D$4/Table!$C$4,D8)</f>
        <v>0</v>
      </c>
      <c r="E38" s="70">
        <f>SUM(E23*Table!$D$4/Table!$C$4,E8)</f>
        <v>0</v>
      </c>
      <c r="F38" s="70">
        <f t="shared" ca="1" si="4"/>
        <v>13</v>
      </c>
      <c r="G38" s="70">
        <f t="shared" ca="1" si="7"/>
        <v>0</v>
      </c>
      <c r="H38" s="71" t="str">
        <f t="shared" si="6"/>
        <v>N/A</v>
      </c>
      <c r="I38" s="3">
        <f>COUNTIFS($S$48:$S$174,C38,$AK$48:$AK$174,Table!$C$36)</f>
        <v>0</v>
      </c>
      <c r="J38" s="3">
        <f>COUNTIFS($S$48:$S$174,C38,$AK$48:$AK$174,Table!$C$37)</f>
        <v>0</v>
      </c>
    </row>
    <row r="39" spans="2:40" x14ac:dyDescent="0.25">
      <c r="B39" s="68">
        <v>6</v>
      </c>
      <c r="C39" s="69" t="s">
        <v>68</v>
      </c>
      <c r="D39" s="70">
        <f>SUM(D24*Table!$D$4/Table!$C$4,D9)</f>
        <v>0</v>
      </c>
      <c r="E39" s="70">
        <f>SUM(E24*Table!$D$4/Table!$C$4,E9)</f>
        <v>0</v>
      </c>
      <c r="F39" s="70">
        <f t="shared" ca="1" si="4"/>
        <v>13</v>
      </c>
      <c r="G39" s="70">
        <f t="shared" ca="1" si="7"/>
        <v>0</v>
      </c>
      <c r="H39" s="71" t="str">
        <f t="shared" si="6"/>
        <v>N/A</v>
      </c>
      <c r="I39" s="3">
        <f>COUNTIFS($S$48:$S$174,C39,$AK$48:$AK$174,Table!$C$36)</f>
        <v>0</v>
      </c>
      <c r="J39" s="3">
        <f>COUNTIFS($S$48:$S$174,C39,$AK$48:$AK$174,Table!$C$37)</f>
        <v>0</v>
      </c>
    </row>
    <row r="40" spans="2:40" x14ac:dyDescent="0.25">
      <c r="B40" s="68">
        <v>7</v>
      </c>
      <c r="C40" s="69" t="s">
        <v>69</v>
      </c>
      <c r="D40" s="70">
        <f>SUM(D25*Table!$D$4/Table!$C$4,D10)</f>
        <v>0</v>
      </c>
      <c r="E40" s="70">
        <f>SUM(E25*Table!$D$4/Table!$C$4,E10)</f>
        <v>0</v>
      </c>
      <c r="F40" s="70">
        <f t="shared" ca="1" si="4"/>
        <v>13</v>
      </c>
      <c r="G40" s="70">
        <f t="shared" ca="1" si="7"/>
        <v>0</v>
      </c>
      <c r="H40" s="71" t="str">
        <f t="shared" si="6"/>
        <v>N/A</v>
      </c>
      <c r="I40" s="3">
        <f>COUNTIFS($S$48:$S$174,C40,$AK$48:$AK$174,Table!$C$36)</f>
        <v>0</v>
      </c>
      <c r="J40" s="3">
        <f>COUNTIFS($S$48:$S$174,C40,$AK$48:$AK$174,Table!$C$37)</f>
        <v>0</v>
      </c>
    </row>
    <row r="41" spans="2:40" x14ac:dyDescent="0.25">
      <c r="B41" s="68">
        <v>8</v>
      </c>
      <c r="C41" s="69" t="s">
        <v>70</v>
      </c>
      <c r="D41" s="70">
        <f>SUM(D26*Table!$D$4/Table!$C$4,D11)</f>
        <v>0</v>
      </c>
      <c r="E41" s="70">
        <f>SUM(E26*Table!$D$4/Table!$C$4,E11)</f>
        <v>0</v>
      </c>
      <c r="F41" s="70">
        <f t="shared" ca="1" si="4"/>
        <v>13</v>
      </c>
      <c r="G41" s="70">
        <f t="shared" ca="1" si="7"/>
        <v>0</v>
      </c>
      <c r="H41" s="71" t="str">
        <f t="shared" si="6"/>
        <v>N/A</v>
      </c>
      <c r="I41" s="3">
        <f>COUNTIFS($S$48:$S$174,C41,$AK$48:$AK$174,Table!$C$36)</f>
        <v>0</v>
      </c>
      <c r="J41" s="3">
        <f>COUNTIFS($S$48:$S$174,C41,$AK$48:$AK$174,Table!$C$37)</f>
        <v>0</v>
      </c>
    </row>
    <row r="42" spans="2:40" x14ac:dyDescent="0.25">
      <c r="B42" s="68">
        <v>9</v>
      </c>
      <c r="C42" s="79" t="s">
        <v>156</v>
      </c>
      <c r="D42" s="70">
        <f>SUM(D27*Table!$D$4/Table!$C$4,D12)</f>
        <v>6359.85</v>
      </c>
      <c r="E42" s="70">
        <f>SUM(E27*Table!$D$4/Table!$C$4,E12)</f>
        <v>6359.85</v>
      </c>
      <c r="F42" s="70">
        <f t="shared" ca="1" si="4"/>
        <v>13</v>
      </c>
      <c r="G42" s="70">
        <f t="shared" ca="1" si="7"/>
        <v>489.21923076923082</v>
      </c>
      <c r="H42" s="71">
        <f t="shared" si="6"/>
        <v>1</v>
      </c>
      <c r="I42" s="3">
        <f>COUNTIFS($S$48:$S$174,C42,$AK$48:$AK$174,Table!$C$36)</f>
        <v>0</v>
      </c>
      <c r="J42" s="3">
        <f>COUNTIFS($S$48:$S$174,C42,$AK$48:$AK$174,Table!$C$37)</f>
        <v>1</v>
      </c>
    </row>
    <row r="43" spans="2:40" x14ac:dyDescent="0.25">
      <c r="B43" s="68">
        <v>10</v>
      </c>
      <c r="C43" s="83" t="s">
        <v>157</v>
      </c>
      <c r="D43" s="70">
        <f>SUM(D28*Table!$D$4/Table!$C$4,D13)</f>
        <v>0</v>
      </c>
      <c r="E43" s="70">
        <f>SUM(E28*Table!$D$4/Table!$C$4,E13)</f>
        <v>0</v>
      </c>
      <c r="F43" s="70">
        <f t="shared" ca="1" si="4"/>
        <v>13</v>
      </c>
      <c r="G43" s="70">
        <f t="shared" ca="1" si="7"/>
        <v>0</v>
      </c>
      <c r="H43" s="71" t="str">
        <f t="shared" si="6"/>
        <v>N/A</v>
      </c>
      <c r="I43" s="3">
        <f>COUNTIFS($S$48:$S$174,C43,$AK$48:$AK$174,Table!$C$36)</f>
        <v>0</v>
      </c>
      <c r="J43" s="3">
        <f>COUNTIFS($S$48:$S$174,C43,$AK$48:$AK$174,Table!$C$37)</f>
        <v>0</v>
      </c>
    </row>
    <row r="44" spans="2:40" x14ac:dyDescent="0.25">
      <c r="B44" s="66" t="s">
        <v>109</v>
      </c>
      <c r="C44" s="72"/>
      <c r="D44" s="70">
        <f>SUM(D34:D43)</f>
        <v>17518.725000000002</v>
      </c>
      <c r="E44" s="70">
        <f>SUM(E34:E43)</f>
        <v>17518.725000000002</v>
      </c>
      <c r="F44" s="70">
        <f ca="1">$K$16*5</f>
        <v>65</v>
      </c>
      <c r="G44" s="70">
        <f ca="1">IF(ISERROR(E44/(F44)),"N/A",E44/F44)</f>
        <v>269.5188461538462</v>
      </c>
      <c r="H44" s="71">
        <f t="shared" si="6"/>
        <v>1</v>
      </c>
      <c r="I44" s="3">
        <f>SUM(I34:I43)</f>
        <v>0</v>
      </c>
      <c r="J44" s="3">
        <f>SUM(J34:J43)</f>
        <v>1</v>
      </c>
    </row>
    <row r="47" spans="2:40" x14ac:dyDescent="0.25">
      <c r="B47" s="61" t="s">
        <v>0</v>
      </c>
      <c r="C47" s="61" t="s">
        <v>63</v>
      </c>
      <c r="D47" s="61" t="s">
        <v>1</v>
      </c>
      <c r="E47" s="61" t="s">
        <v>56</v>
      </c>
      <c r="F47" s="61" t="s">
        <v>57</v>
      </c>
      <c r="G47" s="61" t="s">
        <v>158</v>
      </c>
      <c r="H47" s="61" t="s">
        <v>113</v>
      </c>
      <c r="I47" s="61" t="s">
        <v>58</v>
      </c>
      <c r="J47" s="61" t="s">
        <v>112</v>
      </c>
      <c r="K47" s="61" t="s">
        <v>159</v>
      </c>
      <c r="L47" s="61" t="s">
        <v>72</v>
      </c>
      <c r="M47" s="61" t="s">
        <v>162</v>
      </c>
      <c r="N47" s="61" t="s">
        <v>71</v>
      </c>
      <c r="O47" s="61" t="s">
        <v>62</v>
      </c>
      <c r="P47" s="61" t="s">
        <v>80</v>
      </c>
      <c r="Q47" s="58" t="s">
        <v>55</v>
      </c>
      <c r="R47" s="62" t="s">
        <v>7</v>
      </c>
      <c r="S47" s="62" t="s">
        <v>8</v>
      </c>
      <c r="T47" s="62" t="s">
        <v>78</v>
      </c>
      <c r="U47" s="62" t="s">
        <v>92</v>
      </c>
      <c r="V47" s="62" t="s">
        <v>75</v>
      </c>
      <c r="W47" s="62" t="s">
        <v>76</v>
      </c>
      <c r="X47" s="62" t="s">
        <v>53</v>
      </c>
      <c r="Y47" s="62" t="s">
        <v>79</v>
      </c>
      <c r="Z47" s="62" t="s">
        <v>54</v>
      </c>
      <c r="AA47" s="62" t="s">
        <v>17</v>
      </c>
      <c r="AB47" s="62" t="s">
        <v>184</v>
      </c>
      <c r="AC47" s="62" t="s">
        <v>59</v>
      </c>
      <c r="AD47" s="62" t="s">
        <v>60</v>
      </c>
      <c r="AE47" s="61" t="s">
        <v>12</v>
      </c>
      <c r="AF47" s="61" t="s">
        <v>13</v>
      </c>
      <c r="AG47" s="61" t="s">
        <v>77</v>
      </c>
      <c r="AH47" s="61" t="s">
        <v>14</v>
      </c>
      <c r="AI47" s="61" t="s">
        <v>15</v>
      </c>
      <c r="AJ47" s="62" t="s">
        <v>16</v>
      </c>
      <c r="AK47" s="61" t="s">
        <v>160</v>
      </c>
      <c r="AL47" s="62" t="s">
        <v>147</v>
      </c>
      <c r="AM47" s="62" t="s">
        <v>146</v>
      </c>
      <c r="AN47" s="62" t="s">
        <v>81</v>
      </c>
    </row>
    <row r="48" spans="2:40" x14ac:dyDescent="0.25">
      <c r="B48" s="45">
        <v>1</v>
      </c>
      <c r="C48" s="17">
        <v>20200427</v>
      </c>
      <c r="D48" s="16" t="s">
        <v>2</v>
      </c>
      <c r="E48" s="92" t="s">
        <v>503</v>
      </c>
      <c r="F48" s="18" t="s">
        <v>256</v>
      </c>
      <c r="G48" s="57" t="s">
        <v>61</v>
      </c>
      <c r="H48" s="16" t="s">
        <v>199</v>
      </c>
      <c r="I48" s="16" t="s">
        <v>260</v>
      </c>
      <c r="J48" s="16" t="s">
        <v>198</v>
      </c>
      <c r="K48" s="57" t="s">
        <v>61</v>
      </c>
      <c r="L48" s="57" t="s">
        <v>61</v>
      </c>
      <c r="M48" s="57" t="s">
        <v>61</v>
      </c>
      <c r="N48" s="16" t="s">
        <v>316</v>
      </c>
      <c r="O48" s="18" t="s">
        <v>194</v>
      </c>
      <c r="P48" s="18" t="s">
        <v>317</v>
      </c>
      <c r="Q48" s="19"/>
      <c r="R48" s="17" t="s">
        <v>98</v>
      </c>
      <c r="S48" s="16" t="s">
        <v>66</v>
      </c>
      <c r="T48" s="16"/>
      <c r="U48" s="16"/>
      <c r="V48" s="16">
        <v>36</v>
      </c>
      <c r="W48" s="16">
        <f>ROUND(IF(D48=Table!$C$3,Y48*Table!$C$4/8,Y48*Table!$D$4/8),3)</f>
        <v>26</v>
      </c>
      <c r="X48" s="16">
        <f t="shared" ref="X48" si="8">W48</f>
        <v>26</v>
      </c>
      <c r="Y48" s="16">
        <v>1.6</v>
      </c>
      <c r="Z48" s="16">
        <v>1</v>
      </c>
      <c r="AA48" s="16" t="s">
        <v>21</v>
      </c>
      <c r="AB48" s="20">
        <v>43958</v>
      </c>
      <c r="AC48" s="20">
        <v>43946</v>
      </c>
      <c r="AD48" s="20">
        <v>43958</v>
      </c>
      <c r="AE48" s="20">
        <v>43955</v>
      </c>
      <c r="AF48" s="20">
        <v>43955</v>
      </c>
      <c r="AG48" s="20" t="s">
        <v>335</v>
      </c>
      <c r="AH48" s="32">
        <v>0.77800000000000002</v>
      </c>
      <c r="AI48" s="32">
        <v>0.77800000000000002</v>
      </c>
      <c r="AJ48" s="32">
        <v>1</v>
      </c>
      <c r="AK48" s="20" t="s">
        <v>165</v>
      </c>
      <c r="AL48" s="16" t="s">
        <v>414</v>
      </c>
      <c r="AM48" s="16"/>
      <c r="AN48" s="16"/>
    </row>
    <row r="49" spans="2:40" x14ac:dyDescent="0.25">
      <c r="B49" s="45">
        <f>B48+1</f>
        <v>2</v>
      </c>
      <c r="C49" s="17">
        <v>20200427</v>
      </c>
      <c r="D49" s="16" t="s">
        <v>2</v>
      </c>
      <c r="E49" s="92" t="s">
        <v>503</v>
      </c>
      <c r="F49" s="18" t="s">
        <v>256</v>
      </c>
      <c r="G49" s="57" t="s">
        <v>61</v>
      </c>
      <c r="H49" s="16" t="s">
        <v>200</v>
      </c>
      <c r="I49" s="16" t="s">
        <v>261</v>
      </c>
      <c r="J49" s="16" t="s">
        <v>198</v>
      </c>
      <c r="K49" s="57" t="s">
        <v>61</v>
      </c>
      <c r="L49" s="57" t="s">
        <v>61</v>
      </c>
      <c r="M49" s="57" t="s">
        <v>61</v>
      </c>
      <c r="N49" s="16" t="s">
        <v>316</v>
      </c>
      <c r="O49" s="18" t="s">
        <v>195</v>
      </c>
      <c r="P49" s="18" t="s">
        <v>317</v>
      </c>
      <c r="Q49" s="19"/>
      <c r="R49" s="17" t="s">
        <v>98</v>
      </c>
      <c r="S49" s="16" t="s">
        <v>66</v>
      </c>
      <c r="T49" s="16"/>
      <c r="U49" s="16"/>
      <c r="V49" s="16">
        <v>82</v>
      </c>
      <c r="W49" s="16">
        <f>ROUND(IF(D49=Table!$C$3,Y49*Table!$C$4/8,Y49*Table!$D$4/8),3)</f>
        <v>71.5</v>
      </c>
      <c r="X49" s="16">
        <f t="shared" ref="X49:X80" si="9">W49</f>
        <v>71.5</v>
      </c>
      <c r="Y49" s="16">
        <v>4.4000000000000004</v>
      </c>
      <c r="Z49" s="16">
        <v>2</v>
      </c>
      <c r="AA49" s="16" t="s">
        <v>21</v>
      </c>
      <c r="AB49" s="20">
        <v>43958</v>
      </c>
      <c r="AC49" s="20">
        <v>43946</v>
      </c>
      <c r="AD49" s="20">
        <v>43958</v>
      </c>
      <c r="AE49" s="20">
        <v>43955</v>
      </c>
      <c r="AF49" s="20">
        <v>43955</v>
      </c>
      <c r="AG49" s="20" t="s">
        <v>335</v>
      </c>
      <c r="AH49" s="32">
        <v>0.92900000000000005</v>
      </c>
      <c r="AI49" s="32">
        <v>0.92900000000000005</v>
      </c>
      <c r="AJ49" s="32">
        <v>0.625</v>
      </c>
      <c r="AK49" s="20" t="s">
        <v>165</v>
      </c>
      <c r="AL49" s="16" t="s">
        <v>414</v>
      </c>
      <c r="AM49" s="16"/>
      <c r="AN49" s="16"/>
    </row>
    <row r="50" spans="2:40" x14ac:dyDescent="0.25">
      <c r="B50" s="45">
        <f t="shared" ref="B50:B108" si="10">B49+1</f>
        <v>3</v>
      </c>
      <c r="C50" s="17">
        <v>20200427</v>
      </c>
      <c r="D50" s="16" t="s">
        <v>2</v>
      </c>
      <c r="E50" s="92" t="s">
        <v>503</v>
      </c>
      <c r="F50" s="18" t="s">
        <v>257</v>
      </c>
      <c r="G50" s="57" t="s">
        <v>61</v>
      </c>
      <c r="H50" s="16" t="s">
        <v>201</v>
      </c>
      <c r="I50" s="16" t="s">
        <v>262</v>
      </c>
      <c r="J50" s="16" t="s">
        <v>121</v>
      </c>
      <c r="K50" s="57" t="s">
        <v>61</v>
      </c>
      <c r="L50" s="57" t="s">
        <v>61</v>
      </c>
      <c r="M50" s="57" t="s">
        <v>61</v>
      </c>
      <c r="N50" s="16" t="s">
        <v>316</v>
      </c>
      <c r="O50" s="18" t="s">
        <v>196</v>
      </c>
      <c r="P50" s="18" t="s">
        <v>317</v>
      </c>
      <c r="Q50" s="19"/>
      <c r="R50" s="17" t="s">
        <v>98</v>
      </c>
      <c r="S50" s="16" t="s">
        <v>66</v>
      </c>
      <c r="T50" s="16"/>
      <c r="U50" s="16"/>
      <c r="V50" s="16">
        <v>179</v>
      </c>
      <c r="W50" s="16">
        <f>ROUND(IF(D50=Table!$C$3,Y50*Table!$C$4/8,Y50*Table!$D$4/8),3)</f>
        <v>84.5</v>
      </c>
      <c r="X50" s="16">
        <f t="shared" si="9"/>
        <v>84.5</v>
      </c>
      <c r="Y50" s="16">
        <v>5.2</v>
      </c>
      <c r="Z50" s="16">
        <v>2</v>
      </c>
      <c r="AA50" s="16" t="s">
        <v>21</v>
      </c>
      <c r="AB50" s="20">
        <v>43958</v>
      </c>
      <c r="AC50" s="20">
        <v>43946</v>
      </c>
      <c r="AD50" s="20">
        <v>43958</v>
      </c>
      <c r="AE50" s="20">
        <v>43955</v>
      </c>
      <c r="AF50" s="20">
        <v>43955</v>
      </c>
      <c r="AG50" s="20" t="s">
        <v>335</v>
      </c>
      <c r="AH50" s="32">
        <v>0.88900000000000001</v>
      </c>
      <c r="AI50" s="32">
        <v>0.9</v>
      </c>
      <c r="AJ50" s="32" t="s">
        <v>412</v>
      </c>
      <c r="AK50" s="20" t="s">
        <v>165</v>
      </c>
      <c r="AL50" s="16" t="s">
        <v>415</v>
      </c>
      <c r="AM50" s="16"/>
      <c r="AN50" s="16"/>
    </row>
    <row r="51" spans="2:40" x14ac:dyDescent="0.25">
      <c r="B51" s="45">
        <f t="shared" si="10"/>
        <v>4</v>
      </c>
      <c r="C51" s="17">
        <v>20200427</v>
      </c>
      <c r="D51" s="16" t="s">
        <v>2</v>
      </c>
      <c r="E51" s="92" t="s">
        <v>503</v>
      </c>
      <c r="F51" s="18" t="s">
        <v>258</v>
      </c>
      <c r="G51" s="57" t="s">
        <v>61</v>
      </c>
      <c r="H51" s="16" t="s">
        <v>202</v>
      </c>
      <c r="I51" s="16" t="s">
        <v>263</v>
      </c>
      <c r="J51" s="16" t="s">
        <v>121</v>
      </c>
      <c r="K51" s="57" t="s">
        <v>61</v>
      </c>
      <c r="L51" s="57" t="s">
        <v>61</v>
      </c>
      <c r="M51" s="57" t="s">
        <v>61</v>
      </c>
      <c r="N51" s="16" t="s">
        <v>316</v>
      </c>
      <c r="O51" s="18" t="s">
        <v>143</v>
      </c>
      <c r="P51" s="18" t="s">
        <v>317</v>
      </c>
      <c r="Q51" s="19"/>
      <c r="R51" s="17" t="s">
        <v>98</v>
      </c>
      <c r="S51" s="16" t="s">
        <v>66</v>
      </c>
      <c r="T51" s="16"/>
      <c r="U51" s="16"/>
      <c r="V51" s="16">
        <v>10</v>
      </c>
      <c r="W51" s="16">
        <f>ROUND(IF(D51=Table!$C$3,Y51*Table!$C$4/8,Y51*Table!$D$4/8),3)</f>
        <v>26</v>
      </c>
      <c r="X51" s="16">
        <f t="shared" si="9"/>
        <v>26</v>
      </c>
      <c r="Y51" s="16">
        <v>1.6</v>
      </c>
      <c r="Z51" s="16">
        <v>0.5</v>
      </c>
      <c r="AA51" s="16" t="s">
        <v>21</v>
      </c>
      <c r="AB51" s="20">
        <v>43958</v>
      </c>
      <c r="AC51" s="20">
        <v>43946</v>
      </c>
      <c r="AD51" s="20">
        <v>43958</v>
      </c>
      <c r="AE51" s="20">
        <v>43956</v>
      </c>
      <c r="AF51" s="20">
        <v>43956</v>
      </c>
      <c r="AG51" s="20" t="s">
        <v>335</v>
      </c>
      <c r="AH51" s="32">
        <v>1</v>
      </c>
      <c r="AI51" s="32" t="s">
        <v>412</v>
      </c>
      <c r="AJ51" s="32" t="s">
        <v>412</v>
      </c>
      <c r="AK51" s="20" t="s">
        <v>165</v>
      </c>
      <c r="AL51" s="16"/>
      <c r="AM51" s="16"/>
      <c r="AN51" s="16"/>
    </row>
    <row r="52" spans="2:40" x14ac:dyDescent="0.25">
      <c r="B52" s="45">
        <f t="shared" si="10"/>
        <v>5</v>
      </c>
      <c r="C52" s="17">
        <v>20200427</v>
      </c>
      <c r="D52" s="16" t="s">
        <v>2</v>
      </c>
      <c r="E52" s="92" t="s">
        <v>503</v>
      </c>
      <c r="F52" s="18" t="s">
        <v>258</v>
      </c>
      <c r="G52" s="57" t="s">
        <v>61</v>
      </c>
      <c r="H52" s="16" t="s">
        <v>203</v>
      </c>
      <c r="I52" s="16" t="s">
        <v>264</v>
      </c>
      <c r="J52" s="16" t="s">
        <v>121</v>
      </c>
      <c r="K52" s="57" t="s">
        <v>61</v>
      </c>
      <c r="L52" s="57" t="s">
        <v>61</v>
      </c>
      <c r="M52" s="57" t="s">
        <v>61</v>
      </c>
      <c r="N52" s="16" t="s">
        <v>316</v>
      </c>
      <c r="O52" s="18" t="s">
        <v>143</v>
      </c>
      <c r="P52" s="18" t="s">
        <v>317</v>
      </c>
      <c r="Q52" s="19"/>
      <c r="R52" s="17" t="s">
        <v>98</v>
      </c>
      <c r="S52" s="16" t="s">
        <v>66</v>
      </c>
      <c r="T52" s="16"/>
      <c r="U52" s="16"/>
      <c r="V52" s="16">
        <v>10</v>
      </c>
      <c r="W52" s="16">
        <f>ROUND(IF(D52=Table!$C$3,Y52*Table!$C$4/8,Y52*Table!$D$4/8),3)</f>
        <v>26</v>
      </c>
      <c r="X52" s="16">
        <f t="shared" si="9"/>
        <v>26</v>
      </c>
      <c r="Y52" s="16">
        <v>1.6</v>
      </c>
      <c r="Z52" s="16">
        <v>0.5</v>
      </c>
      <c r="AA52" s="16" t="s">
        <v>21</v>
      </c>
      <c r="AB52" s="20">
        <v>43958</v>
      </c>
      <c r="AC52" s="20">
        <v>43946</v>
      </c>
      <c r="AD52" s="20">
        <v>43958</v>
      </c>
      <c r="AE52" s="20">
        <v>43956</v>
      </c>
      <c r="AF52" s="20">
        <v>43956</v>
      </c>
      <c r="AG52" s="20" t="s">
        <v>335</v>
      </c>
      <c r="AH52" s="32">
        <v>1</v>
      </c>
      <c r="AI52" s="32" t="s">
        <v>412</v>
      </c>
      <c r="AJ52" s="32" t="s">
        <v>412</v>
      </c>
      <c r="AK52" s="20" t="s">
        <v>165</v>
      </c>
      <c r="AL52" s="16"/>
      <c r="AM52" s="16"/>
      <c r="AN52" s="16"/>
    </row>
    <row r="53" spans="2:40" x14ac:dyDescent="0.25">
      <c r="B53" s="45">
        <f t="shared" si="10"/>
        <v>6</v>
      </c>
      <c r="C53" s="17">
        <v>20200427</v>
      </c>
      <c r="D53" s="16" t="s">
        <v>2</v>
      </c>
      <c r="E53" s="92" t="s">
        <v>503</v>
      </c>
      <c r="F53" s="18" t="s">
        <v>258</v>
      </c>
      <c r="G53" s="57" t="s">
        <v>61</v>
      </c>
      <c r="H53" s="16" t="s">
        <v>204</v>
      </c>
      <c r="I53" s="16" t="s">
        <v>265</v>
      </c>
      <c r="J53" s="16" t="s">
        <v>121</v>
      </c>
      <c r="K53" s="57" t="s">
        <v>61</v>
      </c>
      <c r="L53" s="57" t="s">
        <v>61</v>
      </c>
      <c r="M53" s="57" t="s">
        <v>61</v>
      </c>
      <c r="N53" s="16" t="s">
        <v>316</v>
      </c>
      <c r="O53" s="18" t="s">
        <v>197</v>
      </c>
      <c r="P53" s="18" t="s">
        <v>317</v>
      </c>
      <c r="Q53" s="19"/>
      <c r="R53" s="17" t="s">
        <v>98</v>
      </c>
      <c r="S53" s="16" t="s">
        <v>66</v>
      </c>
      <c r="T53" s="16"/>
      <c r="U53" s="16"/>
      <c r="V53" s="16">
        <v>90</v>
      </c>
      <c r="W53" s="16">
        <f>ROUND(IF(D53=Table!$C$3,Y53*Table!$C$4/8,Y53*Table!$D$4/8),3)</f>
        <v>65</v>
      </c>
      <c r="X53" s="16">
        <f t="shared" si="9"/>
        <v>65</v>
      </c>
      <c r="Y53" s="16">
        <v>4</v>
      </c>
      <c r="Z53" s="16">
        <v>2</v>
      </c>
      <c r="AA53" s="16" t="s">
        <v>21</v>
      </c>
      <c r="AB53" s="20">
        <v>43958</v>
      </c>
      <c r="AC53" s="20">
        <v>43946</v>
      </c>
      <c r="AD53" s="20">
        <v>43958</v>
      </c>
      <c r="AE53" s="20">
        <v>43955</v>
      </c>
      <c r="AF53" s="20">
        <v>43955</v>
      </c>
      <c r="AG53" s="20" t="s">
        <v>335</v>
      </c>
      <c r="AH53" s="32">
        <v>1</v>
      </c>
      <c r="AI53" s="32">
        <v>1</v>
      </c>
      <c r="AJ53" s="32">
        <v>0.26900000000000002</v>
      </c>
      <c r="AK53" s="20" t="s">
        <v>165</v>
      </c>
      <c r="AL53" s="16"/>
      <c r="AM53" s="16"/>
      <c r="AN53" s="16"/>
    </row>
    <row r="54" spans="2:40" x14ac:dyDescent="0.25">
      <c r="B54" s="45">
        <f t="shared" si="10"/>
        <v>7</v>
      </c>
      <c r="C54" s="17">
        <v>20200427</v>
      </c>
      <c r="D54" s="16" t="s">
        <v>3</v>
      </c>
      <c r="E54" s="92" t="s">
        <v>503</v>
      </c>
      <c r="F54" s="18" t="s">
        <v>259</v>
      </c>
      <c r="G54" s="57" t="s">
        <v>61</v>
      </c>
      <c r="H54" s="16" t="s">
        <v>142</v>
      </c>
      <c r="I54" s="16" t="s">
        <v>266</v>
      </c>
      <c r="J54" s="16" t="s">
        <v>121</v>
      </c>
      <c r="K54" s="57" t="s">
        <v>61</v>
      </c>
      <c r="L54" s="57" t="s">
        <v>61</v>
      </c>
      <c r="M54" s="57" t="s">
        <v>61</v>
      </c>
      <c r="N54" s="16" t="s">
        <v>148</v>
      </c>
      <c r="O54" s="18" t="s">
        <v>61</v>
      </c>
      <c r="P54" s="18" t="s">
        <v>317</v>
      </c>
      <c r="Q54" s="19"/>
      <c r="R54" s="17" t="s">
        <v>98</v>
      </c>
      <c r="S54" s="16" t="s">
        <v>66</v>
      </c>
      <c r="T54" s="16"/>
      <c r="U54" s="16"/>
      <c r="V54" s="16">
        <v>66</v>
      </c>
      <c r="W54" s="16">
        <f>ROUND(IF(D54=Table!$C$3,Y54*Table!$C$4/8,Y54*Table!$D$4/8),3)</f>
        <v>6.75</v>
      </c>
      <c r="X54" s="16">
        <f t="shared" si="9"/>
        <v>6.75</v>
      </c>
      <c r="Y54" s="16">
        <v>0.12</v>
      </c>
      <c r="Z54" s="16">
        <f t="shared" ref="Z54:Z67" si="11">Y54</f>
        <v>0.12</v>
      </c>
      <c r="AA54" s="16" t="s">
        <v>21</v>
      </c>
      <c r="AB54" s="20">
        <v>43958</v>
      </c>
      <c r="AC54" s="20">
        <v>43946</v>
      </c>
      <c r="AD54" s="20">
        <v>43958</v>
      </c>
      <c r="AE54" s="20">
        <v>43955</v>
      </c>
      <c r="AF54" s="20">
        <v>43955</v>
      </c>
      <c r="AG54" s="20" t="s">
        <v>335</v>
      </c>
      <c r="AH54" s="32">
        <v>1</v>
      </c>
      <c r="AI54" s="32">
        <v>1</v>
      </c>
      <c r="AJ54" s="32">
        <v>1</v>
      </c>
      <c r="AK54" s="20" t="s">
        <v>165</v>
      </c>
      <c r="AL54" s="16"/>
      <c r="AM54" s="16"/>
      <c r="AN54" s="16"/>
    </row>
    <row r="55" spans="2:40" x14ac:dyDescent="0.25">
      <c r="B55" s="45">
        <f t="shared" si="10"/>
        <v>8</v>
      </c>
      <c r="C55" s="17">
        <v>20200427</v>
      </c>
      <c r="D55" s="16" t="s">
        <v>3</v>
      </c>
      <c r="E55" s="92" t="s">
        <v>503</v>
      </c>
      <c r="F55" s="18" t="s">
        <v>259</v>
      </c>
      <c r="G55" s="57" t="s">
        <v>61</v>
      </c>
      <c r="H55" s="16" t="s">
        <v>94</v>
      </c>
      <c r="I55" s="16" t="s">
        <v>267</v>
      </c>
      <c r="J55" s="16" t="s">
        <v>121</v>
      </c>
      <c r="K55" s="57" t="s">
        <v>61</v>
      </c>
      <c r="L55" s="57" t="s">
        <v>61</v>
      </c>
      <c r="M55" s="57" t="s">
        <v>61</v>
      </c>
      <c r="N55" s="16" t="s">
        <v>148</v>
      </c>
      <c r="O55" s="18" t="s">
        <v>61</v>
      </c>
      <c r="P55" s="18" t="s">
        <v>317</v>
      </c>
      <c r="Q55" s="19"/>
      <c r="R55" s="17" t="s">
        <v>98</v>
      </c>
      <c r="S55" s="16" t="s">
        <v>66</v>
      </c>
      <c r="T55" s="16"/>
      <c r="U55" s="16"/>
      <c r="V55" s="16">
        <v>15</v>
      </c>
      <c r="W55" s="16">
        <f>ROUND(IF(D55=Table!$C$3,Y55*Table!$C$4/8,Y55*Table!$D$4/8),3)</f>
        <v>6.75</v>
      </c>
      <c r="X55" s="16">
        <f t="shared" si="9"/>
        <v>6.75</v>
      </c>
      <c r="Y55" s="16">
        <v>0.12</v>
      </c>
      <c r="Z55" s="16">
        <f t="shared" si="11"/>
        <v>0.12</v>
      </c>
      <c r="AA55" s="16" t="s">
        <v>21</v>
      </c>
      <c r="AB55" s="20">
        <v>43958</v>
      </c>
      <c r="AC55" s="20">
        <v>43946</v>
      </c>
      <c r="AD55" s="20">
        <v>43958</v>
      </c>
      <c r="AE55" s="20">
        <v>43955</v>
      </c>
      <c r="AF55" s="20">
        <v>43955</v>
      </c>
      <c r="AG55" s="20" t="s">
        <v>335</v>
      </c>
      <c r="AH55" s="32">
        <v>1</v>
      </c>
      <c r="AI55" s="32">
        <v>1</v>
      </c>
      <c r="AJ55" s="32">
        <v>1</v>
      </c>
      <c r="AK55" s="20" t="s">
        <v>165</v>
      </c>
      <c r="AL55" s="16"/>
      <c r="AM55" s="16"/>
      <c r="AN55" s="16"/>
    </row>
    <row r="56" spans="2:40" x14ac:dyDescent="0.25">
      <c r="B56" s="45">
        <f t="shared" si="10"/>
        <v>9</v>
      </c>
      <c r="C56" s="17">
        <v>20200427</v>
      </c>
      <c r="D56" s="16" t="s">
        <v>3</v>
      </c>
      <c r="E56" s="92" t="s">
        <v>503</v>
      </c>
      <c r="F56" s="18" t="s">
        <v>259</v>
      </c>
      <c r="G56" s="57" t="s">
        <v>61</v>
      </c>
      <c r="H56" s="16" t="s">
        <v>95</v>
      </c>
      <c r="I56" s="16" t="s">
        <v>268</v>
      </c>
      <c r="J56" s="16" t="s">
        <v>121</v>
      </c>
      <c r="K56" s="57" t="s">
        <v>61</v>
      </c>
      <c r="L56" s="57" t="s">
        <v>61</v>
      </c>
      <c r="M56" s="57" t="s">
        <v>61</v>
      </c>
      <c r="N56" s="16" t="s">
        <v>148</v>
      </c>
      <c r="O56" s="18" t="s">
        <v>61</v>
      </c>
      <c r="P56" s="18" t="s">
        <v>317</v>
      </c>
      <c r="Q56" s="19"/>
      <c r="R56" s="17" t="s">
        <v>98</v>
      </c>
      <c r="S56" s="16" t="s">
        <v>66</v>
      </c>
      <c r="T56" s="16"/>
      <c r="U56" s="16"/>
      <c r="V56" s="16">
        <v>12</v>
      </c>
      <c r="W56" s="16">
        <f>ROUND(IF(D56=Table!$C$3,Y56*Table!$C$4/8,Y56*Table!$D$4/8),3)</f>
        <v>6.75</v>
      </c>
      <c r="X56" s="16">
        <f t="shared" si="9"/>
        <v>6.75</v>
      </c>
      <c r="Y56" s="16">
        <v>0.12</v>
      </c>
      <c r="Z56" s="16">
        <f t="shared" si="11"/>
        <v>0.12</v>
      </c>
      <c r="AA56" s="16" t="s">
        <v>21</v>
      </c>
      <c r="AB56" s="20">
        <v>43958</v>
      </c>
      <c r="AC56" s="20">
        <v>43946</v>
      </c>
      <c r="AD56" s="20">
        <v>43958</v>
      </c>
      <c r="AE56" s="20">
        <v>43955</v>
      </c>
      <c r="AF56" s="20">
        <v>43955</v>
      </c>
      <c r="AG56" s="20" t="s">
        <v>335</v>
      </c>
      <c r="AH56" s="32">
        <v>1</v>
      </c>
      <c r="AI56" s="32">
        <v>1</v>
      </c>
      <c r="AJ56" s="32">
        <v>1</v>
      </c>
      <c r="AK56" s="20" t="s">
        <v>165</v>
      </c>
      <c r="AL56" s="16"/>
      <c r="AM56" s="16"/>
      <c r="AN56" s="16"/>
    </row>
    <row r="57" spans="2:40" x14ac:dyDescent="0.25">
      <c r="B57" s="45">
        <f t="shared" si="10"/>
        <v>10</v>
      </c>
      <c r="C57" s="17">
        <v>20200427</v>
      </c>
      <c r="D57" s="16" t="s">
        <v>3</v>
      </c>
      <c r="E57" s="92" t="s">
        <v>503</v>
      </c>
      <c r="F57" s="18" t="s">
        <v>259</v>
      </c>
      <c r="G57" s="57" t="s">
        <v>61</v>
      </c>
      <c r="H57" s="16" t="s">
        <v>96</v>
      </c>
      <c r="I57" s="16" t="s">
        <v>269</v>
      </c>
      <c r="J57" s="16" t="s">
        <v>121</v>
      </c>
      <c r="K57" s="57" t="s">
        <v>61</v>
      </c>
      <c r="L57" s="57" t="s">
        <v>61</v>
      </c>
      <c r="M57" s="57" t="s">
        <v>61</v>
      </c>
      <c r="N57" s="16" t="s">
        <v>148</v>
      </c>
      <c r="O57" s="18" t="s">
        <v>61</v>
      </c>
      <c r="P57" s="18" t="s">
        <v>317</v>
      </c>
      <c r="Q57" s="19"/>
      <c r="R57" s="17" t="s">
        <v>98</v>
      </c>
      <c r="S57" s="16" t="s">
        <v>66</v>
      </c>
      <c r="T57" s="16"/>
      <c r="U57" s="16"/>
      <c r="V57" s="16">
        <v>9</v>
      </c>
      <c r="W57" s="16">
        <f>ROUND(IF(D57=Table!$C$3,Y57*Table!$C$4/8,Y57*Table!$D$4/8),3)</f>
        <v>6.75</v>
      </c>
      <c r="X57" s="16">
        <f t="shared" si="9"/>
        <v>6.75</v>
      </c>
      <c r="Y57" s="16">
        <v>0.12</v>
      </c>
      <c r="Z57" s="16">
        <f t="shared" si="11"/>
        <v>0.12</v>
      </c>
      <c r="AA57" s="16" t="s">
        <v>21</v>
      </c>
      <c r="AB57" s="20">
        <v>43958</v>
      </c>
      <c r="AC57" s="20">
        <v>43946</v>
      </c>
      <c r="AD57" s="20">
        <v>43958</v>
      </c>
      <c r="AE57" s="20">
        <v>43955</v>
      </c>
      <c r="AF57" s="20">
        <v>43955</v>
      </c>
      <c r="AG57" s="20" t="s">
        <v>335</v>
      </c>
      <c r="AH57" s="32">
        <v>1</v>
      </c>
      <c r="AI57" s="32">
        <v>1</v>
      </c>
      <c r="AJ57" s="32">
        <v>1</v>
      </c>
      <c r="AK57" s="20" t="s">
        <v>165</v>
      </c>
      <c r="AL57" s="16"/>
      <c r="AM57" s="16"/>
      <c r="AN57" s="16"/>
    </row>
    <row r="58" spans="2:40" x14ac:dyDescent="0.25">
      <c r="B58" s="45">
        <f t="shared" si="10"/>
        <v>11</v>
      </c>
      <c r="C58" s="17">
        <v>20200427</v>
      </c>
      <c r="D58" s="16" t="s">
        <v>3</v>
      </c>
      <c r="E58" s="92" t="s">
        <v>503</v>
      </c>
      <c r="F58" s="18" t="s">
        <v>259</v>
      </c>
      <c r="G58" s="57" t="s">
        <v>61</v>
      </c>
      <c r="H58" s="16" t="s">
        <v>205</v>
      </c>
      <c r="I58" s="16" t="s">
        <v>270</v>
      </c>
      <c r="J58" s="16" t="s">
        <v>121</v>
      </c>
      <c r="K58" s="57" t="s">
        <v>61</v>
      </c>
      <c r="L58" s="57" t="s">
        <v>61</v>
      </c>
      <c r="M58" s="57" t="s">
        <v>61</v>
      </c>
      <c r="N58" s="16" t="s">
        <v>148</v>
      </c>
      <c r="O58" s="18" t="s">
        <v>61</v>
      </c>
      <c r="P58" s="18" t="s">
        <v>317</v>
      </c>
      <c r="Q58" s="19"/>
      <c r="R58" s="17" t="s">
        <v>98</v>
      </c>
      <c r="S58" s="16" t="s">
        <v>66</v>
      </c>
      <c r="T58" s="16"/>
      <c r="U58" s="16"/>
      <c r="V58" s="16">
        <v>12</v>
      </c>
      <c r="W58" s="16">
        <f>ROUND(IF(D58=Table!$C$3,Y58*Table!$C$4/8,Y58*Table!$D$4/8),3)</f>
        <v>67.5</v>
      </c>
      <c r="X58" s="16">
        <f t="shared" si="9"/>
        <v>67.5</v>
      </c>
      <c r="Y58" s="16">
        <v>1.2</v>
      </c>
      <c r="Z58" s="16">
        <f t="shared" si="11"/>
        <v>1.2</v>
      </c>
      <c r="AA58" s="16" t="s">
        <v>21</v>
      </c>
      <c r="AB58" s="20">
        <v>43958</v>
      </c>
      <c r="AC58" s="20">
        <v>43946</v>
      </c>
      <c r="AD58" s="20">
        <v>43958</v>
      </c>
      <c r="AE58" s="20">
        <v>43955</v>
      </c>
      <c r="AF58" s="20">
        <v>43955</v>
      </c>
      <c r="AG58" s="20" t="s">
        <v>335</v>
      </c>
      <c r="AH58" s="32">
        <v>1</v>
      </c>
      <c r="AI58" s="32">
        <v>1</v>
      </c>
      <c r="AJ58" s="32">
        <v>1</v>
      </c>
      <c r="AK58" s="20" t="s">
        <v>165</v>
      </c>
      <c r="AL58" s="16"/>
      <c r="AM58" s="16"/>
      <c r="AN58" s="16"/>
    </row>
    <row r="59" spans="2:40" x14ac:dyDescent="0.25">
      <c r="B59" s="45">
        <f t="shared" si="10"/>
        <v>12</v>
      </c>
      <c r="C59" s="17">
        <v>20200427</v>
      </c>
      <c r="D59" s="16" t="s">
        <v>3</v>
      </c>
      <c r="E59" s="92" t="s">
        <v>503</v>
      </c>
      <c r="F59" s="18" t="s">
        <v>259</v>
      </c>
      <c r="G59" s="57" t="s">
        <v>61</v>
      </c>
      <c r="H59" s="16" t="s">
        <v>206</v>
      </c>
      <c r="I59" s="16" t="s">
        <v>271</v>
      </c>
      <c r="J59" s="16" t="s">
        <v>121</v>
      </c>
      <c r="K59" s="57" t="s">
        <v>61</v>
      </c>
      <c r="L59" s="57" t="s">
        <v>61</v>
      </c>
      <c r="M59" s="57" t="s">
        <v>61</v>
      </c>
      <c r="N59" s="16" t="s">
        <v>148</v>
      </c>
      <c r="O59" s="18" t="s">
        <v>61</v>
      </c>
      <c r="P59" s="18" t="s">
        <v>317</v>
      </c>
      <c r="Q59" s="19"/>
      <c r="R59" s="17" t="s">
        <v>98</v>
      </c>
      <c r="S59" s="16" t="s">
        <v>66</v>
      </c>
      <c r="T59" s="16"/>
      <c r="U59" s="16"/>
      <c r="V59" s="16">
        <v>14</v>
      </c>
      <c r="W59" s="16">
        <f>ROUND(IF(D59=Table!$C$3,Y59*Table!$C$4/8,Y59*Table!$D$4/8),3)</f>
        <v>6.75</v>
      </c>
      <c r="X59" s="16">
        <f t="shared" si="9"/>
        <v>6.75</v>
      </c>
      <c r="Y59" s="16">
        <v>0.12</v>
      </c>
      <c r="Z59" s="16">
        <f t="shared" si="11"/>
        <v>0.12</v>
      </c>
      <c r="AA59" s="16" t="s">
        <v>21</v>
      </c>
      <c r="AB59" s="20">
        <v>43958</v>
      </c>
      <c r="AC59" s="20">
        <v>43946</v>
      </c>
      <c r="AD59" s="20">
        <v>43958</v>
      </c>
      <c r="AE59" s="20">
        <v>43955</v>
      </c>
      <c r="AF59" s="20">
        <v>43955</v>
      </c>
      <c r="AG59" s="20" t="s">
        <v>335</v>
      </c>
      <c r="AH59" s="32">
        <v>1</v>
      </c>
      <c r="AI59" s="32">
        <v>1</v>
      </c>
      <c r="AJ59" s="32">
        <v>1</v>
      </c>
      <c r="AK59" s="20" t="s">
        <v>165</v>
      </c>
      <c r="AL59" s="16"/>
      <c r="AM59" s="16"/>
      <c r="AN59" s="16"/>
    </row>
    <row r="60" spans="2:40" x14ac:dyDescent="0.25">
      <c r="B60" s="45">
        <f t="shared" si="10"/>
        <v>13</v>
      </c>
      <c r="C60" s="17">
        <v>20200427</v>
      </c>
      <c r="D60" s="16" t="s">
        <v>3</v>
      </c>
      <c r="E60" s="92" t="s">
        <v>503</v>
      </c>
      <c r="F60" s="18" t="s">
        <v>259</v>
      </c>
      <c r="G60" s="57" t="s">
        <v>61</v>
      </c>
      <c r="H60" s="16" t="s">
        <v>207</v>
      </c>
      <c r="I60" s="16" t="s">
        <v>272</v>
      </c>
      <c r="J60" s="16" t="s">
        <v>121</v>
      </c>
      <c r="K60" s="57" t="s">
        <v>61</v>
      </c>
      <c r="L60" s="57" t="s">
        <v>61</v>
      </c>
      <c r="M60" s="57" t="s">
        <v>61</v>
      </c>
      <c r="N60" s="16" t="s">
        <v>148</v>
      </c>
      <c r="O60" s="18" t="s">
        <v>61</v>
      </c>
      <c r="P60" s="18" t="s">
        <v>317</v>
      </c>
      <c r="Q60" s="19"/>
      <c r="R60" s="17" t="s">
        <v>98</v>
      </c>
      <c r="S60" s="16" t="s">
        <v>66</v>
      </c>
      <c r="T60" s="16"/>
      <c r="U60" s="16"/>
      <c r="V60" s="16">
        <v>12</v>
      </c>
      <c r="W60" s="16">
        <f>ROUND(IF(D60=Table!$C$3,Y60*Table!$C$4/8,Y60*Table!$D$4/8),3)</f>
        <v>6.75</v>
      </c>
      <c r="X60" s="16">
        <f t="shared" si="9"/>
        <v>6.75</v>
      </c>
      <c r="Y60" s="16">
        <v>0.12</v>
      </c>
      <c r="Z60" s="16">
        <f t="shared" si="11"/>
        <v>0.12</v>
      </c>
      <c r="AA60" s="16" t="s">
        <v>21</v>
      </c>
      <c r="AB60" s="20">
        <v>43958</v>
      </c>
      <c r="AC60" s="20">
        <v>43946</v>
      </c>
      <c r="AD60" s="20">
        <v>43958</v>
      </c>
      <c r="AE60" s="20">
        <v>43955</v>
      </c>
      <c r="AF60" s="20">
        <v>43955</v>
      </c>
      <c r="AG60" s="20" t="s">
        <v>335</v>
      </c>
      <c r="AH60" s="32">
        <v>1</v>
      </c>
      <c r="AI60" s="32">
        <v>1</v>
      </c>
      <c r="AJ60" s="32">
        <v>1</v>
      </c>
      <c r="AK60" s="20" t="s">
        <v>165</v>
      </c>
      <c r="AL60" s="16"/>
      <c r="AM60" s="16"/>
      <c r="AN60" s="16"/>
    </row>
    <row r="61" spans="2:40" x14ac:dyDescent="0.25">
      <c r="B61" s="45">
        <f t="shared" si="10"/>
        <v>14</v>
      </c>
      <c r="C61" s="17">
        <v>20200427</v>
      </c>
      <c r="D61" s="16" t="s">
        <v>3</v>
      </c>
      <c r="E61" s="92" t="s">
        <v>503</v>
      </c>
      <c r="F61" s="18" t="s">
        <v>259</v>
      </c>
      <c r="G61" s="57" t="s">
        <v>61</v>
      </c>
      <c r="H61" s="16" t="s">
        <v>208</v>
      </c>
      <c r="I61" s="16" t="s">
        <v>273</v>
      </c>
      <c r="J61" s="16" t="s">
        <v>121</v>
      </c>
      <c r="K61" s="57" t="s">
        <v>61</v>
      </c>
      <c r="L61" s="57" t="s">
        <v>61</v>
      </c>
      <c r="M61" s="57" t="s">
        <v>61</v>
      </c>
      <c r="N61" s="16" t="s">
        <v>148</v>
      </c>
      <c r="O61" s="18" t="s">
        <v>61</v>
      </c>
      <c r="P61" s="18" t="s">
        <v>317</v>
      </c>
      <c r="Q61" s="19"/>
      <c r="R61" s="17" t="s">
        <v>98</v>
      </c>
      <c r="S61" s="16" t="s">
        <v>66</v>
      </c>
      <c r="T61" s="16"/>
      <c r="U61" s="16"/>
      <c r="V61" s="16">
        <v>9</v>
      </c>
      <c r="W61" s="16">
        <f>ROUND(IF(D61=Table!$C$3,Y61*Table!$C$4/8,Y61*Table!$D$4/8),3)</f>
        <v>6.75</v>
      </c>
      <c r="X61" s="16">
        <f t="shared" si="9"/>
        <v>6.75</v>
      </c>
      <c r="Y61" s="16">
        <v>0.12</v>
      </c>
      <c r="Z61" s="16">
        <f t="shared" si="11"/>
        <v>0.12</v>
      </c>
      <c r="AA61" s="16" t="s">
        <v>21</v>
      </c>
      <c r="AB61" s="20">
        <v>43958</v>
      </c>
      <c r="AC61" s="20">
        <v>43946</v>
      </c>
      <c r="AD61" s="20">
        <v>43958</v>
      </c>
      <c r="AE61" s="20">
        <v>43955</v>
      </c>
      <c r="AF61" s="20">
        <v>43955</v>
      </c>
      <c r="AG61" s="20" t="s">
        <v>335</v>
      </c>
      <c r="AH61" s="32">
        <v>1</v>
      </c>
      <c r="AI61" s="32">
        <v>1</v>
      </c>
      <c r="AJ61" s="32">
        <v>1</v>
      </c>
      <c r="AK61" s="20" t="s">
        <v>165</v>
      </c>
      <c r="AL61" s="16"/>
      <c r="AM61" s="16"/>
      <c r="AN61" s="16"/>
    </row>
    <row r="62" spans="2:40" x14ac:dyDescent="0.25">
      <c r="B62" s="45">
        <f t="shared" si="10"/>
        <v>15</v>
      </c>
      <c r="C62" s="17">
        <v>20200427</v>
      </c>
      <c r="D62" s="16" t="s">
        <v>3</v>
      </c>
      <c r="E62" s="92" t="s">
        <v>503</v>
      </c>
      <c r="F62" s="18" t="s">
        <v>259</v>
      </c>
      <c r="G62" s="57" t="s">
        <v>61</v>
      </c>
      <c r="H62" s="16" t="s">
        <v>209</v>
      </c>
      <c r="I62" s="16" t="s">
        <v>274</v>
      </c>
      <c r="J62" s="16" t="s">
        <v>121</v>
      </c>
      <c r="K62" s="57" t="s">
        <v>61</v>
      </c>
      <c r="L62" s="57" t="s">
        <v>61</v>
      </c>
      <c r="M62" s="57" t="s">
        <v>61</v>
      </c>
      <c r="N62" s="16" t="s">
        <v>148</v>
      </c>
      <c r="O62" s="18" t="s">
        <v>61</v>
      </c>
      <c r="P62" s="18" t="s">
        <v>317</v>
      </c>
      <c r="Q62" s="19"/>
      <c r="R62" s="17" t="s">
        <v>98</v>
      </c>
      <c r="S62" s="16" t="s">
        <v>66</v>
      </c>
      <c r="T62" s="16"/>
      <c r="U62" s="16"/>
      <c r="V62" s="16">
        <v>67</v>
      </c>
      <c r="W62" s="16">
        <f>ROUND(IF(D62=Table!$C$3,Y62*Table!$C$4/8,Y62*Table!$D$4/8),3)</f>
        <v>6.75</v>
      </c>
      <c r="X62" s="16">
        <f t="shared" si="9"/>
        <v>6.75</v>
      </c>
      <c r="Y62" s="16">
        <v>0.12</v>
      </c>
      <c r="Z62" s="16">
        <f t="shared" si="11"/>
        <v>0.12</v>
      </c>
      <c r="AA62" s="16" t="s">
        <v>21</v>
      </c>
      <c r="AB62" s="20">
        <v>43958</v>
      </c>
      <c r="AC62" s="20">
        <v>43946</v>
      </c>
      <c r="AD62" s="20">
        <v>43958</v>
      </c>
      <c r="AE62" s="20">
        <v>43955</v>
      </c>
      <c r="AF62" s="20">
        <v>43955</v>
      </c>
      <c r="AG62" s="20" t="s">
        <v>335</v>
      </c>
      <c r="AH62" s="32">
        <v>1</v>
      </c>
      <c r="AI62" s="32">
        <v>1</v>
      </c>
      <c r="AJ62" s="32">
        <v>1</v>
      </c>
      <c r="AK62" s="20" t="s">
        <v>165</v>
      </c>
      <c r="AL62" s="16"/>
      <c r="AM62" s="16"/>
      <c r="AN62" s="16"/>
    </row>
    <row r="63" spans="2:40" x14ac:dyDescent="0.25">
      <c r="B63" s="45">
        <f t="shared" si="10"/>
        <v>16</v>
      </c>
      <c r="C63" s="17">
        <v>20200427</v>
      </c>
      <c r="D63" s="16" t="s">
        <v>3</v>
      </c>
      <c r="E63" s="92" t="s">
        <v>503</v>
      </c>
      <c r="F63" s="18" t="s">
        <v>259</v>
      </c>
      <c r="G63" s="57" t="s">
        <v>61</v>
      </c>
      <c r="H63" s="16" t="s">
        <v>210</v>
      </c>
      <c r="I63" s="16" t="s">
        <v>275</v>
      </c>
      <c r="J63" s="16" t="s">
        <v>121</v>
      </c>
      <c r="K63" s="57" t="s">
        <v>61</v>
      </c>
      <c r="L63" s="57" t="s">
        <v>61</v>
      </c>
      <c r="M63" s="57" t="s">
        <v>61</v>
      </c>
      <c r="N63" s="16" t="s">
        <v>148</v>
      </c>
      <c r="O63" s="18" t="s">
        <v>61</v>
      </c>
      <c r="P63" s="18" t="s">
        <v>317</v>
      </c>
      <c r="Q63" s="19"/>
      <c r="R63" s="17" t="s">
        <v>98</v>
      </c>
      <c r="S63" s="16" t="s">
        <v>66</v>
      </c>
      <c r="T63" s="16"/>
      <c r="U63" s="16"/>
      <c r="V63" s="16">
        <v>43</v>
      </c>
      <c r="W63" s="16">
        <f>ROUND(IF(D63=Table!$C$3,Y63*Table!$C$4/8,Y63*Table!$D$4/8),3)</f>
        <v>67.5</v>
      </c>
      <c r="X63" s="16">
        <f t="shared" si="9"/>
        <v>67.5</v>
      </c>
      <c r="Y63" s="16">
        <v>1.2</v>
      </c>
      <c r="Z63" s="16">
        <f t="shared" si="11"/>
        <v>1.2</v>
      </c>
      <c r="AA63" s="16" t="s">
        <v>21</v>
      </c>
      <c r="AB63" s="20">
        <v>43958</v>
      </c>
      <c r="AC63" s="20">
        <v>43946</v>
      </c>
      <c r="AD63" s="20">
        <v>43958</v>
      </c>
      <c r="AE63" s="20">
        <v>43955</v>
      </c>
      <c r="AF63" s="20">
        <v>43955</v>
      </c>
      <c r="AG63" s="20" t="s">
        <v>335</v>
      </c>
      <c r="AH63" s="32">
        <v>1</v>
      </c>
      <c r="AI63" s="32">
        <v>0.9</v>
      </c>
      <c r="AJ63" s="32">
        <v>1</v>
      </c>
      <c r="AK63" s="20" t="s">
        <v>165</v>
      </c>
      <c r="AL63" s="88" t="s">
        <v>409</v>
      </c>
      <c r="AM63" s="16"/>
      <c r="AN63" s="16"/>
    </row>
    <row r="64" spans="2:40" x14ac:dyDescent="0.25">
      <c r="B64" s="45">
        <f t="shared" si="10"/>
        <v>17</v>
      </c>
      <c r="C64" s="17">
        <v>20200427</v>
      </c>
      <c r="D64" s="16" t="s">
        <v>3</v>
      </c>
      <c r="E64" s="92" t="s">
        <v>503</v>
      </c>
      <c r="F64" s="18" t="s">
        <v>259</v>
      </c>
      <c r="G64" s="57" t="s">
        <v>61</v>
      </c>
      <c r="H64" s="16" t="s">
        <v>211</v>
      </c>
      <c r="I64" s="16" t="s">
        <v>276</v>
      </c>
      <c r="J64" s="16" t="s">
        <v>121</v>
      </c>
      <c r="K64" s="57" t="s">
        <v>61</v>
      </c>
      <c r="L64" s="57" t="s">
        <v>61</v>
      </c>
      <c r="M64" s="57" t="s">
        <v>61</v>
      </c>
      <c r="N64" s="16" t="s">
        <v>148</v>
      </c>
      <c r="O64" s="18" t="s">
        <v>61</v>
      </c>
      <c r="P64" s="18" t="s">
        <v>317</v>
      </c>
      <c r="Q64" s="19"/>
      <c r="R64" s="17" t="s">
        <v>98</v>
      </c>
      <c r="S64" s="16" t="s">
        <v>66</v>
      </c>
      <c r="T64" s="16"/>
      <c r="U64" s="16"/>
      <c r="V64" s="16">
        <v>7</v>
      </c>
      <c r="W64" s="16">
        <f>ROUND(IF(D64=Table!$C$3,Y64*Table!$C$4/8,Y64*Table!$D$4/8),3)</f>
        <v>6.75</v>
      </c>
      <c r="X64" s="16">
        <f t="shared" si="9"/>
        <v>6.75</v>
      </c>
      <c r="Y64" s="16">
        <v>0.12</v>
      </c>
      <c r="Z64" s="16">
        <f t="shared" si="11"/>
        <v>0.12</v>
      </c>
      <c r="AA64" s="16" t="s">
        <v>21</v>
      </c>
      <c r="AB64" s="20">
        <v>43958</v>
      </c>
      <c r="AC64" s="20">
        <v>43946</v>
      </c>
      <c r="AD64" s="20">
        <v>43958</v>
      </c>
      <c r="AE64" s="20">
        <v>43955</v>
      </c>
      <c r="AF64" s="20">
        <v>43955</v>
      </c>
      <c r="AG64" s="20" t="s">
        <v>335</v>
      </c>
      <c r="AH64" s="32">
        <v>1</v>
      </c>
      <c r="AI64" s="32">
        <v>1</v>
      </c>
      <c r="AJ64" s="32">
        <v>1</v>
      </c>
      <c r="AK64" s="20" t="s">
        <v>165</v>
      </c>
      <c r="AL64" s="16"/>
      <c r="AM64" s="16"/>
      <c r="AN64" s="16"/>
    </row>
    <row r="65" spans="2:40" x14ac:dyDescent="0.25">
      <c r="B65" s="45">
        <f t="shared" si="10"/>
        <v>18</v>
      </c>
      <c r="C65" s="17">
        <v>20200427</v>
      </c>
      <c r="D65" s="16" t="s">
        <v>3</v>
      </c>
      <c r="E65" s="92" t="s">
        <v>503</v>
      </c>
      <c r="F65" s="18" t="s">
        <v>259</v>
      </c>
      <c r="G65" s="57" t="s">
        <v>61</v>
      </c>
      <c r="H65" s="16" t="s">
        <v>212</v>
      </c>
      <c r="I65" s="16" t="s">
        <v>277</v>
      </c>
      <c r="J65" s="16" t="s">
        <v>121</v>
      </c>
      <c r="K65" s="57" t="s">
        <v>61</v>
      </c>
      <c r="L65" s="57" t="s">
        <v>61</v>
      </c>
      <c r="M65" s="57" t="s">
        <v>61</v>
      </c>
      <c r="N65" s="16" t="s">
        <v>148</v>
      </c>
      <c r="O65" s="18" t="s">
        <v>61</v>
      </c>
      <c r="P65" s="18" t="s">
        <v>317</v>
      </c>
      <c r="Q65" s="19"/>
      <c r="R65" s="17" t="s">
        <v>98</v>
      </c>
      <c r="S65" s="16" t="s">
        <v>66</v>
      </c>
      <c r="T65" s="16"/>
      <c r="U65" s="16"/>
      <c r="V65" s="16">
        <v>16</v>
      </c>
      <c r="W65" s="16">
        <f>ROUND(IF(D65=Table!$C$3,Y65*Table!$C$4/8,Y65*Table!$D$4/8),3)</f>
        <v>6.75</v>
      </c>
      <c r="X65" s="16">
        <f t="shared" si="9"/>
        <v>6.75</v>
      </c>
      <c r="Y65" s="16">
        <v>0.12</v>
      </c>
      <c r="Z65" s="16">
        <f t="shared" si="11"/>
        <v>0.12</v>
      </c>
      <c r="AA65" s="16" t="s">
        <v>21</v>
      </c>
      <c r="AB65" s="20">
        <v>43958</v>
      </c>
      <c r="AC65" s="20">
        <v>43946</v>
      </c>
      <c r="AD65" s="20">
        <v>43958</v>
      </c>
      <c r="AE65" s="20">
        <v>43955</v>
      </c>
      <c r="AF65" s="20">
        <v>43955</v>
      </c>
      <c r="AG65" s="20" t="s">
        <v>335</v>
      </c>
      <c r="AH65" s="32">
        <v>1</v>
      </c>
      <c r="AI65" s="32">
        <v>1</v>
      </c>
      <c r="AJ65" s="32">
        <v>1</v>
      </c>
      <c r="AK65" s="20" t="s">
        <v>165</v>
      </c>
      <c r="AL65" s="16"/>
      <c r="AM65" s="16"/>
      <c r="AN65" s="16"/>
    </row>
    <row r="66" spans="2:40" x14ac:dyDescent="0.25">
      <c r="B66" s="45">
        <f t="shared" si="10"/>
        <v>19</v>
      </c>
      <c r="C66" s="17">
        <v>20200427</v>
      </c>
      <c r="D66" s="16" t="s">
        <v>3</v>
      </c>
      <c r="E66" s="92" t="s">
        <v>503</v>
      </c>
      <c r="F66" s="18" t="s">
        <v>259</v>
      </c>
      <c r="G66" s="57" t="s">
        <v>61</v>
      </c>
      <c r="H66" s="16" t="s">
        <v>213</v>
      </c>
      <c r="I66" s="16" t="s">
        <v>278</v>
      </c>
      <c r="J66" s="16" t="s">
        <v>121</v>
      </c>
      <c r="K66" s="57" t="s">
        <v>61</v>
      </c>
      <c r="L66" s="57" t="s">
        <v>61</v>
      </c>
      <c r="M66" s="57" t="s">
        <v>61</v>
      </c>
      <c r="N66" s="16" t="s">
        <v>148</v>
      </c>
      <c r="O66" s="18" t="s">
        <v>61</v>
      </c>
      <c r="P66" s="18" t="s">
        <v>317</v>
      </c>
      <c r="Q66" s="19"/>
      <c r="R66" s="17" t="s">
        <v>98</v>
      </c>
      <c r="S66" s="16" t="s">
        <v>66</v>
      </c>
      <c r="T66" s="16"/>
      <c r="U66" s="16"/>
      <c r="V66" s="16">
        <v>4</v>
      </c>
      <c r="W66" s="16">
        <f>ROUND(IF(D66=Table!$C$3,Y66*Table!$C$4/8,Y66*Table!$D$4/8),3)</f>
        <v>6.75</v>
      </c>
      <c r="X66" s="16">
        <f t="shared" si="9"/>
        <v>6.75</v>
      </c>
      <c r="Y66" s="16">
        <v>0.12</v>
      </c>
      <c r="Z66" s="16">
        <f t="shared" si="11"/>
        <v>0.12</v>
      </c>
      <c r="AA66" s="16" t="s">
        <v>21</v>
      </c>
      <c r="AB66" s="20">
        <v>43958</v>
      </c>
      <c r="AC66" s="20">
        <v>43946</v>
      </c>
      <c r="AD66" s="20">
        <v>43958</v>
      </c>
      <c r="AE66" s="20">
        <v>43955</v>
      </c>
      <c r="AF66" s="20">
        <v>43955</v>
      </c>
      <c r="AG66" s="20" t="s">
        <v>335</v>
      </c>
      <c r="AH66" s="32">
        <v>1</v>
      </c>
      <c r="AI66" s="32">
        <v>1</v>
      </c>
      <c r="AJ66" s="32">
        <v>1</v>
      </c>
      <c r="AK66" s="20" t="s">
        <v>165</v>
      </c>
      <c r="AL66" s="16"/>
      <c r="AM66" s="16"/>
      <c r="AN66" s="16"/>
    </row>
    <row r="67" spans="2:40" x14ac:dyDescent="0.25">
      <c r="B67" s="45">
        <f t="shared" si="10"/>
        <v>20</v>
      </c>
      <c r="C67" s="17">
        <v>20200427</v>
      </c>
      <c r="D67" s="16" t="s">
        <v>3</v>
      </c>
      <c r="E67" s="92" t="s">
        <v>503</v>
      </c>
      <c r="F67" s="18" t="s">
        <v>259</v>
      </c>
      <c r="G67" s="57" t="s">
        <v>61</v>
      </c>
      <c r="H67" s="16" t="s">
        <v>214</v>
      </c>
      <c r="I67" s="16" t="s">
        <v>279</v>
      </c>
      <c r="J67" s="16" t="s">
        <v>121</v>
      </c>
      <c r="K67" s="57" t="s">
        <v>61</v>
      </c>
      <c r="L67" s="57" t="s">
        <v>61</v>
      </c>
      <c r="M67" s="57" t="s">
        <v>61</v>
      </c>
      <c r="N67" s="16" t="s">
        <v>148</v>
      </c>
      <c r="O67" s="18" t="s">
        <v>61</v>
      </c>
      <c r="P67" s="18" t="s">
        <v>317</v>
      </c>
      <c r="Q67" s="19"/>
      <c r="R67" s="17" t="s">
        <v>98</v>
      </c>
      <c r="S67" s="16" t="s">
        <v>66</v>
      </c>
      <c r="T67" s="16"/>
      <c r="U67" s="16"/>
      <c r="V67" s="16">
        <v>42</v>
      </c>
      <c r="W67" s="16">
        <f>ROUND(IF(D67=Table!$C$3,Y67*Table!$C$4/8,Y67*Table!$D$4/8),3)</f>
        <v>67.5</v>
      </c>
      <c r="X67" s="16">
        <f t="shared" si="9"/>
        <v>67.5</v>
      </c>
      <c r="Y67" s="16">
        <v>1.2</v>
      </c>
      <c r="Z67" s="16">
        <f t="shared" si="11"/>
        <v>1.2</v>
      </c>
      <c r="AA67" s="16" t="s">
        <v>21</v>
      </c>
      <c r="AB67" s="20">
        <v>43958</v>
      </c>
      <c r="AC67" s="20">
        <v>43946</v>
      </c>
      <c r="AD67" s="20">
        <v>43958</v>
      </c>
      <c r="AE67" s="20">
        <v>43955</v>
      </c>
      <c r="AF67" s="20">
        <v>43955</v>
      </c>
      <c r="AG67" s="20" t="s">
        <v>335</v>
      </c>
      <c r="AH67" s="32">
        <v>1</v>
      </c>
      <c r="AI67" s="32">
        <v>1</v>
      </c>
      <c r="AJ67" s="32">
        <v>0.5</v>
      </c>
      <c r="AK67" s="20" t="s">
        <v>165</v>
      </c>
      <c r="AL67" s="88" t="s">
        <v>410</v>
      </c>
      <c r="AM67" s="16"/>
      <c r="AN67" s="16"/>
    </row>
    <row r="68" spans="2:40" x14ac:dyDescent="0.25">
      <c r="B68" s="45">
        <f t="shared" si="10"/>
        <v>21</v>
      </c>
      <c r="C68" s="17">
        <v>20200427</v>
      </c>
      <c r="D68" s="16" t="s">
        <v>3</v>
      </c>
      <c r="E68" s="92" t="s">
        <v>503</v>
      </c>
      <c r="F68" s="18" t="s">
        <v>259</v>
      </c>
      <c r="G68" s="57" t="s">
        <v>61</v>
      </c>
      <c r="H68" s="16" t="s">
        <v>215</v>
      </c>
      <c r="I68" s="16" t="s">
        <v>151</v>
      </c>
      <c r="J68" s="16" t="s">
        <v>121</v>
      </c>
      <c r="K68" s="57" t="s">
        <v>61</v>
      </c>
      <c r="L68" s="57" t="s">
        <v>61</v>
      </c>
      <c r="M68" s="57" t="s">
        <v>61</v>
      </c>
      <c r="N68" s="16" t="s">
        <v>148</v>
      </c>
      <c r="O68" s="18" t="s">
        <v>61</v>
      </c>
      <c r="P68" s="18" t="s">
        <v>317</v>
      </c>
      <c r="Q68" s="19"/>
      <c r="R68" s="17" t="s">
        <v>97</v>
      </c>
      <c r="S68" s="16" t="s">
        <v>156</v>
      </c>
      <c r="T68" s="16"/>
      <c r="U68" s="16"/>
      <c r="V68" s="16">
        <v>360</v>
      </c>
      <c r="W68" s="16">
        <f>ROUND(IF(D68=Table!$C$3,Y68*Table!$C$4/8,Y68*Table!$D$4/8),3)</f>
        <v>202.5</v>
      </c>
      <c r="X68" s="16">
        <f t="shared" si="9"/>
        <v>202.5</v>
      </c>
      <c r="Y68" s="16">
        <v>3.6</v>
      </c>
      <c r="Z68" s="16">
        <v>3</v>
      </c>
      <c r="AA68" s="16" t="s">
        <v>21</v>
      </c>
      <c r="AB68" s="20">
        <v>43958</v>
      </c>
      <c r="AC68" s="20">
        <v>43946</v>
      </c>
      <c r="AD68" s="20">
        <v>43958</v>
      </c>
      <c r="AE68" s="20">
        <v>43955</v>
      </c>
      <c r="AF68" s="20">
        <v>43955</v>
      </c>
      <c r="AG68" s="20" t="s">
        <v>335</v>
      </c>
      <c r="AH68" s="32">
        <v>0.99</v>
      </c>
      <c r="AI68" s="32">
        <v>0.99</v>
      </c>
      <c r="AJ68" s="32">
        <v>1</v>
      </c>
      <c r="AK68" s="20" t="s">
        <v>165</v>
      </c>
      <c r="AL68" s="16" t="s">
        <v>416</v>
      </c>
      <c r="AM68" s="16"/>
      <c r="AN68" s="16"/>
    </row>
    <row r="69" spans="2:40" x14ac:dyDescent="0.25">
      <c r="B69" s="45">
        <f t="shared" si="10"/>
        <v>22</v>
      </c>
      <c r="C69" s="17">
        <v>20200427</v>
      </c>
      <c r="D69" s="16" t="s">
        <v>3</v>
      </c>
      <c r="E69" s="92" t="s">
        <v>503</v>
      </c>
      <c r="F69" s="18" t="s">
        <v>259</v>
      </c>
      <c r="G69" s="57" t="s">
        <v>61</v>
      </c>
      <c r="H69" s="16" t="s">
        <v>216</v>
      </c>
      <c r="I69" s="16" t="s">
        <v>280</v>
      </c>
      <c r="J69" s="16" t="s">
        <v>121</v>
      </c>
      <c r="K69" s="57" t="s">
        <v>61</v>
      </c>
      <c r="L69" s="57" t="s">
        <v>61</v>
      </c>
      <c r="M69" s="57" t="s">
        <v>61</v>
      </c>
      <c r="N69" s="16" t="s">
        <v>148</v>
      </c>
      <c r="O69" s="18" t="s">
        <v>61</v>
      </c>
      <c r="P69" s="18" t="s">
        <v>317</v>
      </c>
      <c r="Q69" s="19"/>
      <c r="R69" s="17" t="s">
        <v>97</v>
      </c>
      <c r="S69" s="16" t="s">
        <v>156</v>
      </c>
      <c r="T69" s="16"/>
      <c r="U69" s="16"/>
      <c r="V69" s="16">
        <v>202</v>
      </c>
      <c r="W69" s="16">
        <f>ROUND(IF(D69=Table!$C$3,Y69*Table!$C$4/8,Y69*Table!$D$4/8),3)</f>
        <v>202.5</v>
      </c>
      <c r="X69" s="16">
        <f t="shared" si="9"/>
        <v>202.5</v>
      </c>
      <c r="Y69" s="16">
        <v>3.6</v>
      </c>
      <c r="Z69" s="16">
        <v>3</v>
      </c>
      <c r="AA69" s="16" t="s">
        <v>21</v>
      </c>
      <c r="AB69" s="20">
        <v>43958</v>
      </c>
      <c r="AC69" s="20">
        <v>43946</v>
      </c>
      <c r="AD69" s="20">
        <v>43958</v>
      </c>
      <c r="AE69" s="20">
        <v>43955</v>
      </c>
      <c r="AF69" s="20">
        <v>43955</v>
      </c>
      <c r="AG69" s="20" t="s">
        <v>335</v>
      </c>
      <c r="AH69" s="32">
        <v>1</v>
      </c>
      <c r="AI69" s="32">
        <v>1</v>
      </c>
      <c r="AJ69" s="32">
        <v>1</v>
      </c>
      <c r="AK69" s="20" t="s">
        <v>165</v>
      </c>
      <c r="AL69" s="16"/>
      <c r="AM69" s="16"/>
      <c r="AN69" s="16"/>
    </row>
    <row r="70" spans="2:40" x14ac:dyDescent="0.25">
      <c r="B70" s="45">
        <f t="shared" si="10"/>
        <v>23</v>
      </c>
      <c r="C70" s="17">
        <v>20200427</v>
      </c>
      <c r="D70" s="16" t="s">
        <v>3</v>
      </c>
      <c r="E70" s="92" t="s">
        <v>503</v>
      </c>
      <c r="F70" s="18" t="s">
        <v>259</v>
      </c>
      <c r="G70" s="57" t="s">
        <v>61</v>
      </c>
      <c r="H70" s="16" t="s">
        <v>217</v>
      </c>
      <c r="I70" s="16" t="s">
        <v>281</v>
      </c>
      <c r="J70" s="16" t="s">
        <v>121</v>
      </c>
      <c r="K70" s="57" t="s">
        <v>61</v>
      </c>
      <c r="L70" s="57" t="s">
        <v>61</v>
      </c>
      <c r="M70" s="57" t="s">
        <v>61</v>
      </c>
      <c r="N70" s="16" t="s">
        <v>148</v>
      </c>
      <c r="O70" s="18" t="s">
        <v>61</v>
      </c>
      <c r="P70" s="18" t="s">
        <v>317</v>
      </c>
      <c r="Q70" s="19"/>
      <c r="R70" s="17" t="s">
        <v>97</v>
      </c>
      <c r="S70" s="16" t="s">
        <v>156</v>
      </c>
      <c r="T70" s="16"/>
      <c r="U70" s="16"/>
      <c r="V70" s="16">
        <v>65</v>
      </c>
      <c r="W70" s="16">
        <f>ROUND(IF(D70=Table!$C$3,Y70*Table!$C$4/8,Y70*Table!$D$4/8),3)</f>
        <v>95.625</v>
      </c>
      <c r="X70" s="16">
        <f t="shared" si="9"/>
        <v>95.625</v>
      </c>
      <c r="Y70" s="16">
        <v>1.7</v>
      </c>
      <c r="Z70" s="16">
        <v>2</v>
      </c>
      <c r="AA70" s="16" t="s">
        <v>21</v>
      </c>
      <c r="AB70" s="20">
        <v>43958</v>
      </c>
      <c r="AC70" s="20">
        <v>43946</v>
      </c>
      <c r="AD70" s="20">
        <v>43958</v>
      </c>
      <c r="AE70" s="20">
        <v>43955</v>
      </c>
      <c r="AF70" s="20">
        <v>43955</v>
      </c>
      <c r="AG70" s="20" t="s">
        <v>335</v>
      </c>
      <c r="AH70" s="32">
        <v>1</v>
      </c>
      <c r="AI70" s="32">
        <v>1</v>
      </c>
      <c r="AJ70" s="32">
        <v>0.75</v>
      </c>
      <c r="AK70" s="20" t="s">
        <v>165</v>
      </c>
      <c r="AL70" s="16"/>
      <c r="AM70" s="16"/>
      <c r="AN70" s="16"/>
    </row>
    <row r="71" spans="2:40" x14ac:dyDescent="0.25">
      <c r="B71" s="45">
        <f t="shared" si="10"/>
        <v>24</v>
      </c>
      <c r="C71" s="17">
        <v>20200427</v>
      </c>
      <c r="D71" s="16" t="s">
        <v>3</v>
      </c>
      <c r="E71" s="92" t="s">
        <v>503</v>
      </c>
      <c r="F71" s="18" t="s">
        <v>259</v>
      </c>
      <c r="G71" s="57" t="s">
        <v>61</v>
      </c>
      <c r="H71" s="16" t="s">
        <v>218</v>
      </c>
      <c r="I71" s="16" t="s">
        <v>282</v>
      </c>
      <c r="J71" s="16" t="s">
        <v>121</v>
      </c>
      <c r="K71" s="57" t="s">
        <v>61</v>
      </c>
      <c r="L71" s="57" t="s">
        <v>61</v>
      </c>
      <c r="M71" s="57" t="s">
        <v>61</v>
      </c>
      <c r="N71" s="16" t="s">
        <v>148</v>
      </c>
      <c r="O71" s="18" t="s">
        <v>61</v>
      </c>
      <c r="P71" s="18" t="s">
        <v>317</v>
      </c>
      <c r="Q71" s="19"/>
      <c r="R71" s="17" t="s">
        <v>98</v>
      </c>
      <c r="S71" s="16" t="s">
        <v>66</v>
      </c>
      <c r="T71" s="16"/>
      <c r="U71" s="16"/>
      <c r="V71" s="16">
        <v>47</v>
      </c>
      <c r="W71" s="16">
        <f>ROUND(IF(D71=Table!$C$3,Y71*Table!$C$4/8,Y71*Table!$D$4/8),3)</f>
        <v>76.5</v>
      </c>
      <c r="X71" s="16">
        <f t="shared" si="9"/>
        <v>76.5</v>
      </c>
      <c r="Y71" s="16">
        <v>1.36</v>
      </c>
      <c r="Z71" s="16">
        <f t="shared" ref="Z71" si="12">Y71</f>
        <v>1.36</v>
      </c>
      <c r="AA71" s="16" t="s">
        <v>21</v>
      </c>
      <c r="AB71" s="20">
        <v>43958</v>
      </c>
      <c r="AC71" s="20">
        <v>43946</v>
      </c>
      <c r="AD71" s="20">
        <v>43958</v>
      </c>
      <c r="AE71" s="20">
        <v>43955</v>
      </c>
      <c r="AF71" s="20">
        <v>43955</v>
      </c>
      <c r="AG71" s="20" t="s">
        <v>335</v>
      </c>
      <c r="AH71" s="32">
        <v>1</v>
      </c>
      <c r="AI71" s="32">
        <v>1</v>
      </c>
      <c r="AJ71" s="32">
        <v>1</v>
      </c>
      <c r="AK71" s="20" t="s">
        <v>165</v>
      </c>
      <c r="AL71" s="16"/>
      <c r="AM71" s="16"/>
      <c r="AN71" s="16"/>
    </row>
    <row r="72" spans="2:40" x14ac:dyDescent="0.25">
      <c r="B72" s="45">
        <f t="shared" si="10"/>
        <v>25</v>
      </c>
      <c r="C72" s="17">
        <v>20200427</v>
      </c>
      <c r="D72" s="16" t="s">
        <v>3</v>
      </c>
      <c r="E72" s="92" t="s">
        <v>503</v>
      </c>
      <c r="F72" s="18" t="s">
        <v>259</v>
      </c>
      <c r="G72" s="57" t="s">
        <v>61</v>
      </c>
      <c r="H72" s="16" t="s">
        <v>219</v>
      </c>
      <c r="I72" s="16" t="s">
        <v>283</v>
      </c>
      <c r="J72" s="16" t="s">
        <v>121</v>
      </c>
      <c r="K72" s="57" t="s">
        <v>61</v>
      </c>
      <c r="L72" s="57" t="s">
        <v>61</v>
      </c>
      <c r="M72" s="57" t="s">
        <v>61</v>
      </c>
      <c r="N72" s="16" t="s">
        <v>148</v>
      </c>
      <c r="O72" s="18" t="s">
        <v>61</v>
      </c>
      <c r="P72" s="18" t="s">
        <v>317</v>
      </c>
      <c r="Q72" s="19"/>
      <c r="R72" s="17" t="s">
        <v>98</v>
      </c>
      <c r="S72" s="16" t="s">
        <v>66</v>
      </c>
      <c r="T72" s="16"/>
      <c r="U72" s="16"/>
      <c r="V72" s="16">
        <v>160</v>
      </c>
      <c r="W72" s="16">
        <f>ROUND(IF(D72=Table!$C$3,Y72*Table!$C$4/8,Y72*Table!$D$4/8),3)</f>
        <v>157.5</v>
      </c>
      <c r="X72" s="16">
        <f t="shared" si="9"/>
        <v>157.5</v>
      </c>
      <c r="Y72" s="16">
        <v>2.8</v>
      </c>
      <c r="Z72" s="16">
        <v>1</v>
      </c>
      <c r="AA72" s="16" t="s">
        <v>21</v>
      </c>
      <c r="AB72" s="20">
        <v>43958</v>
      </c>
      <c r="AC72" s="20">
        <v>43946</v>
      </c>
      <c r="AD72" s="20">
        <v>43958</v>
      </c>
      <c r="AE72" s="20">
        <v>43955</v>
      </c>
      <c r="AF72" s="20">
        <v>43955</v>
      </c>
      <c r="AG72" s="20" t="s">
        <v>335</v>
      </c>
      <c r="AH72" s="32">
        <v>0.03</v>
      </c>
      <c r="AI72" s="32">
        <v>0</v>
      </c>
      <c r="AJ72" s="32">
        <v>0</v>
      </c>
      <c r="AK72" s="20" t="s">
        <v>165</v>
      </c>
      <c r="AL72" s="89" t="s">
        <v>411</v>
      </c>
      <c r="AM72" s="16"/>
      <c r="AN72" s="16"/>
    </row>
    <row r="73" spans="2:40" x14ac:dyDescent="0.25">
      <c r="B73" s="45">
        <f t="shared" si="10"/>
        <v>26</v>
      </c>
      <c r="C73" s="17">
        <v>20200427</v>
      </c>
      <c r="D73" s="16" t="s">
        <v>3</v>
      </c>
      <c r="E73" s="92" t="s">
        <v>503</v>
      </c>
      <c r="F73" s="18" t="s">
        <v>259</v>
      </c>
      <c r="G73" s="57" t="s">
        <v>61</v>
      </c>
      <c r="H73" s="16" t="s">
        <v>220</v>
      </c>
      <c r="I73" s="16" t="s">
        <v>155</v>
      </c>
      <c r="J73" s="16" t="s">
        <v>121</v>
      </c>
      <c r="K73" s="57" t="s">
        <v>61</v>
      </c>
      <c r="L73" s="57" t="s">
        <v>61</v>
      </c>
      <c r="M73" s="57" t="s">
        <v>61</v>
      </c>
      <c r="N73" s="16" t="s">
        <v>148</v>
      </c>
      <c r="O73" s="18" t="s">
        <v>61</v>
      </c>
      <c r="P73" s="18" t="s">
        <v>317</v>
      </c>
      <c r="Q73" s="19"/>
      <c r="R73" s="17" t="s">
        <v>98</v>
      </c>
      <c r="S73" s="16" t="s">
        <v>66</v>
      </c>
      <c r="T73" s="16"/>
      <c r="U73" s="16"/>
      <c r="V73" s="16">
        <v>246</v>
      </c>
      <c r="W73" s="16">
        <f>ROUND(IF(D73=Table!$C$3,Y73*Table!$C$4/8,Y73*Table!$D$4/8),3)</f>
        <v>247.5</v>
      </c>
      <c r="X73" s="16">
        <f t="shared" si="9"/>
        <v>247.5</v>
      </c>
      <c r="Y73" s="16">
        <v>4.4000000000000004</v>
      </c>
      <c r="Z73" s="16">
        <v>2</v>
      </c>
      <c r="AA73" s="16" t="s">
        <v>21</v>
      </c>
      <c r="AB73" s="20">
        <v>43958</v>
      </c>
      <c r="AC73" s="20">
        <v>43946</v>
      </c>
      <c r="AD73" s="20">
        <v>43958</v>
      </c>
      <c r="AE73" s="20">
        <v>43955</v>
      </c>
      <c r="AF73" s="20">
        <v>43955</v>
      </c>
      <c r="AG73" s="20" t="s">
        <v>335</v>
      </c>
      <c r="AH73" s="32">
        <v>1</v>
      </c>
      <c r="AI73" s="32">
        <v>1</v>
      </c>
      <c r="AJ73" s="32">
        <v>1</v>
      </c>
      <c r="AK73" s="20" t="s">
        <v>165</v>
      </c>
      <c r="AL73" s="16"/>
      <c r="AM73" s="16"/>
      <c r="AN73" s="16"/>
    </row>
    <row r="74" spans="2:40" x14ac:dyDescent="0.25">
      <c r="B74" s="45">
        <f t="shared" si="10"/>
        <v>27</v>
      </c>
      <c r="C74" s="17">
        <v>20200427</v>
      </c>
      <c r="D74" s="16" t="s">
        <v>3</v>
      </c>
      <c r="E74" s="92" t="s">
        <v>503</v>
      </c>
      <c r="F74" s="18" t="s">
        <v>259</v>
      </c>
      <c r="G74" s="57" t="s">
        <v>61</v>
      </c>
      <c r="H74" s="16" t="s">
        <v>221</v>
      </c>
      <c r="I74" s="16" t="s">
        <v>284</v>
      </c>
      <c r="J74" s="16" t="s">
        <v>121</v>
      </c>
      <c r="K74" s="57" t="s">
        <v>61</v>
      </c>
      <c r="L74" s="57" t="s">
        <v>61</v>
      </c>
      <c r="M74" s="57" t="s">
        <v>61</v>
      </c>
      <c r="N74" s="16" t="s">
        <v>148</v>
      </c>
      <c r="O74" s="18" t="s">
        <v>61</v>
      </c>
      <c r="P74" s="18" t="s">
        <v>317</v>
      </c>
      <c r="Q74" s="19"/>
      <c r="R74" s="17" t="s">
        <v>98</v>
      </c>
      <c r="S74" s="16" t="s">
        <v>66</v>
      </c>
      <c r="T74" s="16"/>
      <c r="U74" s="16"/>
      <c r="V74" s="16">
        <v>23</v>
      </c>
      <c r="W74" s="16">
        <f>ROUND(IF(D74=Table!$C$3,Y74*Table!$C$4/8,Y74*Table!$D$4/8),3)</f>
        <v>67.5</v>
      </c>
      <c r="X74" s="16">
        <f t="shared" si="9"/>
        <v>67.5</v>
      </c>
      <c r="Y74" s="16">
        <v>1.2</v>
      </c>
      <c r="Z74" s="16">
        <v>0.5</v>
      </c>
      <c r="AA74" s="16" t="s">
        <v>21</v>
      </c>
      <c r="AB74" s="20">
        <v>43958</v>
      </c>
      <c r="AC74" s="20">
        <v>43946</v>
      </c>
      <c r="AD74" s="20">
        <v>43958</v>
      </c>
      <c r="AE74" s="20">
        <v>43955</v>
      </c>
      <c r="AF74" s="20">
        <v>43955</v>
      </c>
      <c r="AG74" s="20" t="s">
        <v>335</v>
      </c>
      <c r="AH74" s="32">
        <v>1</v>
      </c>
      <c r="AI74" s="32">
        <v>1</v>
      </c>
      <c r="AJ74" s="32">
        <v>1</v>
      </c>
      <c r="AK74" s="20" t="s">
        <v>165</v>
      </c>
      <c r="AL74" s="16"/>
      <c r="AM74" s="16"/>
      <c r="AN74" s="16"/>
    </row>
    <row r="75" spans="2:40" x14ac:dyDescent="0.25">
      <c r="B75" s="45">
        <f t="shared" si="10"/>
        <v>28</v>
      </c>
      <c r="C75" s="17">
        <v>20200427</v>
      </c>
      <c r="D75" s="16" t="s">
        <v>3</v>
      </c>
      <c r="E75" s="92" t="s">
        <v>503</v>
      </c>
      <c r="F75" s="18" t="s">
        <v>259</v>
      </c>
      <c r="G75" s="57" t="s">
        <v>61</v>
      </c>
      <c r="H75" s="16" t="s">
        <v>222</v>
      </c>
      <c r="I75" s="16" t="s">
        <v>285</v>
      </c>
      <c r="J75" s="16" t="s">
        <v>121</v>
      </c>
      <c r="K75" s="57" t="s">
        <v>61</v>
      </c>
      <c r="L75" s="57" t="s">
        <v>61</v>
      </c>
      <c r="M75" s="57" t="s">
        <v>61</v>
      </c>
      <c r="N75" s="16" t="s">
        <v>148</v>
      </c>
      <c r="O75" s="18" t="s">
        <v>61</v>
      </c>
      <c r="P75" s="18" t="s">
        <v>317</v>
      </c>
      <c r="Q75" s="19"/>
      <c r="R75" s="17" t="s">
        <v>97</v>
      </c>
      <c r="S75" s="16" t="s">
        <v>156</v>
      </c>
      <c r="T75" s="16"/>
      <c r="U75" s="16"/>
      <c r="V75" s="16">
        <v>126</v>
      </c>
      <c r="W75" s="16">
        <f>ROUND(IF(D75=Table!$C$3,Y75*Table!$C$4/8,Y75*Table!$D$4/8),3)</f>
        <v>114.75</v>
      </c>
      <c r="X75" s="16">
        <f t="shared" si="9"/>
        <v>114.75</v>
      </c>
      <c r="Y75" s="16">
        <v>2.04</v>
      </c>
      <c r="Z75" s="16">
        <v>3</v>
      </c>
      <c r="AA75" s="16" t="s">
        <v>21</v>
      </c>
      <c r="AB75" s="20">
        <v>43958</v>
      </c>
      <c r="AC75" s="20">
        <v>43946</v>
      </c>
      <c r="AD75" s="20">
        <v>43958</v>
      </c>
      <c r="AE75" s="20">
        <v>43956</v>
      </c>
      <c r="AF75" s="20">
        <v>43956</v>
      </c>
      <c r="AG75" s="20" t="s">
        <v>335</v>
      </c>
      <c r="AH75" s="32">
        <v>1</v>
      </c>
      <c r="AI75" s="32">
        <v>0.96</v>
      </c>
      <c r="AJ75" s="32">
        <v>0.33</v>
      </c>
      <c r="AK75" s="20" t="s">
        <v>165</v>
      </c>
      <c r="AL75" s="16" t="s">
        <v>436</v>
      </c>
      <c r="AM75" s="16"/>
      <c r="AN75" s="16"/>
    </row>
    <row r="76" spans="2:40" x14ac:dyDescent="0.25">
      <c r="B76" s="45">
        <f t="shared" si="10"/>
        <v>29</v>
      </c>
      <c r="C76" s="17">
        <v>20200427</v>
      </c>
      <c r="D76" s="16" t="s">
        <v>3</v>
      </c>
      <c r="E76" s="92" t="s">
        <v>503</v>
      </c>
      <c r="F76" s="18" t="s">
        <v>259</v>
      </c>
      <c r="G76" s="57" t="s">
        <v>61</v>
      </c>
      <c r="H76" s="16" t="s">
        <v>223</v>
      </c>
      <c r="I76" s="16" t="s">
        <v>286</v>
      </c>
      <c r="J76" s="16" t="s">
        <v>121</v>
      </c>
      <c r="K76" s="57" t="s">
        <v>61</v>
      </c>
      <c r="L76" s="57" t="s">
        <v>61</v>
      </c>
      <c r="M76" s="57" t="s">
        <v>61</v>
      </c>
      <c r="N76" s="16" t="s">
        <v>148</v>
      </c>
      <c r="O76" s="18" t="s">
        <v>61</v>
      </c>
      <c r="P76" s="18" t="s">
        <v>317</v>
      </c>
      <c r="Q76" s="19"/>
      <c r="R76" s="17" t="s">
        <v>98</v>
      </c>
      <c r="S76" s="16" t="s">
        <v>66</v>
      </c>
      <c r="T76" s="16"/>
      <c r="U76" s="16"/>
      <c r="V76" s="16">
        <v>50</v>
      </c>
      <c r="W76" s="16">
        <f>ROUND(IF(D76=Table!$C$3,Y76*Table!$C$4/8,Y76*Table!$D$4/8),3)</f>
        <v>67.5</v>
      </c>
      <c r="X76" s="16">
        <f t="shared" si="9"/>
        <v>67.5</v>
      </c>
      <c r="Y76" s="16">
        <v>1.2</v>
      </c>
      <c r="Z76" s="16">
        <v>0.5</v>
      </c>
      <c r="AA76" s="16" t="s">
        <v>21</v>
      </c>
      <c r="AB76" s="20">
        <v>43958</v>
      </c>
      <c r="AC76" s="20">
        <v>43946</v>
      </c>
      <c r="AD76" s="20">
        <v>43958</v>
      </c>
      <c r="AE76" s="20">
        <v>43955</v>
      </c>
      <c r="AF76" s="20">
        <v>43955</v>
      </c>
      <c r="AG76" s="20" t="s">
        <v>335</v>
      </c>
      <c r="AH76" s="32">
        <v>1</v>
      </c>
      <c r="AI76" s="32">
        <v>1</v>
      </c>
      <c r="AJ76" s="3" t="s">
        <v>412</v>
      </c>
      <c r="AK76" s="20" t="s">
        <v>165</v>
      </c>
      <c r="AL76" s="16"/>
      <c r="AM76" s="16"/>
      <c r="AN76" s="16"/>
    </row>
    <row r="77" spans="2:40" x14ac:dyDescent="0.25">
      <c r="B77" s="45">
        <f t="shared" si="10"/>
        <v>30</v>
      </c>
      <c r="C77" s="17">
        <v>20200427</v>
      </c>
      <c r="D77" s="16" t="s">
        <v>3</v>
      </c>
      <c r="E77" s="92" t="s">
        <v>503</v>
      </c>
      <c r="F77" s="18" t="s">
        <v>259</v>
      </c>
      <c r="G77" s="57" t="s">
        <v>61</v>
      </c>
      <c r="H77" s="16" t="s">
        <v>224</v>
      </c>
      <c r="I77" s="16" t="s">
        <v>287</v>
      </c>
      <c r="J77" s="16" t="s">
        <v>121</v>
      </c>
      <c r="K77" s="57" t="s">
        <v>61</v>
      </c>
      <c r="L77" s="57" t="s">
        <v>61</v>
      </c>
      <c r="M77" s="57" t="s">
        <v>61</v>
      </c>
      <c r="N77" s="16" t="s">
        <v>148</v>
      </c>
      <c r="O77" s="18" t="s">
        <v>61</v>
      </c>
      <c r="P77" s="18" t="s">
        <v>317</v>
      </c>
      <c r="Q77" s="19"/>
      <c r="R77" s="17" t="s">
        <v>98</v>
      </c>
      <c r="S77" s="16" t="s">
        <v>66</v>
      </c>
      <c r="T77" s="16"/>
      <c r="U77" s="16"/>
      <c r="V77" s="16">
        <v>206</v>
      </c>
      <c r="W77" s="16">
        <f>ROUND(IF(D77=Table!$C$3,Y77*Table!$C$4/8,Y77*Table!$D$4/8),3)</f>
        <v>202.5</v>
      </c>
      <c r="X77" s="16">
        <f t="shared" si="9"/>
        <v>202.5</v>
      </c>
      <c r="Y77" s="16">
        <v>3.6</v>
      </c>
      <c r="Z77" s="16">
        <v>1</v>
      </c>
      <c r="AA77" s="16" t="s">
        <v>21</v>
      </c>
      <c r="AB77" s="20">
        <v>43958</v>
      </c>
      <c r="AC77" s="20">
        <v>43946</v>
      </c>
      <c r="AD77" s="20">
        <v>43958</v>
      </c>
      <c r="AE77" s="20">
        <v>43955</v>
      </c>
      <c r="AF77" s="20">
        <v>43955</v>
      </c>
      <c r="AG77" s="20" t="s">
        <v>335</v>
      </c>
      <c r="AH77" s="32">
        <v>1</v>
      </c>
      <c r="AI77" s="32">
        <v>0.97</v>
      </c>
      <c r="AJ77" s="3" t="s">
        <v>412</v>
      </c>
      <c r="AK77" s="20" t="s">
        <v>165</v>
      </c>
      <c r="AL77" s="90" t="s">
        <v>413</v>
      </c>
      <c r="AM77" s="16"/>
      <c r="AN77" s="16"/>
    </row>
    <row r="78" spans="2:40" x14ac:dyDescent="0.25">
      <c r="B78" s="45">
        <f t="shared" si="10"/>
        <v>31</v>
      </c>
      <c r="C78" s="17">
        <v>20200427</v>
      </c>
      <c r="D78" s="16" t="s">
        <v>3</v>
      </c>
      <c r="E78" s="92" t="s">
        <v>503</v>
      </c>
      <c r="F78" s="18" t="s">
        <v>259</v>
      </c>
      <c r="G78" s="57" t="s">
        <v>61</v>
      </c>
      <c r="H78" s="16" t="s">
        <v>225</v>
      </c>
      <c r="I78" s="16" t="s">
        <v>288</v>
      </c>
      <c r="J78" s="16" t="s">
        <v>121</v>
      </c>
      <c r="K78" s="57" t="s">
        <v>61</v>
      </c>
      <c r="L78" s="57" t="s">
        <v>61</v>
      </c>
      <c r="M78" s="57" t="s">
        <v>61</v>
      </c>
      <c r="N78" s="16" t="s">
        <v>148</v>
      </c>
      <c r="O78" s="18" t="s">
        <v>61</v>
      </c>
      <c r="P78" s="18" t="s">
        <v>317</v>
      </c>
      <c r="Q78" s="19"/>
      <c r="R78" s="17" t="s">
        <v>98</v>
      </c>
      <c r="S78" s="16" t="s">
        <v>66</v>
      </c>
      <c r="T78" s="16"/>
      <c r="U78" s="16"/>
      <c r="V78" s="16">
        <v>131</v>
      </c>
      <c r="W78" s="16">
        <f>ROUND(IF(D78=Table!$C$3,Y78*Table!$C$4/8,Y78*Table!$D$4/8),3)</f>
        <v>135</v>
      </c>
      <c r="X78" s="16">
        <f t="shared" si="9"/>
        <v>135</v>
      </c>
      <c r="Y78" s="16">
        <v>2.4</v>
      </c>
      <c r="Z78" s="16">
        <v>1</v>
      </c>
      <c r="AA78" s="16" t="s">
        <v>21</v>
      </c>
      <c r="AB78" s="20">
        <v>43958</v>
      </c>
      <c r="AC78" s="20">
        <v>43946</v>
      </c>
      <c r="AD78" s="20">
        <v>43958</v>
      </c>
      <c r="AE78" s="20">
        <v>43955</v>
      </c>
      <c r="AF78" s="20">
        <v>43955</v>
      </c>
      <c r="AG78" s="20" t="s">
        <v>335</v>
      </c>
      <c r="AH78" s="32">
        <v>1</v>
      </c>
      <c r="AI78" s="32">
        <v>1</v>
      </c>
      <c r="AJ78" s="3" t="s">
        <v>412</v>
      </c>
      <c r="AK78" s="20" t="s">
        <v>165</v>
      </c>
      <c r="AL78" s="16"/>
      <c r="AM78" s="16"/>
      <c r="AN78" s="16"/>
    </row>
    <row r="79" spans="2:40" x14ac:dyDescent="0.25">
      <c r="B79" s="45">
        <f t="shared" si="10"/>
        <v>32</v>
      </c>
      <c r="C79" s="17">
        <v>20200427</v>
      </c>
      <c r="D79" s="16" t="s">
        <v>3</v>
      </c>
      <c r="E79" s="92" t="s">
        <v>503</v>
      </c>
      <c r="F79" s="18" t="s">
        <v>259</v>
      </c>
      <c r="G79" s="57" t="s">
        <v>61</v>
      </c>
      <c r="H79" s="16" t="s">
        <v>226</v>
      </c>
      <c r="I79" s="16" t="s">
        <v>289</v>
      </c>
      <c r="J79" s="16" t="s">
        <v>121</v>
      </c>
      <c r="K79" s="57" t="s">
        <v>61</v>
      </c>
      <c r="L79" s="57" t="s">
        <v>61</v>
      </c>
      <c r="M79" s="57" t="s">
        <v>61</v>
      </c>
      <c r="N79" s="16" t="s">
        <v>148</v>
      </c>
      <c r="O79" s="18" t="s">
        <v>61</v>
      </c>
      <c r="P79" s="18" t="s">
        <v>317</v>
      </c>
      <c r="Q79" s="19"/>
      <c r="R79" s="17" t="s">
        <v>98</v>
      </c>
      <c r="S79" s="16" t="s">
        <v>6</v>
      </c>
      <c r="T79" s="16"/>
      <c r="U79" s="16"/>
      <c r="V79" s="16">
        <v>146</v>
      </c>
      <c r="W79" s="16">
        <f>ROUND(IF(D79=Table!$C$3,Y79*Table!$C$4/8,Y79*Table!$D$4/8),3)</f>
        <v>76.5</v>
      </c>
      <c r="X79" s="16">
        <f t="shared" si="9"/>
        <v>76.5</v>
      </c>
      <c r="Y79" s="16">
        <v>1.36</v>
      </c>
      <c r="Z79" s="16">
        <v>2</v>
      </c>
      <c r="AA79" s="16" t="s">
        <v>21</v>
      </c>
      <c r="AB79" s="20">
        <v>43958</v>
      </c>
      <c r="AC79" s="20">
        <v>43946</v>
      </c>
      <c r="AD79" s="20">
        <v>43958</v>
      </c>
      <c r="AE79" s="20">
        <v>43955</v>
      </c>
      <c r="AF79" s="20">
        <v>43955</v>
      </c>
      <c r="AG79" s="20" t="s">
        <v>335</v>
      </c>
      <c r="AH79" s="32">
        <v>1</v>
      </c>
      <c r="AI79" s="32">
        <v>1</v>
      </c>
      <c r="AJ79" s="32">
        <v>1</v>
      </c>
      <c r="AK79" s="20" t="s">
        <v>165</v>
      </c>
      <c r="AL79" s="16"/>
      <c r="AM79" s="16"/>
      <c r="AN79" s="16"/>
    </row>
    <row r="80" spans="2:40" x14ac:dyDescent="0.25">
      <c r="B80" s="45">
        <f t="shared" si="10"/>
        <v>33</v>
      </c>
      <c r="C80" s="17">
        <v>20200427</v>
      </c>
      <c r="D80" s="16" t="s">
        <v>3</v>
      </c>
      <c r="E80" s="92" t="s">
        <v>503</v>
      </c>
      <c r="F80" s="18" t="s">
        <v>259</v>
      </c>
      <c r="G80" s="57" t="s">
        <v>61</v>
      </c>
      <c r="H80" s="16" t="s">
        <v>227</v>
      </c>
      <c r="I80" s="16" t="s">
        <v>290</v>
      </c>
      <c r="J80" s="16" t="s">
        <v>121</v>
      </c>
      <c r="K80" s="57" t="s">
        <v>61</v>
      </c>
      <c r="L80" s="57" t="s">
        <v>61</v>
      </c>
      <c r="M80" s="57" t="s">
        <v>61</v>
      </c>
      <c r="N80" s="16" t="s">
        <v>148</v>
      </c>
      <c r="O80" s="18" t="s">
        <v>61</v>
      </c>
      <c r="P80" s="18" t="s">
        <v>317</v>
      </c>
      <c r="Q80" s="19"/>
      <c r="R80" s="17" t="s">
        <v>98</v>
      </c>
      <c r="S80" s="16" t="s">
        <v>6</v>
      </c>
      <c r="T80" s="16"/>
      <c r="U80" s="16"/>
      <c r="V80" s="16">
        <v>94</v>
      </c>
      <c r="W80" s="16">
        <f>ROUND(IF(D80=Table!$C$3,Y80*Table!$C$4/8,Y80*Table!$D$4/8),3)</f>
        <v>107.1</v>
      </c>
      <c r="X80" s="16">
        <f t="shared" si="9"/>
        <v>107.1</v>
      </c>
      <c r="Y80" s="16">
        <v>1.9040000000000001</v>
      </c>
      <c r="Z80" s="16">
        <v>2</v>
      </c>
      <c r="AA80" s="16" t="s">
        <v>21</v>
      </c>
      <c r="AB80" s="20">
        <v>43958</v>
      </c>
      <c r="AC80" s="20">
        <v>43946</v>
      </c>
      <c r="AD80" s="20">
        <v>43958</v>
      </c>
      <c r="AE80" s="20">
        <v>43955</v>
      </c>
      <c r="AF80" s="20">
        <v>43955</v>
      </c>
      <c r="AG80" s="20" t="s">
        <v>335</v>
      </c>
      <c r="AH80" s="32">
        <v>1</v>
      </c>
      <c r="AI80" s="32">
        <v>1</v>
      </c>
      <c r="AJ80" s="32">
        <v>1</v>
      </c>
      <c r="AK80" s="20" t="s">
        <v>165</v>
      </c>
      <c r="AL80" s="16"/>
      <c r="AM80" s="16"/>
      <c r="AN80" s="16"/>
    </row>
    <row r="81" spans="2:40" x14ac:dyDescent="0.25">
      <c r="B81" s="45">
        <f t="shared" si="10"/>
        <v>34</v>
      </c>
      <c r="C81" s="17">
        <v>20200427</v>
      </c>
      <c r="D81" s="16" t="s">
        <v>3</v>
      </c>
      <c r="E81" s="92" t="s">
        <v>503</v>
      </c>
      <c r="F81" s="18" t="s">
        <v>259</v>
      </c>
      <c r="G81" s="57" t="s">
        <v>61</v>
      </c>
      <c r="H81" s="16" t="s">
        <v>228</v>
      </c>
      <c r="I81" s="16" t="s">
        <v>291</v>
      </c>
      <c r="J81" s="16" t="s">
        <v>121</v>
      </c>
      <c r="K81" s="57" t="s">
        <v>61</v>
      </c>
      <c r="L81" s="57" t="s">
        <v>61</v>
      </c>
      <c r="M81" s="57" t="s">
        <v>61</v>
      </c>
      <c r="N81" s="16" t="s">
        <v>148</v>
      </c>
      <c r="O81" s="18" t="s">
        <v>61</v>
      </c>
      <c r="P81" s="18" t="s">
        <v>317</v>
      </c>
      <c r="Q81" s="19"/>
      <c r="R81" s="17" t="s">
        <v>98</v>
      </c>
      <c r="S81" s="16" t="s">
        <v>6</v>
      </c>
      <c r="T81" s="16"/>
      <c r="U81" s="16"/>
      <c r="V81" s="16">
        <v>149</v>
      </c>
      <c r="W81" s="16">
        <f>ROUND(IF(D81=Table!$C$3,Y81*Table!$C$4/8,Y81*Table!$D$4/8),3)</f>
        <v>157.5</v>
      </c>
      <c r="X81" s="16">
        <f t="shared" ref="X81:X112" si="13">W81</f>
        <v>157.5</v>
      </c>
      <c r="Y81" s="16">
        <v>2.8</v>
      </c>
      <c r="Z81" s="16">
        <v>3</v>
      </c>
      <c r="AA81" s="16" t="s">
        <v>21</v>
      </c>
      <c r="AB81" s="20">
        <v>43958</v>
      </c>
      <c r="AC81" s="20">
        <v>43946</v>
      </c>
      <c r="AD81" s="20">
        <v>43958</v>
      </c>
      <c r="AE81" s="20">
        <v>43955</v>
      </c>
      <c r="AF81" s="20">
        <v>43955</v>
      </c>
      <c r="AG81" s="20" t="s">
        <v>335</v>
      </c>
      <c r="AH81" s="32">
        <v>1</v>
      </c>
      <c r="AI81" s="32">
        <v>1</v>
      </c>
      <c r="AJ81" s="32">
        <v>0.5</v>
      </c>
      <c r="AK81" s="20" t="s">
        <v>165</v>
      </c>
      <c r="AL81" s="16"/>
      <c r="AM81" s="16"/>
      <c r="AN81" s="16"/>
    </row>
    <row r="82" spans="2:40" x14ac:dyDescent="0.25">
      <c r="B82" s="45">
        <f t="shared" si="10"/>
        <v>35</v>
      </c>
      <c r="C82" s="17">
        <v>20200427</v>
      </c>
      <c r="D82" s="16" t="s">
        <v>3</v>
      </c>
      <c r="E82" s="92" t="s">
        <v>503</v>
      </c>
      <c r="F82" s="18" t="s">
        <v>259</v>
      </c>
      <c r="G82" s="57" t="s">
        <v>61</v>
      </c>
      <c r="H82" s="16" t="s">
        <v>229</v>
      </c>
      <c r="I82" s="16" t="s">
        <v>292</v>
      </c>
      <c r="J82" s="16" t="s">
        <v>121</v>
      </c>
      <c r="K82" s="57" t="s">
        <v>61</v>
      </c>
      <c r="L82" s="57" t="s">
        <v>61</v>
      </c>
      <c r="M82" s="57" t="s">
        <v>61</v>
      </c>
      <c r="N82" s="16" t="s">
        <v>148</v>
      </c>
      <c r="O82" s="18" t="s">
        <v>61</v>
      </c>
      <c r="P82" s="18" t="s">
        <v>317</v>
      </c>
      <c r="Q82" s="19"/>
      <c r="R82" s="17" t="s">
        <v>98</v>
      </c>
      <c r="S82" s="16" t="s">
        <v>66</v>
      </c>
      <c r="T82" s="16"/>
      <c r="U82" s="16"/>
      <c r="V82" s="16">
        <v>27</v>
      </c>
      <c r="W82" s="16">
        <f>ROUND(IF(D82=Table!$C$3,Y82*Table!$C$4/8,Y82*Table!$D$4/8),3)</f>
        <v>67.5</v>
      </c>
      <c r="X82" s="16">
        <f t="shared" si="13"/>
        <v>67.5</v>
      </c>
      <c r="Y82" s="16">
        <v>1.2</v>
      </c>
      <c r="Z82" s="16">
        <v>0.1</v>
      </c>
      <c r="AA82" s="16" t="s">
        <v>21</v>
      </c>
      <c r="AB82" s="20">
        <v>43958</v>
      </c>
      <c r="AC82" s="20">
        <v>43946</v>
      </c>
      <c r="AD82" s="20">
        <v>43958</v>
      </c>
      <c r="AE82" s="20">
        <v>43956</v>
      </c>
      <c r="AF82" s="20">
        <v>43956</v>
      </c>
      <c r="AG82" s="20" t="s">
        <v>335</v>
      </c>
      <c r="AH82" s="99">
        <v>1</v>
      </c>
      <c r="AI82" s="32">
        <v>1</v>
      </c>
      <c r="AJ82" s="32">
        <v>1</v>
      </c>
      <c r="AK82" s="20" t="s">
        <v>165</v>
      </c>
      <c r="AL82" s="16"/>
      <c r="AM82" s="16"/>
      <c r="AN82" s="16"/>
    </row>
    <row r="83" spans="2:40" x14ac:dyDescent="0.25">
      <c r="B83" s="45">
        <f t="shared" si="10"/>
        <v>36</v>
      </c>
      <c r="C83" s="17">
        <v>20200427</v>
      </c>
      <c r="D83" s="16" t="s">
        <v>3</v>
      </c>
      <c r="E83" s="92" t="s">
        <v>503</v>
      </c>
      <c r="F83" s="18" t="s">
        <v>259</v>
      </c>
      <c r="G83" s="57" t="s">
        <v>61</v>
      </c>
      <c r="H83" s="16" t="s">
        <v>230</v>
      </c>
      <c r="I83" s="16" t="s">
        <v>293</v>
      </c>
      <c r="J83" s="16" t="s">
        <v>121</v>
      </c>
      <c r="K83" s="57" t="s">
        <v>61</v>
      </c>
      <c r="L83" s="57" t="s">
        <v>61</v>
      </c>
      <c r="M83" s="57" t="s">
        <v>61</v>
      </c>
      <c r="N83" s="16" t="s">
        <v>148</v>
      </c>
      <c r="O83" s="18" t="s">
        <v>61</v>
      </c>
      <c r="P83" s="18" t="s">
        <v>317</v>
      </c>
      <c r="Q83" s="19"/>
      <c r="R83" s="17" t="s">
        <v>98</v>
      </c>
      <c r="S83" s="16" t="s">
        <v>66</v>
      </c>
      <c r="T83" s="16"/>
      <c r="U83" s="16"/>
      <c r="V83" s="16">
        <v>21</v>
      </c>
      <c r="W83" s="16">
        <f>ROUND(IF(D83=Table!$C$3,Y83*Table!$C$4/8,Y83*Table!$D$4/8),3)</f>
        <v>67.5</v>
      </c>
      <c r="X83" s="16">
        <f t="shared" si="13"/>
        <v>67.5</v>
      </c>
      <c r="Y83" s="16">
        <v>1.2</v>
      </c>
      <c r="Z83" s="16">
        <v>0.1</v>
      </c>
      <c r="AA83" s="16" t="s">
        <v>21</v>
      </c>
      <c r="AB83" s="20">
        <v>43958</v>
      </c>
      <c r="AC83" s="20">
        <v>43946</v>
      </c>
      <c r="AD83" s="20">
        <v>43958</v>
      </c>
      <c r="AE83" s="20">
        <v>43956</v>
      </c>
      <c r="AF83" s="20">
        <v>43956</v>
      </c>
      <c r="AG83" s="20" t="s">
        <v>335</v>
      </c>
      <c r="AH83" s="99">
        <v>1</v>
      </c>
      <c r="AI83" s="32">
        <v>1</v>
      </c>
      <c r="AJ83" s="32">
        <v>1</v>
      </c>
      <c r="AK83" s="20" t="s">
        <v>165</v>
      </c>
      <c r="AL83" s="16"/>
      <c r="AM83" s="16"/>
      <c r="AN83" s="16"/>
    </row>
    <row r="84" spans="2:40" x14ac:dyDescent="0.25">
      <c r="B84" s="45">
        <f t="shared" si="10"/>
        <v>37</v>
      </c>
      <c r="C84" s="17">
        <v>20200427</v>
      </c>
      <c r="D84" s="16" t="s">
        <v>3</v>
      </c>
      <c r="E84" s="92" t="s">
        <v>503</v>
      </c>
      <c r="F84" s="18" t="s">
        <v>259</v>
      </c>
      <c r="G84" s="57" t="s">
        <v>61</v>
      </c>
      <c r="H84" s="16" t="s">
        <v>231</v>
      </c>
      <c r="I84" s="16" t="s">
        <v>294</v>
      </c>
      <c r="J84" s="16" t="s">
        <v>121</v>
      </c>
      <c r="K84" s="57" t="s">
        <v>61</v>
      </c>
      <c r="L84" s="57" t="s">
        <v>61</v>
      </c>
      <c r="M84" s="57" t="s">
        <v>61</v>
      </c>
      <c r="N84" s="16" t="s">
        <v>148</v>
      </c>
      <c r="O84" s="18" t="s">
        <v>61</v>
      </c>
      <c r="P84" s="18" t="s">
        <v>317</v>
      </c>
      <c r="Q84" s="19"/>
      <c r="R84" s="17" t="s">
        <v>98</v>
      </c>
      <c r="S84" s="16" t="s">
        <v>66</v>
      </c>
      <c r="T84" s="16"/>
      <c r="U84" s="16"/>
      <c r="V84" s="16">
        <v>113</v>
      </c>
      <c r="W84" s="16">
        <f>ROUND(IF(D84=Table!$C$3,Y84*Table!$C$4/8,Y84*Table!$D$4/8),3)</f>
        <v>67.5</v>
      </c>
      <c r="X84" s="16">
        <f t="shared" si="13"/>
        <v>67.5</v>
      </c>
      <c r="Y84" s="16">
        <v>1.2</v>
      </c>
      <c r="Z84" s="16">
        <v>0.5</v>
      </c>
      <c r="AA84" s="16" t="s">
        <v>21</v>
      </c>
      <c r="AB84" s="20">
        <v>43958</v>
      </c>
      <c r="AC84" s="20">
        <v>43946</v>
      </c>
      <c r="AD84" s="20">
        <v>43958</v>
      </c>
      <c r="AE84" s="20">
        <v>43956</v>
      </c>
      <c r="AF84" s="20">
        <v>43956</v>
      </c>
      <c r="AG84" s="20" t="s">
        <v>335</v>
      </c>
      <c r="AH84" s="99">
        <v>1</v>
      </c>
      <c r="AI84" s="32">
        <v>1</v>
      </c>
      <c r="AJ84" s="32">
        <v>1</v>
      </c>
      <c r="AK84" s="20" t="s">
        <v>165</v>
      </c>
      <c r="AL84" s="16"/>
      <c r="AM84" s="16"/>
      <c r="AN84" s="16"/>
    </row>
    <row r="85" spans="2:40" x14ac:dyDescent="0.25">
      <c r="B85" s="45">
        <f t="shared" si="10"/>
        <v>38</v>
      </c>
      <c r="C85" s="17">
        <v>20200427</v>
      </c>
      <c r="D85" s="16" t="s">
        <v>3</v>
      </c>
      <c r="E85" s="92" t="s">
        <v>503</v>
      </c>
      <c r="F85" s="18" t="s">
        <v>259</v>
      </c>
      <c r="G85" s="57" t="s">
        <v>61</v>
      </c>
      <c r="H85" s="16" t="s">
        <v>232</v>
      </c>
      <c r="I85" s="16" t="s">
        <v>295</v>
      </c>
      <c r="J85" s="16" t="s">
        <v>121</v>
      </c>
      <c r="K85" s="57" t="s">
        <v>61</v>
      </c>
      <c r="L85" s="57" t="s">
        <v>61</v>
      </c>
      <c r="M85" s="57" t="s">
        <v>61</v>
      </c>
      <c r="N85" s="16" t="s">
        <v>148</v>
      </c>
      <c r="O85" s="18" t="s">
        <v>61</v>
      </c>
      <c r="P85" s="18" t="s">
        <v>317</v>
      </c>
      <c r="Q85" s="19"/>
      <c r="R85" s="17" t="s">
        <v>98</v>
      </c>
      <c r="S85" s="16" t="s">
        <v>66</v>
      </c>
      <c r="T85" s="16"/>
      <c r="U85" s="16"/>
      <c r="V85" s="16">
        <v>82</v>
      </c>
      <c r="W85" s="16">
        <f>ROUND(IF(D85=Table!$C$3,Y85*Table!$C$4/8,Y85*Table!$D$4/8),3)</f>
        <v>6.75</v>
      </c>
      <c r="X85" s="16">
        <f t="shared" si="13"/>
        <v>6.75</v>
      </c>
      <c r="Y85" s="16">
        <v>0.12</v>
      </c>
      <c r="Z85" s="16">
        <v>0.1</v>
      </c>
      <c r="AA85" s="16" t="s">
        <v>21</v>
      </c>
      <c r="AB85" s="20">
        <v>43958</v>
      </c>
      <c r="AC85" s="20">
        <v>43946</v>
      </c>
      <c r="AD85" s="20">
        <v>43958</v>
      </c>
      <c r="AE85" s="20">
        <v>43956</v>
      </c>
      <c r="AF85" s="20">
        <v>43956</v>
      </c>
      <c r="AG85" s="20" t="s">
        <v>335</v>
      </c>
      <c r="AH85" s="99">
        <v>1</v>
      </c>
      <c r="AI85" s="32">
        <v>1</v>
      </c>
      <c r="AJ85" s="32">
        <v>1</v>
      </c>
      <c r="AK85" s="20" t="s">
        <v>165</v>
      </c>
      <c r="AL85" s="16"/>
      <c r="AM85" s="16"/>
      <c r="AN85" s="16"/>
    </row>
    <row r="86" spans="2:40" x14ac:dyDescent="0.25">
      <c r="B86" s="45">
        <f t="shared" si="10"/>
        <v>39</v>
      </c>
      <c r="C86" s="17">
        <v>20200427</v>
      </c>
      <c r="D86" s="16" t="s">
        <v>3</v>
      </c>
      <c r="E86" s="92" t="s">
        <v>503</v>
      </c>
      <c r="F86" s="18" t="s">
        <v>259</v>
      </c>
      <c r="G86" s="57" t="s">
        <v>61</v>
      </c>
      <c r="H86" s="16" t="s">
        <v>233</v>
      </c>
      <c r="I86" s="16" t="s">
        <v>296</v>
      </c>
      <c r="J86" s="16" t="s">
        <v>121</v>
      </c>
      <c r="K86" s="57" t="s">
        <v>61</v>
      </c>
      <c r="L86" s="57" t="s">
        <v>61</v>
      </c>
      <c r="M86" s="57" t="s">
        <v>61</v>
      </c>
      <c r="N86" s="16" t="s">
        <v>148</v>
      </c>
      <c r="O86" s="18" t="s">
        <v>61</v>
      </c>
      <c r="P86" s="18" t="s">
        <v>317</v>
      </c>
      <c r="Q86" s="19"/>
      <c r="R86" s="17" t="s">
        <v>97</v>
      </c>
      <c r="S86" s="16" t="s">
        <v>156</v>
      </c>
      <c r="T86" s="16"/>
      <c r="U86" s="16"/>
      <c r="V86" s="16">
        <v>57</v>
      </c>
      <c r="W86" s="16">
        <f>ROUND(IF(D86=Table!$C$3,Y86*Table!$C$4/8,Y86*Table!$D$4/8),3)</f>
        <v>67.5</v>
      </c>
      <c r="X86" s="16">
        <f t="shared" si="13"/>
        <v>67.5</v>
      </c>
      <c r="Y86" s="16">
        <v>1.2</v>
      </c>
      <c r="Z86" s="16">
        <v>0.25</v>
      </c>
      <c r="AA86" s="16" t="s">
        <v>21</v>
      </c>
      <c r="AB86" s="20">
        <v>43958</v>
      </c>
      <c r="AC86" s="20">
        <v>43946</v>
      </c>
      <c r="AD86" s="20">
        <v>43958</v>
      </c>
      <c r="AE86" s="20">
        <v>43956</v>
      </c>
      <c r="AF86" s="20">
        <v>43956</v>
      </c>
      <c r="AG86" s="20" t="s">
        <v>335</v>
      </c>
      <c r="AH86" s="104">
        <v>1</v>
      </c>
      <c r="AI86" s="105">
        <v>0.96</v>
      </c>
      <c r="AJ86" s="105">
        <v>1</v>
      </c>
      <c r="AK86" s="20" t="s">
        <v>165</v>
      </c>
      <c r="AL86" s="16" t="s">
        <v>444</v>
      </c>
      <c r="AM86" s="16"/>
      <c r="AN86" s="16"/>
    </row>
    <row r="87" spans="2:40" x14ac:dyDescent="0.25">
      <c r="B87" s="45">
        <f t="shared" si="10"/>
        <v>40</v>
      </c>
      <c r="C87" s="17">
        <v>20200427</v>
      </c>
      <c r="D87" s="16" t="s">
        <v>3</v>
      </c>
      <c r="E87" s="92" t="s">
        <v>503</v>
      </c>
      <c r="F87" s="18" t="s">
        <v>259</v>
      </c>
      <c r="G87" s="57" t="s">
        <v>61</v>
      </c>
      <c r="H87" s="16" t="s">
        <v>234</v>
      </c>
      <c r="I87" s="16" t="s">
        <v>297</v>
      </c>
      <c r="J87" s="16" t="s">
        <v>121</v>
      </c>
      <c r="K87" s="57" t="s">
        <v>61</v>
      </c>
      <c r="L87" s="57" t="s">
        <v>61</v>
      </c>
      <c r="M87" s="57" t="s">
        <v>61</v>
      </c>
      <c r="N87" s="16" t="s">
        <v>148</v>
      </c>
      <c r="O87" s="18" t="s">
        <v>61</v>
      </c>
      <c r="P87" s="18" t="s">
        <v>317</v>
      </c>
      <c r="Q87" s="19"/>
      <c r="R87" s="17" t="s">
        <v>97</v>
      </c>
      <c r="S87" s="16" t="s">
        <v>156</v>
      </c>
      <c r="T87" s="16"/>
      <c r="U87" s="16"/>
      <c r="V87" s="16">
        <v>103</v>
      </c>
      <c r="W87" s="16">
        <f>ROUND(IF(D87=Table!$C$3,Y87*Table!$C$4/8,Y87*Table!$D$4/8),3)</f>
        <v>6.75</v>
      </c>
      <c r="X87" s="16">
        <f t="shared" si="13"/>
        <v>6.75</v>
      </c>
      <c r="Y87" s="16">
        <v>0.12</v>
      </c>
      <c r="Z87" s="16">
        <v>0.1</v>
      </c>
      <c r="AA87" s="16" t="s">
        <v>21</v>
      </c>
      <c r="AB87" s="20">
        <v>43958</v>
      </c>
      <c r="AC87" s="20">
        <v>43946</v>
      </c>
      <c r="AD87" s="20">
        <v>43958</v>
      </c>
      <c r="AE87" s="20">
        <v>43955</v>
      </c>
      <c r="AF87" s="20">
        <v>43955</v>
      </c>
      <c r="AG87" s="20" t="s">
        <v>335</v>
      </c>
      <c r="AH87" s="104">
        <v>1</v>
      </c>
      <c r="AI87" s="105">
        <v>1</v>
      </c>
      <c r="AJ87" s="105">
        <v>1</v>
      </c>
      <c r="AK87" s="20" t="s">
        <v>165</v>
      </c>
      <c r="AL87" s="16"/>
      <c r="AM87" s="16"/>
      <c r="AN87" s="16"/>
    </row>
    <row r="88" spans="2:40" x14ac:dyDescent="0.25">
      <c r="B88" s="45">
        <f t="shared" si="10"/>
        <v>41</v>
      </c>
      <c r="C88" s="17">
        <v>20200427</v>
      </c>
      <c r="D88" s="16" t="s">
        <v>3</v>
      </c>
      <c r="E88" s="92" t="s">
        <v>503</v>
      </c>
      <c r="F88" s="18" t="s">
        <v>259</v>
      </c>
      <c r="G88" s="57" t="s">
        <v>61</v>
      </c>
      <c r="H88" s="16" t="s">
        <v>235</v>
      </c>
      <c r="I88" s="16" t="s">
        <v>298</v>
      </c>
      <c r="J88" s="16" t="s">
        <v>121</v>
      </c>
      <c r="K88" s="57" t="s">
        <v>61</v>
      </c>
      <c r="L88" s="57" t="s">
        <v>61</v>
      </c>
      <c r="M88" s="57" t="s">
        <v>61</v>
      </c>
      <c r="N88" s="16" t="s">
        <v>148</v>
      </c>
      <c r="O88" s="18" t="s">
        <v>61</v>
      </c>
      <c r="P88" s="18" t="s">
        <v>317</v>
      </c>
      <c r="Q88" s="19"/>
      <c r="R88" s="17" t="s">
        <v>97</v>
      </c>
      <c r="S88" s="16" t="s">
        <v>156</v>
      </c>
      <c r="T88" s="16"/>
      <c r="U88" s="16"/>
      <c r="V88" s="16">
        <v>59</v>
      </c>
      <c r="W88" s="16">
        <f>ROUND(IF(D88=Table!$C$3,Y88*Table!$C$4/8,Y88*Table!$D$4/8),3)</f>
        <v>6.75</v>
      </c>
      <c r="X88" s="16">
        <f t="shared" si="13"/>
        <v>6.75</v>
      </c>
      <c r="Y88" s="16">
        <v>0.12</v>
      </c>
      <c r="Z88" s="16">
        <v>0.1</v>
      </c>
      <c r="AA88" s="16" t="s">
        <v>21</v>
      </c>
      <c r="AB88" s="20">
        <v>43958</v>
      </c>
      <c r="AC88" s="20">
        <v>43946</v>
      </c>
      <c r="AD88" s="20">
        <v>43958</v>
      </c>
      <c r="AE88" s="20">
        <v>43955</v>
      </c>
      <c r="AF88" s="20">
        <v>43955</v>
      </c>
      <c r="AG88" s="20" t="s">
        <v>335</v>
      </c>
      <c r="AH88" s="104">
        <v>1</v>
      </c>
      <c r="AI88" s="105">
        <v>1</v>
      </c>
      <c r="AJ88" s="105">
        <v>1</v>
      </c>
      <c r="AK88" s="20" t="s">
        <v>165</v>
      </c>
      <c r="AL88" s="16"/>
      <c r="AM88" s="16"/>
      <c r="AN88" s="16"/>
    </row>
    <row r="89" spans="2:40" x14ac:dyDescent="0.25">
      <c r="B89" s="45">
        <f t="shared" si="10"/>
        <v>42</v>
      </c>
      <c r="C89" s="17">
        <v>20200427</v>
      </c>
      <c r="D89" s="16" t="s">
        <v>3</v>
      </c>
      <c r="E89" s="92" t="s">
        <v>503</v>
      </c>
      <c r="F89" s="18" t="s">
        <v>259</v>
      </c>
      <c r="G89" s="57" t="s">
        <v>61</v>
      </c>
      <c r="H89" s="16" t="s">
        <v>236</v>
      </c>
      <c r="I89" s="16" t="s">
        <v>299</v>
      </c>
      <c r="J89" s="16" t="s">
        <v>121</v>
      </c>
      <c r="K89" s="57" t="s">
        <v>61</v>
      </c>
      <c r="L89" s="57" t="s">
        <v>61</v>
      </c>
      <c r="M89" s="57" t="s">
        <v>61</v>
      </c>
      <c r="N89" s="16" t="s">
        <v>148</v>
      </c>
      <c r="O89" s="18" t="s">
        <v>61</v>
      </c>
      <c r="P89" s="18" t="s">
        <v>317</v>
      </c>
      <c r="Q89" s="19"/>
      <c r="R89" s="17" t="s">
        <v>97</v>
      </c>
      <c r="S89" s="16" t="s">
        <v>156</v>
      </c>
      <c r="T89" s="16"/>
      <c r="U89" s="16"/>
      <c r="V89" s="16">
        <v>101</v>
      </c>
      <c r="W89" s="16">
        <f>ROUND(IF(D89=Table!$C$3,Y89*Table!$C$4/8,Y89*Table!$D$4/8),3)</f>
        <v>67.5</v>
      </c>
      <c r="X89" s="16">
        <f t="shared" si="13"/>
        <v>67.5</v>
      </c>
      <c r="Y89" s="16">
        <v>1.2</v>
      </c>
      <c r="Z89" s="16">
        <v>1</v>
      </c>
      <c r="AA89" s="16" t="s">
        <v>21</v>
      </c>
      <c r="AB89" s="20">
        <v>43958</v>
      </c>
      <c r="AC89" s="20">
        <v>43946</v>
      </c>
      <c r="AD89" s="20">
        <v>43958</v>
      </c>
      <c r="AE89" s="20">
        <v>43955</v>
      </c>
      <c r="AF89" s="20">
        <v>43955</v>
      </c>
      <c r="AG89" s="20" t="s">
        <v>335</v>
      </c>
      <c r="AH89" s="104">
        <v>1</v>
      </c>
      <c r="AI89" s="105">
        <v>0.9</v>
      </c>
      <c r="AJ89" s="105">
        <v>0.5</v>
      </c>
      <c r="AK89" s="20" t="s">
        <v>165</v>
      </c>
      <c r="AL89" s="16" t="s">
        <v>445</v>
      </c>
      <c r="AM89" s="16" t="s">
        <v>422</v>
      </c>
      <c r="AN89" s="16"/>
    </row>
    <row r="90" spans="2:40" x14ac:dyDescent="0.25">
      <c r="B90" s="45">
        <f t="shared" si="10"/>
        <v>43</v>
      </c>
      <c r="C90" s="17">
        <v>20200427</v>
      </c>
      <c r="D90" s="16" t="s">
        <v>3</v>
      </c>
      <c r="E90" s="92" t="s">
        <v>503</v>
      </c>
      <c r="F90" s="18" t="s">
        <v>259</v>
      </c>
      <c r="G90" s="57" t="s">
        <v>61</v>
      </c>
      <c r="H90" s="16" t="s">
        <v>237</v>
      </c>
      <c r="I90" s="16" t="s">
        <v>300</v>
      </c>
      <c r="J90" s="16" t="s">
        <v>121</v>
      </c>
      <c r="K90" s="57" t="s">
        <v>61</v>
      </c>
      <c r="L90" s="57" t="s">
        <v>61</v>
      </c>
      <c r="M90" s="57" t="s">
        <v>61</v>
      </c>
      <c r="N90" s="16" t="s">
        <v>148</v>
      </c>
      <c r="O90" s="18" t="s">
        <v>61</v>
      </c>
      <c r="P90" s="18" t="s">
        <v>317</v>
      </c>
      <c r="Q90" s="19"/>
      <c r="R90" s="17" t="s">
        <v>97</v>
      </c>
      <c r="S90" s="16" t="s">
        <v>156</v>
      </c>
      <c r="T90" s="16"/>
      <c r="U90" s="16"/>
      <c r="V90" s="16">
        <v>626</v>
      </c>
      <c r="W90" s="16">
        <f>ROUND(IF(D90=Table!$C$3,Y90*Table!$C$4/8,Y90*Table!$D$4/8),3)</f>
        <v>6.75</v>
      </c>
      <c r="X90" s="16">
        <f t="shared" si="13"/>
        <v>6.75</v>
      </c>
      <c r="Y90" s="16">
        <v>0.12</v>
      </c>
      <c r="Z90" s="16">
        <v>0.1</v>
      </c>
      <c r="AA90" s="16" t="s">
        <v>21</v>
      </c>
      <c r="AB90" s="20">
        <v>43958</v>
      </c>
      <c r="AC90" s="20">
        <v>43946</v>
      </c>
      <c r="AD90" s="20">
        <v>43958</v>
      </c>
      <c r="AE90" s="20">
        <v>43955</v>
      </c>
      <c r="AF90" s="20">
        <v>43955</v>
      </c>
      <c r="AG90" s="20" t="s">
        <v>335</v>
      </c>
      <c r="AH90" s="104">
        <v>1</v>
      </c>
      <c r="AI90" s="105">
        <v>1</v>
      </c>
      <c r="AJ90" s="105">
        <v>0.83</v>
      </c>
      <c r="AK90" s="20" t="s">
        <v>165</v>
      </c>
      <c r="AL90" s="16"/>
      <c r="AM90" s="16"/>
      <c r="AN90" s="16"/>
    </row>
    <row r="91" spans="2:40" x14ac:dyDescent="0.25">
      <c r="B91" s="45">
        <f t="shared" si="10"/>
        <v>44</v>
      </c>
      <c r="C91" s="17">
        <v>20200427</v>
      </c>
      <c r="D91" s="16" t="s">
        <v>3</v>
      </c>
      <c r="E91" s="92" t="s">
        <v>503</v>
      </c>
      <c r="F91" s="18" t="s">
        <v>259</v>
      </c>
      <c r="G91" s="57" t="s">
        <v>61</v>
      </c>
      <c r="H91" s="16" t="s">
        <v>238</v>
      </c>
      <c r="I91" s="16" t="s">
        <v>301</v>
      </c>
      <c r="J91" s="16" t="s">
        <v>121</v>
      </c>
      <c r="K91" s="57" t="s">
        <v>61</v>
      </c>
      <c r="L91" s="57" t="s">
        <v>61</v>
      </c>
      <c r="M91" s="57" t="s">
        <v>61</v>
      </c>
      <c r="N91" s="16" t="s">
        <v>148</v>
      </c>
      <c r="O91" s="18" t="s">
        <v>61</v>
      </c>
      <c r="P91" s="18" t="s">
        <v>317</v>
      </c>
      <c r="Q91" s="19"/>
      <c r="R91" s="17" t="s">
        <v>97</v>
      </c>
      <c r="S91" s="16" t="s">
        <v>156</v>
      </c>
      <c r="T91" s="16"/>
      <c r="U91" s="16"/>
      <c r="V91" s="16">
        <v>90</v>
      </c>
      <c r="W91" s="16">
        <f>ROUND(IF(D91=Table!$C$3,Y91*Table!$C$4/8,Y91*Table!$D$4/8),3)</f>
        <v>95.625</v>
      </c>
      <c r="X91" s="16">
        <f t="shared" si="13"/>
        <v>95.625</v>
      </c>
      <c r="Y91" s="16">
        <v>1.7</v>
      </c>
      <c r="Z91" s="16">
        <v>3</v>
      </c>
      <c r="AA91" s="16" t="s">
        <v>21</v>
      </c>
      <c r="AB91" s="20">
        <v>43958</v>
      </c>
      <c r="AC91" s="20">
        <v>43946</v>
      </c>
      <c r="AD91" s="20">
        <v>43958</v>
      </c>
      <c r="AE91" s="20">
        <v>43956</v>
      </c>
      <c r="AF91" s="20">
        <v>43956</v>
      </c>
      <c r="AG91" s="20" t="s">
        <v>335</v>
      </c>
      <c r="AH91" s="104">
        <v>1</v>
      </c>
      <c r="AI91" s="105">
        <v>1</v>
      </c>
      <c r="AJ91" s="105">
        <v>0.9</v>
      </c>
      <c r="AK91" s="20" t="s">
        <v>165</v>
      </c>
      <c r="AL91" s="16"/>
      <c r="AM91" s="16"/>
      <c r="AN91" s="16"/>
    </row>
    <row r="92" spans="2:40" x14ac:dyDescent="0.25">
      <c r="B92" s="45">
        <f t="shared" si="10"/>
        <v>45</v>
      </c>
      <c r="C92" s="17">
        <v>20200427</v>
      </c>
      <c r="D92" s="16" t="s">
        <v>3</v>
      </c>
      <c r="E92" s="92" t="s">
        <v>503</v>
      </c>
      <c r="F92" s="18" t="s">
        <v>259</v>
      </c>
      <c r="G92" s="57" t="s">
        <v>61</v>
      </c>
      <c r="H92" s="16" t="s">
        <v>239</v>
      </c>
      <c r="I92" s="16" t="s">
        <v>302</v>
      </c>
      <c r="J92" s="16" t="s">
        <v>121</v>
      </c>
      <c r="K92" s="57" t="s">
        <v>61</v>
      </c>
      <c r="L92" s="57" t="s">
        <v>61</v>
      </c>
      <c r="M92" s="57" t="s">
        <v>61</v>
      </c>
      <c r="N92" s="16" t="s">
        <v>148</v>
      </c>
      <c r="O92" s="18" t="s">
        <v>61</v>
      </c>
      <c r="P92" s="18" t="s">
        <v>317</v>
      </c>
      <c r="Q92" s="19"/>
      <c r="R92" s="17" t="s">
        <v>98</v>
      </c>
      <c r="S92" s="16" t="s">
        <v>66</v>
      </c>
      <c r="T92" s="16"/>
      <c r="U92" s="16"/>
      <c r="V92" s="16">
        <v>59</v>
      </c>
      <c r="W92" s="16">
        <f>ROUND(IF(D92=Table!$C$3,Y92*Table!$C$4/8,Y92*Table!$D$4/8),3)</f>
        <v>67.5</v>
      </c>
      <c r="X92" s="16">
        <f t="shared" si="13"/>
        <v>67.5</v>
      </c>
      <c r="Y92" s="16">
        <v>1.2</v>
      </c>
      <c r="Z92" s="16">
        <v>1</v>
      </c>
      <c r="AA92" s="16" t="s">
        <v>21</v>
      </c>
      <c r="AB92" s="20">
        <v>43958</v>
      </c>
      <c r="AC92" s="20">
        <v>43946</v>
      </c>
      <c r="AD92" s="20">
        <v>43958</v>
      </c>
      <c r="AE92" s="20">
        <v>43956</v>
      </c>
      <c r="AF92" s="20">
        <v>43956</v>
      </c>
      <c r="AG92" s="20" t="s">
        <v>335</v>
      </c>
      <c r="AH92" s="99">
        <v>1</v>
      </c>
      <c r="AI92" s="32">
        <v>0.96</v>
      </c>
      <c r="AJ92" s="32">
        <v>1</v>
      </c>
      <c r="AK92" s="20" t="s">
        <v>165</v>
      </c>
      <c r="AL92" s="100" t="s">
        <v>444</v>
      </c>
      <c r="AM92" s="16"/>
      <c r="AN92" s="16"/>
    </row>
    <row r="93" spans="2:40" x14ac:dyDescent="0.25">
      <c r="B93" s="45">
        <f t="shared" si="10"/>
        <v>46</v>
      </c>
      <c r="C93" s="17">
        <v>20200427</v>
      </c>
      <c r="D93" s="16" t="s">
        <v>3</v>
      </c>
      <c r="E93" s="92" t="s">
        <v>503</v>
      </c>
      <c r="F93" s="18" t="s">
        <v>259</v>
      </c>
      <c r="G93" s="57" t="s">
        <v>61</v>
      </c>
      <c r="H93" s="16" t="s">
        <v>240</v>
      </c>
      <c r="I93" s="16" t="s">
        <v>152</v>
      </c>
      <c r="J93" s="16" t="s">
        <v>121</v>
      </c>
      <c r="K93" s="57" t="s">
        <v>61</v>
      </c>
      <c r="L93" s="57" t="s">
        <v>61</v>
      </c>
      <c r="M93" s="57" t="s">
        <v>61</v>
      </c>
      <c r="N93" s="16" t="s">
        <v>148</v>
      </c>
      <c r="O93" s="18" t="s">
        <v>61</v>
      </c>
      <c r="P93" s="18" t="s">
        <v>317</v>
      </c>
      <c r="Q93" s="19"/>
      <c r="R93" s="17" t="s">
        <v>98</v>
      </c>
      <c r="S93" s="16" t="s">
        <v>66</v>
      </c>
      <c r="T93" s="16"/>
      <c r="U93" s="16"/>
      <c r="V93" s="16">
        <v>459</v>
      </c>
      <c r="W93" s="16">
        <f>ROUND(IF(D93=Table!$C$3,Y93*Table!$C$4/8,Y93*Table!$D$4/8),3)</f>
        <v>6.75</v>
      </c>
      <c r="X93" s="16">
        <f t="shared" si="13"/>
        <v>6.75</v>
      </c>
      <c r="Y93" s="16">
        <v>0.12</v>
      </c>
      <c r="Z93" s="16">
        <v>0.5</v>
      </c>
      <c r="AA93" s="16" t="s">
        <v>21</v>
      </c>
      <c r="AB93" s="20">
        <v>43958</v>
      </c>
      <c r="AC93" s="20">
        <v>43946</v>
      </c>
      <c r="AD93" s="20">
        <v>43958</v>
      </c>
      <c r="AE93" s="20">
        <v>43956</v>
      </c>
      <c r="AF93" s="20">
        <v>43956</v>
      </c>
      <c r="AG93" s="20" t="s">
        <v>335</v>
      </c>
      <c r="AH93" s="99">
        <v>1</v>
      </c>
      <c r="AI93" s="32">
        <v>1</v>
      </c>
      <c r="AJ93" s="32">
        <v>1</v>
      </c>
      <c r="AK93" s="20" t="s">
        <v>165</v>
      </c>
      <c r="AL93" s="16"/>
      <c r="AM93" s="16"/>
      <c r="AN93" s="16"/>
    </row>
    <row r="94" spans="2:40" x14ac:dyDescent="0.25">
      <c r="B94" s="45">
        <f t="shared" si="10"/>
        <v>47</v>
      </c>
      <c r="C94" s="17">
        <v>20200427</v>
      </c>
      <c r="D94" s="16" t="s">
        <v>3</v>
      </c>
      <c r="E94" s="92" t="s">
        <v>503</v>
      </c>
      <c r="F94" s="18" t="s">
        <v>259</v>
      </c>
      <c r="G94" s="57" t="s">
        <v>61</v>
      </c>
      <c r="H94" s="16" t="s">
        <v>241</v>
      </c>
      <c r="I94" s="16" t="s">
        <v>303</v>
      </c>
      <c r="J94" s="16" t="s">
        <v>121</v>
      </c>
      <c r="K94" s="57" t="s">
        <v>61</v>
      </c>
      <c r="L94" s="57" t="s">
        <v>61</v>
      </c>
      <c r="M94" s="57" t="s">
        <v>61</v>
      </c>
      <c r="N94" s="16" t="s">
        <v>148</v>
      </c>
      <c r="O94" s="18" t="s">
        <v>61</v>
      </c>
      <c r="P94" s="18" t="s">
        <v>317</v>
      </c>
      <c r="Q94" s="19"/>
      <c r="R94" s="17" t="s">
        <v>98</v>
      </c>
      <c r="S94" s="16" t="s">
        <v>66</v>
      </c>
      <c r="T94" s="16"/>
      <c r="U94" s="16"/>
      <c r="V94" s="16">
        <v>72</v>
      </c>
      <c r="W94" s="16">
        <f>ROUND(IF(D94=Table!$C$3,Y94*Table!$C$4/8,Y94*Table!$D$4/8),3)</f>
        <v>84.15</v>
      </c>
      <c r="X94" s="16">
        <f t="shared" si="13"/>
        <v>84.15</v>
      </c>
      <c r="Y94" s="16">
        <v>1.496</v>
      </c>
      <c r="Z94" s="16">
        <v>1</v>
      </c>
      <c r="AA94" s="16" t="s">
        <v>21</v>
      </c>
      <c r="AB94" s="20">
        <v>43958</v>
      </c>
      <c r="AC94" s="20">
        <v>43946</v>
      </c>
      <c r="AD94" s="20">
        <v>43958</v>
      </c>
      <c r="AE94" s="20">
        <v>43956</v>
      </c>
      <c r="AF94" s="20">
        <v>43956</v>
      </c>
      <c r="AG94" s="20" t="s">
        <v>335</v>
      </c>
      <c r="AH94" s="99">
        <v>1</v>
      </c>
      <c r="AI94" s="32">
        <v>1</v>
      </c>
      <c r="AJ94" s="32">
        <v>1</v>
      </c>
      <c r="AK94" s="20" t="s">
        <v>165</v>
      </c>
      <c r="AL94" s="16"/>
      <c r="AM94" s="16"/>
      <c r="AN94" s="16"/>
    </row>
    <row r="95" spans="2:40" x14ac:dyDescent="0.25">
      <c r="B95" s="45">
        <f t="shared" si="10"/>
        <v>48</v>
      </c>
      <c r="C95" s="17">
        <v>20200427</v>
      </c>
      <c r="D95" s="16" t="s">
        <v>3</v>
      </c>
      <c r="E95" s="92" t="s">
        <v>503</v>
      </c>
      <c r="F95" s="18" t="s">
        <v>259</v>
      </c>
      <c r="G95" s="57" t="s">
        <v>61</v>
      </c>
      <c r="H95" s="16" t="s">
        <v>242</v>
      </c>
      <c r="I95" s="16" t="s">
        <v>153</v>
      </c>
      <c r="J95" s="16" t="s">
        <v>121</v>
      </c>
      <c r="K95" s="57" t="s">
        <v>61</v>
      </c>
      <c r="L95" s="57" t="s">
        <v>61</v>
      </c>
      <c r="M95" s="57" t="s">
        <v>61</v>
      </c>
      <c r="N95" s="16" t="s">
        <v>148</v>
      </c>
      <c r="O95" s="18" t="s">
        <v>61</v>
      </c>
      <c r="P95" s="18" t="s">
        <v>317</v>
      </c>
      <c r="Q95" s="19"/>
      <c r="R95" s="17" t="s">
        <v>98</v>
      </c>
      <c r="S95" s="16" t="s">
        <v>66</v>
      </c>
      <c r="T95" s="16"/>
      <c r="U95" s="16"/>
      <c r="V95" s="16">
        <v>89</v>
      </c>
      <c r="W95" s="16">
        <f>ROUND(IF(D95=Table!$C$3,Y95*Table!$C$4/8,Y95*Table!$D$4/8),3)</f>
        <v>76.5</v>
      </c>
      <c r="X95" s="16">
        <f t="shared" si="13"/>
        <v>76.5</v>
      </c>
      <c r="Y95" s="16">
        <v>1.36</v>
      </c>
      <c r="Z95" s="16">
        <v>1</v>
      </c>
      <c r="AA95" s="16" t="s">
        <v>21</v>
      </c>
      <c r="AB95" s="20">
        <v>43958</v>
      </c>
      <c r="AC95" s="20">
        <v>43946</v>
      </c>
      <c r="AD95" s="20">
        <v>43958</v>
      </c>
      <c r="AE95" s="20">
        <v>43956</v>
      </c>
      <c r="AF95" s="20">
        <v>43956</v>
      </c>
      <c r="AG95" s="20" t="s">
        <v>335</v>
      </c>
      <c r="AH95" s="99">
        <v>1</v>
      </c>
      <c r="AI95" s="32">
        <v>0.9</v>
      </c>
      <c r="AJ95" s="32">
        <v>0.5</v>
      </c>
      <c r="AK95" s="20" t="s">
        <v>165</v>
      </c>
      <c r="AL95" s="101" t="s">
        <v>445</v>
      </c>
      <c r="AM95" s="16"/>
      <c r="AN95" s="16"/>
    </row>
    <row r="96" spans="2:40" x14ac:dyDescent="0.25">
      <c r="B96" s="45">
        <f t="shared" si="10"/>
        <v>49</v>
      </c>
      <c r="C96" s="17">
        <v>20200427</v>
      </c>
      <c r="D96" s="16" t="s">
        <v>3</v>
      </c>
      <c r="E96" s="92" t="s">
        <v>503</v>
      </c>
      <c r="F96" s="18" t="s">
        <v>259</v>
      </c>
      <c r="G96" s="57" t="s">
        <v>61</v>
      </c>
      <c r="H96" s="16" t="s">
        <v>243</v>
      </c>
      <c r="I96" s="16" t="s">
        <v>304</v>
      </c>
      <c r="J96" s="16" t="s">
        <v>121</v>
      </c>
      <c r="K96" s="57" t="s">
        <v>61</v>
      </c>
      <c r="L96" s="57" t="s">
        <v>61</v>
      </c>
      <c r="M96" s="57" t="s">
        <v>61</v>
      </c>
      <c r="N96" s="16" t="s">
        <v>148</v>
      </c>
      <c r="O96" s="18" t="s">
        <v>61</v>
      </c>
      <c r="P96" s="18" t="s">
        <v>317</v>
      </c>
      <c r="Q96" s="19"/>
      <c r="R96" s="17" t="s">
        <v>98</v>
      </c>
      <c r="S96" s="16" t="s">
        <v>66</v>
      </c>
      <c r="T96" s="16"/>
      <c r="U96" s="16"/>
      <c r="V96" s="16">
        <v>171</v>
      </c>
      <c r="W96" s="16">
        <f>ROUND(IF(D96=Table!$C$3,Y96*Table!$C$4/8,Y96*Table!$D$4/8),3)</f>
        <v>114.75</v>
      </c>
      <c r="X96" s="16">
        <f t="shared" si="13"/>
        <v>114.75</v>
      </c>
      <c r="Y96" s="16">
        <v>2.04</v>
      </c>
      <c r="Z96" s="16">
        <v>1</v>
      </c>
      <c r="AA96" s="16" t="s">
        <v>21</v>
      </c>
      <c r="AB96" s="20">
        <v>43958</v>
      </c>
      <c r="AC96" s="20">
        <v>43946</v>
      </c>
      <c r="AD96" s="20">
        <v>43958</v>
      </c>
      <c r="AE96" s="20">
        <v>43956</v>
      </c>
      <c r="AF96" s="20">
        <v>43956</v>
      </c>
      <c r="AG96" s="20" t="s">
        <v>335</v>
      </c>
      <c r="AH96" s="99">
        <v>1</v>
      </c>
      <c r="AI96" s="32">
        <v>1</v>
      </c>
      <c r="AJ96" s="32">
        <v>0.83</v>
      </c>
      <c r="AK96" s="20" t="s">
        <v>165</v>
      </c>
      <c r="AL96" s="16"/>
      <c r="AM96" s="16"/>
      <c r="AN96" s="16"/>
    </row>
    <row r="97" spans="2:40" x14ac:dyDescent="0.25">
      <c r="B97" s="45">
        <f t="shared" si="10"/>
        <v>50</v>
      </c>
      <c r="C97" s="17">
        <v>20200427</v>
      </c>
      <c r="D97" s="16" t="s">
        <v>3</v>
      </c>
      <c r="E97" s="92" t="s">
        <v>503</v>
      </c>
      <c r="F97" s="18" t="s">
        <v>259</v>
      </c>
      <c r="G97" s="57" t="s">
        <v>61</v>
      </c>
      <c r="H97" s="16" t="s">
        <v>244</v>
      </c>
      <c r="I97" s="16" t="s">
        <v>305</v>
      </c>
      <c r="J97" s="16" t="s">
        <v>121</v>
      </c>
      <c r="K97" s="57" t="s">
        <v>61</v>
      </c>
      <c r="L97" s="57" t="s">
        <v>61</v>
      </c>
      <c r="M97" s="57" t="s">
        <v>61</v>
      </c>
      <c r="N97" s="16" t="s">
        <v>148</v>
      </c>
      <c r="O97" s="18" t="s">
        <v>61</v>
      </c>
      <c r="P97" s="18" t="s">
        <v>317</v>
      </c>
      <c r="Q97" s="19"/>
      <c r="R97" s="17" t="s">
        <v>98</v>
      </c>
      <c r="S97" s="16" t="s">
        <v>66</v>
      </c>
      <c r="T97" s="16"/>
      <c r="U97" s="16"/>
      <c r="V97" s="16">
        <v>97</v>
      </c>
      <c r="W97" s="16">
        <f>ROUND(IF(D97=Table!$C$3,Y97*Table!$C$4/8,Y97*Table!$D$4/8),3)</f>
        <v>95.625</v>
      </c>
      <c r="X97" s="16">
        <f t="shared" si="13"/>
        <v>95.625</v>
      </c>
      <c r="Y97" s="16">
        <v>1.7</v>
      </c>
      <c r="Z97" s="16">
        <v>1</v>
      </c>
      <c r="AA97" s="16" t="s">
        <v>21</v>
      </c>
      <c r="AB97" s="20">
        <v>43958</v>
      </c>
      <c r="AC97" s="20">
        <v>43946</v>
      </c>
      <c r="AD97" s="20">
        <v>43958</v>
      </c>
      <c r="AE97" s="20">
        <v>43956</v>
      </c>
      <c r="AF97" s="20">
        <v>43956</v>
      </c>
      <c r="AG97" s="20" t="s">
        <v>335</v>
      </c>
      <c r="AH97" s="99">
        <v>1</v>
      </c>
      <c r="AI97" s="32">
        <v>0.97</v>
      </c>
      <c r="AJ97" s="32">
        <v>1</v>
      </c>
      <c r="AK97" s="20" t="s">
        <v>165</v>
      </c>
      <c r="AL97" s="100" t="s">
        <v>446</v>
      </c>
      <c r="AM97" s="16"/>
      <c r="AN97" s="16"/>
    </row>
    <row r="98" spans="2:40" ht="30" x14ac:dyDescent="0.25">
      <c r="B98" s="45">
        <f t="shared" si="10"/>
        <v>51</v>
      </c>
      <c r="C98" s="17">
        <v>20200427</v>
      </c>
      <c r="D98" s="16" t="s">
        <v>3</v>
      </c>
      <c r="E98" s="92" t="s">
        <v>503</v>
      </c>
      <c r="F98" s="18" t="s">
        <v>259</v>
      </c>
      <c r="G98" s="57" t="s">
        <v>61</v>
      </c>
      <c r="H98" s="16" t="s">
        <v>245</v>
      </c>
      <c r="I98" s="16" t="s">
        <v>306</v>
      </c>
      <c r="J98" s="16" t="s">
        <v>121</v>
      </c>
      <c r="K98" s="57" t="s">
        <v>61</v>
      </c>
      <c r="L98" s="57" t="s">
        <v>61</v>
      </c>
      <c r="M98" s="57" t="s">
        <v>61</v>
      </c>
      <c r="N98" s="16" t="s">
        <v>148</v>
      </c>
      <c r="O98" s="18" t="s">
        <v>61</v>
      </c>
      <c r="P98" s="18" t="s">
        <v>317</v>
      </c>
      <c r="Q98" s="19"/>
      <c r="R98" s="17" t="s">
        <v>97</v>
      </c>
      <c r="S98" s="16" t="s">
        <v>156</v>
      </c>
      <c r="T98" s="16"/>
      <c r="U98" s="16"/>
      <c r="V98" s="16">
        <v>91</v>
      </c>
      <c r="W98" s="16">
        <f>ROUND(IF(D98=Table!$C$3,Y98*Table!$C$4/8,Y98*Table!$D$4/8),3)</f>
        <v>107.1</v>
      </c>
      <c r="X98" s="16">
        <f t="shared" si="13"/>
        <v>107.1</v>
      </c>
      <c r="Y98" s="16">
        <v>1.9040000000000001</v>
      </c>
      <c r="Z98" s="16">
        <v>2</v>
      </c>
      <c r="AA98" s="16" t="s">
        <v>21</v>
      </c>
      <c r="AB98" s="20">
        <v>43958</v>
      </c>
      <c r="AC98" s="20">
        <v>43946</v>
      </c>
      <c r="AD98" s="20">
        <v>43958</v>
      </c>
      <c r="AE98" s="20">
        <v>43955</v>
      </c>
      <c r="AF98" s="20">
        <v>43955</v>
      </c>
      <c r="AG98" s="20" t="s">
        <v>335</v>
      </c>
      <c r="AH98" s="99">
        <v>1</v>
      </c>
      <c r="AI98" s="32">
        <v>1</v>
      </c>
      <c r="AJ98" s="32">
        <v>1</v>
      </c>
      <c r="AK98" s="20" t="s">
        <v>165</v>
      </c>
      <c r="AL98" s="112" t="s">
        <v>611</v>
      </c>
      <c r="AM98" s="16"/>
      <c r="AN98" s="16"/>
    </row>
    <row r="99" spans="2:40" x14ac:dyDescent="0.25">
      <c r="B99" s="45">
        <f t="shared" si="10"/>
        <v>52</v>
      </c>
      <c r="C99" s="17">
        <v>20200427</v>
      </c>
      <c r="D99" s="16" t="s">
        <v>3</v>
      </c>
      <c r="E99" s="92" t="s">
        <v>503</v>
      </c>
      <c r="F99" s="18" t="s">
        <v>259</v>
      </c>
      <c r="G99" s="57" t="s">
        <v>61</v>
      </c>
      <c r="H99" s="16" t="s">
        <v>246</v>
      </c>
      <c r="I99" s="16" t="s">
        <v>307</v>
      </c>
      <c r="J99" s="16" t="s">
        <v>121</v>
      </c>
      <c r="K99" s="57" t="s">
        <v>61</v>
      </c>
      <c r="L99" s="57" t="s">
        <v>61</v>
      </c>
      <c r="M99" s="57" t="s">
        <v>61</v>
      </c>
      <c r="N99" s="16" t="s">
        <v>148</v>
      </c>
      <c r="O99" s="18" t="s">
        <v>61</v>
      </c>
      <c r="P99" s="18" t="s">
        <v>317</v>
      </c>
      <c r="Q99" s="19"/>
      <c r="R99" s="17" t="s">
        <v>98</v>
      </c>
      <c r="S99" s="16" t="s">
        <v>66</v>
      </c>
      <c r="T99" s="16"/>
      <c r="U99" s="16"/>
      <c r="V99" s="16">
        <v>66</v>
      </c>
      <c r="W99" s="16">
        <f>ROUND(IF(D99=Table!$C$3,Y99*Table!$C$4/8,Y99*Table!$D$4/8),3)</f>
        <v>67.5</v>
      </c>
      <c r="X99" s="16">
        <f t="shared" si="13"/>
        <v>67.5</v>
      </c>
      <c r="Y99" s="16">
        <v>1.2</v>
      </c>
      <c r="Z99" s="16">
        <v>1</v>
      </c>
      <c r="AA99" s="16" t="s">
        <v>21</v>
      </c>
      <c r="AB99" s="20">
        <v>43958</v>
      </c>
      <c r="AC99" s="20">
        <v>43946</v>
      </c>
      <c r="AD99" s="20">
        <v>43958</v>
      </c>
      <c r="AE99" s="20">
        <v>43950</v>
      </c>
      <c r="AF99" s="20">
        <v>43950</v>
      </c>
      <c r="AG99" s="20" t="s">
        <v>335</v>
      </c>
      <c r="AH99" s="99">
        <v>1</v>
      </c>
      <c r="AI99" s="32">
        <v>1</v>
      </c>
      <c r="AJ99" s="32">
        <v>1</v>
      </c>
      <c r="AK99" s="20" t="s">
        <v>165</v>
      </c>
      <c r="AL99" s="16"/>
      <c r="AM99" s="16"/>
      <c r="AN99" s="16"/>
    </row>
    <row r="100" spans="2:40" x14ac:dyDescent="0.25">
      <c r="B100" s="45">
        <f t="shared" si="10"/>
        <v>53</v>
      </c>
      <c r="C100" s="17">
        <v>20200427</v>
      </c>
      <c r="D100" s="16" t="s">
        <v>3</v>
      </c>
      <c r="E100" s="92" t="s">
        <v>503</v>
      </c>
      <c r="F100" s="18" t="s">
        <v>259</v>
      </c>
      <c r="G100" s="57" t="s">
        <v>61</v>
      </c>
      <c r="H100" s="16" t="s">
        <v>247</v>
      </c>
      <c r="I100" s="16" t="s">
        <v>308</v>
      </c>
      <c r="J100" s="16" t="s">
        <v>121</v>
      </c>
      <c r="K100" s="57" t="s">
        <v>61</v>
      </c>
      <c r="L100" s="57" t="s">
        <v>61</v>
      </c>
      <c r="M100" s="57" t="s">
        <v>61</v>
      </c>
      <c r="N100" s="16" t="s">
        <v>148</v>
      </c>
      <c r="O100" s="18" t="s">
        <v>61</v>
      </c>
      <c r="P100" s="18" t="s">
        <v>317</v>
      </c>
      <c r="Q100" s="19"/>
      <c r="R100" s="17" t="s">
        <v>97</v>
      </c>
      <c r="S100" s="16" t="s">
        <v>156</v>
      </c>
      <c r="T100" s="16"/>
      <c r="U100" s="16"/>
      <c r="V100" s="16">
        <v>118</v>
      </c>
      <c r="W100" s="16">
        <f>ROUND(IF(D100=Table!$C$3,Y100*Table!$C$4/8,Y100*Table!$D$4/8),3)</f>
        <v>114.75</v>
      </c>
      <c r="X100" s="16">
        <f t="shared" si="13"/>
        <v>114.75</v>
      </c>
      <c r="Y100" s="16">
        <v>2.04</v>
      </c>
      <c r="Z100" s="16">
        <v>5</v>
      </c>
      <c r="AA100" s="16" t="s">
        <v>21</v>
      </c>
      <c r="AB100" s="20">
        <v>43958</v>
      </c>
      <c r="AC100" s="20">
        <v>43946</v>
      </c>
      <c r="AD100" s="20">
        <v>43958</v>
      </c>
      <c r="AE100" s="20">
        <v>43957</v>
      </c>
      <c r="AF100" s="20">
        <v>43957</v>
      </c>
      <c r="AG100" s="20" t="s">
        <v>335</v>
      </c>
      <c r="AH100" s="99">
        <v>1</v>
      </c>
      <c r="AI100" s="32">
        <v>1</v>
      </c>
      <c r="AJ100" s="32">
        <v>1</v>
      </c>
      <c r="AK100" s="20" t="s">
        <v>165</v>
      </c>
      <c r="AL100" s="16"/>
      <c r="AM100" s="16"/>
      <c r="AN100" s="16"/>
    </row>
    <row r="101" spans="2:40" x14ac:dyDescent="0.25">
      <c r="B101" s="45">
        <f t="shared" si="10"/>
        <v>54</v>
      </c>
      <c r="C101" s="17">
        <v>20200427</v>
      </c>
      <c r="D101" s="16" t="s">
        <v>3</v>
      </c>
      <c r="E101" s="92" t="s">
        <v>503</v>
      </c>
      <c r="F101" s="18" t="s">
        <v>259</v>
      </c>
      <c r="G101" s="57" t="s">
        <v>61</v>
      </c>
      <c r="H101" s="16" t="s">
        <v>248</v>
      </c>
      <c r="I101" s="16" t="s">
        <v>309</v>
      </c>
      <c r="J101" s="16" t="s">
        <v>121</v>
      </c>
      <c r="K101" s="57" t="s">
        <v>61</v>
      </c>
      <c r="L101" s="57" t="s">
        <v>61</v>
      </c>
      <c r="M101" s="57" t="s">
        <v>61</v>
      </c>
      <c r="N101" s="16" t="s">
        <v>148</v>
      </c>
      <c r="O101" s="18" t="s">
        <v>61</v>
      </c>
      <c r="P101" s="18" t="s">
        <v>317</v>
      </c>
      <c r="Q101" s="19"/>
      <c r="R101" s="17" t="s">
        <v>97</v>
      </c>
      <c r="S101" s="16" t="s">
        <v>156</v>
      </c>
      <c r="T101" s="16"/>
      <c r="U101" s="16"/>
      <c r="V101" s="16">
        <v>145</v>
      </c>
      <c r="W101" s="16">
        <f>ROUND(IF(D101=Table!$C$3,Y101*Table!$C$4/8,Y101*Table!$D$4/8),3)</f>
        <v>67.5</v>
      </c>
      <c r="X101" s="16">
        <f t="shared" si="13"/>
        <v>67.5</v>
      </c>
      <c r="Y101" s="16">
        <v>1.2</v>
      </c>
      <c r="Z101" s="16">
        <v>0.25</v>
      </c>
      <c r="AA101" s="16" t="s">
        <v>21</v>
      </c>
      <c r="AB101" s="20">
        <v>43958</v>
      </c>
      <c r="AC101" s="20">
        <v>43946</v>
      </c>
      <c r="AD101" s="20">
        <v>43958</v>
      </c>
      <c r="AE101" s="20">
        <v>43955</v>
      </c>
      <c r="AF101" s="20">
        <v>43955</v>
      </c>
      <c r="AG101" s="20" t="s">
        <v>335</v>
      </c>
      <c r="AH101" s="99">
        <v>1</v>
      </c>
      <c r="AI101" s="32">
        <v>0.94</v>
      </c>
      <c r="AJ101" s="32">
        <v>1</v>
      </c>
      <c r="AK101" s="20" t="s">
        <v>165</v>
      </c>
      <c r="AL101" s="16" t="s">
        <v>434</v>
      </c>
      <c r="AM101" s="16"/>
      <c r="AN101" s="16"/>
    </row>
    <row r="102" spans="2:40" x14ac:dyDescent="0.25">
      <c r="B102" s="45">
        <f t="shared" si="10"/>
        <v>55</v>
      </c>
      <c r="C102" s="17">
        <v>20200427</v>
      </c>
      <c r="D102" s="16" t="s">
        <v>3</v>
      </c>
      <c r="E102" s="92" t="s">
        <v>503</v>
      </c>
      <c r="F102" s="18" t="s">
        <v>259</v>
      </c>
      <c r="G102" s="57" t="s">
        <v>61</v>
      </c>
      <c r="H102" s="16" t="s">
        <v>249</v>
      </c>
      <c r="I102" s="16" t="s">
        <v>310</v>
      </c>
      <c r="J102" s="16" t="s">
        <v>121</v>
      </c>
      <c r="K102" s="57" t="s">
        <v>61</v>
      </c>
      <c r="L102" s="57" t="s">
        <v>61</v>
      </c>
      <c r="M102" s="57" t="s">
        <v>61</v>
      </c>
      <c r="N102" s="16" t="s">
        <v>148</v>
      </c>
      <c r="O102" s="18" t="s">
        <v>61</v>
      </c>
      <c r="P102" s="18" t="s">
        <v>317</v>
      </c>
      <c r="Q102" s="19"/>
      <c r="R102" s="17" t="s">
        <v>98</v>
      </c>
      <c r="S102" s="16" t="s">
        <v>66</v>
      </c>
      <c r="T102" s="16"/>
      <c r="U102" s="16"/>
      <c r="V102" s="16">
        <v>26</v>
      </c>
      <c r="W102" s="16">
        <f>ROUND(IF(D102=Table!$C$3,Y102*Table!$C$4/8,Y102*Table!$D$4/8),3)</f>
        <v>67.5</v>
      </c>
      <c r="X102" s="16">
        <f t="shared" si="13"/>
        <v>67.5</v>
      </c>
      <c r="Y102" s="16">
        <v>1.2</v>
      </c>
      <c r="Z102" s="16">
        <v>1</v>
      </c>
      <c r="AA102" s="16" t="s">
        <v>21</v>
      </c>
      <c r="AB102" s="20">
        <v>43958</v>
      </c>
      <c r="AC102" s="20">
        <v>43946</v>
      </c>
      <c r="AD102" s="20">
        <v>43958</v>
      </c>
      <c r="AE102" s="20">
        <v>43950</v>
      </c>
      <c r="AF102" s="20">
        <v>43950</v>
      </c>
      <c r="AG102" s="20" t="s">
        <v>335</v>
      </c>
      <c r="AH102" s="32">
        <v>1</v>
      </c>
      <c r="AI102" s="32">
        <v>1</v>
      </c>
      <c r="AJ102" s="32">
        <v>1</v>
      </c>
      <c r="AK102" s="20" t="s">
        <v>165</v>
      </c>
      <c r="AL102" s="16"/>
      <c r="AM102" s="16"/>
      <c r="AN102" s="16"/>
    </row>
    <row r="103" spans="2:40" x14ac:dyDescent="0.25">
      <c r="B103" s="45">
        <f t="shared" si="10"/>
        <v>56</v>
      </c>
      <c r="C103" s="17">
        <v>20200427</v>
      </c>
      <c r="D103" s="16" t="s">
        <v>3</v>
      </c>
      <c r="E103" s="92" t="s">
        <v>503</v>
      </c>
      <c r="F103" s="18" t="s">
        <v>259</v>
      </c>
      <c r="G103" s="57" t="s">
        <v>61</v>
      </c>
      <c r="H103" s="16" t="s">
        <v>250</v>
      </c>
      <c r="I103" s="16" t="s">
        <v>154</v>
      </c>
      <c r="J103" s="16" t="s">
        <v>121</v>
      </c>
      <c r="K103" s="57" t="s">
        <v>61</v>
      </c>
      <c r="L103" s="57" t="s">
        <v>61</v>
      </c>
      <c r="M103" s="57" t="s">
        <v>61</v>
      </c>
      <c r="N103" s="16" t="s">
        <v>148</v>
      </c>
      <c r="O103" s="18" t="s">
        <v>61</v>
      </c>
      <c r="P103" s="18" t="s">
        <v>317</v>
      </c>
      <c r="Q103" s="19"/>
      <c r="R103" s="17" t="s">
        <v>98</v>
      </c>
      <c r="S103" s="16" t="s">
        <v>66</v>
      </c>
      <c r="T103" s="16"/>
      <c r="U103" s="16"/>
      <c r="V103" s="16">
        <v>45</v>
      </c>
      <c r="W103" s="16">
        <f>ROUND(IF(D103=Table!$C$3,Y103*Table!$C$4/8,Y103*Table!$D$4/8),3)</f>
        <v>67.5</v>
      </c>
      <c r="X103" s="16">
        <f t="shared" si="13"/>
        <v>67.5</v>
      </c>
      <c r="Y103" s="16">
        <v>1.2</v>
      </c>
      <c r="Z103" s="16">
        <f t="shared" ref="Z103:Z104" si="14">Y103</f>
        <v>1.2</v>
      </c>
      <c r="AA103" s="16" t="s">
        <v>21</v>
      </c>
      <c r="AB103" s="20">
        <v>43958</v>
      </c>
      <c r="AC103" s="20">
        <v>43946</v>
      </c>
      <c r="AD103" s="20">
        <v>43958</v>
      </c>
      <c r="AE103" s="20">
        <v>43950</v>
      </c>
      <c r="AF103" s="20">
        <v>43950</v>
      </c>
      <c r="AG103" s="20" t="s">
        <v>335</v>
      </c>
      <c r="AH103" s="32">
        <v>1</v>
      </c>
      <c r="AI103" s="32">
        <v>1</v>
      </c>
      <c r="AJ103" s="32">
        <v>1</v>
      </c>
      <c r="AK103" s="20" t="s">
        <v>165</v>
      </c>
      <c r="AL103" s="16"/>
      <c r="AM103" s="16"/>
      <c r="AN103" s="16"/>
    </row>
    <row r="104" spans="2:40" x14ac:dyDescent="0.25">
      <c r="B104" s="45">
        <f t="shared" si="10"/>
        <v>57</v>
      </c>
      <c r="C104" s="17">
        <v>20200427</v>
      </c>
      <c r="D104" s="16" t="s">
        <v>3</v>
      </c>
      <c r="E104" s="92" t="s">
        <v>503</v>
      </c>
      <c r="F104" s="18" t="s">
        <v>259</v>
      </c>
      <c r="G104" s="57" t="s">
        <v>61</v>
      </c>
      <c r="H104" s="16" t="s">
        <v>251</v>
      </c>
      <c r="I104" s="16" t="s">
        <v>311</v>
      </c>
      <c r="J104" s="16" t="s">
        <v>121</v>
      </c>
      <c r="K104" s="57" t="s">
        <v>61</v>
      </c>
      <c r="L104" s="57" t="s">
        <v>61</v>
      </c>
      <c r="M104" s="57" t="s">
        <v>61</v>
      </c>
      <c r="N104" s="16" t="s">
        <v>148</v>
      </c>
      <c r="O104" s="18" t="s">
        <v>61</v>
      </c>
      <c r="P104" s="18" t="s">
        <v>317</v>
      </c>
      <c r="Q104" s="19"/>
      <c r="R104" s="17" t="s">
        <v>98</v>
      </c>
      <c r="S104" s="16" t="s">
        <v>66</v>
      </c>
      <c r="T104" s="16"/>
      <c r="U104" s="16"/>
      <c r="V104" s="16">
        <v>8</v>
      </c>
      <c r="W104" s="16">
        <f>ROUND(IF(D104=Table!$C$3,Y104*Table!$C$4/8,Y104*Table!$D$4/8),3)</f>
        <v>6.75</v>
      </c>
      <c r="X104" s="16">
        <f t="shared" si="13"/>
        <v>6.75</v>
      </c>
      <c r="Y104" s="16">
        <v>0.12</v>
      </c>
      <c r="Z104" s="16">
        <f t="shared" si="14"/>
        <v>0.12</v>
      </c>
      <c r="AA104" s="16" t="s">
        <v>21</v>
      </c>
      <c r="AB104" s="20">
        <v>43958</v>
      </c>
      <c r="AC104" s="20">
        <v>43946</v>
      </c>
      <c r="AD104" s="20">
        <v>43958</v>
      </c>
      <c r="AE104" s="20">
        <v>43950</v>
      </c>
      <c r="AF104" s="20">
        <v>43950</v>
      </c>
      <c r="AG104" s="20" t="s">
        <v>335</v>
      </c>
      <c r="AH104" s="32">
        <v>1</v>
      </c>
      <c r="AI104" s="32">
        <v>1</v>
      </c>
      <c r="AJ104" s="32">
        <v>1</v>
      </c>
      <c r="AK104" s="20" t="s">
        <v>165</v>
      </c>
      <c r="AL104" s="16"/>
      <c r="AM104" s="16"/>
      <c r="AN104" s="16"/>
    </row>
    <row r="105" spans="2:40" x14ac:dyDescent="0.25">
      <c r="B105" s="45">
        <f t="shared" si="10"/>
        <v>58</v>
      </c>
      <c r="C105" s="17">
        <v>20200427</v>
      </c>
      <c r="D105" s="16" t="s">
        <v>3</v>
      </c>
      <c r="E105" s="92" t="s">
        <v>503</v>
      </c>
      <c r="F105" s="18" t="s">
        <v>259</v>
      </c>
      <c r="G105" s="57" t="s">
        <v>61</v>
      </c>
      <c r="H105" s="16" t="s">
        <v>252</v>
      </c>
      <c r="I105" s="16" t="s">
        <v>312</v>
      </c>
      <c r="J105" s="16" t="s">
        <v>121</v>
      </c>
      <c r="K105" s="57" t="s">
        <v>61</v>
      </c>
      <c r="L105" s="57" t="s">
        <v>61</v>
      </c>
      <c r="M105" s="57" t="s">
        <v>61</v>
      </c>
      <c r="N105" s="16" t="s">
        <v>148</v>
      </c>
      <c r="O105" s="18" t="s">
        <v>61</v>
      </c>
      <c r="P105" s="18" t="s">
        <v>317</v>
      </c>
      <c r="Q105" s="19"/>
      <c r="R105" s="17" t="s">
        <v>97</v>
      </c>
      <c r="S105" s="16" t="s">
        <v>156</v>
      </c>
      <c r="T105" s="16"/>
      <c r="U105" s="16"/>
      <c r="V105" s="16">
        <v>113</v>
      </c>
      <c r="W105" s="16">
        <f>ROUND(IF(D105=Table!$C$3,Y105*Table!$C$4/8,Y105*Table!$D$4/8),3)</f>
        <v>114.75</v>
      </c>
      <c r="X105" s="16">
        <f t="shared" si="13"/>
        <v>114.75</v>
      </c>
      <c r="Y105" s="16">
        <v>2.04</v>
      </c>
      <c r="Z105" s="16">
        <v>5</v>
      </c>
      <c r="AA105" s="16" t="s">
        <v>21</v>
      </c>
      <c r="AB105" s="20">
        <v>43958</v>
      </c>
      <c r="AC105" s="20">
        <v>43946</v>
      </c>
      <c r="AD105" s="20">
        <v>43958</v>
      </c>
      <c r="AE105" s="20">
        <v>43957</v>
      </c>
      <c r="AF105" s="20">
        <v>43957</v>
      </c>
      <c r="AG105" s="20" t="s">
        <v>335</v>
      </c>
      <c r="AH105" s="32">
        <v>0.57999999999999996</v>
      </c>
      <c r="AI105" s="32">
        <v>0.44</v>
      </c>
      <c r="AJ105" s="32">
        <v>0.75</v>
      </c>
      <c r="AK105" s="20" t="s">
        <v>165</v>
      </c>
      <c r="AL105" s="16" t="s">
        <v>474</v>
      </c>
      <c r="AM105" s="16"/>
      <c r="AN105" s="16"/>
    </row>
    <row r="106" spans="2:40" x14ac:dyDescent="0.25">
      <c r="B106" s="45">
        <f t="shared" si="10"/>
        <v>59</v>
      </c>
      <c r="C106" s="17">
        <v>20200427</v>
      </c>
      <c r="D106" s="16" t="s">
        <v>3</v>
      </c>
      <c r="E106" s="92" t="s">
        <v>503</v>
      </c>
      <c r="F106" s="18" t="s">
        <v>259</v>
      </c>
      <c r="G106" s="57" t="s">
        <v>61</v>
      </c>
      <c r="H106" s="16" t="s">
        <v>253</v>
      </c>
      <c r="I106" s="16" t="s">
        <v>313</v>
      </c>
      <c r="J106" s="16" t="s">
        <v>121</v>
      </c>
      <c r="K106" s="57" t="s">
        <v>61</v>
      </c>
      <c r="L106" s="57" t="s">
        <v>61</v>
      </c>
      <c r="M106" s="57" t="s">
        <v>61</v>
      </c>
      <c r="N106" s="16" t="s">
        <v>148</v>
      </c>
      <c r="O106" s="18" t="s">
        <v>61</v>
      </c>
      <c r="P106" s="18" t="s">
        <v>317</v>
      </c>
      <c r="Q106" s="19"/>
      <c r="R106" s="17" t="s">
        <v>98</v>
      </c>
      <c r="S106" s="16" t="s">
        <v>66</v>
      </c>
      <c r="T106" s="16"/>
      <c r="U106" s="16"/>
      <c r="V106" s="16">
        <v>19</v>
      </c>
      <c r="W106" s="16">
        <f>ROUND(IF(D106=Table!$C$3,Y106*Table!$C$4/8,Y106*Table!$D$4/8),3)</f>
        <v>6.75</v>
      </c>
      <c r="X106" s="16">
        <f t="shared" si="13"/>
        <v>6.75</v>
      </c>
      <c r="Y106" s="16">
        <v>0.12</v>
      </c>
      <c r="Z106" s="16">
        <f t="shared" ref="Z106:Z107" si="15">Y106</f>
        <v>0.12</v>
      </c>
      <c r="AA106" s="16" t="s">
        <v>21</v>
      </c>
      <c r="AB106" s="20">
        <v>43958</v>
      </c>
      <c r="AC106" s="20">
        <v>43946</v>
      </c>
      <c r="AD106" s="20">
        <v>43958</v>
      </c>
      <c r="AE106" s="20">
        <v>43950</v>
      </c>
      <c r="AF106" s="20">
        <v>43950</v>
      </c>
      <c r="AG106" s="20" t="s">
        <v>335</v>
      </c>
      <c r="AH106" s="32">
        <v>1</v>
      </c>
      <c r="AI106" s="32">
        <v>1</v>
      </c>
      <c r="AJ106" s="32">
        <v>1</v>
      </c>
      <c r="AK106" s="20" t="s">
        <v>165</v>
      </c>
      <c r="AL106" s="16"/>
      <c r="AM106" s="16"/>
      <c r="AN106" s="16"/>
    </row>
    <row r="107" spans="2:40" x14ac:dyDescent="0.25">
      <c r="B107" s="45">
        <f t="shared" si="10"/>
        <v>60</v>
      </c>
      <c r="C107" s="17">
        <v>20200427</v>
      </c>
      <c r="D107" s="16" t="s">
        <v>3</v>
      </c>
      <c r="E107" s="92" t="s">
        <v>503</v>
      </c>
      <c r="F107" s="18" t="s">
        <v>259</v>
      </c>
      <c r="G107" s="57" t="s">
        <v>61</v>
      </c>
      <c r="H107" s="16" t="s">
        <v>254</v>
      </c>
      <c r="I107" s="16" t="s">
        <v>314</v>
      </c>
      <c r="J107" s="16" t="s">
        <v>121</v>
      </c>
      <c r="K107" s="57" t="s">
        <v>61</v>
      </c>
      <c r="L107" s="57" t="s">
        <v>61</v>
      </c>
      <c r="M107" s="57" t="s">
        <v>61</v>
      </c>
      <c r="N107" s="16" t="s">
        <v>148</v>
      </c>
      <c r="O107" s="18" t="s">
        <v>61</v>
      </c>
      <c r="P107" s="18" t="s">
        <v>317</v>
      </c>
      <c r="Q107" s="19"/>
      <c r="R107" s="17" t="s">
        <v>98</v>
      </c>
      <c r="S107" s="16" t="s">
        <v>66</v>
      </c>
      <c r="T107" s="16"/>
      <c r="U107" s="16"/>
      <c r="V107" s="16">
        <v>53</v>
      </c>
      <c r="W107" s="16">
        <f>ROUND(IF(D107=Table!$C$3,Y107*Table!$C$4/8,Y107*Table!$D$4/8),3)</f>
        <v>67.5</v>
      </c>
      <c r="X107" s="16">
        <f t="shared" si="13"/>
        <v>67.5</v>
      </c>
      <c r="Y107" s="16">
        <v>1.2</v>
      </c>
      <c r="Z107" s="16">
        <f t="shared" si="15"/>
        <v>1.2</v>
      </c>
      <c r="AA107" s="16" t="s">
        <v>21</v>
      </c>
      <c r="AB107" s="20">
        <v>43958</v>
      </c>
      <c r="AC107" s="20">
        <v>43946</v>
      </c>
      <c r="AD107" s="20">
        <v>43958</v>
      </c>
      <c r="AE107" s="20">
        <v>43950</v>
      </c>
      <c r="AF107" s="20">
        <v>43950</v>
      </c>
      <c r="AG107" s="20" t="s">
        <v>335</v>
      </c>
      <c r="AH107" s="32">
        <v>1</v>
      </c>
      <c r="AI107" s="32">
        <v>1</v>
      </c>
      <c r="AJ107" s="32">
        <v>1</v>
      </c>
      <c r="AK107" s="20" t="s">
        <v>165</v>
      </c>
      <c r="AL107" s="16"/>
      <c r="AM107" s="16"/>
      <c r="AN107" s="16"/>
    </row>
    <row r="108" spans="2:40" x14ac:dyDescent="0.25">
      <c r="B108" s="45">
        <f t="shared" si="10"/>
        <v>61</v>
      </c>
      <c r="C108" s="17">
        <v>20200427</v>
      </c>
      <c r="D108" s="16" t="s">
        <v>3</v>
      </c>
      <c r="E108" s="92" t="s">
        <v>503</v>
      </c>
      <c r="F108" s="18" t="s">
        <v>259</v>
      </c>
      <c r="G108" s="57" t="s">
        <v>61</v>
      </c>
      <c r="H108" s="16" t="s">
        <v>255</v>
      </c>
      <c r="I108" s="16" t="s">
        <v>315</v>
      </c>
      <c r="J108" s="16" t="s">
        <v>121</v>
      </c>
      <c r="K108" s="57" t="s">
        <v>61</v>
      </c>
      <c r="L108" s="57" t="s">
        <v>61</v>
      </c>
      <c r="M108" s="57" t="s">
        <v>61</v>
      </c>
      <c r="N108" s="16" t="s">
        <v>148</v>
      </c>
      <c r="O108" s="18" t="s">
        <v>61</v>
      </c>
      <c r="P108" s="18" t="s">
        <v>317</v>
      </c>
      <c r="Q108" s="19"/>
      <c r="R108" s="17" t="s">
        <v>97</v>
      </c>
      <c r="S108" s="16" t="s">
        <v>156</v>
      </c>
      <c r="T108" s="16"/>
      <c r="U108" s="16"/>
      <c r="V108" s="16">
        <v>54</v>
      </c>
      <c r="W108" s="16">
        <f>ROUND(IF(D108=Table!$C$3,Y108*Table!$C$4/8,Y108*Table!$D$4/8),3)</f>
        <v>72</v>
      </c>
      <c r="X108" s="16">
        <f t="shared" si="13"/>
        <v>72</v>
      </c>
      <c r="Y108" s="16">
        <v>1.28</v>
      </c>
      <c r="Z108" s="16">
        <v>0.5</v>
      </c>
      <c r="AA108" s="16" t="s">
        <v>21</v>
      </c>
      <c r="AB108" s="20">
        <v>43958</v>
      </c>
      <c r="AC108" s="20">
        <v>43946</v>
      </c>
      <c r="AD108" s="20">
        <v>43958</v>
      </c>
      <c r="AE108" s="20">
        <v>43955</v>
      </c>
      <c r="AF108" s="20">
        <v>43955</v>
      </c>
      <c r="AG108" s="20" t="s">
        <v>335</v>
      </c>
      <c r="AH108" s="91">
        <v>0.68</v>
      </c>
      <c r="AI108" s="91">
        <v>0.6</v>
      </c>
      <c r="AJ108" s="91">
        <v>1</v>
      </c>
      <c r="AK108" s="20" t="s">
        <v>165</v>
      </c>
      <c r="AL108" s="16" t="s">
        <v>593</v>
      </c>
      <c r="AM108" s="16"/>
      <c r="AN108" s="16"/>
    </row>
    <row r="109" spans="2:40" x14ac:dyDescent="0.25">
      <c r="B109" s="108">
        <f t="shared" ref="B109:B156" si="16">B108+1</f>
        <v>62</v>
      </c>
      <c r="C109" s="17">
        <v>20200506</v>
      </c>
      <c r="D109" s="16" t="s">
        <v>3</v>
      </c>
      <c r="E109" s="92" t="s">
        <v>513</v>
      </c>
      <c r="F109" s="18" t="s">
        <v>514</v>
      </c>
      <c r="G109" s="57" t="s">
        <v>61</v>
      </c>
      <c r="H109" s="16" t="s">
        <v>518</v>
      </c>
      <c r="I109" s="16" t="s">
        <v>505</v>
      </c>
      <c r="J109" s="16" t="s">
        <v>121</v>
      </c>
      <c r="K109" s="57" t="s">
        <v>61</v>
      </c>
      <c r="L109" s="57" t="s">
        <v>61</v>
      </c>
      <c r="M109" s="57" t="s">
        <v>61</v>
      </c>
      <c r="N109" s="16" t="s">
        <v>524</v>
      </c>
      <c r="O109" s="18" t="s">
        <v>61</v>
      </c>
      <c r="P109" s="18" t="s">
        <v>526</v>
      </c>
      <c r="Q109" s="19"/>
      <c r="R109" s="17" t="s">
        <v>572</v>
      </c>
      <c r="S109" s="16" t="s">
        <v>156</v>
      </c>
      <c r="T109" s="16"/>
      <c r="U109" s="16"/>
      <c r="V109" s="16">
        <v>403</v>
      </c>
      <c r="W109" s="16">
        <f>ROUND(IF(D109=Table!$C$3,Y109*Table!$C$4/8,Y109*Table!$D$4/8),3)</f>
        <v>765</v>
      </c>
      <c r="X109" s="16">
        <f t="shared" si="13"/>
        <v>765</v>
      </c>
      <c r="Y109" s="16">
        <v>13.6</v>
      </c>
      <c r="Z109" s="16">
        <v>5</v>
      </c>
      <c r="AA109" s="16" t="s">
        <v>21</v>
      </c>
      <c r="AB109" s="20">
        <v>43959</v>
      </c>
      <c r="AC109" s="20">
        <v>43957</v>
      </c>
      <c r="AD109" s="20">
        <v>43959</v>
      </c>
      <c r="AE109" s="20">
        <v>43958</v>
      </c>
      <c r="AF109" s="20">
        <v>43958</v>
      </c>
      <c r="AG109" s="20" t="s">
        <v>335</v>
      </c>
      <c r="AH109" s="32">
        <v>0.99</v>
      </c>
      <c r="AI109" s="32">
        <v>0.98</v>
      </c>
      <c r="AJ109" s="32">
        <v>0.86</v>
      </c>
      <c r="AK109" s="20" t="s">
        <v>165</v>
      </c>
      <c r="AL109" s="16" t="s">
        <v>612</v>
      </c>
      <c r="AM109" s="16"/>
      <c r="AN109" s="16"/>
    </row>
    <row r="110" spans="2:40" x14ac:dyDescent="0.25">
      <c r="B110" s="108">
        <f t="shared" si="16"/>
        <v>63</v>
      </c>
      <c r="C110" s="17">
        <v>20200506</v>
      </c>
      <c r="D110" s="16" t="s">
        <v>3</v>
      </c>
      <c r="E110" s="92" t="s">
        <v>513</v>
      </c>
      <c r="F110" s="18" t="s">
        <v>515</v>
      </c>
      <c r="G110" s="57" t="s">
        <v>61</v>
      </c>
      <c r="H110" s="16" t="s">
        <v>519</v>
      </c>
      <c r="I110" s="16" t="s">
        <v>506</v>
      </c>
      <c r="J110" s="16" t="s">
        <v>121</v>
      </c>
      <c r="K110" s="57" t="s">
        <v>61</v>
      </c>
      <c r="L110" s="57" t="s">
        <v>61</v>
      </c>
      <c r="M110" s="57" t="s">
        <v>61</v>
      </c>
      <c r="N110" s="16" t="s">
        <v>524</v>
      </c>
      <c r="O110" s="18" t="s">
        <v>61</v>
      </c>
      <c r="P110" s="18" t="s">
        <v>526</v>
      </c>
      <c r="Q110" s="19"/>
      <c r="R110" s="17" t="s">
        <v>572</v>
      </c>
      <c r="S110" s="16" t="s">
        <v>156</v>
      </c>
      <c r="T110" s="16"/>
      <c r="U110" s="16"/>
      <c r="V110" s="16">
        <v>159</v>
      </c>
      <c r="W110" s="16">
        <f>ROUND(IF(D110=Table!$C$3,Y110*Table!$C$4/8,Y110*Table!$D$4/8),3)</f>
        <v>315</v>
      </c>
      <c r="X110" s="16">
        <f t="shared" si="13"/>
        <v>315</v>
      </c>
      <c r="Y110" s="16">
        <v>5.6</v>
      </c>
      <c r="Z110" s="16">
        <v>3</v>
      </c>
      <c r="AA110" s="16" t="s">
        <v>21</v>
      </c>
      <c r="AB110" s="20">
        <v>43959</v>
      </c>
      <c r="AC110" s="20">
        <v>43957</v>
      </c>
      <c r="AD110" s="20">
        <v>43959</v>
      </c>
      <c r="AE110" s="20">
        <v>43958</v>
      </c>
      <c r="AF110" s="20">
        <v>43958</v>
      </c>
      <c r="AG110" s="20" t="s">
        <v>335</v>
      </c>
      <c r="AH110" s="32">
        <v>1</v>
      </c>
      <c r="AI110" s="32">
        <v>1</v>
      </c>
      <c r="AJ110" s="32">
        <v>0.53</v>
      </c>
      <c r="AK110" s="20" t="s">
        <v>165</v>
      </c>
      <c r="AL110" s="16"/>
      <c r="AM110" s="16"/>
      <c r="AN110" s="16"/>
    </row>
    <row r="111" spans="2:40" x14ac:dyDescent="0.25">
      <c r="B111" s="108">
        <f t="shared" si="16"/>
        <v>64</v>
      </c>
      <c r="C111" s="17">
        <v>20200506</v>
      </c>
      <c r="D111" s="16" t="s">
        <v>2</v>
      </c>
      <c r="E111" s="92" t="s">
        <v>513</v>
      </c>
      <c r="F111" s="18" t="s">
        <v>516</v>
      </c>
      <c r="G111" s="57" t="s">
        <v>61</v>
      </c>
      <c r="H111" s="16" t="s">
        <v>207</v>
      </c>
      <c r="I111" s="16" t="s">
        <v>507</v>
      </c>
      <c r="J111" s="16" t="s">
        <v>121</v>
      </c>
      <c r="K111" s="57" t="s">
        <v>61</v>
      </c>
      <c r="L111" s="57" t="s">
        <v>61</v>
      </c>
      <c r="M111" s="57" t="s">
        <v>61</v>
      </c>
      <c r="N111" s="16" t="s">
        <v>525</v>
      </c>
      <c r="O111" s="18" t="s">
        <v>527</v>
      </c>
      <c r="P111" s="18" t="s">
        <v>526</v>
      </c>
      <c r="Q111" s="19"/>
      <c r="R111" s="17" t="s">
        <v>571</v>
      </c>
      <c r="S111" s="16" t="s">
        <v>66</v>
      </c>
      <c r="T111" s="16"/>
      <c r="U111" s="16"/>
      <c r="V111" s="16">
        <v>62</v>
      </c>
      <c r="W111" s="16">
        <f>ROUND(IF(D111=Table!$C$3,Y111*Table!$C$4/8,Y111*Table!$D$4/8),3)</f>
        <v>65</v>
      </c>
      <c r="X111" s="16">
        <f t="shared" si="13"/>
        <v>65</v>
      </c>
      <c r="Y111" s="16">
        <v>4</v>
      </c>
      <c r="Z111" s="16">
        <v>1</v>
      </c>
      <c r="AA111" s="16" t="s">
        <v>21</v>
      </c>
      <c r="AB111" s="20">
        <v>43959</v>
      </c>
      <c r="AC111" s="20">
        <v>43957</v>
      </c>
      <c r="AD111" s="20">
        <v>43959</v>
      </c>
      <c r="AE111" s="20">
        <v>43959</v>
      </c>
      <c r="AF111" s="20">
        <v>43959</v>
      </c>
      <c r="AG111" s="20" t="s">
        <v>335</v>
      </c>
      <c r="AH111" s="103">
        <v>1</v>
      </c>
      <c r="AI111" s="103">
        <v>1</v>
      </c>
      <c r="AJ111" s="103">
        <v>0.75</v>
      </c>
      <c r="AK111" s="20" t="s">
        <v>165</v>
      </c>
      <c r="AL111" s="16"/>
      <c r="AM111" s="16"/>
      <c r="AN111" s="16"/>
    </row>
    <row r="112" spans="2:40" x14ac:dyDescent="0.25">
      <c r="B112" s="108">
        <f t="shared" si="16"/>
        <v>65</v>
      </c>
      <c r="C112" s="17">
        <v>20200506</v>
      </c>
      <c r="D112" s="16" t="s">
        <v>2</v>
      </c>
      <c r="E112" s="92" t="s">
        <v>513</v>
      </c>
      <c r="F112" s="18" t="s">
        <v>516</v>
      </c>
      <c r="G112" s="57" t="s">
        <v>61</v>
      </c>
      <c r="H112" s="16" t="s">
        <v>520</v>
      </c>
      <c r="I112" s="16" t="s">
        <v>508</v>
      </c>
      <c r="J112" s="16" t="s">
        <v>121</v>
      </c>
      <c r="K112" s="57" t="s">
        <v>61</v>
      </c>
      <c r="L112" s="57" t="s">
        <v>61</v>
      </c>
      <c r="M112" s="57" t="s">
        <v>61</v>
      </c>
      <c r="N112" s="16" t="s">
        <v>525</v>
      </c>
      <c r="O112" s="18" t="s">
        <v>528</v>
      </c>
      <c r="P112" s="18" t="s">
        <v>526</v>
      </c>
      <c r="Q112" s="19"/>
      <c r="R112" s="17" t="s">
        <v>571</v>
      </c>
      <c r="S112" s="16" t="s">
        <v>66</v>
      </c>
      <c r="T112" s="16"/>
      <c r="U112" s="16"/>
      <c r="V112" s="16">
        <v>114</v>
      </c>
      <c r="W112" s="16">
        <f>ROUND(IF(D112=Table!$C$3,Y112*Table!$C$4/8,Y112*Table!$D$4/8),3)</f>
        <v>117</v>
      </c>
      <c r="X112" s="16">
        <f t="shared" si="13"/>
        <v>117</v>
      </c>
      <c r="Y112" s="16">
        <v>7.2</v>
      </c>
      <c r="Z112" s="16">
        <v>1</v>
      </c>
      <c r="AA112" s="16" t="s">
        <v>21</v>
      </c>
      <c r="AB112" s="20">
        <v>43959</v>
      </c>
      <c r="AC112" s="20">
        <v>43957</v>
      </c>
      <c r="AD112" s="20">
        <v>43959</v>
      </c>
      <c r="AE112" s="20">
        <v>43959</v>
      </c>
      <c r="AF112" s="20">
        <v>43959</v>
      </c>
      <c r="AG112" s="20" t="s">
        <v>335</v>
      </c>
      <c r="AH112" s="32" t="s">
        <v>412</v>
      </c>
      <c r="AI112" s="32" t="s">
        <v>412</v>
      </c>
      <c r="AJ112" s="32" t="s">
        <v>412</v>
      </c>
      <c r="AK112" s="20" t="s">
        <v>165</v>
      </c>
      <c r="AL112" s="16" t="s">
        <v>610</v>
      </c>
      <c r="AM112" s="16"/>
      <c r="AN112" s="16"/>
    </row>
    <row r="113" spans="2:40" x14ac:dyDescent="0.25">
      <c r="B113" s="108">
        <f t="shared" si="16"/>
        <v>66</v>
      </c>
      <c r="C113" s="17">
        <v>20200506</v>
      </c>
      <c r="D113" s="16" t="s">
        <v>2</v>
      </c>
      <c r="E113" s="92" t="s">
        <v>513</v>
      </c>
      <c r="F113" s="18" t="s">
        <v>516</v>
      </c>
      <c r="G113" s="57" t="s">
        <v>61</v>
      </c>
      <c r="H113" s="16" t="s">
        <v>521</v>
      </c>
      <c r="I113" s="16" t="s">
        <v>509</v>
      </c>
      <c r="J113" s="16" t="s">
        <v>121</v>
      </c>
      <c r="K113" s="57" t="s">
        <v>61</v>
      </c>
      <c r="L113" s="57" t="s">
        <v>61</v>
      </c>
      <c r="M113" s="57" t="s">
        <v>61</v>
      </c>
      <c r="N113" s="16" t="s">
        <v>525</v>
      </c>
      <c r="O113" s="18" t="s">
        <v>365</v>
      </c>
      <c r="P113" s="18" t="s">
        <v>526</v>
      </c>
      <c r="Q113" s="19"/>
      <c r="R113" s="17" t="s">
        <v>571</v>
      </c>
      <c r="S113" s="16" t="s">
        <v>66</v>
      </c>
      <c r="T113" s="16"/>
      <c r="U113" s="16"/>
      <c r="V113" s="16">
        <v>59</v>
      </c>
      <c r="W113" s="16">
        <f>ROUND(IF(D113=Table!$C$3,Y113*Table!$C$4/8,Y113*Table!$D$4/8),3)</f>
        <v>65</v>
      </c>
      <c r="X113" s="16">
        <f t="shared" ref="X113:X116" si="17">W113</f>
        <v>65</v>
      </c>
      <c r="Y113" s="16">
        <v>4</v>
      </c>
      <c r="Z113" s="16">
        <v>1</v>
      </c>
      <c r="AA113" s="16" t="s">
        <v>21</v>
      </c>
      <c r="AB113" s="20">
        <v>43959</v>
      </c>
      <c r="AC113" s="20">
        <v>43957</v>
      </c>
      <c r="AD113" s="20">
        <v>43959</v>
      </c>
      <c r="AE113" s="20">
        <v>43959</v>
      </c>
      <c r="AF113" s="20">
        <v>43959</v>
      </c>
      <c r="AG113" s="20" t="s">
        <v>335</v>
      </c>
      <c r="AH113" s="32">
        <v>1</v>
      </c>
      <c r="AI113" s="32">
        <v>1</v>
      </c>
      <c r="AJ113" s="32" t="s">
        <v>412</v>
      </c>
      <c r="AK113" s="20" t="s">
        <v>165</v>
      </c>
      <c r="AL113" s="16"/>
      <c r="AM113" s="16"/>
      <c r="AN113" s="16"/>
    </row>
    <row r="114" spans="2:40" x14ac:dyDescent="0.25">
      <c r="B114" s="108">
        <f t="shared" si="16"/>
        <v>67</v>
      </c>
      <c r="C114" s="17">
        <v>20200506</v>
      </c>
      <c r="D114" s="16" t="s">
        <v>2</v>
      </c>
      <c r="E114" s="92" t="s">
        <v>513</v>
      </c>
      <c r="F114" s="18" t="s">
        <v>516</v>
      </c>
      <c r="G114" s="57" t="s">
        <v>61</v>
      </c>
      <c r="H114" s="16" t="s">
        <v>522</v>
      </c>
      <c r="I114" s="16" t="s">
        <v>510</v>
      </c>
      <c r="J114" s="16" t="s">
        <v>121</v>
      </c>
      <c r="K114" s="57" t="s">
        <v>61</v>
      </c>
      <c r="L114" s="57" t="s">
        <v>61</v>
      </c>
      <c r="M114" s="57" t="s">
        <v>61</v>
      </c>
      <c r="N114" s="16" t="s">
        <v>525</v>
      </c>
      <c r="O114" s="18" t="s">
        <v>365</v>
      </c>
      <c r="P114" s="18" t="s">
        <v>526</v>
      </c>
      <c r="Q114" s="19"/>
      <c r="R114" s="17" t="s">
        <v>571</v>
      </c>
      <c r="S114" s="16" t="s">
        <v>66</v>
      </c>
      <c r="T114" s="16"/>
      <c r="U114" s="16"/>
      <c r="V114" s="16">
        <v>42</v>
      </c>
      <c r="W114" s="16">
        <f>ROUND(IF(D114=Table!$C$3,Y114*Table!$C$4/8,Y114*Table!$D$4/8),3)</f>
        <v>39</v>
      </c>
      <c r="X114" s="16">
        <f t="shared" si="17"/>
        <v>39</v>
      </c>
      <c r="Y114" s="16">
        <v>2.4</v>
      </c>
      <c r="Z114" s="16">
        <v>1</v>
      </c>
      <c r="AA114" s="16" t="s">
        <v>21</v>
      </c>
      <c r="AB114" s="20">
        <v>43959</v>
      </c>
      <c r="AC114" s="20">
        <v>43957</v>
      </c>
      <c r="AD114" s="20">
        <v>43959</v>
      </c>
      <c r="AE114" s="20">
        <v>43959</v>
      </c>
      <c r="AF114" s="20">
        <v>43959</v>
      </c>
      <c r="AG114" s="20" t="s">
        <v>335</v>
      </c>
      <c r="AH114" s="32">
        <v>1</v>
      </c>
      <c r="AI114" s="32">
        <v>1</v>
      </c>
      <c r="AJ114" s="32" t="s">
        <v>412</v>
      </c>
      <c r="AK114" s="20" t="s">
        <v>165</v>
      </c>
      <c r="AL114" s="16"/>
      <c r="AM114" s="16"/>
      <c r="AN114" s="16"/>
    </row>
    <row r="115" spans="2:40" x14ac:dyDescent="0.25">
      <c r="B115" s="108">
        <f t="shared" si="16"/>
        <v>68</v>
      </c>
      <c r="C115" s="17">
        <v>20200506</v>
      </c>
      <c r="D115" s="16" t="s">
        <v>2</v>
      </c>
      <c r="E115" s="92" t="s">
        <v>513</v>
      </c>
      <c r="F115" s="18" t="s">
        <v>516</v>
      </c>
      <c r="G115" s="57" t="s">
        <v>61</v>
      </c>
      <c r="H115" s="16" t="s">
        <v>523</v>
      </c>
      <c r="I115" s="16" t="s">
        <v>511</v>
      </c>
      <c r="J115" s="16" t="s">
        <v>121</v>
      </c>
      <c r="K115" s="57" t="s">
        <v>61</v>
      </c>
      <c r="L115" s="57" t="s">
        <v>61</v>
      </c>
      <c r="M115" s="57" t="s">
        <v>61</v>
      </c>
      <c r="N115" s="16" t="s">
        <v>525</v>
      </c>
      <c r="O115" s="18" t="s">
        <v>365</v>
      </c>
      <c r="P115" s="18" t="s">
        <v>526</v>
      </c>
      <c r="Q115" s="19"/>
      <c r="R115" s="17" t="s">
        <v>571</v>
      </c>
      <c r="S115" s="16" t="s">
        <v>66</v>
      </c>
      <c r="T115" s="16"/>
      <c r="U115" s="16"/>
      <c r="V115" s="16">
        <v>41</v>
      </c>
      <c r="W115" s="16">
        <f>ROUND(IF(D115=Table!$C$3,Y115*Table!$C$4/8,Y115*Table!$D$4/8),3)</f>
        <v>52</v>
      </c>
      <c r="X115" s="16">
        <f t="shared" si="17"/>
        <v>52</v>
      </c>
      <c r="Y115" s="16">
        <v>3.2</v>
      </c>
      <c r="Z115" s="16">
        <v>1</v>
      </c>
      <c r="AA115" s="16" t="s">
        <v>21</v>
      </c>
      <c r="AB115" s="20">
        <v>43959</v>
      </c>
      <c r="AC115" s="20">
        <v>43957</v>
      </c>
      <c r="AD115" s="20">
        <v>43959</v>
      </c>
      <c r="AE115" s="20">
        <v>43959</v>
      </c>
      <c r="AF115" s="20">
        <v>43959</v>
      </c>
      <c r="AG115" s="20" t="s">
        <v>335</v>
      </c>
      <c r="AH115" s="32">
        <v>1</v>
      </c>
      <c r="AI115" s="32">
        <v>1</v>
      </c>
      <c r="AJ115" s="32">
        <v>0.5</v>
      </c>
      <c r="AK115" s="20" t="s">
        <v>165</v>
      </c>
      <c r="AL115" s="16"/>
      <c r="AM115" s="16"/>
      <c r="AN115" s="16"/>
    </row>
    <row r="116" spans="2:40" x14ac:dyDescent="0.25">
      <c r="B116" s="108">
        <f t="shared" si="16"/>
        <v>69</v>
      </c>
      <c r="C116" s="17">
        <v>20200506</v>
      </c>
      <c r="D116" s="16" t="s">
        <v>2</v>
      </c>
      <c r="E116" s="92" t="s">
        <v>513</v>
      </c>
      <c r="F116" s="18" t="s">
        <v>517</v>
      </c>
      <c r="G116" s="57" t="s">
        <v>61</v>
      </c>
      <c r="H116" s="16" t="s">
        <v>96</v>
      </c>
      <c r="I116" s="16" t="s">
        <v>512</v>
      </c>
      <c r="J116" s="16" t="s">
        <v>121</v>
      </c>
      <c r="K116" s="57" t="s">
        <v>61</v>
      </c>
      <c r="L116" s="57" t="s">
        <v>61</v>
      </c>
      <c r="M116" s="57" t="s">
        <v>61</v>
      </c>
      <c r="N116" s="16" t="s">
        <v>524</v>
      </c>
      <c r="O116" s="18" t="s">
        <v>61</v>
      </c>
      <c r="P116" s="18" t="s">
        <v>526</v>
      </c>
      <c r="Q116" s="19"/>
      <c r="R116" s="17" t="s">
        <v>572</v>
      </c>
      <c r="S116" s="16" t="s">
        <v>156</v>
      </c>
      <c r="T116" s="16"/>
      <c r="U116" s="16"/>
      <c r="V116" s="16">
        <v>279</v>
      </c>
      <c r="W116" s="16">
        <f>ROUND(IF(D116=Table!$C$3,Y116*Table!$C$4/8,Y116*Table!$D$4/8),3)</f>
        <v>156</v>
      </c>
      <c r="X116" s="16">
        <f t="shared" si="17"/>
        <v>156</v>
      </c>
      <c r="Y116" s="16">
        <v>9.6</v>
      </c>
      <c r="Z116" s="16">
        <v>5</v>
      </c>
      <c r="AA116" s="16" t="s">
        <v>21</v>
      </c>
      <c r="AB116" s="20">
        <v>43959</v>
      </c>
      <c r="AC116" s="20">
        <v>43957</v>
      </c>
      <c r="AD116" s="20">
        <v>43959</v>
      </c>
      <c r="AE116" s="20">
        <v>43959</v>
      </c>
      <c r="AF116" s="20">
        <v>43959</v>
      </c>
      <c r="AG116" s="20" t="s">
        <v>335</v>
      </c>
      <c r="AH116" s="32">
        <v>1</v>
      </c>
      <c r="AI116" s="32">
        <v>1</v>
      </c>
      <c r="AJ116" s="32">
        <v>0.33</v>
      </c>
      <c r="AK116" s="20" t="s">
        <v>165</v>
      </c>
      <c r="AL116" s="16"/>
      <c r="AM116" s="16"/>
      <c r="AN116" s="16"/>
    </row>
    <row r="117" spans="2:40" x14ac:dyDescent="0.25">
      <c r="B117" s="124">
        <f t="shared" si="16"/>
        <v>70</v>
      </c>
      <c r="C117" s="17">
        <v>20200511</v>
      </c>
      <c r="D117" s="16" t="s">
        <v>2</v>
      </c>
      <c r="E117" s="92" t="s">
        <v>656</v>
      </c>
      <c r="F117" s="18" t="s">
        <v>657</v>
      </c>
      <c r="G117" s="57" t="s">
        <v>61</v>
      </c>
      <c r="H117" s="16" t="s">
        <v>663</v>
      </c>
      <c r="I117" s="16" t="s">
        <v>625</v>
      </c>
      <c r="J117" s="16" t="s">
        <v>121</v>
      </c>
      <c r="K117" s="57" t="s">
        <v>61</v>
      </c>
      <c r="L117" s="57" t="s">
        <v>61</v>
      </c>
      <c r="M117" s="57" t="s">
        <v>61</v>
      </c>
      <c r="N117" s="16" t="s">
        <v>728</v>
      </c>
      <c r="O117" s="18" t="s">
        <v>654</v>
      </c>
      <c r="P117" s="18" t="s">
        <v>677</v>
      </c>
      <c r="Q117" s="19"/>
      <c r="R117" s="17" t="s">
        <v>97</v>
      </c>
      <c r="S117" s="16" t="s">
        <v>156</v>
      </c>
      <c r="T117" s="16"/>
      <c r="U117" s="16"/>
      <c r="V117" s="16"/>
      <c r="W117" s="16">
        <f>ROUND(IF(D117=Table!$C$3,Y117*Table!$C$4/8,Y117*Table!$D$4/8),3)</f>
        <v>76.7</v>
      </c>
      <c r="X117" s="16">
        <v>76.7</v>
      </c>
      <c r="Y117" s="16">
        <v>4.72</v>
      </c>
      <c r="Z117" s="16">
        <v>4</v>
      </c>
      <c r="AA117" s="16" t="s">
        <v>21</v>
      </c>
      <c r="AB117" s="20">
        <v>43969</v>
      </c>
      <c r="AC117" s="20">
        <v>43962</v>
      </c>
      <c r="AD117" s="20">
        <v>43971</v>
      </c>
      <c r="AE117" s="20">
        <v>43964</v>
      </c>
      <c r="AF117" s="20">
        <v>43965</v>
      </c>
      <c r="AG117" s="20" t="s">
        <v>335</v>
      </c>
      <c r="AH117" s="32">
        <v>1</v>
      </c>
      <c r="AI117" s="32">
        <v>1</v>
      </c>
      <c r="AJ117" s="32">
        <v>1</v>
      </c>
      <c r="AK117" s="20" t="s">
        <v>165</v>
      </c>
      <c r="AL117" s="16"/>
      <c r="AM117" s="16"/>
      <c r="AN117" s="16"/>
    </row>
    <row r="118" spans="2:40" x14ac:dyDescent="0.25">
      <c r="B118" s="124">
        <f t="shared" si="16"/>
        <v>71</v>
      </c>
      <c r="C118" s="17">
        <v>20200511</v>
      </c>
      <c r="D118" s="16" t="s">
        <v>2</v>
      </c>
      <c r="E118" s="92" t="s">
        <v>656</v>
      </c>
      <c r="F118" s="18" t="s">
        <v>256</v>
      </c>
      <c r="G118" s="57" t="s">
        <v>61</v>
      </c>
      <c r="H118" s="16" t="s">
        <v>664</v>
      </c>
      <c r="I118" s="16" t="s">
        <v>626</v>
      </c>
      <c r="J118" s="16" t="s">
        <v>121</v>
      </c>
      <c r="K118" s="57" t="s">
        <v>61</v>
      </c>
      <c r="L118" s="57" t="s">
        <v>61</v>
      </c>
      <c r="M118" s="57" t="s">
        <v>61</v>
      </c>
      <c r="N118" s="16" t="s">
        <v>728</v>
      </c>
      <c r="O118" s="18" t="s">
        <v>143</v>
      </c>
      <c r="P118" s="18" t="s">
        <v>677</v>
      </c>
      <c r="Q118" s="19"/>
      <c r="R118" s="17" t="s">
        <v>97</v>
      </c>
      <c r="S118" s="16" t="s">
        <v>156</v>
      </c>
      <c r="T118" s="16"/>
      <c r="U118" s="16"/>
      <c r="V118" s="16"/>
      <c r="W118" s="16">
        <f>ROUND(IF(D118=Table!$C$3,Y118*Table!$C$4/8,Y118*Table!$D$4/8),3)</f>
        <v>22.1</v>
      </c>
      <c r="X118" s="16">
        <v>22.1</v>
      </c>
      <c r="Y118" s="16">
        <v>1.36</v>
      </c>
      <c r="Z118" s="16">
        <v>1</v>
      </c>
      <c r="AA118" s="16" t="s">
        <v>21</v>
      </c>
      <c r="AB118" s="20">
        <v>43969</v>
      </c>
      <c r="AC118" s="20">
        <v>43962</v>
      </c>
      <c r="AD118" s="20">
        <v>43971</v>
      </c>
      <c r="AE118" s="20">
        <v>43964</v>
      </c>
      <c r="AF118" s="20">
        <v>43965</v>
      </c>
      <c r="AG118" s="20" t="s">
        <v>335</v>
      </c>
      <c r="AH118" s="32">
        <v>1</v>
      </c>
      <c r="AI118" s="32">
        <v>1</v>
      </c>
      <c r="AJ118" s="32">
        <v>1</v>
      </c>
      <c r="AK118" s="20" t="s">
        <v>165</v>
      </c>
      <c r="AL118" s="16"/>
      <c r="AM118" s="16"/>
      <c r="AN118" s="16"/>
    </row>
    <row r="119" spans="2:40" x14ac:dyDescent="0.25">
      <c r="B119" s="124">
        <f t="shared" si="16"/>
        <v>72</v>
      </c>
      <c r="C119" s="17">
        <v>20200511</v>
      </c>
      <c r="D119" s="16" t="s">
        <v>2</v>
      </c>
      <c r="E119" s="92" t="s">
        <v>656</v>
      </c>
      <c r="F119" s="18" t="s">
        <v>256</v>
      </c>
      <c r="G119" s="57" t="s">
        <v>61</v>
      </c>
      <c r="H119" s="16" t="s">
        <v>665</v>
      </c>
      <c r="I119" s="16" t="s">
        <v>627</v>
      </c>
      <c r="J119" s="16" t="s">
        <v>121</v>
      </c>
      <c r="K119" s="57" t="s">
        <v>61</v>
      </c>
      <c r="L119" s="57" t="s">
        <v>61</v>
      </c>
      <c r="M119" s="57" t="s">
        <v>61</v>
      </c>
      <c r="N119" s="16" t="s">
        <v>728</v>
      </c>
      <c r="O119" s="18" t="s">
        <v>365</v>
      </c>
      <c r="P119" s="18" t="s">
        <v>677</v>
      </c>
      <c r="Q119" s="19"/>
      <c r="R119" s="17" t="s">
        <v>97</v>
      </c>
      <c r="S119" s="16" t="s">
        <v>156</v>
      </c>
      <c r="T119" s="16"/>
      <c r="U119" s="16"/>
      <c r="V119" s="16"/>
      <c r="W119" s="16">
        <f>ROUND(IF(D119=Table!$C$3,Y119*Table!$C$4/8,Y119*Table!$D$4/8),3)</f>
        <v>29.9</v>
      </c>
      <c r="X119" s="16">
        <v>29.9</v>
      </c>
      <c r="Y119" s="16">
        <v>1.84</v>
      </c>
      <c r="Z119" s="16">
        <v>1</v>
      </c>
      <c r="AA119" s="16" t="s">
        <v>21</v>
      </c>
      <c r="AB119" s="20">
        <v>43969</v>
      </c>
      <c r="AC119" s="20">
        <v>43962</v>
      </c>
      <c r="AD119" s="20">
        <v>43971</v>
      </c>
      <c r="AE119" s="20">
        <v>43964</v>
      </c>
      <c r="AF119" s="20">
        <v>43965</v>
      </c>
      <c r="AG119" s="20" t="s">
        <v>335</v>
      </c>
      <c r="AH119" s="32">
        <v>1</v>
      </c>
      <c r="AI119" s="32">
        <v>1</v>
      </c>
      <c r="AJ119" s="32" t="s">
        <v>412</v>
      </c>
      <c r="AK119" s="20" t="s">
        <v>165</v>
      </c>
      <c r="AL119" s="16"/>
      <c r="AM119" s="16"/>
      <c r="AN119" s="16"/>
    </row>
    <row r="120" spans="2:40" x14ac:dyDescent="0.25">
      <c r="B120" s="124">
        <f t="shared" si="16"/>
        <v>73</v>
      </c>
      <c r="C120" s="17">
        <v>20200511</v>
      </c>
      <c r="D120" s="16" t="s">
        <v>2</v>
      </c>
      <c r="E120" s="92" t="s">
        <v>656</v>
      </c>
      <c r="F120" s="18" t="s">
        <v>256</v>
      </c>
      <c r="G120" s="57" t="s">
        <v>61</v>
      </c>
      <c r="H120" s="16" t="s">
        <v>666</v>
      </c>
      <c r="I120" s="16" t="s">
        <v>628</v>
      </c>
      <c r="J120" s="16" t="s">
        <v>121</v>
      </c>
      <c r="K120" s="57" t="s">
        <v>61</v>
      </c>
      <c r="L120" s="57" t="s">
        <v>61</v>
      </c>
      <c r="M120" s="57" t="s">
        <v>61</v>
      </c>
      <c r="N120" s="16" t="s">
        <v>728</v>
      </c>
      <c r="O120" s="18" t="s">
        <v>365</v>
      </c>
      <c r="P120" s="18" t="s">
        <v>677</v>
      </c>
      <c r="Q120" s="19"/>
      <c r="R120" s="17" t="s">
        <v>97</v>
      </c>
      <c r="S120" s="16" t="s">
        <v>156</v>
      </c>
      <c r="T120" s="16"/>
      <c r="U120" s="16"/>
      <c r="V120" s="16"/>
      <c r="W120" s="16">
        <f>ROUND(IF(D120=Table!$C$3,Y120*Table!$C$4/8,Y120*Table!$D$4/8),3)</f>
        <v>78</v>
      </c>
      <c r="X120" s="16">
        <v>78</v>
      </c>
      <c r="Y120" s="16">
        <v>4.8</v>
      </c>
      <c r="Z120" s="16">
        <v>4</v>
      </c>
      <c r="AA120" s="16" t="s">
        <v>21</v>
      </c>
      <c r="AB120" s="20">
        <v>43969</v>
      </c>
      <c r="AC120" s="20">
        <v>43962</v>
      </c>
      <c r="AD120" s="20">
        <v>43971</v>
      </c>
      <c r="AE120" s="20">
        <v>43965</v>
      </c>
      <c r="AF120" s="20">
        <v>43966</v>
      </c>
      <c r="AG120" s="20" t="s">
        <v>335</v>
      </c>
      <c r="AH120" s="32">
        <v>1</v>
      </c>
      <c r="AI120" s="32">
        <v>1</v>
      </c>
      <c r="AJ120" s="32" t="s">
        <v>412</v>
      </c>
      <c r="AK120" s="20" t="s">
        <v>165</v>
      </c>
      <c r="AL120" s="16"/>
      <c r="AM120" s="16"/>
      <c r="AN120" s="16"/>
    </row>
    <row r="121" spans="2:40" x14ac:dyDescent="0.25">
      <c r="B121" s="124">
        <f t="shared" si="16"/>
        <v>74</v>
      </c>
      <c r="C121" s="17">
        <v>20200511</v>
      </c>
      <c r="D121" s="16" t="s">
        <v>2</v>
      </c>
      <c r="E121" s="92" t="s">
        <v>656</v>
      </c>
      <c r="F121" s="18" t="s">
        <v>256</v>
      </c>
      <c r="G121" s="57" t="s">
        <v>61</v>
      </c>
      <c r="H121" s="16" t="s">
        <v>667</v>
      </c>
      <c r="I121" s="16" t="s">
        <v>629</v>
      </c>
      <c r="J121" s="16" t="s">
        <v>121</v>
      </c>
      <c r="K121" s="57" t="s">
        <v>61</v>
      </c>
      <c r="L121" s="57" t="s">
        <v>61</v>
      </c>
      <c r="M121" s="57" t="s">
        <v>61</v>
      </c>
      <c r="N121" s="16" t="s">
        <v>728</v>
      </c>
      <c r="O121" s="18" t="s">
        <v>365</v>
      </c>
      <c r="P121" s="18" t="s">
        <v>677</v>
      </c>
      <c r="Q121" s="19"/>
      <c r="R121" s="17" t="s">
        <v>97</v>
      </c>
      <c r="S121" s="16" t="s">
        <v>156</v>
      </c>
      <c r="T121" s="16"/>
      <c r="U121" s="16"/>
      <c r="V121" s="16"/>
      <c r="W121" s="16">
        <f>ROUND(IF(D121=Table!$C$3,Y121*Table!$C$4/8,Y121*Table!$D$4/8),3)</f>
        <v>22.1</v>
      </c>
      <c r="X121" s="16">
        <v>22.1</v>
      </c>
      <c r="Y121" s="16">
        <v>1.36</v>
      </c>
      <c r="Z121" s="16">
        <v>1</v>
      </c>
      <c r="AA121" s="16" t="s">
        <v>21</v>
      </c>
      <c r="AB121" s="20">
        <v>43969</v>
      </c>
      <c r="AC121" s="20">
        <v>43962</v>
      </c>
      <c r="AD121" s="20">
        <v>43971</v>
      </c>
      <c r="AE121" s="20">
        <v>43965</v>
      </c>
      <c r="AF121" s="20">
        <v>43966</v>
      </c>
      <c r="AG121" s="20" t="s">
        <v>335</v>
      </c>
      <c r="AH121" s="32">
        <v>1</v>
      </c>
      <c r="AI121" s="32">
        <v>1</v>
      </c>
      <c r="AJ121" s="32" t="s">
        <v>412</v>
      </c>
      <c r="AK121" s="20" t="s">
        <v>165</v>
      </c>
      <c r="AL121" s="16"/>
      <c r="AM121" s="16"/>
      <c r="AN121" s="16"/>
    </row>
    <row r="122" spans="2:40" x14ac:dyDescent="0.25">
      <c r="B122" s="124">
        <f t="shared" si="16"/>
        <v>75</v>
      </c>
      <c r="C122" s="17">
        <v>20200511</v>
      </c>
      <c r="D122" s="16" t="s">
        <v>2</v>
      </c>
      <c r="E122" s="92" t="s">
        <v>656</v>
      </c>
      <c r="F122" s="18" t="s">
        <v>256</v>
      </c>
      <c r="G122" s="57" t="s">
        <v>61</v>
      </c>
      <c r="H122" s="16" t="s">
        <v>668</v>
      </c>
      <c r="I122" s="16" t="s">
        <v>630</v>
      </c>
      <c r="J122" s="16" t="s">
        <v>121</v>
      </c>
      <c r="K122" s="57" t="s">
        <v>61</v>
      </c>
      <c r="L122" s="57" t="s">
        <v>61</v>
      </c>
      <c r="M122" s="57" t="s">
        <v>61</v>
      </c>
      <c r="N122" s="16" t="s">
        <v>728</v>
      </c>
      <c r="O122" s="18" t="s">
        <v>655</v>
      </c>
      <c r="P122" s="18" t="s">
        <v>677</v>
      </c>
      <c r="Q122" s="19"/>
      <c r="R122" s="17" t="s">
        <v>98</v>
      </c>
      <c r="S122" s="16" t="s">
        <v>66</v>
      </c>
      <c r="T122" s="16"/>
      <c r="U122" s="16"/>
      <c r="V122" s="16"/>
      <c r="W122" s="16">
        <f>ROUND(IF(D122=Table!$C$3,Y122*Table!$C$4/8,Y122*Table!$D$4/8),3)</f>
        <v>344.5</v>
      </c>
      <c r="X122" s="16">
        <f t="shared" ref="X122:X145" si="18">W122</f>
        <v>344.5</v>
      </c>
      <c r="Y122" s="16">
        <v>21.2</v>
      </c>
      <c r="Z122" s="16">
        <v>16</v>
      </c>
      <c r="AA122" s="16" t="s">
        <v>21</v>
      </c>
      <c r="AB122" s="20">
        <v>43969</v>
      </c>
      <c r="AC122" s="20">
        <v>43962</v>
      </c>
      <c r="AD122" s="20">
        <v>43971</v>
      </c>
      <c r="AE122" s="20">
        <v>43966</v>
      </c>
      <c r="AF122" s="20">
        <v>43966</v>
      </c>
      <c r="AG122" s="20" t="s">
        <v>335</v>
      </c>
      <c r="AH122" s="32">
        <v>0.99399999999999999</v>
      </c>
      <c r="AI122" s="32">
        <v>0.99399999999999999</v>
      </c>
      <c r="AJ122" s="32">
        <v>0.98199999999999998</v>
      </c>
      <c r="AK122" s="20" t="s">
        <v>165</v>
      </c>
      <c r="AL122" s="18" t="s">
        <v>857</v>
      </c>
      <c r="AM122" s="16"/>
      <c r="AN122" s="16"/>
    </row>
    <row r="123" spans="2:40" x14ac:dyDescent="0.25">
      <c r="B123" s="124">
        <f t="shared" si="16"/>
        <v>76</v>
      </c>
      <c r="C123" s="17">
        <v>20200511</v>
      </c>
      <c r="D123" s="16" t="s">
        <v>2</v>
      </c>
      <c r="E123" s="92" t="s">
        <v>656</v>
      </c>
      <c r="F123" s="18" t="s">
        <v>256</v>
      </c>
      <c r="G123" s="57" t="s">
        <v>61</v>
      </c>
      <c r="H123" s="16" t="s">
        <v>669</v>
      </c>
      <c r="I123" s="16" t="s">
        <v>631</v>
      </c>
      <c r="J123" s="16" t="s">
        <v>121</v>
      </c>
      <c r="K123" s="57" t="s">
        <v>61</v>
      </c>
      <c r="L123" s="57" t="s">
        <v>61</v>
      </c>
      <c r="M123" s="57" t="s">
        <v>61</v>
      </c>
      <c r="N123" s="16" t="s">
        <v>728</v>
      </c>
      <c r="O123" s="18" t="s">
        <v>365</v>
      </c>
      <c r="P123" s="18" t="s">
        <v>677</v>
      </c>
      <c r="Q123" s="19"/>
      <c r="R123" s="17" t="s">
        <v>98</v>
      </c>
      <c r="S123" s="16" t="s">
        <v>66</v>
      </c>
      <c r="T123" s="16"/>
      <c r="U123" s="16"/>
      <c r="V123" s="16"/>
      <c r="W123" s="16">
        <f>ROUND(IF(D123=Table!$C$3,Y123*Table!$C$4/8,Y123*Table!$D$4/8),3)</f>
        <v>22.1</v>
      </c>
      <c r="X123" s="16">
        <f t="shared" si="18"/>
        <v>22.1</v>
      </c>
      <c r="Y123" s="16">
        <v>1.36</v>
      </c>
      <c r="Z123" s="16">
        <v>2</v>
      </c>
      <c r="AA123" s="16" t="s">
        <v>21</v>
      </c>
      <c r="AB123" s="20">
        <v>43969</v>
      </c>
      <c r="AC123" s="20">
        <v>43962</v>
      </c>
      <c r="AD123" s="20">
        <v>43971</v>
      </c>
      <c r="AE123" s="20">
        <v>43964</v>
      </c>
      <c r="AF123" s="20">
        <v>43964</v>
      </c>
      <c r="AG123" s="20" t="s">
        <v>335</v>
      </c>
      <c r="AH123" s="103">
        <v>1</v>
      </c>
      <c r="AI123" s="103">
        <v>1</v>
      </c>
      <c r="AJ123" s="103" t="s">
        <v>412</v>
      </c>
      <c r="AK123" s="102" t="s">
        <v>165</v>
      </c>
      <c r="AL123" s="92"/>
      <c r="AM123" s="16"/>
      <c r="AN123" s="16"/>
    </row>
    <row r="124" spans="2:40" x14ac:dyDescent="0.25">
      <c r="B124" s="124">
        <f t="shared" si="16"/>
        <v>77</v>
      </c>
      <c r="C124" s="17">
        <v>20200511</v>
      </c>
      <c r="D124" s="16" t="s">
        <v>2</v>
      </c>
      <c r="E124" s="92" t="s">
        <v>656</v>
      </c>
      <c r="F124" s="18" t="s">
        <v>256</v>
      </c>
      <c r="G124" s="57" t="s">
        <v>61</v>
      </c>
      <c r="H124" s="16" t="s">
        <v>670</v>
      </c>
      <c r="I124" s="16" t="s">
        <v>632</v>
      </c>
      <c r="J124" s="16" t="s">
        <v>121</v>
      </c>
      <c r="K124" s="57" t="s">
        <v>61</v>
      </c>
      <c r="L124" s="57" t="s">
        <v>61</v>
      </c>
      <c r="M124" s="57" t="s">
        <v>61</v>
      </c>
      <c r="N124" s="16" t="s">
        <v>728</v>
      </c>
      <c r="O124" s="18" t="s">
        <v>365</v>
      </c>
      <c r="P124" s="18" t="s">
        <v>677</v>
      </c>
      <c r="Q124" s="19"/>
      <c r="R124" s="17" t="s">
        <v>98</v>
      </c>
      <c r="S124" s="16" t="s">
        <v>66</v>
      </c>
      <c r="T124" s="16"/>
      <c r="U124" s="16"/>
      <c r="V124" s="16"/>
      <c r="W124" s="16">
        <f>ROUND(IF(D124=Table!$C$3,Y124*Table!$C$4/8,Y124*Table!$D$4/8),3)</f>
        <v>22.1</v>
      </c>
      <c r="X124" s="16">
        <f t="shared" si="18"/>
        <v>22.1</v>
      </c>
      <c r="Y124" s="16">
        <v>1.36</v>
      </c>
      <c r="Z124" s="16">
        <v>2</v>
      </c>
      <c r="AA124" s="16" t="s">
        <v>21</v>
      </c>
      <c r="AB124" s="20">
        <v>43969</v>
      </c>
      <c r="AC124" s="20">
        <v>43962</v>
      </c>
      <c r="AD124" s="20">
        <v>43971</v>
      </c>
      <c r="AE124" s="20">
        <v>43964</v>
      </c>
      <c r="AF124" s="20">
        <v>43964</v>
      </c>
      <c r="AG124" s="20" t="s">
        <v>335</v>
      </c>
      <c r="AH124" s="103">
        <v>1</v>
      </c>
      <c r="AI124" s="103">
        <v>1</v>
      </c>
      <c r="AJ124" s="103">
        <v>1</v>
      </c>
      <c r="AK124" s="102" t="s">
        <v>165</v>
      </c>
      <c r="AL124" s="92"/>
      <c r="AM124" s="16"/>
      <c r="AN124" s="16"/>
    </row>
    <row r="125" spans="2:40" x14ac:dyDescent="0.25">
      <c r="B125" s="124">
        <f t="shared" si="16"/>
        <v>78</v>
      </c>
      <c r="C125" s="17">
        <v>20200511</v>
      </c>
      <c r="D125" s="16" t="s">
        <v>2</v>
      </c>
      <c r="E125" s="92" t="s">
        <v>656</v>
      </c>
      <c r="F125" s="18" t="s">
        <v>256</v>
      </c>
      <c r="G125" s="57" t="s">
        <v>61</v>
      </c>
      <c r="H125" s="16" t="s">
        <v>671</v>
      </c>
      <c r="I125" s="16" t="s">
        <v>633</v>
      </c>
      <c r="J125" s="16" t="s">
        <v>121</v>
      </c>
      <c r="K125" s="57" t="s">
        <v>61</v>
      </c>
      <c r="L125" s="57" t="s">
        <v>61</v>
      </c>
      <c r="M125" s="57" t="s">
        <v>61</v>
      </c>
      <c r="N125" s="16" t="s">
        <v>728</v>
      </c>
      <c r="O125" s="18" t="s">
        <v>365</v>
      </c>
      <c r="P125" s="18" t="s">
        <v>677</v>
      </c>
      <c r="Q125" s="19"/>
      <c r="R125" s="17" t="s">
        <v>98</v>
      </c>
      <c r="S125" s="16" t="s">
        <v>66</v>
      </c>
      <c r="T125" s="16"/>
      <c r="U125" s="16"/>
      <c r="V125" s="16"/>
      <c r="W125" s="16">
        <f>ROUND(IF(D125=Table!$C$3,Y125*Table!$C$4/8,Y125*Table!$D$4/8),3)</f>
        <v>45.5</v>
      </c>
      <c r="X125" s="16">
        <f t="shared" si="18"/>
        <v>45.5</v>
      </c>
      <c r="Y125" s="16">
        <v>2.8</v>
      </c>
      <c r="Z125" s="16">
        <v>2</v>
      </c>
      <c r="AA125" s="16" t="s">
        <v>21</v>
      </c>
      <c r="AB125" s="20">
        <v>43969</v>
      </c>
      <c r="AC125" s="20">
        <v>43962</v>
      </c>
      <c r="AD125" s="20">
        <v>43971</v>
      </c>
      <c r="AE125" s="20">
        <v>43964</v>
      </c>
      <c r="AF125" s="20">
        <v>43964</v>
      </c>
      <c r="AG125" s="20" t="s">
        <v>335</v>
      </c>
      <c r="AH125" s="103" t="s">
        <v>412</v>
      </c>
      <c r="AI125" s="103" t="s">
        <v>412</v>
      </c>
      <c r="AJ125" s="103" t="s">
        <v>412</v>
      </c>
      <c r="AK125" s="20" t="s">
        <v>165</v>
      </c>
      <c r="AL125" s="92" t="s">
        <v>610</v>
      </c>
      <c r="AM125" s="16"/>
      <c r="AN125" s="16"/>
    </row>
    <row r="126" spans="2:40" x14ac:dyDescent="0.25">
      <c r="B126" s="124">
        <f t="shared" si="16"/>
        <v>79</v>
      </c>
      <c r="C126" s="17">
        <v>20200511</v>
      </c>
      <c r="D126" s="16" t="s">
        <v>2</v>
      </c>
      <c r="E126" s="92" t="s">
        <v>656</v>
      </c>
      <c r="F126" s="18" t="s">
        <v>256</v>
      </c>
      <c r="G126" s="57" t="s">
        <v>61</v>
      </c>
      <c r="H126" s="16" t="s">
        <v>672</v>
      </c>
      <c r="I126" s="16" t="s">
        <v>634</v>
      </c>
      <c r="J126" s="16" t="s">
        <v>121</v>
      </c>
      <c r="K126" s="57" t="s">
        <v>61</v>
      </c>
      <c r="L126" s="57" t="s">
        <v>61</v>
      </c>
      <c r="M126" s="57" t="s">
        <v>61</v>
      </c>
      <c r="N126" s="16" t="s">
        <v>728</v>
      </c>
      <c r="O126" s="18" t="s">
        <v>655</v>
      </c>
      <c r="P126" s="18" t="s">
        <v>677</v>
      </c>
      <c r="Q126" s="19"/>
      <c r="R126" s="17" t="s">
        <v>98</v>
      </c>
      <c r="S126" s="16" t="s">
        <v>66</v>
      </c>
      <c r="T126" s="16"/>
      <c r="U126" s="16"/>
      <c r="V126" s="16"/>
      <c r="W126" s="16">
        <f>ROUND(IF(D126=Table!$C$3,Y126*Table!$C$4/8,Y126*Table!$D$4/8),3)</f>
        <v>130</v>
      </c>
      <c r="X126" s="16">
        <f t="shared" si="18"/>
        <v>130</v>
      </c>
      <c r="Y126" s="16">
        <v>8</v>
      </c>
      <c r="Z126" s="16">
        <v>2</v>
      </c>
      <c r="AA126" s="16" t="s">
        <v>21</v>
      </c>
      <c r="AB126" s="20">
        <v>43969</v>
      </c>
      <c r="AC126" s="20">
        <v>43962</v>
      </c>
      <c r="AD126" s="20">
        <v>43971</v>
      </c>
      <c r="AE126" s="20">
        <v>43964</v>
      </c>
      <c r="AF126" s="20">
        <v>43964</v>
      </c>
      <c r="AG126" s="20" t="s">
        <v>335</v>
      </c>
      <c r="AH126" s="103">
        <v>0.93500000000000005</v>
      </c>
      <c r="AI126" s="103">
        <v>0.94399999999999995</v>
      </c>
      <c r="AJ126" s="103">
        <v>0.78900000000000003</v>
      </c>
      <c r="AK126" s="20" t="s">
        <v>165</v>
      </c>
      <c r="AL126" s="92" t="s">
        <v>780</v>
      </c>
      <c r="AM126" s="16"/>
      <c r="AN126" s="16"/>
    </row>
    <row r="127" spans="2:40" x14ac:dyDescent="0.25">
      <c r="B127" s="124">
        <f t="shared" si="16"/>
        <v>80</v>
      </c>
      <c r="C127" s="17">
        <v>20200511</v>
      </c>
      <c r="D127" s="16" t="s">
        <v>3</v>
      </c>
      <c r="E127" s="92" t="s">
        <v>656</v>
      </c>
      <c r="F127" s="18" t="s">
        <v>658</v>
      </c>
      <c r="G127" s="57" t="s">
        <v>61</v>
      </c>
      <c r="H127" s="16" t="s">
        <v>518</v>
      </c>
      <c r="I127" s="16" t="s">
        <v>635</v>
      </c>
      <c r="J127" s="16" t="s">
        <v>121</v>
      </c>
      <c r="K127" s="57" t="s">
        <v>61</v>
      </c>
      <c r="L127" s="57" t="s">
        <v>61</v>
      </c>
      <c r="M127" s="57" t="s">
        <v>61</v>
      </c>
      <c r="N127" s="16" t="s">
        <v>678</v>
      </c>
      <c r="O127" s="18" t="s">
        <v>61</v>
      </c>
      <c r="P127" s="18" t="s">
        <v>677</v>
      </c>
      <c r="Q127" s="19"/>
      <c r="R127" s="17" t="s">
        <v>98</v>
      </c>
      <c r="S127" s="16" t="s">
        <v>66</v>
      </c>
      <c r="T127" s="16"/>
      <c r="U127" s="16"/>
      <c r="V127" s="16"/>
      <c r="W127" s="16">
        <f>ROUND(IF(D127=Table!$C$3,Y127*Table!$C$4/8,Y127*Table!$D$4/8),3)</f>
        <v>225</v>
      </c>
      <c r="X127" s="16">
        <f t="shared" si="18"/>
        <v>225</v>
      </c>
      <c r="Y127" s="16">
        <v>4</v>
      </c>
      <c r="Z127" s="16">
        <v>1</v>
      </c>
      <c r="AA127" s="16" t="s">
        <v>21</v>
      </c>
      <c r="AB127" s="20">
        <v>43969</v>
      </c>
      <c r="AC127" s="20">
        <v>43962</v>
      </c>
      <c r="AD127" s="20">
        <v>43971</v>
      </c>
      <c r="AE127" s="20">
        <v>43962</v>
      </c>
      <c r="AF127" s="20">
        <v>43962</v>
      </c>
      <c r="AG127" s="20" t="s">
        <v>335</v>
      </c>
      <c r="AH127" s="32">
        <v>1</v>
      </c>
      <c r="AI127" s="32">
        <v>1</v>
      </c>
      <c r="AJ127" s="32">
        <v>1</v>
      </c>
      <c r="AK127" s="20" t="s">
        <v>165</v>
      </c>
      <c r="AL127" s="16"/>
      <c r="AM127" s="16"/>
      <c r="AN127" s="16"/>
    </row>
    <row r="128" spans="2:40" x14ac:dyDescent="0.25">
      <c r="B128" s="124">
        <f t="shared" si="16"/>
        <v>81</v>
      </c>
      <c r="C128" s="17">
        <v>20200511</v>
      </c>
      <c r="D128" s="16" t="s">
        <v>3</v>
      </c>
      <c r="E128" s="92" t="s">
        <v>656</v>
      </c>
      <c r="F128" s="18" t="s">
        <v>659</v>
      </c>
      <c r="G128" s="57" t="s">
        <v>61</v>
      </c>
      <c r="H128" s="16" t="s">
        <v>673</v>
      </c>
      <c r="I128" s="16" t="s">
        <v>636</v>
      </c>
      <c r="J128" s="16" t="s">
        <v>121</v>
      </c>
      <c r="K128" s="57" t="s">
        <v>61</v>
      </c>
      <c r="L128" s="57" t="s">
        <v>61</v>
      </c>
      <c r="M128" s="57" t="s">
        <v>61</v>
      </c>
      <c r="N128" s="16" t="s">
        <v>678</v>
      </c>
      <c r="O128" s="18" t="s">
        <v>61</v>
      </c>
      <c r="P128" s="18" t="s">
        <v>677</v>
      </c>
      <c r="Q128" s="19"/>
      <c r="R128" s="17" t="s">
        <v>98</v>
      </c>
      <c r="S128" s="16" t="s">
        <v>66</v>
      </c>
      <c r="T128" s="16"/>
      <c r="U128" s="16"/>
      <c r="V128" s="16"/>
      <c r="W128" s="16">
        <f>ROUND(IF(D128=Table!$C$3,Y128*Table!$C$4/8,Y128*Table!$D$4/8),3)</f>
        <v>135</v>
      </c>
      <c r="X128" s="16">
        <f t="shared" si="18"/>
        <v>135</v>
      </c>
      <c r="Y128" s="16">
        <v>2.4</v>
      </c>
      <c r="Z128" s="16">
        <v>1</v>
      </c>
      <c r="AA128" s="16" t="s">
        <v>21</v>
      </c>
      <c r="AB128" s="20">
        <v>43969</v>
      </c>
      <c r="AC128" s="20">
        <v>43962</v>
      </c>
      <c r="AD128" s="20">
        <v>43971</v>
      </c>
      <c r="AE128" s="20">
        <v>43962</v>
      </c>
      <c r="AF128" s="20">
        <v>43962</v>
      </c>
      <c r="AG128" s="20" t="s">
        <v>335</v>
      </c>
      <c r="AH128" s="32">
        <v>1</v>
      </c>
      <c r="AI128" s="32">
        <v>1</v>
      </c>
      <c r="AJ128" s="32">
        <v>1</v>
      </c>
      <c r="AK128" s="20" t="s">
        <v>165</v>
      </c>
      <c r="AL128" s="16"/>
      <c r="AM128" s="16"/>
      <c r="AN128" s="16"/>
    </row>
    <row r="129" spans="2:40" x14ac:dyDescent="0.25">
      <c r="B129" s="124">
        <f t="shared" si="16"/>
        <v>82</v>
      </c>
      <c r="C129" s="17">
        <v>20200511</v>
      </c>
      <c r="D129" s="16" t="s">
        <v>3</v>
      </c>
      <c r="E129" s="92" t="s">
        <v>656</v>
      </c>
      <c r="F129" s="18" t="s">
        <v>659</v>
      </c>
      <c r="G129" s="57" t="s">
        <v>61</v>
      </c>
      <c r="H129" s="16" t="s">
        <v>674</v>
      </c>
      <c r="I129" s="16" t="s">
        <v>637</v>
      </c>
      <c r="J129" s="16" t="s">
        <v>121</v>
      </c>
      <c r="K129" s="57" t="s">
        <v>61</v>
      </c>
      <c r="L129" s="57" t="s">
        <v>61</v>
      </c>
      <c r="M129" s="57" t="s">
        <v>61</v>
      </c>
      <c r="N129" s="16" t="s">
        <v>678</v>
      </c>
      <c r="O129" s="18" t="s">
        <v>61</v>
      </c>
      <c r="P129" s="18" t="s">
        <v>677</v>
      </c>
      <c r="Q129" s="19"/>
      <c r="R129" s="17" t="s">
        <v>98</v>
      </c>
      <c r="S129" s="16" t="s">
        <v>66</v>
      </c>
      <c r="T129" s="16"/>
      <c r="U129" s="16"/>
      <c r="V129" s="16"/>
      <c r="W129" s="16">
        <f>ROUND(IF(D129=Table!$C$3,Y129*Table!$C$4/8,Y129*Table!$D$4/8),3)</f>
        <v>67.5</v>
      </c>
      <c r="X129" s="16">
        <f t="shared" si="18"/>
        <v>67.5</v>
      </c>
      <c r="Y129" s="16">
        <v>1.2</v>
      </c>
      <c r="Z129" s="16">
        <v>1</v>
      </c>
      <c r="AA129" s="16" t="s">
        <v>21</v>
      </c>
      <c r="AB129" s="20">
        <v>43969</v>
      </c>
      <c r="AC129" s="20">
        <v>43962</v>
      </c>
      <c r="AD129" s="20">
        <v>43971</v>
      </c>
      <c r="AE129" s="20">
        <v>43962</v>
      </c>
      <c r="AF129" s="20">
        <v>43962</v>
      </c>
      <c r="AG129" s="20" t="s">
        <v>335</v>
      </c>
      <c r="AH129" s="32">
        <v>1</v>
      </c>
      <c r="AI129" s="32">
        <v>1</v>
      </c>
      <c r="AJ129" s="32">
        <v>1</v>
      </c>
      <c r="AK129" s="20" t="s">
        <v>165</v>
      </c>
      <c r="AL129" s="16"/>
      <c r="AM129" s="16"/>
      <c r="AN129" s="16"/>
    </row>
    <row r="130" spans="2:40" x14ac:dyDescent="0.25">
      <c r="B130" s="124">
        <f t="shared" si="16"/>
        <v>83</v>
      </c>
      <c r="C130" s="17">
        <v>20200511</v>
      </c>
      <c r="D130" s="16" t="s">
        <v>3</v>
      </c>
      <c r="E130" s="92" t="s">
        <v>656</v>
      </c>
      <c r="F130" s="18" t="s">
        <v>660</v>
      </c>
      <c r="G130" s="57" t="s">
        <v>61</v>
      </c>
      <c r="H130" s="16" t="s">
        <v>675</v>
      </c>
      <c r="I130" s="16" t="s">
        <v>638</v>
      </c>
      <c r="J130" s="16" t="s">
        <v>121</v>
      </c>
      <c r="K130" s="57" t="s">
        <v>61</v>
      </c>
      <c r="L130" s="57" t="s">
        <v>61</v>
      </c>
      <c r="M130" s="57" t="s">
        <v>61</v>
      </c>
      <c r="N130" s="16" t="s">
        <v>678</v>
      </c>
      <c r="O130" s="18" t="s">
        <v>61</v>
      </c>
      <c r="P130" s="18" t="s">
        <v>677</v>
      </c>
      <c r="Q130" s="19"/>
      <c r="R130" s="17" t="s">
        <v>98</v>
      </c>
      <c r="S130" s="16" t="s">
        <v>66</v>
      </c>
      <c r="T130" s="16"/>
      <c r="U130" s="16"/>
      <c r="V130" s="16"/>
      <c r="W130" s="16">
        <f>ROUND(IF(D130=Table!$C$3,Y130*Table!$C$4/8,Y130*Table!$D$4/8),3)</f>
        <v>67.5</v>
      </c>
      <c r="X130" s="16">
        <f t="shared" si="18"/>
        <v>67.5</v>
      </c>
      <c r="Y130" s="16">
        <v>1.2</v>
      </c>
      <c r="Z130" s="16">
        <v>1</v>
      </c>
      <c r="AA130" s="16" t="s">
        <v>21</v>
      </c>
      <c r="AB130" s="20">
        <v>43969</v>
      </c>
      <c r="AC130" s="20">
        <v>43962</v>
      </c>
      <c r="AD130" s="20">
        <v>43971</v>
      </c>
      <c r="AE130" s="20">
        <v>43962</v>
      </c>
      <c r="AF130" s="20">
        <v>43962</v>
      </c>
      <c r="AG130" s="20" t="s">
        <v>335</v>
      </c>
      <c r="AH130" s="32">
        <v>1</v>
      </c>
      <c r="AI130" s="32">
        <v>1</v>
      </c>
      <c r="AJ130" s="32">
        <v>0.25</v>
      </c>
      <c r="AK130" s="20" t="s">
        <v>165</v>
      </c>
      <c r="AL130" t="s">
        <v>681</v>
      </c>
      <c r="AM130" s="16"/>
      <c r="AN130" s="16"/>
    </row>
    <row r="131" spans="2:40" x14ac:dyDescent="0.25">
      <c r="B131" s="124">
        <f t="shared" si="16"/>
        <v>84</v>
      </c>
      <c r="C131" s="17">
        <v>20200511</v>
      </c>
      <c r="D131" s="16" t="s">
        <v>3</v>
      </c>
      <c r="E131" s="92" t="s">
        <v>656</v>
      </c>
      <c r="F131" s="18" t="s">
        <v>661</v>
      </c>
      <c r="G131" s="57" t="s">
        <v>61</v>
      </c>
      <c r="H131" s="16" t="s">
        <v>522</v>
      </c>
      <c r="I131" s="16" t="s">
        <v>639</v>
      </c>
      <c r="J131" s="16" t="s">
        <v>121</v>
      </c>
      <c r="K131" s="57" t="s">
        <v>61</v>
      </c>
      <c r="L131" s="57" t="s">
        <v>61</v>
      </c>
      <c r="M131" s="57" t="s">
        <v>61</v>
      </c>
      <c r="N131" s="16" t="s">
        <v>678</v>
      </c>
      <c r="O131" s="18" t="s">
        <v>61</v>
      </c>
      <c r="P131" s="18" t="s">
        <v>677</v>
      </c>
      <c r="Q131" s="19"/>
      <c r="R131" s="17" t="s">
        <v>98</v>
      </c>
      <c r="S131" s="16" t="s">
        <v>66</v>
      </c>
      <c r="T131" s="16"/>
      <c r="U131" s="16"/>
      <c r="V131" s="16"/>
      <c r="W131" s="16">
        <f>ROUND(IF(D131=Table!$C$3,Y131*Table!$C$4/8,Y131*Table!$D$4/8),3)</f>
        <v>607.5</v>
      </c>
      <c r="X131" s="16">
        <f t="shared" si="18"/>
        <v>607.5</v>
      </c>
      <c r="Y131" s="16">
        <v>10.8</v>
      </c>
      <c r="Z131" s="16">
        <v>2</v>
      </c>
      <c r="AA131" s="16" t="s">
        <v>21</v>
      </c>
      <c r="AB131" s="20">
        <v>43969</v>
      </c>
      <c r="AC131" s="20">
        <v>43962</v>
      </c>
      <c r="AD131" s="20">
        <v>43971</v>
      </c>
      <c r="AE131" s="20">
        <v>43962</v>
      </c>
      <c r="AF131" s="20">
        <v>43962</v>
      </c>
      <c r="AG131" s="20" t="s">
        <v>335</v>
      </c>
      <c r="AH131" s="32">
        <v>1</v>
      </c>
      <c r="AI131" s="32">
        <v>1</v>
      </c>
      <c r="AJ131" s="32">
        <v>1</v>
      </c>
      <c r="AK131" s="20" t="s">
        <v>165</v>
      </c>
      <c r="AL131" s="16"/>
      <c r="AM131" s="16"/>
      <c r="AN131" s="16"/>
    </row>
    <row r="132" spans="2:40" x14ac:dyDescent="0.25">
      <c r="B132" s="124">
        <f t="shared" si="16"/>
        <v>85</v>
      </c>
      <c r="C132" s="17">
        <v>20200511</v>
      </c>
      <c r="D132" s="16" t="s">
        <v>3</v>
      </c>
      <c r="E132" s="92" t="s">
        <v>656</v>
      </c>
      <c r="F132" s="18" t="s">
        <v>662</v>
      </c>
      <c r="G132" s="57" t="s">
        <v>61</v>
      </c>
      <c r="H132" s="16" t="s">
        <v>217</v>
      </c>
      <c r="I132" s="16" t="s">
        <v>640</v>
      </c>
      <c r="J132" s="16" t="s">
        <v>676</v>
      </c>
      <c r="K132" s="57" t="s">
        <v>61</v>
      </c>
      <c r="L132" s="57" t="s">
        <v>61</v>
      </c>
      <c r="M132" s="57" t="s">
        <v>61</v>
      </c>
      <c r="N132" s="16" t="s">
        <v>678</v>
      </c>
      <c r="O132" s="18" t="s">
        <v>61</v>
      </c>
      <c r="P132" s="18" t="s">
        <v>677</v>
      </c>
      <c r="Q132" s="19"/>
      <c r="R132" s="17" t="s">
        <v>98</v>
      </c>
      <c r="S132" s="16" t="s">
        <v>66</v>
      </c>
      <c r="T132" s="16"/>
      <c r="U132" s="16"/>
      <c r="V132" s="16"/>
      <c r="W132" s="16">
        <f>ROUND(IF(D132=Table!$C$3,Y132*Table!$C$4/8,Y132*Table!$D$4/8),3)</f>
        <v>720</v>
      </c>
      <c r="X132" s="16">
        <f t="shared" si="18"/>
        <v>720</v>
      </c>
      <c r="Y132" s="16">
        <v>12.8</v>
      </c>
      <c r="Z132" s="16">
        <v>2</v>
      </c>
      <c r="AA132" s="16" t="s">
        <v>21</v>
      </c>
      <c r="AB132" s="20">
        <v>43969</v>
      </c>
      <c r="AC132" s="20">
        <v>43962</v>
      </c>
      <c r="AD132" s="20">
        <v>43971</v>
      </c>
      <c r="AE132" s="20">
        <v>43962</v>
      </c>
      <c r="AF132" s="20">
        <v>43962</v>
      </c>
      <c r="AG132" s="20" t="s">
        <v>335</v>
      </c>
      <c r="AH132" s="32">
        <v>1</v>
      </c>
      <c r="AI132" s="32">
        <v>1</v>
      </c>
      <c r="AJ132" s="32">
        <v>1</v>
      </c>
      <c r="AK132" s="20" t="s">
        <v>165</v>
      </c>
      <c r="AL132" s="16"/>
      <c r="AM132" s="16"/>
      <c r="AN132" s="16"/>
    </row>
    <row r="133" spans="2:40" x14ac:dyDescent="0.25">
      <c r="B133" s="124">
        <f t="shared" si="16"/>
        <v>86</v>
      </c>
      <c r="C133" s="17">
        <v>20200511</v>
      </c>
      <c r="D133" s="16" t="s">
        <v>3</v>
      </c>
      <c r="E133" s="92" t="s">
        <v>656</v>
      </c>
      <c r="F133" s="18" t="s">
        <v>662</v>
      </c>
      <c r="G133" s="57" t="s">
        <v>61</v>
      </c>
      <c r="H133" s="16" t="s">
        <v>219</v>
      </c>
      <c r="I133" s="16" t="s">
        <v>641</v>
      </c>
      <c r="J133" s="16" t="s">
        <v>676</v>
      </c>
      <c r="K133" s="57" t="s">
        <v>61</v>
      </c>
      <c r="L133" s="57" t="s">
        <v>61</v>
      </c>
      <c r="M133" s="57" t="s">
        <v>61</v>
      </c>
      <c r="N133" s="16" t="s">
        <v>678</v>
      </c>
      <c r="O133" s="18" t="s">
        <v>61</v>
      </c>
      <c r="P133" s="18" t="s">
        <v>677</v>
      </c>
      <c r="Q133" s="19"/>
      <c r="R133" s="17" t="s">
        <v>98</v>
      </c>
      <c r="S133" s="16" t="s">
        <v>66</v>
      </c>
      <c r="T133" s="16"/>
      <c r="U133" s="16"/>
      <c r="V133" s="16"/>
      <c r="W133" s="16">
        <f>ROUND(IF(D133=Table!$C$3,Y133*Table!$C$4/8,Y133*Table!$D$4/8),3)</f>
        <v>360</v>
      </c>
      <c r="X133" s="16">
        <f t="shared" si="18"/>
        <v>360</v>
      </c>
      <c r="Y133" s="16">
        <v>6.4</v>
      </c>
      <c r="Z133" s="16">
        <v>4</v>
      </c>
      <c r="AA133" s="16" t="s">
        <v>21</v>
      </c>
      <c r="AB133" s="20">
        <v>43969</v>
      </c>
      <c r="AC133" s="20">
        <v>43962</v>
      </c>
      <c r="AD133" s="20">
        <v>43971</v>
      </c>
      <c r="AE133" s="20">
        <v>43963</v>
      </c>
      <c r="AF133" s="20">
        <v>43963</v>
      </c>
      <c r="AG133" s="20" t="s">
        <v>335</v>
      </c>
      <c r="AH133" s="32">
        <v>1</v>
      </c>
      <c r="AI133" s="32">
        <v>1</v>
      </c>
      <c r="AJ133" s="32">
        <v>1</v>
      </c>
      <c r="AK133" s="20" t="s">
        <v>165</v>
      </c>
      <c r="AL133" s="16"/>
      <c r="AM133" s="16"/>
      <c r="AN133" s="16"/>
    </row>
    <row r="134" spans="2:40" x14ac:dyDescent="0.25">
      <c r="B134" s="124">
        <f t="shared" si="16"/>
        <v>87</v>
      </c>
      <c r="C134" s="17">
        <v>20200511</v>
      </c>
      <c r="D134" s="16" t="s">
        <v>3</v>
      </c>
      <c r="E134" s="92" t="s">
        <v>656</v>
      </c>
      <c r="F134" s="18" t="s">
        <v>662</v>
      </c>
      <c r="G134" s="57" t="s">
        <v>61</v>
      </c>
      <c r="H134" s="16" t="s">
        <v>221</v>
      </c>
      <c r="I134" s="16" t="s">
        <v>642</v>
      </c>
      <c r="J134" s="16" t="s">
        <v>676</v>
      </c>
      <c r="K134" s="57" t="s">
        <v>61</v>
      </c>
      <c r="L134" s="57" t="s">
        <v>61</v>
      </c>
      <c r="M134" s="57" t="s">
        <v>61</v>
      </c>
      <c r="N134" s="16" t="s">
        <v>678</v>
      </c>
      <c r="O134" s="18" t="s">
        <v>61</v>
      </c>
      <c r="P134" s="18" t="s">
        <v>677</v>
      </c>
      <c r="Q134" s="19"/>
      <c r="R134" s="17" t="s">
        <v>98</v>
      </c>
      <c r="S134" s="16" t="s">
        <v>66</v>
      </c>
      <c r="T134" s="16"/>
      <c r="U134" s="16"/>
      <c r="V134" s="16"/>
      <c r="W134" s="16">
        <f>ROUND(IF(D134=Table!$C$3,Y134*Table!$C$4/8,Y134*Table!$D$4/8),3)</f>
        <v>360</v>
      </c>
      <c r="X134" s="16">
        <f t="shared" si="18"/>
        <v>360</v>
      </c>
      <c r="Y134" s="16">
        <v>6.4</v>
      </c>
      <c r="Z134" s="16">
        <v>4</v>
      </c>
      <c r="AA134" s="16" t="s">
        <v>21</v>
      </c>
      <c r="AB134" s="20">
        <v>43969</v>
      </c>
      <c r="AC134" s="20">
        <v>43962</v>
      </c>
      <c r="AD134" s="20">
        <v>43971</v>
      </c>
      <c r="AE134" s="20">
        <v>43963</v>
      </c>
      <c r="AF134" s="20">
        <v>43963</v>
      </c>
      <c r="AG134" s="20" t="s">
        <v>335</v>
      </c>
      <c r="AH134" s="32">
        <v>1</v>
      </c>
      <c r="AI134" s="32">
        <v>1</v>
      </c>
      <c r="AJ134" s="32">
        <v>0.9</v>
      </c>
      <c r="AK134" s="20" t="s">
        <v>165</v>
      </c>
      <c r="AL134" s="16" t="s">
        <v>698</v>
      </c>
      <c r="AM134" s="16"/>
      <c r="AN134" s="16"/>
    </row>
    <row r="135" spans="2:40" x14ac:dyDescent="0.25">
      <c r="B135" s="124">
        <f t="shared" si="16"/>
        <v>88</v>
      </c>
      <c r="C135" s="17">
        <v>20200511</v>
      </c>
      <c r="D135" s="16" t="s">
        <v>3</v>
      </c>
      <c r="E135" s="92" t="s">
        <v>656</v>
      </c>
      <c r="F135" s="18" t="s">
        <v>662</v>
      </c>
      <c r="G135" s="57" t="s">
        <v>61</v>
      </c>
      <c r="H135" s="16" t="s">
        <v>222</v>
      </c>
      <c r="I135" s="16" t="s">
        <v>643</v>
      </c>
      <c r="J135" s="16" t="s">
        <v>121</v>
      </c>
      <c r="K135" s="57" t="s">
        <v>61</v>
      </c>
      <c r="L135" s="57" t="s">
        <v>61</v>
      </c>
      <c r="M135" s="57" t="s">
        <v>61</v>
      </c>
      <c r="N135" s="16" t="s">
        <v>678</v>
      </c>
      <c r="O135" s="18" t="s">
        <v>61</v>
      </c>
      <c r="P135" s="18" t="s">
        <v>677</v>
      </c>
      <c r="Q135" s="19"/>
      <c r="R135" s="17" t="s">
        <v>97</v>
      </c>
      <c r="S135" s="16" t="s">
        <v>156</v>
      </c>
      <c r="T135" s="16"/>
      <c r="U135" s="16"/>
      <c r="V135" s="16"/>
      <c r="W135" s="16">
        <f>ROUND(IF(D135=Table!$C$3,Y135*Table!$C$4/8,Y135*Table!$D$4/8),3)</f>
        <v>112.5</v>
      </c>
      <c r="X135" s="16">
        <f t="shared" si="18"/>
        <v>112.5</v>
      </c>
      <c r="Y135" s="16">
        <v>2</v>
      </c>
      <c r="Z135" s="16">
        <v>0.5</v>
      </c>
      <c r="AA135" s="16" t="s">
        <v>21</v>
      </c>
      <c r="AB135" s="20">
        <v>43969</v>
      </c>
      <c r="AC135" s="20">
        <v>43962</v>
      </c>
      <c r="AD135" s="20">
        <v>43971</v>
      </c>
      <c r="AE135" s="20">
        <v>43962</v>
      </c>
      <c r="AF135" s="20">
        <v>43962</v>
      </c>
      <c r="AG135" s="20" t="s">
        <v>335</v>
      </c>
      <c r="AH135" s="32">
        <v>1</v>
      </c>
      <c r="AI135" s="32">
        <v>1</v>
      </c>
      <c r="AJ135" s="32">
        <v>1</v>
      </c>
      <c r="AK135" s="20" t="s">
        <v>165</v>
      </c>
      <c r="AL135" s="16"/>
      <c r="AM135" s="16"/>
      <c r="AN135" s="16"/>
    </row>
    <row r="136" spans="2:40" x14ac:dyDescent="0.25">
      <c r="B136" s="124">
        <f t="shared" si="16"/>
        <v>89</v>
      </c>
      <c r="C136" s="17">
        <v>20200511</v>
      </c>
      <c r="D136" s="16" t="s">
        <v>3</v>
      </c>
      <c r="E136" s="92" t="s">
        <v>656</v>
      </c>
      <c r="F136" s="18" t="s">
        <v>662</v>
      </c>
      <c r="G136" s="57" t="s">
        <v>61</v>
      </c>
      <c r="H136" s="16" t="s">
        <v>223</v>
      </c>
      <c r="I136" s="16" t="s">
        <v>644</v>
      </c>
      <c r="J136" s="16" t="s">
        <v>121</v>
      </c>
      <c r="K136" s="57" t="s">
        <v>61</v>
      </c>
      <c r="L136" s="57" t="s">
        <v>61</v>
      </c>
      <c r="M136" s="57" t="s">
        <v>61</v>
      </c>
      <c r="N136" s="16" t="s">
        <v>678</v>
      </c>
      <c r="O136" s="18" t="s">
        <v>61</v>
      </c>
      <c r="P136" s="18" t="s">
        <v>677</v>
      </c>
      <c r="Q136" s="19"/>
      <c r="R136" s="17" t="s">
        <v>97</v>
      </c>
      <c r="S136" s="16" t="s">
        <v>156</v>
      </c>
      <c r="T136" s="16"/>
      <c r="U136" s="16"/>
      <c r="V136" s="16"/>
      <c r="W136" s="16">
        <f>ROUND(IF(D136=Table!$C$3,Y136*Table!$C$4/8,Y136*Table!$D$4/8),3)</f>
        <v>216</v>
      </c>
      <c r="X136" s="16">
        <f t="shared" si="18"/>
        <v>216</v>
      </c>
      <c r="Y136" s="16">
        <v>3.84</v>
      </c>
      <c r="Z136" s="16">
        <v>0.5</v>
      </c>
      <c r="AA136" s="16" t="s">
        <v>21</v>
      </c>
      <c r="AB136" s="20">
        <v>43969</v>
      </c>
      <c r="AC136" s="20">
        <v>43962</v>
      </c>
      <c r="AD136" s="20">
        <v>43971</v>
      </c>
      <c r="AE136" s="20">
        <v>43962</v>
      </c>
      <c r="AF136" s="20">
        <v>43962</v>
      </c>
      <c r="AG136" s="20" t="s">
        <v>335</v>
      </c>
      <c r="AH136" s="32">
        <v>1</v>
      </c>
      <c r="AI136" s="32">
        <v>1</v>
      </c>
      <c r="AJ136" s="32">
        <v>1</v>
      </c>
      <c r="AK136" s="20" t="s">
        <v>165</v>
      </c>
      <c r="AL136" s="16"/>
      <c r="AM136" s="16"/>
      <c r="AN136" s="16"/>
    </row>
    <row r="137" spans="2:40" x14ac:dyDescent="0.25">
      <c r="B137" s="124">
        <f t="shared" si="16"/>
        <v>90</v>
      </c>
      <c r="C137" s="17">
        <v>20200511</v>
      </c>
      <c r="D137" s="16" t="s">
        <v>3</v>
      </c>
      <c r="E137" s="92" t="s">
        <v>656</v>
      </c>
      <c r="F137" s="18" t="s">
        <v>662</v>
      </c>
      <c r="G137" s="57" t="s">
        <v>61</v>
      </c>
      <c r="H137" s="16" t="s">
        <v>224</v>
      </c>
      <c r="I137" s="16" t="s">
        <v>645</v>
      </c>
      <c r="J137" s="16" t="s">
        <v>121</v>
      </c>
      <c r="K137" s="57" t="s">
        <v>61</v>
      </c>
      <c r="L137" s="57" t="s">
        <v>61</v>
      </c>
      <c r="M137" s="57" t="s">
        <v>61</v>
      </c>
      <c r="N137" s="16" t="s">
        <v>678</v>
      </c>
      <c r="O137" s="18" t="s">
        <v>61</v>
      </c>
      <c r="P137" s="18" t="s">
        <v>677</v>
      </c>
      <c r="Q137" s="19"/>
      <c r="R137" s="17" t="s">
        <v>97</v>
      </c>
      <c r="S137" s="16" t="s">
        <v>156</v>
      </c>
      <c r="T137" s="16"/>
      <c r="U137" s="16"/>
      <c r="V137" s="16"/>
      <c r="W137" s="16">
        <f>ROUND(IF(D137=Table!$C$3,Y137*Table!$C$4/8,Y137*Table!$D$4/8),3)</f>
        <v>90</v>
      </c>
      <c r="X137" s="16">
        <f t="shared" si="18"/>
        <v>90</v>
      </c>
      <c r="Y137" s="16">
        <v>1.6</v>
      </c>
      <c r="Z137" s="16">
        <v>0.5</v>
      </c>
      <c r="AA137" s="16" t="s">
        <v>21</v>
      </c>
      <c r="AB137" s="20">
        <v>43969</v>
      </c>
      <c r="AC137" s="20">
        <v>43962</v>
      </c>
      <c r="AD137" s="20">
        <v>43971</v>
      </c>
      <c r="AE137" s="20">
        <v>43962</v>
      </c>
      <c r="AF137" s="20">
        <v>43962</v>
      </c>
      <c r="AG137" s="20" t="s">
        <v>335</v>
      </c>
      <c r="AH137" s="32">
        <v>1</v>
      </c>
      <c r="AI137" s="32">
        <v>1</v>
      </c>
      <c r="AJ137" s="32">
        <v>1</v>
      </c>
      <c r="AK137" s="20" t="s">
        <v>165</v>
      </c>
      <c r="AL137" s="16"/>
      <c r="AM137" s="16"/>
      <c r="AN137" s="16"/>
    </row>
    <row r="138" spans="2:40" x14ac:dyDescent="0.25">
      <c r="B138" s="124">
        <f t="shared" si="16"/>
        <v>91</v>
      </c>
      <c r="C138" s="17">
        <v>20200511</v>
      </c>
      <c r="D138" s="16" t="s">
        <v>3</v>
      </c>
      <c r="E138" s="92" t="s">
        <v>656</v>
      </c>
      <c r="F138" s="18" t="s">
        <v>662</v>
      </c>
      <c r="G138" s="57" t="s">
        <v>61</v>
      </c>
      <c r="H138" s="16" t="s">
        <v>226</v>
      </c>
      <c r="I138" s="16" t="s">
        <v>646</v>
      </c>
      <c r="J138" s="16" t="s">
        <v>121</v>
      </c>
      <c r="K138" s="57" t="s">
        <v>61</v>
      </c>
      <c r="L138" s="57" t="s">
        <v>61</v>
      </c>
      <c r="M138" s="57" t="s">
        <v>61</v>
      </c>
      <c r="N138" s="16" t="s">
        <v>678</v>
      </c>
      <c r="O138" s="18" t="s">
        <v>61</v>
      </c>
      <c r="P138" s="18" t="s">
        <v>677</v>
      </c>
      <c r="Q138" s="19"/>
      <c r="R138" s="17" t="s">
        <v>97</v>
      </c>
      <c r="S138" s="16" t="s">
        <v>156</v>
      </c>
      <c r="T138" s="16"/>
      <c r="U138" s="16"/>
      <c r="V138" s="16"/>
      <c r="W138" s="16">
        <f>ROUND(IF(D138=Table!$C$3,Y138*Table!$C$4/8,Y138*Table!$D$4/8),3)</f>
        <v>67.5</v>
      </c>
      <c r="X138" s="16">
        <f t="shared" si="18"/>
        <v>67.5</v>
      </c>
      <c r="Y138" s="16">
        <v>1.2</v>
      </c>
      <c r="Z138" s="16">
        <v>0.5</v>
      </c>
      <c r="AA138" s="16" t="s">
        <v>21</v>
      </c>
      <c r="AB138" s="20">
        <v>43969</v>
      </c>
      <c r="AC138" s="20">
        <v>43962</v>
      </c>
      <c r="AD138" s="20">
        <v>43971</v>
      </c>
      <c r="AE138" s="20">
        <v>43962</v>
      </c>
      <c r="AF138" s="20">
        <v>43962</v>
      </c>
      <c r="AG138" s="20" t="s">
        <v>335</v>
      </c>
      <c r="AH138" s="32">
        <v>1</v>
      </c>
      <c r="AI138" s="32">
        <v>1</v>
      </c>
      <c r="AJ138" s="32">
        <v>1</v>
      </c>
      <c r="AK138" s="20" t="s">
        <v>165</v>
      </c>
      <c r="AL138" s="16"/>
      <c r="AM138" s="16"/>
      <c r="AN138" s="16"/>
    </row>
    <row r="139" spans="2:40" x14ac:dyDescent="0.25">
      <c r="B139" s="124">
        <f t="shared" si="16"/>
        <v>92</v>
      </c>
      <c r="C139" s="17">
        <v>20200511</v>
      </c>
      <c r="D139" s="16" t="s">
        <v>3</v>
      </c>
      <c r="E139" s="92" t="s">
        <v>656</v>
      </c>
      <c r="F139" s="18" t="s">
        <v>662</v>
      </c>
      <c r="G139" s="57" t="s">
        <v>61</v>
      </c>
      <c r="H139" s="16" t="s">
        <v>231</v>
      </c>
      <c r="I139" s="16" t="s">
        <v>647</v>
      </c>
      <c r="J139" s="16" t="s">
        <v>121</v>
      </c>
      <c r="K139" s="57" t="s">
        <v>61</v>
      </c>
      <c r="L139" s="57" t="s">
        <v>61</v>
      </c>
      <c r="M139" s="57" t="s">
        <v>61</v>
      </c>
      <c r="N139" s="16" t="s">
        <v>678</v>
      </c>
      <c r="O139" s="18" t="s">
        <v>61</v>
      </c>
      <c r="P139" s="18" t="s">
        <v>677</v>
      </c>
      <c r="Q139" s="19"/>
      <c r="R139" s="17" t="s">
        <v>97</v>
      </c>
      <c r="S139" s="16" t="s">
        <v>156</v>
      </c>
      <c r="T139" s="16"/>
      <c r="U139" s="16"/>
      <c r="V139" s="16"/>
      <c r="W139" s="16">
        <f>ROUND(IF(D139=Table!$C$3,Y139*Table!$C$4/8,Y139*Table!$D$4/8),3)</f>
        <v>261</v>
      </c>
      <c r="X139" s="16">
        <f t="shared" si="18"/>
        <v>261</v>
      </c>
      <c r="Y139" s="16">
        <v>4.6399999999999997</v>
      </c>
      <c r="Z139" s="16">
        <v>0.5</v>
      </c>
      <c r="AA139" s="16" t="s">
        <v>21</v>
      </c>
      <c r="AB139" s="20">
        <v>43969</v>
      </c>
      <c r="AC139" s="20">
        <v>43962</v>
      </c>
      <c r="AD139" s="20">
        <v>43971</v>
      </c>
      <c r="AE139" s="20">
        <v>43962</v>
      </c>
      <c r="AF139" s="20">
        <v>43962</v>
      </c>
      <c r="AG139" s="20" t="s">
        <v>336</v>
      </c>
      <c r="AH139" s="32">
        <v>0.99</v>
      </c>
      <c r="AI139" s="32">
        <v>1</v>
      </c>
      <c r="AJ139" s="32">
        <v>1</v>
      </c>
      <c r="AK139" s="20" t="s">
        <v>164</v>
      </c>
      <c r="AL139" s="16" t="s">
        <v>722</v>
      </c>
      <c r="AM139" s="16"/>
      <c r="AN139" s="16" t="s">
        <v>1026</v>
      </c>
    </row>
    <row r="140" spans="2:40" x14ac:dyDescent="0.25">
      <c r="B140" s="124">
        <f t="shared" si="16"/>
        <v>93</v>
      </c>
      <c r="C140" s="17">
        <v>20200511</v>
      </c>
      <c r="D140" s="16" t="s">
        <v>3</v>
      </c>
      <c r="E140" s="92" t="s">
        <v>656</v>
      </c>
      <c r="F140" s="18" t="s">
        <v>662</v>
      </c>
      <c r="G140" s="57" t="s">
        <v>61</v>
      </c>
      <c r="H140" s="16" t="s">
        <v>232</v>
      </c>
      <c r="I140" s="16" t="s">
        <v>648</v>
      </c>
      <c r="J140" s="16" t="s">
        <v>121</v>
      </c>
      <c r="K140" s="57" t="s">
        <v>61</v>
      </c>
      <c r="L140" s="57" t="s">
        <v>61</v>
      </c>
      <c r="M140" s="57" t="s">
        <v>61</v>
      </c>
      <c r="N140" s="16" t="s">
        <v>678</v>
      </c>
      <c r="O140" s="18" t="s">
        <v>61</v>
      </c>
      <c r="P140" s="18" t="s">
        <v>677</v>
      </c>
      <c r="Q140" s="19"/>
      <c r="R140" s="17" t="s">
        <v>97</v>
      </c>
      <c r="S140" s="16" t="s">
        <v>156</v>
      </c>
      <c r="T140" s="16"/>
      <c r="U140" s="16"/>
      <c r="V140" s="16"/>
      <c r="W140" s="16">
        <f>ROUND(IF(D140=Table!$C$3,Y140*Table!$C$4/8,Y140*Table!$D$4/8),3)</f>
        <v>112.5</v>
      </c>
      <c r="X140" s="16">
        <f t="shared" si="18"/>
        <v>112.5</v>
      </c>
      <c r="Y140" s="16">
        <v>2</v>
      </c>
      <c r="Z140" s="16">
        <v>0.5</v>
      </c>
      <c r="AA140" s="16" t="s">
        <v>21</v>
      </c>
      <c r="AB140" s="20">
        <v>43969</v>
      </c>
      <c r="AC140" s="20">
        <v>43962</v>
      </c>
      <c r="AD140" s="20">
        <v>43971</v>
      </c>
      <c r="AE140" s="20">
        <v>43962</v>
      </c>
      <c r="AF140" s="20">
        <v>43962</v>
      </c>
      <c r="AG140" s="20" t="s">
        <v>335</v>
      </c>
      <c r="AH140" s="32">
        <v>1</v>
      </c>
      <c r="AI140" s="32">
        <v>1</v>
      </c>
      <c r="AJ140" s="32">
        <v>1</v>
      </c>
      <c r="AK140" s="20" t="s">
        <v>165</v>
      </c>
      <c r="AL140" s="16"/>
      <c r="AM140" s="16"/>
      <c r="AN140" s="16"/>
    </row>
    <row r="141" spans="2:40" x14ac:dyDescent="0.25">
      <c r="B141" s="124">
        <f t="shared" si="16"/>
        <v>94</v>
      </c>
      <c r="C141" s="17">
        <v>20200511</v>
      </c>
      <c r="D141" s="16" t="s">
        <v>3</v>
      </c>
      <c r="E141" s="92" t="s">
        <v>656</v>
      </c>
      <c r="F141" s="18" t="s">
        <v>662</v>
      </c>
      <c r="G141" s="57" t="s">
        <v>61</v>
      </c>
      <c r="H141" s="16" t="s">
        <v>233</v>
      </c>
      <c r="I141" s="16" t="s">
        <v>649</v>
      </c>
      <c r="J141" s="16" t="s">
        <v>121</v>
      </c>
      <c r="K141" s="57" t="s">
        <v>61</v>
      </c>
      <c r="L141" s="57" t="s">
        <v>61</v>
      </c>
      <c r="M141" s="57" t="s">
        <v>61</v>
      </c>
      <c r="N141" s="16" t="s">
        <v>678</v>
      </c>
      <c r="O141" s="18" t="s">
        <v>61</v>
      </c>
      <c r="P141" s="18" t="s">
        <v>677</v>
      </c>
      <c r="Q141" s="19"/>
      <c r="R141" s="17" t="s">
        <v>97</v>
      </c>
      <c r="S141" s="16" t="s">
        <v>156</v>
      </c>
      <c r="T141" s="16"/>
      <c r="U141" s="16"/>
      <c r="V141" s="16"/>
      <c r="W141" s="16">
        <f>ROUND(IF(D141=Table!$C$3,Y141*Table!$C$4/8,Y141*Table!$D$4/8),3)</f>
        <v>67.5</v>
      </c>
      <c r="X141" s="16">
        <f t="shared" si="18"/>
        <v>67.5</v>
      </c>
      <c r="Y141" s="16">
        <v>1.2</v>
      </c>
      <c r="Z141" s="16">
        <v>0.5</v>
      </c>
      <c r="AA141" s="16" t="s">
        <v>21</v>
      </c>
      <c r="AB141" s="20">
        <v>43969</v>
      </c>
      <c r="AC141" s="20">
        <v>43962</v>
      </c>
      <c r="AD141" s="20">
        <v>43971</v>
      </c>
      <c r="AE141" s="20">
        <v>43962</v>
      </c>
      <c r="AF141" s="20">
        <v>43962</v>
      </c>
      <c r="AG141" s="20" t="s">
        <v>335</v>
      </c>
      <c r="AH141" s="32">
        <v>1</v>
      </c>
      <c r="AI141" s="32">
        <v>1</v>
      </c>
      <c r="AJ141" s="32">
        <v>1</v>
      </c>
      <c r="AK141" s="20" t="s">
        <v>165</v>
      </c>
      <c r="AL141" s="16"/>
      <c r="AM141" s="16"/>
      <c r="AN141" s="16"/>
    </row>
    <row r="142" spans="2:40" x14ac:dyDescent="0.25">
      <c r="B142" s="124">
        <f t="shared" si="16"/>
        <v>95</v>
      </c>
      <c r="C142" s="17">
        <v>20200511</v>
      </c>
      <c r="D142" s="16" t="s">
        <v>3</v>
      </c>
      <c r="E142" s="92" t="s">
        <v>656</v>
      </c>
      <c r="F142" s="18" t="s">
        <v>662</v>
      </c>
      <c r="G142" s="57" t="s">
        <v>61</v>
      </c>
      <c r="H142" s="16" t="s">
        <v>235</v>
      </c>
      <c r="I142" s="16" t="s">
        <v>650</v>
      </c>
      <c r="J142" s="16" t="s">
        <v>121</v>
      </c>
      <c r="K142" s="57" t="s">
        <v>61</v>
      </c>
      <c r="L142" s="57" t="s">
        <v>61</v>
      </c>
      <c r="M142" s="57" t="s">
        <v>61</v>
      </c>
      <c r="N142" s="16" t="s">
        <v>678</v>
      </c>
      <c r="O142" s="18" t="s">
        <v>61</v>
      </c>
      <c r="P142" s="18" t="s">
        <v>677</v>
      </c>
      <c r="Q142" s="19"/>
      <c r="R142" s="17" t="s">
        <v>97</v>
      </c>
      <c r="S142" s="16" t="s">
        <v>156</v>
      </c>
      <c r="T142" s="16"/>
      <c r="U142" s="16"/>
      <c r="V142" s="16"/>
      <c r="W142" s="16">
        <f>ROUND(IF(D142=Table!$C$3,Y142*Table!$C$4/8,Y142*Table!$D$4/8),3)</f>
        <v>72</v>
      </c>
      <c r="X142" s="16">
        <f t="shared" si="18"/>
        <v>72</v>
      </c>
      <c r="Y142" s="16">
        <v>1.28</v>
      </c>
      <c r="Z142" s="16">
        <v>0</v>
      </c>
      <c r="AA142" s="16" t="s">
        <v>21</v>
      </c>
      <c r="AB142" s="20">
        <v>43969</v>
      </c>
      <c r="AC142" s="20">
        <v>43962</v>
      </c>
      <c r="AD142" s="20">
        <v>43971</v>
      </c>
      <c r="AE142" s="20">
        <v>43962</v>
      </c>
      <c r="AF142" s="20">
        <v>43962</v>
      </c>
      <c r="AG142" s="20" t="s">
        <v>335</v>
      </c>
      <c r="AH142" s="91" t="s">
        <v>61</v>
      </c>
      <c r="AI142" s="91" t="s">
        <v>61</v>
      </c>
      <c r="AJ142" s="91" t="s">
        <v>61</v>
      </c>
      <c r="AK142" s="20" t="s">
        <v>165</v>
      </c>
      <c r="AL142" s="16"/>
      <c r="AM142" s="16"/>
      <c r="AN142" s="16" t="s">
        <v>723</v>
      </c>
    </row>
    <row r="143" spans="2:40" x14ac:dyDescent="0.25">
      <c r="B143" s="124">
        <f t="shared" si="16"/>
        <v>96</v>
      </c>
      <c r="C143" s="17">
        <v>20200511</v>
      </c>
      <c r="D143" s="16" t="s">
        <v>3</v>
      </c>
      <c r="E143" s="92" t="s">
        <v>656</v>
      </c>
      <c r="F143" s="18" t="s">
        <v>662</v>
      </c>
      <c r="G143" s="57" t="s">
        <v>61</v>
      </c>
      <c r="H143" s="16" t="s">
        <v>243</v>
      </c>
      <c r="I143" s="16" t="s">
        <v>651</v>
      </c>
      <c r="J143" s="16" t="s">
        <v>676</v>
      </c>
      <c r="K143" s="57" t="s">
        <v>61</v>
      </c>
      <c r="L143" s="57" t="s">
        <v>61</v>
      </c>
      <c r="M143" s="57" t="s">
        <v>61</v>
      </c>
      <c r="N143" s="16" t="s">
        <v>678</v>
      </c>
      <c r="O143" s="18" t="s">
        <v>61</v>
      </c>
      <c r="P143" s="18" t="s">
        <v>677</v>
      </c>
      <c r="Q143" s="19"/>
      <c r="R143" s="17" t="s">
        <v>97</v>
      </c>
      <c r="S143" s="16" t="s">
        <v>156</v>
      </c>
      <c r="T143" s="16"/>
      <c r="U143" s="16"/>
      <c r="V143" s="16"/>
      <c r="W143" s="16">
        <f>ROUND(IF(D143=Table!$C$3,Y143*Table!$C$4/8,Y143*Table!$D$4/8),3)</f>
        <v>607.5</v>
      </c>
      <c r="X143" s="16">
        <f t="shared" si="18"/>
        <v>607.5</v>
      </c>
      <c r="Y143" s="16">
        <v>10.8</v>
      </c>
      <c r="Z143" s="16">
        <v>4</v>
      </c>
      <c r="AA143" s="16" t="s">
        <v>21</v>
      </c>
      <c r="AB143" s="20">
        <v>43969</v>
      </c>
      <c r="AC143" s="20">
        <v>43962</v>
      </c>
      <c r="AD143" s="20">
        <v>43971</v>
      </c>
      <c r="AE143" s="20">
        <v>43963</v>
      </c>
      <c r="AF143" s="20">
        <v>43963</v>
      </c>
      <c r="AG143" s="20" t="s">
        <v>335</v>
      </c>
      <c r="AH143" s="32">
        <v>0.98</v>
      </c>
      <c r="AI143" s="32">
        <v>0.94</v>
      </c>
      <c r="AJ143" s="32">
        <v>1</v>
      </c>
      <c r="AK143" s="20" t="s">
        <v>165</v>
      </c>
      <c r="AL143" s="16" t="s">
        <v>721</v>
      </c>
      <c r="AM143" s="16"/>
      <c r="AN143" s="16"/>
    </row>
    <row r="144" spans="2:40" x14ac:dyDescent="0.25">
      <c r="B144" s="124">
        <f t="shared" si="16"/>
        <v>97</v>
      </c>
      <c r="C144" s="17">
        <v>20200511</v>
      </c>
      <c r="D144" s="16" t="s">
        <v>3</v>
      </c>
      <c r="E144" s="92" t="s">
        <v>656</v>
      </c>
      <c r="F144" s="18" t="s">
        <v>662</v>
      </c>
      <c r="G144" s="57" t="s">
        <v>61</v>
      </c>
      <c r="H144" s="16" t="s">
        <v>247</v>
      </c>
      <c r="I144" s="16" t="s">
        <v>652</v>
      </c>
      <c r="J144" s="16" t="s">
        <v>121</v>
      </c>
      <c r="K144" s="57" t="s">
        <v>61</v>
      </c>
      <c r="L144" s="57" t="s">
        <v>61</v>
      </c>
      <c r="M144" s="57" t="s">
        <v>61</v>
      </c>
      <c r="N144" s="16" t="s">
        <v>678</v>
      </c>
      <c r="O144" s="18" t="s">
        <v>61</v>
      </c>
      <c r="P144" s="18" t="s">
        <v>677</v>
      </c>
      <c r="Q144" s="19"/>
      <c r="R144" s="17" t="s">
        <v>97</v>
      </c>
      <c r="S144" s="16" t="s">
        <v>156</v>
      </c>
      <c r="T144" s="16"/>
      <c r="U144" s="16"/>
      <c r="V144" s="16"/>
      <c r="W144" s="16">
        <f>ROUND(IF(D144=Table!$C$3,Y144*Table!$C$4/8,Y144*Table!$D$4/8),3)</f>
        <v>247.5</v>
      </c>
      <c r="X144" s="16">
        <f t="shared" si="18"/>
        <v>247.5</v>
      </c>
      <c r="Y144" s="16">
        <v>4.4000000000000004</v>
      </c>
      <c r="Z144" s="16">
        <v>1</v>
      </c>
      <c r="AA144" s="16" t="s">
        <v>21</v>
      </c>
      <c r="AB144" s="20">
        <v>43969</v>
      </c>
      <c r="AC144" s="20">
        <v>43962</v>
      </c>
      <c r="AD144" s="20">
        <v>43971</v>
      </c>
      <c r="AE144" s="20">
        <v>43963</v>
      </c>
      <c r="AF144" s="20">
        <v>43963</v>
      </c>
      <c r="AG144" s="20" t="s">
        <v>335</v>
      </c>
      <c r="AH144" s="32">
        <v>1</v>
      </c>
      <c r="AI144" s="32">
        <v>1</v>
      </c>
      <c r="AJ144" s="32">
        <v>1</v>
      </c>
      <c r="AK144" s="20" t="s">
        <v>165</v>
      </c>
      <c r="AL144" s="16"/>
      <c r="AM144" s="16"/>
      <c r="AN144" s="16"/>
    </row>
    <row r="145" spans="2:40" x14ac:dyDescent="0.25">
      <c r="B145" s="124">
        <f t="shared" si="16"/>
        <v>98</v>
      </c>
      <c r="C145" s="17">
        <v>20200511</v>
      </c>
      <c r="D145" s="16" t="s">
        <v>3</v>
      </c>
      <c r="E145" s="92" t="s">
        <v>656</v>
      </c>
      <c r="F145" s="18" t="s">
        <v>515</v>
      </c>
      <c r="G145" s="57" t="s">
        <v>61</v>
      </c>
      <c r="H145" s="16" t="s">
        <v>202</v>
      </c>
      <c r="I145" s="16" t="s">
        <v>653</v>
      </c>
      <c r="J145" s="16" t="s">
        <v>198</v>
      </c>
      <c r="K145" s="57" t="s">
        <v>61</v>
      </c>
      <c r="L145" s="57" t="s">
        <v>61</v>
      </c>
      <c r="M145" s="57" t="s">
        <v>61</v>
      </c>
      <c r="N145" s="16" t="s">
        <v>678</v>
      </c>
      <c r="O145" s="18" t="s">
        <v>61</v>
      </c>
      <c r="P145" s="18" t="s">
        <v>677</v>
      </c>
      <c r="Q145" s="19"/>
      <c r="R145" s="17" t="s">
        <v>97</v>
      </c>
      <c r="S145" s="16" t="s">
        <v>156</v>
      </c>
      <c r="T145" s="16"/>
      <c r="U145" s="16"/>
      <c r="V145" s="16"/>
      <c r="W145" s="16">
        <f>ROUND(IF(D145=Table!$C$3,Y145*Table!$C$4/8,Y145*Table!$D$4/8),3)</f>
        <v>67.5</v>
      </c>
      <c r="X145" s="16">
        <f t="shared" si="18"/>
        <v>67.5</v>
      </c>
      <c r="Y145" s="16">
        <v>1.2</v>
      </c>
      <c r="Z145" s="16">
        <v>1</v>
      </c>
      <c r="AA145" s="16" t="s">
        <v>21</v>
      </c>
      <c r="AB145" s="20">
        <v>43969</v>
      </c>
      <c r="AC145" s="20">
        <v>43962</v>
      </c>
      <c r="AD145" s="20">
        <v>43971</v>
      </c>
      <c r="AE145" s="20">
        <v>43963</v>
      </c>
      <c r="AF145" s="20">
        <v>43963</v>
      </c>
      <c r="AG145" s="20" t="s">
        <v>335</v>
      </c>
      <c r="AH145" s="32">
        <v>1</v>
      </c>
      <c r="AI145" s="32">
        <v>1</v>
      </c>
      <c r="AJ145" s="32">
        <v>1</v>
      </c>
      <c r="AK145" s="20" t="s">
        <v>165</v>
      </c>
      <c r="AL145" s="16"/>
      <c r="AM145" s="16"/>
      <c r="AN145" s="16"/>
    </row>
    <row r="146" spans="2:40" x14ac:dyDescent="0.25">
      <c r="B146" s="124">
        <f t="shared" si="16"/>
        <v>99</v>
      </c>
      <c r="C146" s="149">
        <v>20200511</v>
      </c>
      <c r="D146" s="16" t="s">
        <v>2</v>
      </c>
      <c r="E146" s="16" t="s">
        <v>656</v>
      </c>
      <c r="F146" s="18" t="s">
        <v>990</v>
      </c>
      <c r="G146" s="57" t="s">
        <v>61</v>
      </c>
      <c r="H146" s="16" t="s">
        <v>991</v>
      </c>
      <c r="I146" s="16" t="s">
        <v>992</v>
      </c>
      <c r="J146" s="16" t="s">
        <v>198</v>
      </c>
      <c r="K146" s="57" t="s">
        <v>61</v>
      </c>
      <c r="L146" s="57" t="s">
        <v>61</v>
      </c>
      <c r="M146" s="57" t="s">
        <v>61</v>
      </c>
      <c r="N146" s="16" t="s">
        <v>728</v>
      </c>
      <c r="O146" s="18" t="s">
        <v>993</v>
      </c>
      <c r="P146" s="18" t="s">
        <v>677</v>
      </c>
      <c r="Q146" s="19"/>
      <c r="R146" s="17" t="s">
        <v>98</v>
      </c>
      <c r="S146" s="16" t="s">
        <v>66</v>
      </c>
      <c r="T146" s="16"/>
      <c r="U146" s="16"/>
      <c r="V146" s="16">
        <v>165</v>
      </c>
      <c r="W146" s="16">
        <v>127.4</v>
      </c>
      <c r="X146" s="16">
        <v>127.4</v>
      </c>
      <c r="Y146" s="16">
        <v>7.84</v>
      </c>
      <c r="Z146" s="16">
        <v>8</v>
      </c>
      <c r="AA146" s="16" t="s">
        <v>21</v>
      </c>
      <c r="AB146" s="20">
        <v>43971</v>
      </c>
      <c r="AC146" s="20">
        <v>43970</v>
      </c>
      <c r="AD146" s="20">
        <v>43977</v>
      </c>
      <c r="AE146" s="20">
        <v>43971</v>
      </c>
      <c r="AF146" s="20">
        <v>43971</v>
      </c>
      <c r="AG146" s="20" t="s">
        <v>335</v>
      </c>
      <c r="AH146" s="32">
        <v>0.97599999999999998</v>
      </c>
      <c r="AI146" s="32">
        <v>0.97699999999999998</v>
      </c>
      <c r="AJ146" s="32">
        <v>1</v>
      </c>
      <c r="AK146" s="20" t="s">
        <v>165</v>
      </c>
      <c r="AL146" s="16" t="s">
        <v>994</v>
      </c>
      <c r="AM146" s="16"/>
      <c r="AN146" s="16"/>
    </row>
    <row r="147" spans="2:40" x14ac:dyDescent="0.25">
      <c r="B147" s="124">
        <f t="shared" si="16"/>
        <v>100</v>
      </c>
      <c r="C147" s="149">
        <v>20200511</v>
      </c>
      <c r="D147" s="16" t="s">
        <v>3</v>
      </c>
      <c r="E147" s="16" t="s">
        <v>656</v>
      </c>
      <c r="F147" s="18" t="s">
        <v>995</v>
      </c>
      <c r="G147" s="57" t="s">
        <v>61</v>
      </c>
      <c r="H147" s="16" t="s">
        <v>996</v>
      </c>
      <c r="I147" s="16" t="s">
        <v>997</v>
      </c>
      <c r="J147" s="16" t="s">
        <v>998</v>
      </c>
      <c r="K147" s="57" t="s">
        <v>61</v>
      </c>
      <c r="L147" s="57" t="s">
        <v>61</v>
      </c>
      <c r="M147" s="57" t="s">
        <v>61</v>
      </c>
      <c r="N147" s="16" t="s">
        <v>678</v>
      </c>
      <c r="O147" s="18" t="s">
        <v>61</v>
      </c>
      <c r="P147" s="18" t="s">
        <v>677</v>
      </c>
      <c r="Q147" s="19"/>
      <c r="R147" s="17" t="s">
        <v>97</v>
      </c>
      <c r="S147" s="16" t="s">
        <v>156</v>
      </c>
      <c r="T147" s="16"/>
      <c r="U147" s="16"/>
      <c r="V147" s="16">
        <v>90</v>
      </c>
      <c r="W147" s="16">
        <v>90</v>
      </c>
      <c r="X147" s="16">
        <v>90</v>
      </c>
      <c r="Y147" s="16">
        <v>1.6</v>
      </c>
      <c r="Z147" s="16">
        <v>0.5</v>
      </c>
      <c r="AA147" s="16" t="s">
        <v>21</v>
      </c>
      <c r="AB147" s="20">
        <v>43971</v>
      </c>
      <c r="AC147" s="20">
        <v>43970</v>
      </c>
      <c r="AD147" s="20">
        <v>43977</v>
      </c>
      <c r="AE147" s="20">
        <v>43971</v>
      </c>
      <c r="AF147" s="20">
        <v>43971</v>
      </c>
      <c r="AG147" s="20" t="s">
        <v>335</v>
      </c>
      <c r="AH147" s="32">
        <v>1</v>
      </c>
      <c r="AI147" s="32">
        <v>1</v>
      </c>
      <c r="AJ147" s="32">
        <v>1</v>
      </c>
      <c r="AK147" s="20" t="s">
        <v>165</v>
      </c>
      <c r="AL147" s="16"/>
      <c r="AM147" s="16"/>
      <c r="AN147" s="16"/>
    </row>
    <row r="148" spans="2:40" x14ac:dyDescent="0.25">
      <c r="B148" s="124">
        <f t="shared" si="16"/>
        <v>101</v>
      </c>
      <c r="C148" s="149">
        <v>20200511</v>
      </c>
      <c r="D148" s="16" t="s">
        <v>2</v>
      </c>
      <c r="E148" s="16" t="s">
        <v>656</v>
      </c>
      <c r="F148" s="18" t="s">
        <v>999</v>
      </c>
      <c r="G148" s="57" t="s">
        <v>61</v>
      </c>
      <c r="H148" s="16" t="s">
        <v>1000</v>
      </c>
      <c r="I148" s="16" t="s">
        <v>1001</v>
      </c>
      <c r="J148" s="16" t="s">
        <v>121</v>
      </c>
      <c r="K148" s="57" t="s">
        <v>61</v>
      </c>
      <c r="L148" s="57" t="s">
        <v>61</v>
      </c>
      <c r="M148" s="57" t="s">
        <v>61</v>
      </c>
      <c r="N148" s="16" t="s">
        <v>728</v>
      </c>
      <c r="O148" s="18" t="s">
        <v>1002</v>
      </c>
      <c r="P148" s="18" t="s">
        <v>677</v>
      </c>
      <c r="Q148" s="19"/>
      <c r="R148" s="17" t="s">
        <v>98</v>
      </c>
      <c r="S148" s="16" t="s">
        <v>66</v>
      </c>
      <c r="T148" s="16"/>
      <c r="U148" s="16"/>
      <c r="V148" s="16">
        <v>92</v>
      </c>
      <c r="W148" s="16">
        <v>52</v>
      </c>
      <c r="X148" s="16">
        <v>52</v>
      </c>
      <c r="Y148" s="16">
        <v>3.2</v>
      </c>
      <c r="Z148" s="16">
        <v>3</v>
      </c>
      <c r="AA148" s="16" t="s">
        <v>21</v>
      </c>
      <c r="AB148" s="20">
        <v>43971</v>
      </c>
      <c r="AC148" s="20">
        <v>43970</v>
      </c>
      <c r="AD148" s="20">
        <v>43977</v>
      </c>
      <c r="AE148" s="20">
        <v>43970</v>
      </c>
      <c r="AF148" s="20">
        <v>43970</v>
      </c>
      <c r="AG148" s="20" t="s">
        <v>335</v>
      </c>
      <c r="AH148" s="32" t="s">
        <v>412</v>
      </c>
      <c r="AI148" s="32" t="s">
        <v>412</v>
      </c>
      <c r="AJ148" s="32" t="s">
        <v>412</v>
      </c>
      <c r="AK148" s="20" t="s">
        <v>165</v>
      </c>
      <c r="AL148" s="16" t="s">
        <v>610</v>
      </c>
      <c r="AM148" s="16"/>
      <c r="AN148" s="16"/>
    </row>
    <row r="149" spans="2:40" x14ac:dyDescent="0.25">
      <c r="B149" s="124">
        <f t="shared" si="16"/>
        <v>102</v>
      </c>
      <c r="C149" s="149">
        <v>20200511</v>
      </c>
      <c r="D149" s="16" t="s">
        <v>2</v>
      </c>
      <c r="E149" s="16" t="s">
        <v>656</v>
      </c>
      <c r="F149" s="18" t="s">
        <v>999</v>
      </c>
      <c r="G149" s="57" t="s">
        <v>61</v>
      </c>
      <c r="H149" s="16" t="s">
        <v>1003</v>
      </c>
      <c r="I149" s="16" t="s">
        <v>1004</v>
      </c>
      <c r="J149" s="16" t="s">
        <v>121</v>
      </c>
      <c r="K149" s="57" t="s">
        <v>61</v>
      </c>
      <c r="L149" s="57" t="s">
        <v>61</v>
      </c>
      <c r="M149" s="57" t="s">
        <v>61</v>
      </c>
      <c r="N149" s="16" t="s">
        <v>728</v>
      </c>
      <c r="O149" s="18" t="s">
        <v>1005</v>
      </c>
      <c r="P149" s="18" t="s">
        <v>677</v>
      </c>
      <c r="Q149" s="19"/>
      <c r="R149" s="17" t="s">
        <v>98</v>
      </c>
      <c r="S149" s="16" t="s">
        <v>66</v>
      </c>
      <c r="T149" s="16"/>
      <c r="U149" s="16"/>
      <c r="V149" s="16">
        <v>35</v>
      </c>
      <c r="W149" s="16">
        <v>26</v>
      </c>
      <c r="X149" s="16">
        <v>26</v>
      </c>
      <c r="Y149" s="16">
        <v>1.6</v>
      </c>
      <c r="Z149" s="16">
        <v>2</v>
      </c>
      <c r="AA149" s="16" t="s">
        <v>21</v>
      </c>
      <c r="AB149" s="20">
        <v>43971</v>
      </c>
      <c r="AC149" s="20">
        <v>43970</v>
      </c>
      <c r="AD149" s="20">
        <v>43977</v>
      </c>
      <c r="AE149" s="20">
        <v>43970</v>
      </c>
      <c r="AF149" s="20">
        <v>43970</v>
      </c>
      <c r="AG149" s="20" t="s">
        <v>335</v>
      </c>
      <c r="AH149" s="32">
        <v>1</v>
      </c>
      <c r="AI149" s="32">
        <v>1</v>
      </c>
      <c r="AJ149" s="32" t="s">
        <v>412</v>
      </c>
      <c r="AK149" s="20" t="s">
        <v>165</v>
      </c>
      <c r="AL149" s="16"/>
      <c r="AM149" s="16"/>
      <c r="AN149" s="16"/>
    </row>
    <row r="150" spans="2:40" x14ac:dyDescent="0.25">
      <c r="B150" s="124">
        <f t="shared" si="16"/>
        <v>103</v>
      </c>
      <c r="C150" s="149">
        <v>20200511</v>
      </c>
      <c r="D150" s="16" t="s">
        <v>2</v>
      </c>
      <c r="E150" s="16" t="s">
        <v>656</v>
      </c>
      <c r="F150" s="18" t="s">
        <v>999</v>
      </c>
      <c r="G150" s="57" t="s">
        <v>61</v>
      </c>
      <c r="H150" s="16" t="s">
        <v>1006</v>
      </c>
      <c r="I150" s="16" t="s">
        <v>1007</v>
      </c>
      <c r="J150" s="16" t="s">
        <v>121</v>
      </c>
      <c r="K150" s="57" t="s">
        <v>61</v>
      </c>
      <c r="L150" s="57" t="s">
        <v>61</v>
      </c>
      <c r="M150" s="57" t="s">
        <v>61</v>
      </c>
      <c r="N150" s="16" t="s">
        <v>728</v>
      </c>
      <c r="O150" s="18" t="s">
        <v>1008</v>
      </c>
      <c r="P150" s="18" t="s">
        <v>677</v>
      </c>
      <c r="Q150" s="19"/>
      <c r="R150" s="17" t="s">
        <v>98</v>
      </c>
      <c r="S150" s="16" t="s">
        <v>66</v>
      </c>
      <c r="T150" s="16"/>
      <c r="U150" s="16"/>
      <c r="V150" s="16">
        <v>17</v>
      </c>
      <c r="W150" s="16">
        <v>26</v>
      </c>
      <c r="X150" s="16">
        <v>26</v>
      </c>
      <c r="Y150" s="16">
        <v>1.6</v>
      </c>
      <c r="Z150" s="16">
        <v>2</v>
      </c>
      <c r="AA150" s="16" t="s">
        <v>21</v>
      </c>
      <c r="AB150" s="20">
        <v>43971</v>
      </c>
      <c r="AC150" s="20">
        <v>43970</v>
      </c>
      <c r="AD150" s="20">
        <v>43977</v>
      </c>
      <c r="AE150" s="20">
        <v>43970</v>
      </c>
      <c r="AF150" s="20">
        <v>43970</v>
      </c>
      <c r="AG150" s="20" t="s">
        <v>335</v>
      </c>
      <c r="AH150" s="32">
        <v>1</v>
      </c>
      <c r="AI150" s="32">
        <v>1</v>
      </c>
      <c r="AJ150" s="32" t="s">
        <v>412</v>
      </c>
      <c r="AK150" s="20" t="s">
        <v>165</v>
      </c>
      <c r="AL150" s="16"/>
      <c r="AM150" s="16"/>
      <c r="AN150" s="16"/>
    </row>
    <row r="151" spans="2:40" x14ac:dyDescent="0.25">
      <c r="B151" s="124">
        <f t="shared" si="16"/>
        <v>104</v>
      </c>
      <c r="C151" s="149">
        <v>20200511</v>
      </c>
      <c r="D151" s="16" t="s">
        <v>2</v>
      </c>
      <c r="E151" s="16" t="s">
        <v>656</v>
      </c>
      <c r="F151" s="18" t="s">
        <v>999</v>
      </c>
      <c r="G151" s="57" t="s">
        <v>61</v>
      </c>
      <c r="H151" s="16" t="s">
        <v>1009</v>
      </c>
      <c r="I151" s="16" t="s">
        <v>1010</v>
      </c>
      <c r="J151" s="16" t="s">
        <v>121</v>
      </c>
      <c r="K151" s="57" t="s">
        <v>61</v>
      </c>
      <c r="L151" s="57" t="s">
        <v>61</v>
      </c>
      <c r="M151" s="57" t="s">
        <v>61</v>
      </c>
      <c r="N151" s="16" t="s">
        <v>728</v>
      </c>
      <c r="O151" s="18" t="s">
        <v>1011</v>
      </c>
      <c r="P151" s="18" t="s">
        <v>677</v>
      </c>
      <c r="Q151" s="19"/>
      <c r="R151" s="17" t="s">
        <v>98</v>
      </c>
      <c r="S151" s="16" t="s">
        <v>66</v>
      </c>
      <c r="T151" s="16"/>
      <c r="U151" s="16"/>
      <c r="V151" s="16">
        <v>1358</v>
      </c>
      <c r="W151" s="16">
        <v>305.5</v>
      </c>
      <c r="X151" s="16">
        <v>305.5</v>
      </c>
      <c r="Y151" s="16">
        <v>18.8</v>
      </c>
      <c r="Z151" s="16">
        <v>8</v>
      </c>
      <c r="AA151" s="16" t="s">
        <v>21</v>
      </c>
      <c r="AB151" s="20">
        <v>43971</v>
      </c>
      <c r="AC151" s="20">
        <v>43970</v>
      </c>
      <c r="AD151" s="20">
        <v>43977</v>
      </c>
      <c r="AE151" s="20">
        <v>43971</v>
      </c>
      <c r="AF151" s="20">
        <v>43971</v>
      </c>
      <c r="AG151" s="20" t="s">
        <v>335</v>
      </c>
      <c r="AH151" s="32">
        <v>0.98899999999999999</v>
      </c>
      <c r="AI151" s="32">
        <v>0.98699999999999999</v>
      </c>
      <c r="AJ151" s="32">
        <v>0.52600000000000002</v>
      </c>
      <c r="AK151" s="20" t="s">
        <v>165</v>
      </c>
      <c r="AL151" s="16" t="s">
        <v>1012</v>
      </c>
      <c r="AM151" s="16"/>
      <c r="AN151" s="16"/>
    </row>
    <row r="152" spans="2:40" x14ac:dyDescent="0.25">
      <c r="B152" s="124">
        <f t="shared" si="16"/>
        <v>105</v>
      </c>
      <c r="C152" s="149">
        <v>20200511</v>
      </c>
      <c r="D152" s="16" t="s">
        <v>3</v>
      </c>
      <c r="E152" s="16" t="s">
        <v>656</v>
      </c>
      <c r="F152" s="18" t="s">
        <v>1013</v>
      </c>
      <c r="G152" s="57" t="s">
        <v>61</v>
      </c>
      <c r="H152" s="16" t="s">
        <v>1014</v>
      </c>
      <c r="I152" s="16" t="s">
        <v>1015</v>
      </c>
      <c r="J152" s="16" t="s">
        <v>998</v>
      </c>
      <c r="K152" s="57" t="s">
        <v>61</v>
      </c>
      <c r="L152" s="57" t="s">
        <v>61</v>
      </c>
      <c r="M152" s="57" t="s">
        <v>61</v>
      </c>
      <c r="N152" s="16" t="s">
        <v>678</v>
      </c>
      <c r="O152" s="18" t="s">
        <v>61</v>
      </c>
      <c r="P152" s="18" t="s">
        <v>677</v>
      </c>
      <c r="Q152" s="19"/>
      <c r="R152" s="17" t="s">
        <v>97</v>
      </c>
      <c r="S152" s="16" t="s">
        <v>156</v>
      </c>
      <c r="T152" s="16"/>
      <c r="U152" s="16"/>
      <c r="V152" s="16">
        <v>67</v>
      </c>
      <c r="W152" s="16">
        <v>90</v>
      </c>
      <c r="X152" s="16">
        <v>90</v>
      </c>
      <c r="Y152" s="16">
        <v>1.6</v>
      </c>
      <c r="Z152" s="16">
        <v>0.5</v>
      </c>
      <c r="AA152" s="16" t="s">
        <v>21</v>
      </c>
      <c r="AB152" s="20">
        <v>43971</v>
      </c>
      <c r="AC152" s="20">
        <v>43970</v>
      </c>
      <c r="AD152" s="20">
        <v>43977</v>
      </c>
      <c r="AE152" s="20">
        <v>43971</v>
      </c>
      <c r="AF152" s="20">
        <v>43971</v>
      </c>
      <c r="AG152" s="20" t="s">
        <v>335</v>
      </c>
      <c r="AH152" s="32">
        <v>1</v>
      </c>
      <c r="AI152" s="32">
        <v>1</v>
      </c>
      <c r="AJ152" s="32">
        <v>1</v>
      </c>
      <c r="AK152" s="20" t="s">
        <v>165</v>
      </c>
      <c r="AL152" s="16"/>
      <c r="AM152" s="16"/>
      <c r="AN152" s="16"/>
    </row>
    <row r="153" spans="2:40" x14ac:dyDescent="0.25">
      <c r="B153" s="124">
        <f t="shared" si="16"/>
        <v>106</v>
      </c>
      <c r="C153" s="149">
        <v>20200511</v>
      </c>
      <c r="D153" s="16" t="s">
        <v>3</v>
      </c>
      <c r="E153" s="16" t="s">
        <v>656</v>
      </c>
      <c r="F153" s="18" t="s">
        <v>660</v>
      </c>
      <c r="G153" s="57" t="s">
        <v>61</v>
      </c>
      <c r="H153" s="16" t="s">
        <v>1016</v>
      </c>
      <c r="I153" s="16" t="s">
        <v>1017</v>
      </c>
      <c r="J153" s="16" t="s">
        <v>998</v>
      </c>
      <c r="K153" s="57" t="s">
        <v>61</v>
      </c>
      <c r="L153" s="57" t="s">
        <v>61</v>
      </c>
      <c r="M153" s="57" t="s">
        <v>61</v>
      </c>
      <c r="N153" s="16" t="s">
        <v>678</v>
      </c>
      <c r="O153" s="18" t="s">
        <v>61</v>
      </c>
      <c r="P153" s="18" t="s">
        <v>677</v>
      </c>
      <c r="Q153" s="19"/>
      <c r="R153" s="17" t="s">
        <v>97</v>
      </c>
      <c r="S153" s="16" t="s">
        <v>156</v>
      </c>
      <c r="T153" s="16"/>
      <c r="U153" s="16"/>
      <c r="V153" s="16">
        <v>64</v>
      </c>
      <c r="W153" s="16">
        <v>90</v>
      </c>
      <c r="X153" s="16">
        <v>90</v>
      </c>
      <c r="Y153" s="16">
        <v>1.6</v>
      </c>
      <c r="Z153" s="16">
        <v>1</v>
      </c>
      <c r="AA153" s="16" t="s">
        <v>21</v>
      </c>
      <c r="AB153" s="20">
        <v>43971</v>
      </c>
      <c r="AC153" s="20">
        <v>43970</v>
      </c>
      <c r="AD153" s="20">
        <v>43977</v>
      </c>
      <c r="AE153" s="20">
        <v>43971</v>
      </c>
      <c r="AF153" s="20">
        <v>43971</v>
      </c>
      <c r="AG153" s="20" t="s">
        <v>335</v>
      </c>
      <c r="AH153" s="32">
        <v>1</v>
      </c>
      <c r="AI153" s="32">
        <v>0.87</v>
      </c>
      <c r="AJ153" s="32">
        <v>0.5</v>
      </c>
      <c r="AK153" s="20" t="s">
        <v>165</v>
      </c>
      <c r="AL153" s="16" t="s">
        <v>1018</v>
      </c>
      <c r="AM153" s="16"/>
      <c r="AN153" s="16"/>
    </row>
    <row r="154" spans="2:40" x14ac:dyDescent="0.25">
      <c r="B154" s="124">
        <f t="shared" si="16"/>
        <v>107</v>
      </c>
      <c r="C154" s="149">
        <v>20200511</v>
      </c>
      <c r="D154" s="16" t="s">
        <v>3</v>
      </c>
      <c r="E154" s="16" t="s">
        <v>656</v>
      </c>
      <c r="F154" s="18" t="s">
        <v>660</v>
      </c>
      <c r="G154" s="57" t="s">
        <v>61</v>
      </c>
      <c r="H154" s="16" t="s">
        <v>1019</v>
      </c>
      <c r="I154" s="16" t="s">
        <v>1020</v>
      </c>
      <c r="J154" s="16" t="s">
        <v>998</v>
      </c>
      <c r="K154" s="57" t="s">
        <v>61</v>
      </c>
      <c r="L154" s="57" t="s">
        <v>61</v>
      </c>
      <c r="M154" s="57" t="s">
        <v>61</v>
      </c>
      <c r="N154" s="16" t="s">
        <v>678</v>
      </c>
      <c r="O154" s="18" t="s">
        <v>61</v>
      </c>
      <c r="P154" s="18" t="s">
        <v>677</v>
      </c>
      <c r="Q154" s="19"/>
      <c r="R154" s="17" t="s">
        <v>97</v>
      </c>
      <c r="S154" s="16" t="s">
        <v>156</v>
      </c>
      <c r="T154" s="16"/>
      <c r="U154" s="16"/>
      <c r="V154" s="16">
        <v>317</v>
      </c>
      <c r="W154" s="16">
        <v>324</v>
      </c>
      <c r="X154" s="16">
        <v>324</v>
      </c>
      <c r="Y154" s="16">
        <v>5.76</v>
      </c>
      <c r="Z154" s="16">
        <v>2</v>
      </c>
      <c r="AA154" s="16" t="s">
        <v>21</v>
      </c>
      <c r="AB154" s="20">
        <v>43971</v>
      </c>
      <c r="AC154" s="20">
        <v>43970</v>
      </c>
      <c r="AD154" s="20">
        <v>43977</v>
      </c>
      <c r="AE154" s="20">
        <v>43972</v>
      </c>
      <c r="AF154" s="20">
        <v>43972</v>
      </c>
      <c r="AG154" s="20" t="s">
        <v>335</v>
      </c>
      <c r="AH154" s="32">
        <v>1</v>
      </c>
      <c r="AI154" s="32">
        <v>1</v>
      </c>
      <c r="AJ154" s="32">
        <v>1</v>
      </c>
      <c r="AK154" s="20" t="s">
        <v>165</v>
      </c>
      <c r="AL154" s="16"/>
      <c r="AM154" s="16"/>
      <c r="AN154" s="16"/>
    </row>
    <row r="155" spans="2:40" x14ac:dyDescent="0.25">
      <c r="B155" s="124">
        <f t="shared" si="16"/>
        <v>108</v>
      </c>
      <c r="C155" s="149">
        <v>20200511</v>
      </c>
      <c r="D155" s="16" t="s">
        <v>3</v>
      </c>
      <c r="E155" s="16" t="s">
        <v>656</v>
      </c>
      <c r="F155" s="18" t="s">
        <v>660</v>
      </c>
      <c r="G155" s="57" t="s">
        <v>61</v>
      </c>
      <c r="H155" s="16" t="s">
        <v>206</v>
      </c>
      <c r="I155" s="16" t="s">
        <v>1021</v>
      </c>
      <c r="J155" s="16" t="s">
        <v>998</v>
      </c>
      <c r="K155" s="57" t="s">
        <v>61</v>
      </c>
      <c r="L155" s="57" t="s">
        <v>61</v>
      </c>
      <c r="M155" s="57" t="s">
        <v>61</v>
      </c>
      <c r="N155" s="16" t="s">
        <v>678</v>
      </c>
      <c r="O155" s="18" t="s">
        <v>61</v>
      </c>
      <c r="P155" s="18" t="s">
        <v>677</v>
      </c>
      <c r="Q155" s="19"/>
      <c r="R155" s="17" t="s">
        <v>97</v>
      </c>
      <c r="S155" s="16" t="s">
        <v>156</v>
      </c>
      <c r="T155" s="16"/>
      <c r="U155" s="16"/>
      <c r="V155" s="16">
        <v>81</v>
      </c>
      <c r="W155" s="16">
        <v>90</v>
      </c>
      <c r="X155" s="16">
        <v>90</v>
      </c>
      <c r="Y155" s="16">
        <v>1.6</v>
      </c>
      <c r="Z155" s="16">
        <v>0.5</v>
      </c>
      <c r="AA155" s="16" t="s">
        <v>21</v>
      </c>
      <c r="AB155" s="20">
        <v>43971</v>
      </c>
      <c r="AC155" s="20">
        <v>43970</v>
      </c>
      <c r="AD155" s="20">
        <v>43977</v>
      </c>
      <c r="AE155" s="20">
        <v>43972</v>
      </c>
      <c r="AF155" s="20">
        <v>43972</v>
      </c>
      <c r="AG155" s="20" t="s">
        <v>335</v>
      </c>
      <c r="AH155" s="32">
        <v>1</v>
      </c>
      <c r="AI155" s="32">
        <v>1</v>
      </c>
      <c r="AJ155" s="32">
        <v>1</v>
      </c>
      <c r="AK155" s="20" t="s">
        <v>165</v>
      </c>
      <c r="AL155" s="16"/>
      <c r="AM155" s="16"/>
      <c r="AN155" s="16"/>
    </row>
    <row r="156" spans="2:40" x14ac:dyDescent="0.25">
      <c r="B156" s="124">
        <f t="shared" si="16"/>
        <v>109</v>
      </c>
      <c r="C156" s="149">
        <v>20200511</v>
      </c>
      <c r="D156" s="16" t="s">
        <v>2</v>
      </c>
      <c r="E156" s="16" t="s">
        <v>656</v>
      </c>
      <c r="F156" s="18" t="s">
        <v>1022</v>
      </c>
      <c r="G156" s="57" t="s">
        <v>61</v>
      </c>
      <c r="H156" s="16" t="s">
        <v>1023</v>
      </c>
      <c r="I156" s="16" t="s">
        <v>1024</v>
      </c>
      <c r="J156" s="16" t="s">
        <v>121</v>
      </c>
      <c r="K156" s="57" t="s">
        <v>61</v>
      </c>
      <c r="L156" s="57" t="s">
        <v>61</v>
      </c>
      <c r="M156" s="57" t="s">
        <v>61</v>
      </c>
      <c r="N156" s="16" t="s">
        <v>728</v>
      </c>
      <c r="O156" s="18" t="s">
        <v>143</v>
      </c>
      <c r="P156" s="18" t="s">
        <v>677</v>
      </c>
      <c r="Q156" s="19"/>
      <c r="R156" s="17" t="s">
        <v>98</v>
      </c>
      <c r="S156" s="16" t="s">
        <v>66</v>
      </c>
      <c r="T156" s="16"/>
      <c r="U156" s="16"/>
      <c r="V156" s="16">
        <v>12</v>
      </c>
      <c r="W156" s="16">
        <v>26</v>
      </c>
      <c r="X156" s="16">
        <v>26</v>
      </c>
      <c r="Y156" s="16">
        <v>1.6</v>
      </c>
      <c r="Z156" s="16">
        <v>1</v>
      </c>
      <c r="AA156" s="16" t="s">
        <v>21</v>
      </c>
      <c r="AB156" s="20">
        <v>43971</v>
      </c>
      <c r="AC156" s="20">
        <v>43970</v>
      </c>
      <c r="AD156" s="20">
        <v>43977</v>
      </c>
      <c r="AE156" s="20">
        <v>43970</v>
      </c>
      <c r="AF156" s="20">
        <v>43970</v>
      </c>
      <c r="AG156" s="20" t="s">
        <v>335</v>
      </c>
      <c r="AH156" s="32" t="s">
        <v>412</v>
      </c>
      <c r="AI156" s="32" t="s">
        <v>412</v>
      </c>
      <c r="AJ156" s="32" t="s">
        <v>412</v>
      </c>
      <c r="AK156" s="20" t="s">
        <v>165</v>
      </c>
      <c r="AL156" s="16" t="s">
        <v>610</v>
      </c>
      <c r="AM156" s="16"/>
      <c r="AN156" s="16"/>
    </row>
    <row r="157" spans="2:40" x14ac:dyDescent="0.25">
      <c r="B157" s="21"/>
      <c r="C157" s="17"/>
      <c r="D157" s="16"/>
      <c r="E157" s="16"/>
      <c r="F157" s="18"/>
      <c r="G157" s="57" t="s">
        <v>61</v>
      </c>
      <c r="H157" s="16"/>
      <c r="I157" s="16"/>
      <c r="J157" s="16"/>
      <c r="K157" s="57" t="s">
        <v>61</v>
      </c>
      <c r="L157" s="57" t="s">
        <v>61</v>
      </c>
      <c r="M157" s="57" t="s">
        <v>61</v>
      </c>
      <c r="N157" s="16"/>
      <c r="O157" s="18"/>
      <c r="P157" s="18"/>
      <c r="Q157" s="19"/>
      <c r="R157" s="17"/>
      <c r="S157" s="16"/>
      <c r="T157" s="16"/>
      <c r="U157" s="16"/>
      <c r="V157" s="16"/>
      <c r="W157" s="16"/>
      <c r="X157" s="16"/>
      <c r="Y157" s="16"/>
      <c r="Z157" s="16"/>
      <c r="AA157" s="16"/>
      <c r="AB157" s="20"/>
      <c r="AC157" s="20"/>
      <c r="AD157" s="20"/>
      <c r="AE157" s="20"/>
      <c r="AF157" s="20"/>
      <c r="AG157" s="20"/>
      <c r="AH157" s="32"/>
      <c r="AI157" s="32"/>
      <c r="AJ157" s="32"/>
      <c r="AK157" s="20"/>
      <c r="AL157" s="16"/>
      <c r="AM157" s="16"/>
      <c r="AN157" s="16"/>
    </row>
    <row r="158" spans="2:40" x14ac:dyDescent="0.25">
      <c r="B158" s="21"/>
      <c r="C158" s="17"/>
      <c r="D158" s="16"/>
      <c r="E158" s="16"/>
      <c r="F158" s="18"/>
      <c r="G158" s="57" t="s">
        <v>61</v>
      </c>
      <c r="H158" s="16"/>
      <c r="I158" s="16"/>
      <c r="J158" s="16"/>
      <c r="K158" s="57" t="s">
        <v>61</v>
      </c>
      <c r="L158" s="57" t="s">
        <v>61</v>
      </c>
      <c r="M158" s="57" t="s">
        <v>61</v>
      </c>
      <c r="N158" s="16"/>
      <c r="O158" s="18"/>
      <c r="P158" s="18"/>
      <c r="Q158" s="19"/>
      <c r="R158" s="17"/>
      <c r="S158" s="16"/>
      <c r="T158" s="16"/>
      <c r="U158" s="16"/>
      <c r="V158" s="16"/>
      <c r="W158" s="16"/>
      <c r="X158" s="16"/>
      <c r="Y158" s="16"/>
      <c r="Z158" s="16"/>
      <c r="AA158" s="16"/>
      <c r="AB158" s="20"/>
      <c r="AC158" s="20"/>
      <c r="AD158" s="20"/>
      <c r="AE158" s="20"/>
      <c r="AF158" s="20"/>
      <c r="AG158" s="20"/>
      <c r="AH158" s="32"/>
      <c r="AI158" s="32"/>
      <c r="AJ158" s="32"/>
      <c r="AK158" s="20"/>
      <c r="AL158" s="16"/>
      <c r="AM158" s="16"/>
      <c r="AN158" s="16"/>
    </row>
    <row r="159" spans="2:40" x14ac:dyDescent="0.25">
      <c r="B159" s="21"/>
      <c r="C159" s="17"/>
      <c r="D159" s="16"/>
      <c r="E159" s="16"/>
      <c r="F159" s="18"/>
      <c r="G159" s="57" t="s">
        <v>61</v>
      </c>
      <c r="H159" s="16"/>
      <c r="I159" s="16"/>
      <c r="J159" s="16"/>
      <c r="K159" s="57" t="s">
        <v>61</v>
      </c>
      <c r="L159" s="57" t="s">
        <v>61</v>
      </c>
      <c r="M159" s="57" t="s">
        <v>61</v>
      </c>
      <c r="N159" s="16"/>
      <c r="O159" s="18"/>
      <c r="P159" s="18"/>
      <c r="Q159" s="19"/>
      <c r="R159" s="17"/>
      <c r="S159" s="16"/>
      <c r="T159" s="16"/>
      <c r="U159" s="16"/>
      <c r="V159" s="16"/>
      <c r="W159" s="16"/>
      <c r="X159" s="16"/>
      <c r="Y159" s="16"/>
      <c r="Z159" s="16"/>
      <c r="AA159" s="16"/>
      <c r="AB159" s="20"/>
      <c r="AC159" s="20"/>
      <c r="AD159" s="20"/>
      <c r="AE159" s="20"/>
      <c r="AF159" s="20"/>
      <c r="AG159" s="20"/>
      <c r="AH159" s="32"/>
      <c r="AI159" s="32"/>
      <c r="AJ159" s="32"/>
      <c r="AK159" s="20"/>
      <c r="AL159" s="16"/>
      <c r="AM159" s="16"/>
      <c r="AN159" s="16"/>
    </row>
    <row r="160" spans="2:40" x14ac:dyDescent="0.25">
      <c r="B160" s="21"/>
      <c r="C160" s="17"/>
      <c r="D160" s="16"/>
      <c r="E160" s="16"/>
      <c r="F160" s="18"/>
      <c r="G160" s="57" t="s">
        <v>61</v>
      </c>
      <c r="H160" s="16"/>
      <c r="I160" s="16"/>
      <c r="J160" s="16"/>
      <c r="K160" s="57" t="s">
        <v>61</v>
      </c>
      <c r="L160" s="57" t="s">
        <v>61</v>
      </c>
      <c r="M160" s="57" t="s">
        <v>61</v>
      </c>
      <c r="N160" s="16"/>
      <c r="O160" s="18"/>
      <c r="P160" s="18"/>
      <c r="Q160" s="19"/>
      <c r="R160" s="17"/>
      <c r="S160" s="16"/>
      <c r="T160" s="16"/>
      <c r="U160" s="16"/>
      <c r="V160" s="16"/>
      <c r="W160" s="16"/>
      <c r="X160" s="16"/>
      <c r="Y160" s="16"/>
      <c r="Z160" s="16"/>
      <c r="AA160" s="16"/>
      <c r="AB160" s="20"/>
      <c r="AC160" s="20"/>
      <c r="AD160" s="20"/>
      <c r="AE160" s="20"/>
      <c r="AF160" s="20"/>
      <c r="AG160" s="20"/>
      <c r="AH160" s="32"/>
      <c r="AI160" s="32"/>
      <c r="AJ160" s="32"/>
      <c r="AK160" s="20"/>
      <c r="AL160" s="16"/>
      <c r="AM160" s="16"/>
      <c r="AN160" s="16"/>
    </row>
    <row r="161" spans="2:40" x14ac:dyDescent="0.25">
      <c r="B161" s="21"/>
      <c r="C161" s="17"/>
      <c r="D161" s="16"/>
      <c r="E161" s="16"/>
      <c r="F161" s="18"/>
      <c r="G161" s="57" t="s">
        <v>61</v>
      </c>
      <c r="H161" s="16"/>
      <c r="I161" s="16"/>
      <c r="J161" s="16"/>
      <c r="K161" s="57" t="s">
        <v>61</v>
      </c>
      <c r="L161" s="57" t="s">
        <v>61</v>
      </c>
      <c r="M161" s="57" t="s">
        <v>61</v>
      </c>
      <c r="N161" s="16"/>
      <c r="O161" s="18"/>
      <c r="P161" s="18"/>
      <c r="Q161" s="19"/>
      <c r="R161" s="17"/>
      <c r="S161" s="16"/>
      <c r="T161" s="16"/>
      <c r="U161" s="16"/>
      <c r="V161" s="16"/>
      <c r="W161" s="16"/>
      <c r="X161" s="16"/>
      <c r="Y161" s="16"/>
      <c r="Z161" s="16"/>
      <c r="AA161" s="16"/>
      <c r="AB161" s="20"/>
      <c r="AC161" s="20"/>
      <c r="AD161" s="20"/>
      <c r="AE161" s="20"/>
      <c r="AF161" s="20"/>
      <c r="AG161" s="20"/>
      <c r="AH161" s="32"/>
      <c r="AI161" s="32"/>
      <c r="AJ161" s="32"/>
      <c r="AK161" s="20"/>
      <c r="AL161" s="16"/>
      <c r="AM161" s="16"/>
      <c r="AN161" s="16"/>
    </row>
    <row r="162" spans="2:40" x14ac:dyDescent="0.25">
      <c r="B162" s="21"/>
      <c r="C162" s="17"/>
      <c r="D162" s="16"/>
      <c r="E162" s="16"/>
      <c r="F162" s="18"/>
      <c r="G162" s="57" t="s">
        <v>61</v>
      </c>
      <c r="H162" s="16"/>
      <c r="I162" s="16"/>
      <c r="J162" s="16"/>
      <c r="K162" s="57" t="s">
        <v>61</v>
      </c>
      <c r="L162" s="57" t="s">
        <v>61</v>
      </c>
      <c r="M162" s="57" t="s">
        <v>61</v>
      </c>
      <c r="N162" s="16"/>
      <c r="O162" s="18"/>
      <c r="P162" s="18"/>
      <c r="Q162" s="19"/>
      <c r="R162" s="17"/>
      <c r="S162" s="16"/>
      <c r="T162" s="16"/>
      <c r="U162" s="16"/>
      <c r="V162" s="16"/>
      <c r="W162" s="16"/>
      <c r="X162" s="16"/>
      <c r="Y162" s="16"/>
      <c r="Z162" s="16"/>
      <c r="AA162" s="16"/>
      <c r="AB162" s="20"/>
      <c r="AC162" s="20"/>
      <c r="AD162" s="20"/>
      <c r="AE162" s="20"/>
      <c r="AF162" s="20"/>
      <c r="AG162" s="20"/>
      <c r="AH162" s="32"/>
      <c r="AI162" s="32"/>
      <c r="AJ162" s="32"/>
      <c r="AK162" s="20"/>
      <c r="AL162" s="16"/>
      <c r="AM162" s="16"/>
      <c r="AN162" s="16"/>
    </row>
    <row r="163" spans="2:40" x14ac:dyDescent="0.25">
      <c r="B163" s="21"/>
      <c r="C163" s="17"/>
      <c r="D163" s="16"/>
      <c r="E163" s="16"/>
      <c r="F163" s="18"/>
      <c r="G163" s="57" t="s">
        <v>61</v>
      </c>
      <c r="H163" s="16"/>
      <c r="I163" s="16"/>
      <c r="J163" s="16"/>
      <c r="K163" s="57" t="s">
        <v>61</v>
      </c>
      <c r="L163" s="57" t="s">
        <v>61</v>
      </c>
      <c r="M163" s="57" t="s">
        <v>61</v>
      </c>
      <c r="N163" s="16"/>
      <c r="O163" s="18"/>
      <c r="P163" s="18"/>
      <c r="Q163" s="19"/>
      <c r="R163" s="17"/>
      <c r="S163" s="16"/>
      <c r="T163" s="16"/>
      <c r="U163" s="16"/>
      <c r="V163" s="16"/>
      <c r="W163" s="16"/>
      <c r="X163" s="16"/>
      <c r="Y163" s="16"/>
      <c r="Z163" s="16"/>
      <c r="AA163" s="16"/>
      <c r="AB163" s="20"/>
      <c r="AC163" s="20"/>
      <c r="AD163" s="20"/>
      <c r="AE163" s="20"/>
      <c r="AF163" s="20"/>
      <c r="AG163" s="20"/>
      <c r="AH163" s="32"/>
      <c r="AI163" s="32"/>
      <c r="AJ163" s="32"/>
      <c r="AK163" s="20"/>
      <c r="AL163" s="16"/>
      <c r="AM163" s="16"/>
      <c r="AN163" s="16"/>
    </row>
    <row r="164" spans="2:40" x14ac:dyDescent="0.25">
      <c r="B164" s="21"/>
      <c r="C164" s="17"/>
      <c r="D164" s="16"/>
      <c r="E164" s="16"/>
      <c r="F164" s="18"/>
      <c r="G164" s="57" t="s">
        <v>61</v>
      </c>
      <c r="H164" s="16"/>
      <c r="I164" s="16"/>
      <c r="J164" s="16"/>
      <c r="K164" s="57" t="s">
        <v>61</v>
      </c>
      <c r="L164" s="57" t="s">
        <v>61</v>
      </c>
      <c r="M164" s="57" t="s">
        <v>61</v>
      </c>
      <c r="N164" s="16"/>
      <c r="O164" s="18"/>
      <c r="P164" s="18"/>
      <c r="Q164" s="19"/>
      <c r="R164" s="17"/>
      <c r="S164" s="16"/>
      <c r="T164" s="16"/>
      <c r="U164" s="16"/>
      <c r="V164" s="16"/>
      <c r="W164" s="16"/>
      <c r="X164" s="16"/>
      <c r="Y164" s="16"/>
      <c r="Z164" s="16"/>
      <c r="AA164" s="16"/>
      <c r="AB164" s="20"/>
      <c r="AC164" s="20"/>
      <c r="AD164" s="20"/>
      <c r="AE164" s="20"/>
      <c r="AF164" s="20"/>
      <c r="AG164" s="20"/>
      <c r="AH164" s="32"/>
      <c r="AI164" s="32"/>
      <c r="AJ164" s="32"/>
      <c r="AK164" s="20"/>
      <c r="AL164" s="16"/>
      <c r="AM164" s="16"/>
      <c r="AN164" s="16"/>
    </row>
    <row r="165" spans="2:40" x14ac:dyDescent="0.25">
      <c r="B165" s="21"/>
      <c r="C165" s="17"/>
      <c r="D165" s="16"/>
      <c r="E165" s="16"/>
      <c r="F165" s="18"/>
      <c r="G165" s="57" t="s">
        <v>61</v>
      </c>
      <c r="H165" s="16"/>
      <c r="I165" s="16"/>
      <c r="J165" s="16"/>
      <c r="K165" s="57" t="s">
        <v>61</v>
      </c>
      <c r="L165" s="57" t="s">
        <v>61</v>
      </c>
      <c r="M165" s="57" t="s">
        <v>61</v>
      </c>
      <c r="N165" s="16"/>
      <c r="O165" s="18"/>
      <c r="P165" s="18"/>
      <c r="Q165" s="19"/>
      <c r="R165" s="17"/>
      <c r="S165" s="16"/>
      <c r="T165" s="16"/>
      <c r="U165" s="16"/>
      <c r="V165" s="16"/>
      <c r="W165" s="16"/>
      <c r="X165" s="16"/>
      <c r="Y165" s="16"/>
      <c r="Z165" s="16"/>
      <c r="AA165" s="16"/>
      <c r="AB165" s="20"/>
      <c r="AC165" s="20"/>
      <c r="AD165" s="20"/>
      <c r="AE165" s="20"/>
      <c r="AF165" s="20"/>
      <c r="AG165" s="20"/>
      <c r="AH165" s="32"/>
      <c r="AI165" s="32"/>
      <c r="AJ165" s="32"/>
      <c r="AK165" s="20"/>
      <c r="AL165" s="16"/>
      <c r="AM165" s="16"/>
      <c r="AN165" s="16"/>
    </row>
    <row r="166" spans="2:40" x14ac:dyDescent="0.25">
      <c r="B166" s="21"/>
      <c r="C166" s="17"/>
      <c r="D166" s="16"/>
      <c r="E166" s="16"/>
      <c r="F166" s="18"/>
      <c r="G166" s="57" t="s">
        <v>61</v>
      </c>
      <c r="H166" s="16"/>
      <c r="I166" s="16"/>
      <c r="J166" s="16"/>
      <c r="K166" s="57" t="s">
        <v>61</v>
      </c>
      <c r="L166" s="57" t="s">
        <v>61</v>
      </c>
      <c r="M166" s="57" t="s">
        <v>61</v>
      </c>
      <c r="N166" s="16"/>
      <c r="O166" s="18"/>
      <c r="P166" s="18"/>
      <c r="Q166" s="19"/>
      <c r="R166" s="17"/>
      <c r="S166" s="16"/>
      <c r="T166" s="16"/>
      <c r="U166" s="16"/>
      <c r="V166" s="16"/>
      <c r="W166" s="16"/>
      <c r="X166" s="16"/>
      <c r="Y166" s="16"/>
      <c r="Z166" s="16"/>
      <c r="AA166" s="16"/>
      <c r="AB166" s="20"/>
      <c r="AC166" s="20"/>
      <c r="AD166" s="20"/>
      <c r="AE166" s="20"/>
      <c r="AF166" s="20"/>
      <c r="AG166" s="20"/>
      <c r="AH166" s="32"/>
      <c r="AI166" s="32"/>
      <c r="AJ166" s="32"/>
      <c r="AK166" s="20"/>
      <c r="AL166" s="16"/>
      <c r="AM166" s="16"/>
      <c r="AN166" s="16"/>
    </row>
    <row r="167" spans="2:40" x14ac:dyDescent="0.25">
      <c r="B167" s="21"/>
      <c r="C167" s="17"/>
      <c r="D167" s="16"/>
      <c r="E167" s="16"/>
      <c r="F167" s="18"/>
      <c r="G167" s="57" t="s">
        <v>61</v>
      </c>
      <c r="H167" s="16"/>
      <c r="I167" s="16"/>
      <c r="J167" s="16"/>
      <c r="K167" s="57" t="s">
        <v>61</v>
      </c>
      <c r="L167" s="57" t="s">
        <v>61</v>
      </c>
      <c r="M167" s="57" t="s">
        <v>61</v>
      </c>
      <c r="N167" s="16"/>
      <c r="O167" s="18"/>
      <c r="P167" s="18"/>
      <c r="Q167" s="19"/>
      <c r="R167" s="17"/>
      <c r="S167" s="16"/>
      <c r="T167" s="16"/>
      <c r="U167" s="16"/>
      <c r="V167" s="16"/>
      <c r="W167" s="16"/>
      <c r="X167" s="16"/>
      <c r="Y167" s="16"/>
      <c r="Z167" s="16"/>
      <c r="AA167" s="16"/>
      <c r="AB167" s="20"/>
      <c r="AC167" s="20"/>
      <c r="AD167" s="20"/>
      <c r="AE167" s="20"/>
      <c r="AF167" s="20"/>
      <c r="AG167" s="20"/>
      <c r="AH167" s="32"/>
      <c r="AI167" s="32"/>
      <c r="AJ167" s="32"/>
      <c r="AK167" s="20"/>
      <c r="AL167" s="16"/>
      <c r="AM167" s="16"/>
      <c r="AN167" s="16"/>
    </row>
    <row r="168" spans="2:40" x14ac:dyDescent="0.25">
      <c r="B168" s="21"/>
      <c r="C168" s="17"/>
      <c r="D168" s="16"/>
      <c r="E168" s="16"/>
      <c r="F168" s="18"/>
      <c r="G168" s="57" t="s">
        <v>61</v>
      </c>
      <c r="H168" s="16"/>
      <c r="I168" s="16"/>
      <c r="J168" s="16"/>
      <c r="K168" s="57" t="s">
        <v>61</v>
      </c>
      <c r="L168" s="57" t="s">
        <v>61</v>
      </c>
      <c r="M168" s="57" t="s">
        <v>61</v>
      </c>
      <c r="N168" s="16"/>
      <c r="O168" s="18"/>
      <c r="P168" s="18"/>
      <c r="Q168" s="19"/>
      <c r="R168" s="17"/>
      <c r="S168" s="16"/>
      <c r="T168" s="16"/>
      <c r="U168" s="16"/>
      <c r="V168" s="16"/>
      <c r="W168" s="16"/>
      <c r="X168" s="16"/>
      <c r="Y168" s="16"/>
      <c r="Z168" s="16"/>
      <c r="AA168" s="16"/>
      <c r="AB168" s="20"/>
      <c r="AC168" s="20"/>
      <c r="AD168" s="20"/>
      <c r="AE168" s="20"/>
      <c r="AF168" s="20"/>
      <c r="AG168" s="20"/>
      <c r="AH168" s="32"/>
      <c r="AI168" s="32"/>
      <c r="AJ168" s="32"/>
      <c r="AK168" s="20"/>
      <c r="AL168" s="16"/>
      <c r="AM168" s="16"/>
      <c r="AN168" s="16"/>
    </row>
    <row r="169" spans="2:40" x14ac:dyDescent="0.25">
      <c r="B169" s="21"/>
      <c r="C169" s="17"/>
      <c r="D169" s="16"/>
      <c r="E169" s="16"/>
      <c r="F169" s="18"/>
      <c r="G169" s="57" t="s">
        <v>61</v>
      </c>
      <c r="H169" s="16"/>
      <c r="I169" s="16"/>
      <c r="J169" s="16"/>
      <c r="K169" s="57" t="s">
        <v>61</v>
      </c>
      <c r="L169" s="57" t="s">
        <v>61</v>
      </c>
      <c r="M169" s="57" t="s">
        <v>61</v>
      </c>
      <c r="N169" s="16"/>
      <c r="O169" s="18"/>
      <c r="P169" s="18"/>
      <c r="Q169" s="19"/>
      <c r="R169" s="17"/>
      <c r="S169" s="16"/>
      <c r="T169" s="16"/>
      <c r="U169" s="16"/>
      <c r="V169" s="16"/>
      <c r="W169" s="16"/>
      <c r="X169" s="16"/>
      <c r="Y169" s="16"/>
      <c r="Z169" s="16"/>
      <c r="AA169" s="16"/>
      <c r="AB169" s="20"/>
      <c r="AC169" s="20"/>
      <c r="AD169" s="20"/>
      <c r="AE169" s="20"/>
      <c r="AF169" s="20"/>
      <c r="AG169" s="20"/>
      <c r="AH169" s="32"/>
      <c r="AI169" s="32"/>
      <c r="AJ169" s="32"/>
      <c r="AK169" s="20"/>
      <c r="AL169" s="16"/>
      <c r="AM169" s="16"/>
      <c r="AN169" s="16"/>
    </row>
    <row r="170" spans="2:40" x14ac:dyDescent="0.25">
      <c r="B170" s="21"/>
      <c r="C170" s="17"/>
      <c r="D170" s="16"/>
      <c r="E170" s="16"/>
      <c r="F170" s="18"/>
      <c r="G170" s="57" t="s">
        <v>61</v>
      </c>
      <c r="H170" s="16"/>
      <c r="I170" s="16"/>
      <c r="J170" s="16"/>
      <c r="K170" s="57" t="s">
        <v>61</v>
      </c>
      <c r="L170" s="57" t="s">
        <v>61</v>
      </c>
      <c r="M170" s="57" t="s">
        <v>61</v>
      </c>
      <c r="N170" s="16"/>
      <c r="O170" s="18"/>
      <c r="P170" s="18"/>
      <c r="Q170" s="19"/>
      <c r="R170" s="17"/>
      <c r="S170" s="16"/>
      <c r="T170" s="16"/>
      <c r="U170" s="16"/>
      <c r="V170" s="16"/>
      <c r="W170" s="16"/>
      <c r="X170" s="16"/>
      <c r="Y170" s="16"/>
      <c r="Z170" s="16"/>
      <c r="AA170" s="16"/>
      <c r="AB170" s="20"/>
      <c r="AC170" s="20"/>
      <c r="AD170" s="20"/>
      <c r="AE170" s="20"/>
      <c r="AF170" s="20"/>
      <c r="AG170" s="20"/>
      <c r="AH170" s="32"/>
      <c r="AI170" s="32"/>
      <c r="AJ170" s="32"/>
      <c r="AK170" s="20"/>
      <c r="AL170" s="16"/>
      <c r="AM170" s="16"/>
      <c r="AN170" s="16"/>
    </row>
    <row r="171" spans="2:40" x14ac:dyDescent="0.25">
      <c r="B171" s="21"/>
      <c r="C171" s="17"/>
      <c r="D171" s="16"/>
      <c r="E171" s="16"/>
      <c r="F171" s="18"/>
      <c r="G171" s="57" t="s">
        <v>61</v>
      </c>
      <c r="H171" s="16"/>
      <c r="I171" s="16"/>
      <c r="J171" s="16"/>
      <c r="K171" s="57" t="s">
        <v>61</v>
      </c>
      <c r="L171" s="57" t="s">
        <v>61</v>
      </c>
      <c r="M171" s="57" t="s">
        <v>61</v>
      </c>
      <c r="N171" s="16"/>
      <c r="O171" s="18"/>
      <c r="P171" s="18"/>
      <c r="Q171" s="19"/>
      <c r="R171" s="17"/>
      <c r="S171" s="16"/>
      <c r="T171" s="16"/>
      <c r="U171" s="16"/>
      <c r="V171" s="16"/>
      <c r="W171" s="16"/>
      <c r="X171" s="16"/>
      <c r="Y171" s="16"/>
      <c r="Z171" s="16"/>
      <c r="AA171" s="16"/>
      <c r="AB171" s="20"/>
      <c r="AC171" s="20"/>
      <c r="AD171" s="20"/>
      <c r="AE171" s="20"/>
      <c r="AF171" s="20"/>
      <c r="AG171" s="20"/>
      <c r="AH171" s="32"/>
      <c r="AI171" s="32"/>
      <c r="AJ171" s="32"/>
      <c r="AK171" s="20"/>
      <c r="AL171" s="16"/>
      <c r="AM171" s="16"/>
      <c r="AN171" s="16"/>
    </row>
    <row r="172" spans="2:40" x14ac:dyDescent="0.25">
      <c r="B172" s="21"/>
      <c r="C172" s="17"/>
      <c r="D172" s="16"/>
      <c r="E172" s="16"/>
      <c r="F172" s="18"/>
      <c r="G172" s="57" t="s">
        <v>61</v>
      </c>
      <c r="H172" s="16"/>
      <c r="I172" s="16"/>
      <c r="J172" s="16"/>
      <c r="K172" s="57" t="s">
        <v>61</v>
      </c>
      <c r="L172" s="57" t="s">
        <v>61</v>
      </c>
      <c r="M172" s="57" t="s">
        <v>61</v>
      </c>
      <c r="N172" s="16"/>
      <c r="O172" s="18"/>
      <c r="P172" s="18"/>
      <c r="Q172" s="19"/>
      <c r="R172" s="17"/>
      <c r="S172" s="16"/>
      <c r="T172" s="16"/>
      <c r="U172" s="16"/>
      <c r="V172" s="16"/>
      <c r="W172" s="16"/>
      <c r="X172" s="16"/>
      <c r="Y172" s="16"/>
      <c r="Z172" s="16"/>
      <c r="AA172" s="16"/>
      <c r="AB172" s="20"/>
      <c r="AC172" s="20"/>
      <c r="AD172" s="20"/>
      <c r="AE172" s="20"/>
      <c r="AF172" s="20"/>
      <c r="AG172" s="20"/>
      <c r="AH172" s="32"/>
      <c r="AI172" s="32"/>
      <c r="AJ172" s="32"/>
      <c r="AK172" s="20"/>
      <c r="AL172" s="16"/>
      <c r="AM172" s="16"/>
      <c r="AN172" s="16"/>
    </row>
    <row r="173" spans="2:40" x14ac:dyDescent="0.25">
      <c r="B173" s="21"/>
      <c r="C173" s="17"/>
      <c r="D173" s="16"/>
      <c r="E173" s="16"/>
      <c r="F173" s="18"/>
      <c r="G173" s="57" t="s">
        <v>61</v>
      </c>
      <c r="H173" s="16"/>
      <c r="I173" s="16"/>
      <c r="J173" s="16"/>
      <c r="K173" s="57" t="s">
        <v>61</v>
      </c>
      <c r="L173" s="57" t="s">
        <v>61</v>
      </c>
      <c r="M173" s="57" t="s">
        <v>61</v>
      </c>
      <c r="N173" s="16"/>
      <c r="O173" s="18"/>
      <c r="P173" s="18"/>
      <c r="Q173" s="19"/>
      <c r="R173" s="17"/>
      <c r="S173" s="16"/>
      <c r="T173" s="16"/>
      <c r="U173" s="16"/>
      <c r="V173" s="16"/>
      <c r="W173" s="16"/>
      <c r="X173" s="16"/>
      <c r="Y173" s="16"/>
      <c r="Z173" s="16"/>
      <c r="AA173" s="16"/>
      <c r="AB173" s="20"/>
      <c r="AC173" s="20"/>
      <c r="AD173" s="20"/>
      <c r="AE173" s="20"/>
      <c r="AF173" s="20"/>
      <c r="AG173" s="20"/>
      <c r="AH173" s="32"/>
      <c r="AI173" s="32"/>
      <c r="AJ173" s="32"/>
      <c r="AK173" s="20"/>
      <c r="AL173" s="16"/>
      <c r="AM173" s="16"/>
      <c r="AN173" s="16"/>
    </row>
    <row r="174" spans="2:40" x14ac:dyDescent="0.25">
      <c r="B174" s="21"/>
      <c r="C174" s="17"/>
      <c r="D174" s="16"/>
      <c r="E174" s="16"/>
      <c r="F174" s="18"/>
      <c r="G174" s="57" t="s">
        <v>61</v>
      </c>
      <c r="H174" s="16"/>
      <c r="I174" s="16"/>
      <c r="J174" s="16"/>
      <c r="K174" s="57" t="s">
        <v>61</v>
      </c>
      <c r="L174" s="57" t="s">
        <v>61</v>
      </c>
      <c r="M174" s="57" t="s">
        <v>61</v>
      </c>
      <c r="N174" s="16"/>
      <c r="O174" s="18"/>
      <c r="P174" s="18"/>
      <c r="Q174" s="19"/>
      <c r="R174" s="17"/>
      <c r="S174" s="16"/>
      <c r="T174" s="16"/>
      <c r="U174" s="16"/>
      <c r="V174" s="16"/>
      <c r="W174" s="16"/>
      <c r="X174" s="16"/>
      <c r="Y174" s="16"/>
      <c r="Z174" s="16"/>
      <c r="AA174" s="16"/>
      <c r="AB174" s="20"/>
      <c r="AC174" s="20"/>
      <c r="AD174" s="20"/>
      <c r="AE174" s="20"/>
      <c r="AF174" s="20"/>
      <c r="AG174" s="20"/>
      <c r="AH174" s="32"/>
      <c r="AI174" s="32"/>
      <c r="AJ174" s="32"/>
      <c r="AK174" s="20"/>
      <c r="AL174" s="16"/>
      <c r="AM174" s="16"/>
      <c r="AN174" s="16"/>
    </row>
    <row r="176" spans="2:40" x14ac:dyDescent="0.25">
      <c r="AH176" s="171"/>
      <c r="AI176" s="171"/>
      <c r="AJ176" s="172"/>
    </row>
  </sheetData>
  <autoFilter ref="B47:AN174"/>
  <customSheetViews>
    <customSheetView guid="{D33AC7AF-C8AB-4CE9-94C7-9237011A5FC3}" scale="70" showAutoFilter="1" topLeftCell="J101">
      <selection activeCell="AC135" sqref="AC135"/>
      <pageMargins left="0.7" right="0.7" top="0.75" bottom="0.75" header="0.3" footer="0.3"/>
      <autoFilter ref="B47:AN174"/>
    </customSheetView>
    <customSheetView guid="{250915DF-0B97-45D7-B29D-7EED4C89C1C1}" scale="70" topLeftCell="G34">
      <selection activeCell="Z51" sqref="Z51"/>
      <pageMargins left="0.7" right="0.7" top="0.75" bottom="0.75" header="0.3" footer="0.3"/>
      <pageSetup paperSize="9" orientation="portrait" r:id="rId1"/>
    </customSheetView>
    <customSheetView guid="{3B3E6719-EACB-4D2C-89C1-05FFAB6020FD}" scale="70">
      <selection activeCell="H18" sqref="H18"/>
      <pageMargins left="0.7" right="0.7" top="0.75" bottom="0.75" header="0.3" footer="0.3"/>
    </customSheetView>
    <customSheetView guid="{72A6EB0A-84D5-4B8A-AC51-54CCD061630B}" scale="85">
      <selection activeCell="A147" sqref="A147:XFD147"/>
      <pageMargins left="0.7" right="0.7" top="0.75" bottom="0.75" header="0.3" footer="0.3"/>
    </customSheetView>
    <customSheetView guid="{4E06BDBF-2CED-473B-850B-2A6C7311FF41}">
      <selection activeCell="A147" sqref="A147:XFD147"/>
      <pageMargins left="0.7" right="0.7" top="0.75" bottom="0.75" header="0.3" footer="0.3"/>
    </customSheetView>
    <customSheetView guid="{A2C66332-A809-458E-971B-FDB6D62C74C3}" scale="70" showAutoFilter="1">
      <selection activeCell="Q51" sqref="Q51:AH55"/>
      <pageMargins left="0.7" right="0.7" top="0.75" bottom="0.75" header="0.3" footer="0.3"/>
      <autoFilter ref="B47:AN187"/>
    </customSheetView>
    <customSheetView guid="{336B6883-2145-4B58-921E-CEC7185A847E}" filter="1" showAutoFilter="1" topLeftCell="V104">
      <selection activeCell="AK191" sqref="AK191"/>
      <pageMargins left="0.7" right="0.7" top="0.75" bottom="0.75" header="0.3" footer="0.3"/>
      <autoFilter ref="B47:AN187">
        <filterColumn colId="17">
          <filters>
            <filter val="dac.luu-cong"/>
          </filters>
        </filterColumn>
      </autoFilter>
    </customSheetView>
    <customSheetView guid="{7ECC2B8E-6A82-42F5-8AB0-4A51C54EA5EC}" topLeftCell="A16">
      <selection activeCell="Y52" sqref="Y52"/>
      <pageMargins left="0.7" right="0.7" top="0.75" bottom="0.75" header="0.3" footer="0.3"/>
    </customSheetView>
    <customSheetView guid="{60D2C030-4E31-4E07-8E1C-44D2EE84B177}" topLeftCell="A79">
      <selection activeCell="M20" sqref="M20"/>
      <pageMargins left="0.7" right="0.7" top="0.75" bottom="0.75" header="0.3" footer="0.3"/>
    </customSheetView>
    <customSheetView guid="{7E0EA425-A420-4443-B9E0-CDF0AA9E5D09}" scale="85" filter="1" showAutoFilter="1">
      <selection activeCell="I24" sqref="I24"/>
      <pageMargins left="0.7" right="0.7" top="0.75" bottom="0.75" header="0.3" footer="0.3"/>
      <pageSetup orientation="portrait" horizontalDpi="300" verticalDpi="0" r:id="rId2"/>
      <autoFilter ref="B47:AN175">
        <filterColumn colId="17">
          <filters>
            <filter val="dac.luu-cong"/>
          </filters>
        </filterColumn>
      </autoFilter>
    </customSheetView>
  </customSheetViews>
  <conditionalFormatting sqref="H4:H13 H19:H29">
    <cfRule type="cellIs" dxfId="64" priority="51" operator="equal">
      <formula>1</formula>
    </cfRule>
    <cfRule type="cellIs" dxfId="63" priority="52" operator="lessThan">
      <formula>1</formula>
    </cfRule>
  </conditionalFormatting>
  <conditionalFormatting sqref="AK109:AK174 AG48:AG174">
    <cfRule type="cellIs" dxfId="62" priority="49" operator="equal">
      <formula>"OK"</formula>
    </cfRule>
    <cfRule type="cellIs" dxfId="61" priority="50" operator="equal">
      <formula>"NG"</formula>
    </cfRule>
  </conditionalFormatting>
  <conditionalFormatting sqref="O109:P174">
    <cfRule type="cellIs" dxfId="60" priority="48" operator="equal">
      <formula>"PUT_VERSION"</formula>
    </cfRule>
  </conditionalFormatting>
  <conditionalFormatting sqref="D14">
    <cfRule type="expression" dxfId="59" priority="47">
      <formula>$D$14=SUM($D$4:$D$13)</formula>
    </cfRule>
  </conditionalFormatting>
  <conditionalFormatting sqref="E14">
    <cfRule type="expression" dxfId="58" priority="46">
      <formula>$E$14=SUM($E$4:$E$13)</formula>
    </cfRule>
  </conditionalFormatting>
  <conditionalFormatting sqref="F14">
    <cfRule type="expression" dxfId="57" priority="45">
      <formula>$F$14=SUM($F$4:$F$13)</formula>
    </cfRule>
  </conditionalFormatting>
  <conditionalFormatting sqref="D29">
    <cfRule type="expression" dxfId="56" priority="44">
      <formula>$D$29=SUM($D$19:$D$28)</formula>
    </cfRule>
  </conditionalFormatting>
  <conditionalFormatting sqref="E29">
    <cfRule type="expression" dxfId="55" priority="43">
      <formula>$E$29=SUM($E$19:$E$28)</formula>
    </cfRule>
  </conditionalFormatting>
  <conditionalFormatting sqref="H34">
    <cfRule type="cellIs" dxfId="54" priority="33" operator="equal">
      <formula>1</formula>
    </cfRule>
    <cfRule type="cellIs" dxfId="53" priority="34" operator="lessThan">
      <formula>1</formula>
    </cfRule>
  </conditionalFormatting>
  <conditionalFormatting sqref="H35:H43">
    <cfRule type="cellIs" dxfId="52" priority="31" operator="equal">
      <formula>1</formula>
    </cfRule>
    <cfRule type="cellIs" dxfId="51" priority="32" operator="lessThan">
      <formula>1</formula>
    </cfRule>
  </conditionalFormatting>
  <conditionalFormatting sqref="H44">
    <cfRule type="cellIs" dxfId="50" priority="29" operator="equal">
      <formula>1</formula>
    </cfRule>
    <cfRule type="cellIs" dxfId="49" priority="30" operator="lessThan">
      <formula>1</formula>
    </cfRule>
  </conditionalFormatting>
  <conditionalFormatting sqref="F29">
    <cfRule type="expression" dxfId="48" priority="57">
      <formula>$F$29=SUM($F$19:$F$28)</formula>
    </cfRule>
  </conditionalFormatting>
  <conditionalFormatting sqref="AG49">
    <cfRule type="cellIs" dxfId="47" priority="24" operator="equal">
      <formula>"OK"</formula>
    </cfRule>
    <cfRule type="cellIs" dxfId="46" priority="25" operator="equal">
      <formula>"NG"</formula>
    </cfRule>
  </conditionalFormatting>
  <conditionalFormatting sqref="AG50">
    <cfRule type="cellIs" dxfId="45" priority="21" operator="equal">
      <formula>"OK"</formula>
    </cfRule>
    <cfRule type="cellIs" dxfId="44" priority="22" operator="equal">
      <formula>"NG"</formula>
    </cfRule>
  </conditionalFormatting>
  <conditionalFormatting sqref="AG51">
    <cfRule type="cellIs" dxfId="43" priority="18" operator="equal">
      <formula>"OK"</formula>
    </cfRule>
    <cfRule type="cellIs" dxfId="42" priority="19" operator="equal">
      <formula>"NG"</formula>
    </cfRule>
  </conditionalFormatting>
  <conditionalFormatting sqref="AG102">
    <cfRule type="cellIs" dxfId="41" priority="15" operator="equal">
      <formula>"OK"</formula>
    </cfRule>
    <cfRule type="cellIs" dxfId="40" priority="16" operator="equal">
      <formula>"NG"</formula>
    </cfRule>
  </conditionalFormatting>
  <dataValidations count="2">
    <dataValidation type="list" allowBlank="1" showInputMessage="1" showErrorMessage="1" sqref="K48:K108">
      <formula1>"Auto,Manual"</formula1>
    </dataValidation>
    <dataValidation type="list" allowBlank="1" showInputMessage="1" showErrorMessage="1" sqref="U109:U174">
      <formula1>"Yes,No"</formula1>
    </dataValidation>
  </dataValidations>
  <pageMargins left="0.7" right="0.7" top="0.75" bottom="0.75" header="0.3" footer="0.3"/>
  <legacyDrawing r:id="rId3"/>
  <extLst>
    <ext xmlns:x14="http://schemas.microsoft.com/office/spreadsheetml/2009/9/main" uri="{78C0D931-6437-407d-A8EE-F0AAD7539E65}">
      <x14:conditionalFormattings>
        <x14:conditionalFormatting xmlns:xm="http://schemas.microsoft.com/office/excel/2006/main">
          <x14:cfRule type="cellIs" priority="53" operator="greaterThanOrEqual" id="{0E75E3B3-EDB5-45F5-833F-9302836CD5B4}">
            <xm:f>Table!$C$4</xm:f>
            <x14:dxf>
              <font>
                <color rgb="FF006100"/>
              </font>
              <fill>
                <patternFill>
                  <bgColor rgb="FFC6EFCE"/>
                </patternFill>
              </fill>
            </x14:dxf>
          </x14:cfRule>
          <x14:cfRule type="cellIs" priority="54" operator="lessThan" id="{5EDCB94B-7F83-46C9-97C1-081A0B02B98A}">
            <xm:f>Table!$C$4</xm:f>
            <x14:dxf>
              <font>
                <color rgb="FF9C0006"/>
              </font>
              <fill>
                <patternFill>
                  <bgColor rgb="FFFFC7CE"/>
                </patternFill>
              </fill>
            </x14:dxf>
          </x14:cfRule>
          <xm:sqref>G19:G29</xm:sqref>
        </x14:conditionalFormatting>
        <x14:conditionalFormatting xmlns:xm="http://schemas.microsoft.com/office/excel/2006/main">
          <x14:cfRule type="cellIs" priority="55" operator="greaterThanOrEqual" id="{A9231A75-2EB5-402E-97C4-323D56C068D8}">
            <xm:f>Table!$D$4</xm:f>
            <x14:dxf>
              <font>
                <color rgb="FF006100"/>
              </font>
              <fill>
                <patternFill>
                  <bgColor rgb="FFC6EFCE"/>
                </patternFill>
              </fill>
            </x14:dxf>
          </x14:cfRule>
          <x14:cfRule type="cellIs" priority="56" operator="lessThan" id="{A35A63F4-C373-4CDB-9228-9F67841E418C}">
            <xm:f>Table!$D$4</xm:f>
            <x14:dxf>
              <font>
                <color rgb="FF9C0006"/>
              </font>
              <fill>
                <patternFill>
                  <bgColor rgb="FFFFC7CE"/>
                </patternFill>
              </fill>
            </x14:dxf>
          </x14:cfRule>
          <xm:sqref>G4:G13</xm:sqref>
        </x14:conditionalFormatting>
        <x14:conditionalFormatting xmlns:xm="http://schemas.microsoft.com/office/excel/2006/main">
          <x14:cfRule type="cellIs" priority="41" operator="greaterThanOrEqual" id="{8F20301B-8681-44B2-92CC-21C4975A5416}">
            <xm:f>Table!$D$4</xm:f>
            <x14:dxf>
              <font>
                <color rgb="FF006100"/>
              </font>
              <fill>
                <patternFill>
                  <bgColor rgb="FFC6EFCE"/>
                </patternFill>
              </fill>
            </x14:dxf>
          </x14:cfRule>
          <x14:cfRule type="cellIs" priority="42" operator="lessThan" id="{2C7E4EDD-E31B-41EE-A2B8-F67241C142BF}">
            <xm:f>Table!$D$4</xm:f>
            <x14:dxf>
              <font>
                <color rgb="FF9C0006"/>
              </font>
              <fill>
                <patternFill>
                  <bgColor rgb="FFFFC7CE"/>
                </patternFill>
              </fill>
            </x14:dxf>
          </x14:cfRule>
          <xm:sqref>G14</xm:sqref>
        </x14:conditionalFormatting>
        <x14:conditionalFormatting xmlns:xm="http://schemas.microsoft.com/office/excel/2006/main">
          <x14:cfRule type="cellIs" priority="39" operator="greaterThanOrEqual" id="{204839CC-E17E-4053-9244-2AE05B7C201E}">
            <xm:f>Table!$D$4</xm:f>
            <x14:dxf>
              <font>
                <color rgb="FF006100"/>
              </font>
              <fill>
                <patternFill>
                  <bgColor rgb="FFC6EFCE"/>
                </patternFill>
              </fill>
            </x14:dxf>
          </x14:cfRule>
          <x14:cfRule type="cellIs" priority="40" operator="lessThan" id="{73361177-A4E2-41C7-AA2E-23A98DE24BE9}">
            <xm:f>Table!$D$4</xm:f>
            <x14:dxf>
              <font>
                <color rgb="FF9C0006"/>
              </font>
              <fill>
                <patternFill>
                  <bgColor rgb="FFFFC7CE"/>
                </patternFill>
              </fill>
            </x14:dxf>
          </x14:cfRule>
          <xm:sqref>G44</xm:sqref>
        </x14:conditionalFormatting>
        <x14:conditionalFormatting xmlns:xm="http://schemas.microsoft.com/office/excel/2006/main">
          <x14:cfRule type="cellIs" priority="37" operator="greaterThanOrEqual" id="{5955973F-691E-4017-996D-C9584C4AAF3E}">
            <xm:f>Table!$D$4</xm:f>
            <x14:dxf>
              <font>
                <color rgb="FF006100"/>
              </font>
              <fill>
                <patternFill>
                  <bgColor rgb="FFC6EFCE"/>
                </patternFill>
              </fill>
            </x14:dxf>
          </x14:cfRule>
          <x14:cfRule type="cellIs" priority="38" operator="lessThan" id="{AA433256-96E5-4BC8-B426-6A146C35C3CB}">
            <xm:f>Table!$D$4</xm:f>
            <x14:dxf>
              <font>
                <color rgb="FF9C0006"/>
              </font>
              <fill>
                <patternFill>
                  <bgColor rgb="FFFFC7CE"/>
                </patternFill>
              </fill>
            </x14:dxf>
          </x14:cfRule>
          <xm:sqref>G34</xm:sqref>
        </x14:conditionalFormatting>
        <x14:conditionalFormatting xmlns:xm="http://schemas.microsoft.com/office/excel/2006/main">
          <x14:cfRule type="cellIs" priority="35" operator="greaterThanOrEqual" id="{9428B70D-F52A-41BF-B3CE-DB3CFC9C4AB0}">
            <xm:f>Table!$D$4</xm:f>
            <x14:dxf>
              <font>
                <color rgb="FF006100"/>
              </font>
              <fill>
                <patternFill>
                  <bgColor rgb="FFC6EFCE"/>
                </patternFill>
              </fill>
            </x14:dxf>
          </x14:cfRule>
          <x14:cfRule type="cellIs" priority="36" operator="lessThan" id="{F9FD8B01-16E0-4854-844B-16232675D977}">
            <xm:f>Table!$D$4</xm:f>
            <x14:dxf>
              <font>
                <color rgb="FF9C0006"/>
              </font>
              <fill>
                <patternFill>
                  <bgColor rgb="FFFFC7CE"/>
                </patternFill>
              </fill>
            </x14:dxf>
          </x14:cfRule>
          <xm:sqref>G35:G43</xm:sqref>
        </x14:conditionalFormatting>
        <x14:conditionalFormatting xmlns:xm="http://schemas.microsoft.com/office/excel/2006/main">
          <x14:cfRule type="expression" priority="26" id="{8014DC86-9045-4B22-9DB2-C6E76B610B95}">
            <xm:f>OR(AK49=Table!$C$36,AK49=Table!$C$37)</xm:f>
            <x14:dxf>
              <font>
                <color rgb="FF9C0006"/>
              </font>
              <fill>
                <patternFill>
                  <bgColor rgb="FFFFC7CE"/>
                </patternFill>
              </fill>
            </x14:dxf>
          </x14:cfRule>
          <xm:sqref>AK49:AK62 AL63 AK64:AK66 AL67 AK68:AK71 AL72 AK73:AK76 AL77 AK78:AK174</xm:sqref>
        </x14:conditionalFormatting>
        <x14:conditionalFormatting xmlns:xm="http://schemas.microsoft.com/office/excel/2006/main">
          <x14:cfRule type="expression" priority="23" id="{CBE0B9FF-9960-4C29-8944-EAA7FBFEC0E9}">
            <xm:f>OR(AK49=Table!$C$36,AK49=Table!$C$37)</xm:f>
            <x14:dxf>
              <font>
                <color rgb="FF9C0006"/>
              </font>
              <fill>
                <patternFill>
                  <bgColor rgb="FFFFC7CE"/>
                </patternFill>
              </fill>
            </x14:dxf>
          </x14:cfRule>
          <xm:sqref>AK49</xm:sqref>
        </x14:conditionalFormatting>
        <x14:conditionalFormatting xmlns:xm="http://schemas.microsoft.com/office/excel/2006/main">
          <x14:cfRule type="expression" priority="20" id="{D52019BA-1FD8-4EC3-BF5F-9E6AA062F321}">
            <xm:f>OR(AK50=Table!$C$36,AK50=Table!$C$37)</xm:f>
            <x14:dxf>
              <font>
                <color rgb="FF9C0006"/>
              </font>
              <fill>
                <patternFill>
                  <bgColor rgb="FFFFC7CE"/>
                </patternFill>
              </fill>
            </x14:dxf>
          </x14:cfRule>
          <xm:sqref>AK50</xm:sqref>
        </x14:conditionalFormatting>
        <x14:conditionalFormatting xmlns:xm="http://schemas.microsoft.com/office/excel/2006/main">
          <x14:cfRule type="expression" priority="17" id="{65785BBE-F975-4ED2-B541-13D1D62F0F36}">
            <xm:f>OR(AK51=Table!$C$36,AK51=Table!$C$37)</xm:f>
            <x14:dxf>
              <font>
                <color rgb="FF9C0006"/>
              </font>
              <fill>
                <patternFill>
                  <bgColor rgb="FFFFC7CE"/>
                </patternFill>
              </fill>
            </x14:dxf>
          </x14:cfRule>
          <xm:sqref>AK51</xm:sqref>
        </x14:conditionalFormatting>
        <x14:conditionalFormatting xmlns:xm="http://schemas.microsoft.com/office/excel/2006/main">
          <x14:cfRule type="cellIs" priority="9" operator="equal" id="{296642FA-6D3A-4A47-ACE3-1778B1509867}">
            <xm:f>Table!$C$37</xm:f>
            <x14:dxf>
              <font>
                <b/>
                <i val="0"/>
              </font>
              <fill>
                <patternFill>
                  <bgColor rgb="FFFF0000"/>
                </patternFill>
              </fill>
            </x14:dxf>
          </x14:cfRule>
          <x14:cfRule type="cellIs" priority="10" operator="equal" id="{4A05983B-21FF-403B-8177-5A583EF45781}">
            <xm:f>Table!$C$36</xm:f>
            <x14:dxf>
              <font>
                <b/>
                <i val="0"/>
              </font>
              <fill>
                <patternFill>
                  <bgColor rgb="FFFFFF00"/>
                </patternFill>
              </fill>
            </x14:dxf>
          </x14:cfRule>
          <xm:sqref>AK48:AK116</xm:sqref>
        </x14:conditionalFormatting>
        <x14:conditionalFormatting xmlns:xm="http://schemas.microsoft.com/office/excel/2006/main">
          <x14:cfRule type="cellIs" priority="7" operator="equal" id="{D1110BDD-EA15-45DB-9794-2A404543C7D4}">
            <xm:f>Table!$C$37</xm:f>
            <x14:dxf>
              <font>
                <b/>
                <i val="0"/>
              </font>
              <fill>
                <patternFill>
                  <bgColor rgb="FFFF0000"/>
                </patternFill>
              </fill>
            </x14:dxf>
          </x14:cfRule>
          <x14:cfRule type="cellIs" priority="8" operator="equal" id="{FA1EEA63-6553-42E7-82D9-6B423525ECB9}">
            <xm:f>Table!$C$36</xm:f>
            <x14:dxf>
              <font>
                <b/>
                <i val="0"/>
              </font>
              <fill>
                <patternFill>
                  <bgColor rgb="FFFFFF00"/>
                </patternFill>
              </fill>
            </x14:dxf>
          </x14:cfRule>
          <xm:sqref>AK125:AK145</xm:sqref>
        </x14:conditionalFormatting>
        <x14:conditionalFormatting xmlns:xm="http://schemas.microsoft.com/office/excel/2006/main">
          <x14:cfRule type="cellIs" priority="5" operator="equal" id="{ADDC4DDA-5440-4D4C-8617-D143AC21CCE0}">
            <xm:f>Table!$C$3</xm:f>
            <x14:dxf>
              <fill>
                <patternFill>
                  <bgColor rgb="FF0066FF"/>
                </patternFill>
              </fill>
            </x14:dxf>
          </x14:cfRule>
          <x14:cfRule type="cellIs" priority="6" operator="equal" id="{D4667330-B974-40CE-84A6-3B1F1298C5FC}">
            <xm:f>Table!$D$3</xm:f>
            <x14:dxf>
              <fill>
                <patternFill>
                  <bgColor rgb="FF92D050"/>
                </patternFill>
              </fill>
            </x14:dxf>
          </x14:cfRule>
          <xm:sqref>D48:D53 D111:D174</xm:sqref>
        </x14:conditionalFormatting>
        <x14:conditionalFormatting xmlns:xm="http://schemas.microsoft.com/office/excel/2006/main">
          <x14:cfRule type="cellIs" priority="3" operator="equal" id="{C6F49BF7-0192-404C-B968-36A3108C58FD}">
            <xm:f>Table!$C$3</xm:f>
            <x14:dxf>
              <fill>
                <patternFill>
                  <bgColor rgb="FF0066FF"/>
                </patternFill>
              </fill>
            </x14:dxf>
          </x14:cfRule>
          <x14:cfRule type="cellIs" priority="4" operator="equal" id="{46887FF5-A2FD-4D95-B6F6-E22F884B30B7}">
            <xm:f>Table!$D$3</xm:f>
            <x14:dxf>
              <fill>
                <patternFill>
                  <bgColor rgb="FF92D050"/>
                </patternFill>
              </fill>
            </x14:dxf>
          </x14:cfRule>
          <xm:sqref>D54:D110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Table!$C$13:$C$22</xm:f>
          </x14:formula1>
          <xm:sqref>S48:S108 S109:T174</xm:sqref>
        </x14:dataValidation>
        <x14:dataValidation type="list" allowBlank="1" showInputMessage="1" showErrorMessage="1">
          <x14:formula1>
            <xm:f>Table!$C$36:$C$38</xm:f>
          </x14:formula1>
          <xm:sqref>AK72:AL72 AK63:AL63 AK67:AL67 AK77:AL77 AK48:AK62 AK64:AK66 AK68:AK71 AK73:AK76 AK78:AK174</xm:sqref>
        </x14:dataValidation>
        <x14:dataValidation type="list" allowBlank="1" showInputMessage="1" showErrorMessage="1">
          <x14:formula1>
            <xm:f>Table!$C$26:$C$32</xm:f>
          </x14:formula1>
          <xm:sqref>AA48:AA174</xm:sqref>
        </x14:dataValidation>
        <x14:dataValidation type="list" allowBlank="1" showInputMessage="1" showErrorMessage="1">
          <x14:formula1>
            <xm:f>Table!$C$8:$C$9</xm:f>
          </x14:formula1>
          <xm:sqref>D48:D174</xm:sqref>
        </x14:dataValidation>
        <x14:dataValidation type="list" allowBlank="1" showInputMessage="1" showErrorMessage="1">
          <x14:formula1>
            <xm:f>Table!$C$42:$C$43</xm:f>
          </x14:formula1>
          <xm:sqref>AG48:AG174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J38" sqref="J38"/>
    </sheetView>
  </sheetViews>
  <sheetFormatPr defaultRowHeight="15" x14ac:dyDescent="0.25"/>
  <sheetData/>
  <customSheetViews>
    <customSheetView guid="{D33AC7AF-C8AB-4CE9-94C7-9237011A5FC3}">
      <selection activeCell="J38" sqref="J38"/>
      <pageMargins left="0.7" right="0.7" top="0.75" bottom="0.75" header="0.3" footer="0.3"/>
    </customSheetView>
    <customSheetView guid="{250915DF-0B97-45D7-B29D-7EED4C89C1C1}">
      <selection activeCell="J38" sqref="J38"/>
      <pageMargins left="0.7" right="0.7" top="0.75" bottom="0.75" header="0.3" footer="0.3"/>
    </customSheetView>
    <customSheetView guid="{3B3E6719-EACB-4D2C-89C1-05FFAB6020FD}">
      <selection activeCell="J38" sqref="J38"/>
      <pageMargins left="0.7" right="0.7" top="0.75" bottom="0.75" header="0.3" footer="0.3"/>
    </customSheetView>
    <customSheetView guid="{72A6EB0A-84D5-4B8A-AC51-54CCD061630B}">
      <selection activeCell="J38" sqref="J38"/>
      <pageMargins left="0.7" right="0.7" top="0.75" bottom="0.75" header="0.3" footer="0.3"/>
    </customSheetView>
    <customSheetView guid="{4E06BDBF-2CED-473B-850B-2A6C7311FF41}">
      <selection activeCell="C39" sqref="C39"/>
      <pageMargins left="0.7" right="0.7" top="0.75" bottom="0.75" header="0.3" footer="0.3"/>
    </customSheetView>
    <customSheetView guid="{A2C66332-A809-458E-971B-FDB6D62C74C3}">
      <selection activeCell="J38" sqref="J38"/>
      <pageMargins left="0.7" right="0.7" top="0.75" bottom="0.75" header="0.3" footer="0.3"/>
    </customSheetView>
    <customSheetView guid="{336B6883-2145-4B58-921E-CEC7185A847E}">
      <selection activeCell="C39" sqref="C39"/>
      <pageMargins left="0.7" right="0.7" top="0.75" bottom="0.75" header="0.3" footer="0.3"/>
    </customSheetView>
    <customSheetView guid="{7ECC2B8E-6A82-42F5-8AB0-4A51C54EA5EC}">
      <selection activeCell="J38" sqref="J38"/>
      <pageMargins left="0.7" right="0.7" top="0.75" bottom="0.75" header="0.3" footer="0.3"/>
    </customSheetView>
    <customSheetView guid="{60D2C030-4E31-4E07-8E1C-44D2EE84B177}">
      <selection activeCell="C39" sqref="C39"/>
      <pageMargins left="0.7" right="0.7" top="0.75" bottom="0.75" header="0.3" footer="0.3"/>
    </customSheetView>
    <customSheetView guid="{7E0EA425-A420-4443-B9E0-CDF0AA9E5D09}">
      <selection activeCell="J38" sqref="J38"/>
      <pageMargins left="0.7" right="0.7" top="0.75" bottom="0.75" header="0.3" footer="0.3"/>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X195"/>
  <sheetViews>
    <sheetView topLeftCell="A151" zoomScale="85" zoomScaleNormal="85" workbookViewId="0">
      <selection activeCell="A177" sqref="A177:I187"/>
    </sheetView>
  </sheetViews>
  <sheetFormatPr defaultRowHeight="15" x14ac:dyDescent="0.25"/>
  <cols>
    <col min="2" max="2" width="16.28515625" bestFit="1" customWidth="1"/>
    <col min="3" max="3" width="17.28515625" bestFit="1" customWidth="1"/>
    <col min="4" max="4" width="9.7109375" bestFit="1" customWidth="1"/>
    <col min="5" max="5" width="10" bestFit="1" customWidth="1"/>
    <col min="6" max="6" width="10.85546875" bestFit="1" customWidth="1"/>
    <col min="7" max="7" width="9" bestFit="1" customWidth="1"/>
    <col min="8" max="8" width="12" bestFit="1" customWidth="1"/>
    <col min="9" max="9" width="21.5703125" bestFit="1" customWidth="1"/>
  </cols>
  <sheetData>
    <row r="2" spans="1:24" x14ac:dyDescent="0.25">
      <c r="A2" s="47">
        <v>1</v>
      </c>
      <c r="B2" s="47" t="s">
        <v>56</v>
      </c>
      <c r="C2" s="47">
        <v>20200428</v>
      </c>
      <c r="N2" s="47"/>
      <c r="O2" s="47" t="s">
        <v>56</v>
      </c>
      <c r="P2" s="1" t="s">
        <v>920</v>
      </c>
    </row>
    <row r="3" spans="1:24" x14ac:dyDescent="0.25">
      <c r="B3" s="47" t="s">
        <v>123</v>
      </c>
      <c r="C3">
        <f>SUM(G9:G10)</f>
        <v>9.1087499999999988</v>
      </c>
      <c r="D3" t="s">
        <v>124</v>
      </c>
      <c r="O3" s="47" t="s">
        <v>123</v>
      </c>
      <c r="P3">
        <f>SUM(T9:T10)</f>
        <v>0</v>
      </c>
      <c r="Q3" t="s">
        <v>124</v>
      </c>
    </row>
    <row r="4" spans="1:24" x14ac:dyDescent="0.25">
      <c r="B4" s="47" t="s">
        <v>133</v>
      </c>
      <c r="C4">
        <f>SUM(INT((WEEKDAY(F4-{2,3,4,5,6})+H4-F4)/7))-2</f>
        <v>4</v>
      </c>
      <c r="D4" t="s">
        <v>124</v>
      </c>
      <c r="E4" t="s">
        <v>166</v>
      </c>
      <c r="F4" s="6">
        <v>43949</v>
      </c>
      <c r="G4" s="6" t="s">
        <v>122</v>
      </c>
      <c r="H4" s="6">
        <v>43956</v>
      </c>
      <c r="O4" s="47" t="s">
        <v>133</v>
      </c>
      <c r="P4">
        <f>SUM(INT((WEEKDAY(S4-{2,3,4,5,6})+U4-S4)/7))</f>
        <v>4</v>
      </c>
      <c r="Q4" t="s">
        <v>124</v>
      </c>
      <c r="R4" t="s">
        <v>166</v>
      </c>
      <c r="S4" s="6">
        <v>43935</v>
      </c>
      <c r="T4" s="6" t="s">
        <v>122</v>
      </c>
      <c r="U4" s="6">
        <v>43938</v>
      </c>
    </row>
    <row r="5" spans="1:24" x14ac:dyDescent="0.25">
      <c r="B5" s="47" t="s">
        <v>134</v>
      </c>
      <c r="C5">
        <f>SUM(INT((WEEKDAY(F5-{2,3,4,5,6})+H5-F5)/7))-2</f>
        <v>4</v>
      </c>
      <c r="D5" t="s">
        <v>124</v>
      </c>
      <c r="E5" t="s">
        <v>144</v>
      </c>
      <c r="F5" s="6">
        <v>43949</v>
      </c>
      <c r="G5" s="6" t="s">
        <v>122</v>
      </c>
      <c r="H5" s="6">
        <v>43956</v>
      </c>
      <c r="O5" s="47" t="s">
        <v>134</v>
      </c>
      <c r="P5">
        <f>SUM(INT((WEEKDAY(S5-{2,3,4,5,6})+U5-S5)/7))</f>
        <v>4</v>
      </c>
      <c r="Q5" t="s">
        <v>124</v>
      </c>
      <c r="R5" t="s">
        <v>132</v>
      </c>
      <c r="S5" s="6">
        <v>43935</v>
      </c>
      <c r="T5" s="6" t="s">
        <v>122</v>
      </c>
      <c r="U5" s="6">
        <v>43938</v>
      </c>
    </row>
    <row r="6" spans="1:24" x14ac:dyDescent="0.25">
      <c r="B6" s="47" t="s">
        <v>17</v>
      </c>
      <c r="C6" t="str">
        <f>IF(SUM(H9:H10)&gt;SUM(G9:G10),"Delayed",IF(SUM(H9:H10)&lt;SUM(G9:G10),"InAdvanced","Ontime"))</f>
        <v>InAdvanced</v>
      </c>
      <c r="F6" s="6"/>
      <c r="G6" s="6"/>
      <c r="H6" s="6"/>
      <c r="O6" s="47" t="s">
        <v>17</v>
      </c>
      <c r="S6" s="6"/>
      <c r="T6" s="6"/>
      <c r="U6" s="6"/>
    </row>
    <row r="8" spans="1:24" ht="75" x14ac:dyDescent="0.25">
      <c r="C8" s="48" t="s">
        <v>25</v>
      </c>
      <c r="D8" s="48" t="s">
        <v>26</v>
      </c>
      <c r="E8" s="49" t="s">
        <v>125</v>
      </c>
      <c r="F8" s="49" t="s">
        <v>126</v>
      </c>
      <c r="G8" s="49" t="s">
        <v>127</v>
      </c>
      <c r="H8" s="49" t="s">
        <v>128</v>
      </c>
      <c r="I8" s="49" t="s">
        <v>29</v>
      </c>
      <c r="J8" s="170" t="str">
        <f>Table!$C$36</f>
        <v>OPL</v>
      </c>
      <c r="K8" s="170" t="str">
        <f>Table!$C$37</f>
        <v>Defect</v>
      </c>
      <c r="P8" s="48" t="s">
        <v>25</v>
      </c>
      <c r="Q8" s="48" t="s">
        <v>26</v>
      </c>
      <c r="R8" s="49" t="s">
        <v>125</v>
      </c>
      <c r="S8" s="49" t="s">
        <v>126</v>
      </c>
      <c r="T8" s="49" t="s">
        <v>127</v>
      </c>
      <c r="U8" s="49" t="s">
        <v>128</v>
      </c>
      <c r="V8" s="49" t="s">
        <v>29</v>
      </c>
      <c r="W8" s="170" t="str">
        <f>Table!$C$36</f>
        <v>OPL</v>
      </c>
      <c r="X8" s="170" t="str">
        <f>Table!$C$37</f>
        <v>Defect</v>
      </c>
    </row>
    <row r="9" spans="1:24" x14ac:dyDescent="0.25">
      <c r="C9" s="50">
        <v>1</v>
      </c>
      <c r="D9" s="41" t="str">
        <f>Table!$D$3</f>
        <v>PSW</v>
      </c>
      <c r="E9" s="41">
        <f>SUMIFS(Merged_COEM!$W$48:$W$308,Merged_COEM!$D$48:$D$308,D9, Merged_COEM!$C$48:$C$308,C2)</f>
        <v>4103</v>
      </c>
      <c r="F9" s="41">
        <f>SUMIFS(Merged_COEM!$X$48:$X$308,Merged_COEM!$D$48:$D$308,D9, Merged_COEM!$C$48:$C$308,C2)-SUM(SUMIFS(Merged_COEM!$X$48:$X$308,Merged_COEM!$D$48:$D$308,Table!$D$3,Merged_COEM!$AA$48:$AA$308,{"Ongoing","N/A",""},Merged_COEM!$C$48:$C$308,C2))</f>
        <v>4103</v>
      </c>
      <c r="G9" s="41">
        <f>1/8*(SUMIFS(Merged_COEM!$Y$48:$Y$308,Merged_COEM!$D$48:$D$308,D9, Merged_COEM!$C$48:$C$308,C2))</f>
        <v>9.1087499999999988</v>
      </c>
      <c r="H9" s="64">
        <f>1/8*(SUMIFS(Merged_COEM!$Z$48:$Z$308,Merged_COEM!$D$48:$D$308,D9, Merged_COEM!$C$48:$C$308,C2)-SUM(SUMIFS(Merged_COEM!$Z$48:$Z$308,Merged_COEM!$D$48:$D$308,D9,Merged_COEM!$AA$48:$AA$308,{"Ongoing","N/A",""},Merged_COEM!$C$48:$C$308,C2)))</f>
        <v>2.96875</v>
      </c>
      <c r="I9" s="42">
        <f>IFERROR(F9/E9,"N/A")</f>
        <v>1</v>
      </c>
      <c r="J9" s="3">
        <f>COUNTIFS(Merged_COEM!$AK$48:$AK$308,J8,Merged_COEM!$D$48:$D$308,D9,Merged_COEM!$C$48:$C$308,C2)</f>
        <v>3</v>
      </c>
      <c r="K9" s="3">
        <f>COUNTIFS(Merged_COEM!$AK$48:$AK$308,K8,Merged_COEM!$D$48:$D$308,D9,Merged_COEM!$C$48:$C$308,C2)</f>
        <v>0</v>
      </c>
      <c r="P9" s="50">
        <v>1</v>
      </c>
      <c r="Q9" s="41" t="str">
        <f>Table!$D$3</f>
        <v>PSW</v>
      </c>
      <c r="R9" s="41">
        <f>SUMIFS(Merged_COEM!$W$48:$W$308,Merged_COEM!$D$48:$D$308,Q9, Merged_COEM!$E$48:$E$308,P2)</f>
        <v>0</v>
      </c>
      <c r="S9" s="41">
        <f>SUMIFS(Merged_COEM!$X$48:$X$308,Merged_COEM!$D$48:$D$308,Q9, Merged_COEM!$E$48:$E$308,P2)-SUM(SUMIFS(Merged_COEM!$X$48:$X$308,Merged_COEM!$D$48:$D$308,Table!$D$3,Merged_COEM!$AA$48:$AA$308,{"Ongoing","N/A",""},Merged_COEM!$E$48:$E$308,P2))</f>
        <v>0</v>
      </c>
      <c r="T9" s="41">
        <f>1/8*(SUMIFS(Merged_COEM!$Y$48:$Y$308,Merged_COEM!$D$48:$D$308,Q9, Merged_COEM!$E$48:$E$308,P2))</f>
        <v>0</v>
      </c>
      <c r="U9" s="64">
        <f>1/8*(SUMIFS(Merged_COEM!$Z$48:$Z$308,Merged_COEM!$D$48:$D$308,Q9, Merged_COEM!$E$48:$E$308,P2)-SUM(SUMIFS(Merged_COEM!$Z$48:$Z$308,Merged_COEM!$D$48:$D$308,Q9,Merged_COEM!$AA$48:$AA$308,{"Ongoing","N/A",""},Merged_COEM!$E$48:$E$308,P2)))</f>
        <v>0</v>
      </c>
      <c r="V9" s="42" t="str">
        <f>IFERROR(S9/R9,"N/A")</f>
        <v>N/A</v>
      </c>
      <c r="W9" s="3">
        <f>COUNTIFS(Merged_COEM!$AK$48:$AK$308,W8,Merged_COEM!$D$48:$D$308,Q9,Merged_COEM!$E$48:$E$308,P2)</f>
        <v>0</v>
      </c>
      <c r="X9" s="3">
        <f>COUNTIFS(Merged_COEM!$AK$48:$AK$308,X8,Merged_COEM!$D$48:$D$308,Q9,Merged_COEM!$E$48:$E$308,P2)</f>
        <v>0</v>
      </c>
    </row>
    <row r="10" spans="1:24" x14ac:dyDescent="0.25">
      <c r="C10" s="50">
        <v>2</v>
      </c>
      <c r="D10" s="41" t="str">
        <f>Table!$C$3</f>
        <v>ASW</v>
      </c>
      <c r="E10" s="41">
        <f>SUMIFS(Merged_COEM!$W$48:$W$308,Merged_COEM!$D$48:$D$308,D10, Merged_COEM!$C$48:$C$308,C2)</f>
        <v>0</v>
      </c>
      <c r="F10" s="41">
        <f>SUMIFS(Merged_COEM!$X$48:$X$308,Merged_COEM!$D$48:$D$308,D10, Merged_COEM!$C$48:$C$308,C2)-SUM(SUMIFS(Merged_COEM!$X$48:$X$308,Merged_COEM!$D$48:$D$308,D10,Merged_COEM!$AA$48:$AA$308,{"Ongoing","N/A",""},Merged_COEM!$C$48:$C$308,C2))</f>
        <v>0</v>
      </c>
      <c r="G10" s="41">
        <f>1/8*(SUMIFS(Merged_COEM!$Y$48:$Y$308,Merged_COEM!$D$48:$D$308,D10, Merged_COEM!$C$48:$C$308,C2))</f>
        <v>0</v>
      </c>
      <c r="H10" s="64">
        <f>1/8*(SUMIFS(Merged_COEM!$Z$48:$Z$308,Merged_COEM!$D$48:$D$308,D10, Merged_COEM!$C$48:$C$308,C2)-SUM(SUMIFS(Merged_COEM!$Z$48:$Z$308,Merged_COEM!$D$48:$D$308,D10,Merged_COEM!$AA$48:$AA$308,{"Ongoing","N/A",""},Merged_COEM!$C$48:$C$308,C2)))</f>
        <v>0</v>
      </c>
      <c r="I10" s="42" t="str">
        <f>IFERROR(F10/E10,"N/A")</f>
        <v>N/A</v>
      </c>
      <c r="J10" s="3">
        <f>COUNTIFS(Merged_COEM!$AK$48:$AK$308,J8,Merged_COEM!$D$48:$D$308,D10,Merged_COEM!$C$48:$C$308,C2)</f>
        <v>0</v>
      </c>
      <c r="K10" s="3">
        <f>COUNTIFS(Merged_COEM!$AK$48:$AK$308,K8,Merged_COEM!$D$48:$D$308,D10,Merged_COEM!$C$48:$C$308,C2)</f>
        <v>0</v>
      </c>
      <c r="P10" s="50">
        <v>2</v>
      </c>
      <c r="Q10" s="41" t="str">
        <f>Table!$C$3</f>
        <v>ASW</v>
      </c>
      <c r="R10" s="41">
        <f>SUMIFS(Merged_COEM!$W$48:$W$308,Merged_COEM!$D$48:$D$308,Q10, Merged_COEM!$E$48:$E$308,P2)</f>
        <v>0</v>
      </c>
      <c r="S10" s="41">
        <f>SUMIFS(Merged_COEM!$X$48:$X$308,Merged_COEM!$D$48:$D$308,Q10, Merged_COEM!$E$48:$E$308,P2)-SUM(SUMIFS(Merged_COEM!$X$48:$X$308,Merged_COEM!$D$48:$D$308,Table!$D$3,Merged_COEM!$AA$48:$AA$308,{"Ongoing","N/A",""},Merged_COEM!$E$48:$E$308,P2))</f>
        <v>0</v>
      </c>
      <c r="T10" s="41">
        <f>1/8*(SUMIFS(Merged_COEM!$Y$48:$Y$308,Merged_COEM!$D$48:$D$308,Q10, Merged_COEM!$E$48:$E$308,P2))</f>
        <v>0</v>
      </c>
      <c r="U10" s="64">
        <f>1/8*(SUMIFS(Merged_COEM!$Z$48:$Z$308,Merged_COEM!$D$48:$D$308,Q10, Merged_COEM!$E$48:$E$308,P2)-SUM(SUMIFS(Merged_COEM!$Z$48:$Z$308,Merged_COEM!$D$48:$D$308,Q10,Merged_COEM!$AA$48:$AA$308,{"Ongoing","N/A",""},Merged_COEM!$E$48:$E$308,P2)))</f>
        <v>0</v>
      </c>
      <c r="V10" s="42" t="str">
        <f>IFERROR(S10/R10,"N/A")</f>
        <v>N/A</v>
      </c>
      <c r="W10" s="3">
        <f>COUNTIFS(Merged_COEM!$AK$48:$AK$308,W8,Merged_COEM!$D$48:$D$308,Q10,Merged_COEM!$E$48:$E$308,P2)</f>
        <v>0</v>
      </c>
      <c r="X10" s="3">
        <f>COUNTIFS(Merged_COEM!$AK$48:$AK$308,X8,Merged_COEM!$D$48:$D$308,Q10,Merged_COEM!$E$48:$E$308,P2)</f>
        <v>0</v>
      </c>
    </row>
    <row r="12" spans="1:24" x14ac:dyDescent="0.25">
      <c r="C12" t="s">
        <v>130</v>
      </c>
      <c r="P12" t="s">
        <v>130</v>
      </c>
    </row>
    <row r="13" spans="1:24" x14ac:dyDescent="0.25">
      <c r="D13" s="37" t="s">
        <v>135</v>
      </c>
    </row>
    <row r="15" spans="1:24" x14ac:dyDescent="0.25">
      <c r="A15" s="47">
        <v>2</v>
      </c>
      <c r="B15" s="47" t="s">
        <v>56</v>
      </c>
      <c r="C15" s="47">
        <v>20200429</v>
      </c>
    </row>
    <row r="16" spans="1:24" x14ac:dyDescent="0.25">
      <c r="B16" s="47" t="s">
        <v>123</v>
      </c>
      <c r="C16">
        <f>SUM(G22:G23)</f>
        <v>21.532500000000006</v>
      </c>
      <c r="D16" t="s">
        <v>124</v>
      </c>
    </row>
    <row r="17" spans="1:11" x14ac:dyDescent="0.25">
      <c r="B17" s="47" t="s">
        <v>133</v>
      </c>
      <c r="C17">
        <f>SUM(INT((WEEKDAY(F17-{2,3,4,5,6})+H17-F17)/7))-2</f>
        <v>11</v>
      </c>
      <c r="D17" t="s">
        <v>124</v>
      </c>
      <c r="E17" t="s">
        <v>166</v>
      </c>
      <c r="F17" s="6">
        <v>43950</v>
      </c>
      <c r="G17" s="6" t="s">
        <v>122</v>
      </c>
      <c r="H17" s="6">
        <v>43966</v>
      </c>
    </row>
    <row r="18" spans="1:11" x14ac:dyDescent="0.25">
      <c r="B18" s="47" t="s">
        <v>134</v>
      </c>
      <c r="C18">
        <f>SUM(INT((WEEKDAY(F18-{2,3,4,5,6})+H18-F18)/7))-2</f>
        <v>3</v>
      </c>
      <c r="D18" t="s">
        <v>124</v>
      </c>
      <c r="E18" t="s">
        <v>144</v>
      </c>
      <c r="F18" s="6">
        <v>43955</v>
      </c>
      <c r="G18" s="6" t="s">
        <v>122</v>
      </c>
      <c r="H18" s="6">
        <v>43959</v>
      </c>
    </row>
    <row r="19" spans="1:11" x14ac:dyDescent="0.25">
      <c r="B19" s="47" t="s">
        <v>17</v>
      </c>
      <c r="C19" t="str">
        <f>IF(SUM(H22:H23)&gt;SUM(G22:G23),"Delayed",IF(SUM(H22:H23)&lt;SUM(G22:G23),"InAdvanced","Ontime"))</f>
        <v>InAdvanced</v>
      </c>
      <c r="F19" s="6"/>
      <c r="G19" s="6"/>
      <c r="H19" s="6"/>
    </row>
    <row r="21" spans="1:11" ht="45" x14ac:dyDescent="0.25">
      <c r="C21" s="48" t="s">
        <v>25</v>
      </c>
      <c r="D21" s="48" t="s">
        <v>26</v>
      </c>
      <c r="E21" s="49" t="s">
        <v>125</v>
      </c>
      <c r="F21" s="49" t="s">
        <v>126</v>
      </c>
      <c r="G21" s="49" t="s">
        <v>127</v>
      </c>
      <c r="H21" s="49" t="s">
        <v>128</v>
      </c>
      <c r="I21" s="49" t="s">
        <v>29</v>
      </c>
      <c r="J21" s="170" t="str">
        <f>Table!$C$36</f>
        <v>OPL</v>
      </c>
      <c r="K21" s="170" t="str">
        <f>Table!$C$37</f>
        <v>Defect</v>
      </c>
    </row>
    <row r="22" spans="1:11" x14ac:dyDescent="0.25">
      <c r="C22" s="50">
        <v>1</v>
      </c>
      <c r="D22" s="41" t="str">
        <f>Table!$D$3</f>
        <v>PSW</v>
      </c>
      <c r="E22" s="41">
        <f>SUMIFS(Merged_COEM!$W$48:$W$308,Merged_COEM!$D$48:$D$308,D22, Merged_COEM!$C$48:$C$308,C15)</f>
        <v>8573</v>
      </c>
      <c r="F22" s="41">
        <f>SUMIFS(Merged_COEM!$X$48:$X$308,Merged_COEM!$D$48:$D$308,D22, Merged_COEM!$C$48:$C$308,C15)-SUM(SUMIFS(Merged_COEM!$X$48:$X$308,Merged_COEM!$D$48:$D$308,Table!$D$3,Merged_COEM!$AA$48:$AA$308,{"Ongoing","N/A",""},Merged_COEM!$C$48:$C$308,C15))</f>
        <v>8573</v>
      </c>
      <c r="G22" s="41">
        <f>1/8*(SUMIFS(Merged_COEM!$Y$48:$Y$308,Merged_COEM!$D$48:$D$308,D22, Merged_COEM!$C$48:$C$308,C15))</f>
        <v>19.028750000000006</v>
      </c>
      <c r="H22" s="64">
        <f>1/8*(SUMIFS(Merged_COEM!$Z$48:$Z$308,Merged_COEM!$D$48:$D$308,D22, Merged_COEM!$C$48:$C$308,C15)-SUM(SUMIFS(Merged_COEM!$Z$48:$Z$308,Merged_COEM!$D$48:$D$308,D22,Merged_COEM!$AA$48:$AA$308,{"Ongoing","N/A",""},Merged_COEM!$C$48:$C$308,C15)))</f>
        <v>10.112500000000001</v>
      </c>
      <c r="I22" s="42">
        <f>IFERROR(F22/E22,"N/A")</f>
        <v>1</v>
      </c>
      <c r="J22" s="3">
        <f>COUNTIFS(Merged_COEM!$AK$48:$AK$308,J21,Merged_COEM!$D$48:$D$308,D22,Merged_COEM!$C$48:$C$308,C15)</f>
        <v>10</v>
      </c>
      <c r="K22" s="3">
        <f>COUNTIFS(Merged_COEM!$AK$48:$AK$308,K21,Merged_COEM!$D$48:$D$308,D22,Merged_COEM!$C$48:$C$308,C15)</f>
        <v>1</v>
      </c>
    </row>
    <row r="23" spans="1:11" x14ac:dyDescent="0.25">
      <c r="C23" s="50">
        <v>2</v>
      </c>
      <c r="D23" s="41" t="str">
        <f>Table!$C$3</f>
        <v>ASW</v>
      </c>
      <c r="E23" s="41">
        <f>SUMIFS(Merged_COEM!$W$48:$W$308,Merged_COEM!$D$48:$D$308,D23, Merged_COEM!$C$48:$C$308,C15)</f>
        <v>326</v>
      </c>
      <c r="F23" s="41">
        <f>SUMIFS(Merged_COEM!$X$48:$X$308,Merged_COEM!$D$48:$D$308,D23, Merged_COEM!$C$48:$C$308,C15)-SUM(SUMIFS(Merged_COEM!$X$48:$X$308,Merged_COEM!$D$48:$D$308,D23,Merged_COEM!$AA$48:$AA$308,{"Ongoing","N/A",""},Merged_COEM!$C$48:$C$308,C15))</f>
        <v>326</v>
      </c>
      <c r="G23" s="41">
        <f>1/8*(SUMIFS(Merged_COEM!$Y$48:$Y$308,Merged_COEM!$D$48:$D$308,D23, Merged_COEM!$C$48:$C$308,C15))</f>
        <v>2.5037499999999997</v>
      </c>
      <c r="H23" s="64">
        <f>1/8*(SUMIFS(Merged_COEM!$Z$48:$Z$308,Merged_COEM!$D$48:$D$308,D23, Merged_COEM!$C$48:$C$308,C15)-SUM(SUMIFS(Merged_COEM!$Z$48:$Z$308,Merged_COEM!$D$48:$D$308,D23,Merged_COEM!$AA$48:$AA$308,{"Ongoing","N/A",""},Merged_COEM!$C$48:$C$308,C15)))</f>
        <v>2.1875</v>
      </c>
      <c r="I23" s="42">
        <f>IFERROR(F23/E23,"N/A")</f>
        <v>1</v>
      </c>
      <c r="J23" s="3">
        <f>COUNTIFS(Merged_COEM!$AK$48:$AK$308,J21,Merged_COEM!$D$48:$D$308,D23,Merged_COEM!$C$48:$C$308,C15)</f>
        <v>2</v>
      </c>
      <c r="K23" s="3">
        <f>COUNTIFS(Merged_COEM!$AK$48:$AK$308,K21,Merged_COEM!$D$48:$D$308,D23,Merged_COEM!$C$48:$C$308,C15)</f>
        <v>0</v>
      </c>
    </row>
    <row r="25" spans="1:11" x14ac:dyDescent="0.25">
      <c r="C25" t="s">
        <v>130</v>
      </c>
    </row>
    <row r="26" spans="1:11" x14ac:dyDescent="0.25">
      <c r="D26" s="37" t="s">
        <v>135</v>
      </c>
    </row>
    <row r="28" spans="1:11" x14ac:dyDescent="0.25">
      <c r="A28" s="47">
        <v>3</v>
      </c>
      <c r="B28" s="47" t="s">
        <v>56</v>
      </c>
      <c r="C28" s="47">
        <v>20200504</v>
      </c>
    </row>
    <row r="29" spans="1:11" x14ac:dyDescent="0.25">
      <c r="B29" s="47" t="s">
        <v>123</v>
      </c>
      <c r="C29">
        <f>SUM(G35:G36)</f>
        <v>0.52625</v>
      </c>
      <c r="D29" t="s">
        <v>124</v>
      </c>
    </row>
    <row r="30" spans="1:11" x14ac:dyDescent="0.25">
      <c r="B30" s="47" t="s">
        <v>133</v>
      </c>
      <c r="C30">
        <f>SUM(INT((WEEKDAY(F30-{2,3,4,5,6})+H30-F30)/7))</f>
        <v>3</v>
      </c>
      <c r="D30" t="s">
        <v>124</v>
      </c>
      <c r="E30" t="s">
        <v>166</v>
      </c>
      <c r="F30" s="6">
        <v>43955</v>
      </c>
      <c r="G30" s="6" t="s">
        <v>122</v>
      </c>
      <c r="H30" s="6">
        <v>43957</v>
      </c>
    </row>
    <row r="31" spans="1:11" x14ac:dyDescent="0.25">
      <c r="B31" s="47" t="s">
        <v>134</v>
      </c>
      <c r="C31">
        <f>SUM(INT((WEEKDAY(F31-{2,3,4,5,6})+H31-F31)/7))</f>
        <v>3</v>
      </c>
      <c r="D31" t="s">
        <v>124</v>
      </c>
      <c r="E31" t="s">
        <v>144</v>
      </c>
      <c r="F31" s="6">
        <v>43955</v>
      </c>
      <c r="G31" s="6" t="s">
        <v>122</v>
      </c>
      <c r="H31" s="6">
        <v>43957</v>
      </c>
    </row>
    <row r="32" spans="1:11" x14ac:dyDescent="0.25">
      <c r="B32" s="47" t="s">
        <v>17</v>
      </c>
      <c r="C32" t="str">
        <f>IF(SUM(H35:H36)&gt;SUM(G35:G36),"Delayed",IF(SUM(H35:H36)&lt;SUM(G35:G36),"InAdvanced","Ontime"))</f>
        <v>InAdvanced</v>
      </c>
      <c r="F32" s="6"/>
      <c r="G32" s="6"/>
      <c r="H32" s="6"/>
    </row>
    <row r="34" spans="1:11" ht="45" x14ac:dyDescent="0.25">
      <c r="C34" s="48" t="s">
        <v>25</v>
      </c>
      <c r="D34" s="48" t="s">
        <v>26</v>
      </c>
      <c r="E34" s="49" t="s">
        <v>125</v>
      </c>
      <c r="F34" s="49" t="s">
        <v>126</v>
      </c>
      <c r="G34" s="49" t="s">
        <v>127</v>
      </c>
      <c r="H34" s="49" t="s">
        <v>128</v>
      </c>
      <c r="I34" s="49" t="s">
        <v>29</v>
      </c>
      <c r="J34" s="170" t="str">
        <f>Table!$C$36</f>
        <v>OPL</v>
      </c>
      <c r="K34" s="170" t="str">
        <f>Table!$C$37</f>
        <v>Defect</v>
      </c>
    </row>
    <row r="35" spans="1:11" x14ac:dyDescent="0.25">
      <c r="C35" s="50">
        <v>1</v>
      </c>
      <c r="D35" s="41" t="str">
        <f>Table!$D$3</f>
        <v>PSW</v>
      </c>
      <c r="E35" s="41">
        <f>SUMIFS(Merged_COEM!$W$48:$W$308,Merged_COEM!$D$48:$D$308,D35, Merged_COEM!$C$48:$C$308,C28)</f>
        <v>82</v>
      </c>
      <c r="F35" s="41">
        <f>SUMIFS(Merged_COEM!$X$48:$X$308,Merged_COEM!$D$48:$D$308,D35, Merged_COEM!$C$48:$C$308,C28)-SUM(SUMIFS(Merged_COEM!$X$48:$X$308,Merged_COEM!$D$48:$D$308,Table!$D$3,Merged_COEM!$AA$48:$AA$308,{"Ongoing","N/A",""},Merged_COEM!$C$48:$C$308,C28))</f>
        <v>82</v>
      </c>
      <c r="G35" s="41">
        <f>1/8*(SUMIFS(Merged_COEM!$Y$48:$Y$308,Merged_COEM!$D$48:$D$308,D35, Merged_COEM!$C$48:$C$308,C28))</f>
        <v>0.18124999999999999</v>
      </c>
      <c r="H35" s="64">
        <f>1/8*(SUMIFS(Merged_COEM!$Z$48:$Z$308,Merged_COEM!$D$48:$D$308,D35, Merged_COEM!$C$48:$C$308,C28)-SUM(SUMIFS(Merged_COEM!$Z$48:$Z$308,Merged_COEM!$D$48:$D$308,D35,Merged_COEM!$AA$48:$AA$308,{"Ongoing","N/A",""},Merged_COEM!$C$48:$C$308,C28)))</f>
        <v>0.125</v>
      </c>
      <c r="I35" s="42">
        <f>IFERROR(F35/E35,"N/A")</f>
        <v>1</v>
      </c>
      <c r="J35" s="3">
        <f>COUNTIFS(Merged_COEM!$AK$48:$AK$308,J34,Merged_COEM!$D$48:$D$308,D35,Merged_COEM!$C$48:$C$308,C28)</f>
        <v>0</v>
      </c>
      <c r="K35" s="3">
        <f>COUNTIFS(Merged_COEM!$AK$48:$AK$308,K34,Merged_COEM!$D$48:$D$308,D35,Merged_COEM!$C$48:$C$308,C28)</f>
        <v>0</v>
      </c>
    </row>
    <row r="36" spans="1:11" x14ac:dyDescent="0.25">
      <c r="C36" s="50">
        <v>2</v>
      </c>
      <c r="D36" s="41" t="str">
        <f>Table!$C$3</f>
        <v>ASW</v>
      </c>
      <c r="E36" s="41">
        <f>SUMIFS(Merged_COEM!$W$48:$W$308,Merged_COEM!$D$48:$D$308,D36, Merged_COEM!$C$48:$C$308,C28)</f>
        <v>45</v>
      </c>
      <c r="F36" s="41">
        <f>SUMIFS(Merged_COEM!$X$48:$X$308,Merged_COEM!$D$48:$D$308,D36, Merged_COEM!$C$48:$C$308,C28)-SUM(SUMIFS(Merged_COEM!$X$48:$X$308,Merged_COEM!$D$48:$D$308,D36,Merged_COEM!$AA$48:$AA$308,{"Ongoing","N/A",""},Merged_COEM!$C$48:$C$308,C28))</f>
        <v>45</v>
      </c>
      <c r="G36" s="41">
        <f>1/8*(SUMIFS(Merged_COEM!$Y$48:$Y$308,Merged_COEM!$D$48:$D$308,D36, Merged_COEM!$C$48:$C$308,C28))</f>
        <v>0.34499999999999997</v>
      </c>
      <c r="H36" s="64">
        <f>1/8*(SUMIFS(Merged_COEM!$Z$48:$Z$308,Merged_COEM!$D$48:$D$308,D36, Merged_COEM!$C$48:$C$308,C28)-SUM(SUMIFS(Merged_COEM!$Z$48:$Z$308,Merged_COEM!$D$48:$D$308,D36,Merged_COEM!$AA$48:$AA$308,{"Ongoing","N/A",""},Merged_COEM!$C$48:$C$308,C28)))</f>
        <v>0.375</v>
      </c>
      <c r="I36" s="42">
        <f>IFERROR(F36/E36,"N/A")</f>
        <v>1</v>
      </c>
      <c r="J36" s="3">
        <f>COUNTIFS(Merged_COEM!$AK$48:$AK$308,J34,Merged_COEM!$D$48:$D$308,D36,Merged_COEM!$C$48:$C$308,C28)</f>
        <v>0</v>
      </c>
      <c r="K36" s="3">
        <f>COUNTIFS(Merged_COEM!$AK$48:$AK$308,K34,Merged_COEM!$D$48:$D$308,D36,Merged_COEM!$C$48:$C$308,C28)</f>
        <v>0</v>
      </c>
    </row>
    <row r="38" spans="1:11" x14ac:dyDescent="0.25">
      <c r="C38" t="s">
        <v>130</v>
      </c>
    </row>
    <row r="39" spans="1:11" x14ac:dyDescent="0.25">
      <c r="D39" s="37" t="s">
        <v>135</v>
      </c>
    </row>
    <row r="41" spans="1:11" x14ac:dyDescent="0.25">
      <c r="A41" s="47">
        <v>4</v>
      </c>
      <c r="B41" s="47" t="s">
        <v>56</v>
      </c>
      <c r="C41" s="47">
        <v>20200506</v>
      </c>
    </row>
    <row r="42" spans="1:11" x14ac:dyDescent="0.25">
      <c r="B42" s="47" t="s">
        <v>123</v>
      </c>
      <c r="C42">
        <f>SUM(G48:G49)</f>
        <v>23.123749999999998</v>
      </c>
      <c r="D42" t="s">
        <v>124</v>
      </c>
    </row>
    <row r="43" spans="1:11" x14ac:dyDescent="0.25">
      <c r="B43" s="47" t="s">
        <v>133</v>
      </c>
      <c r="C43">
        <f>SUM(INT((WEEKDAY(F43-{2,3,4,5,6})+H43-F43)/7))</f>
        <v>6</v>
      </c>
      <c r="D43" t="s">
        <v>124</v>
      </c>
      <c r="E43" t="s">
        <v>166</v>
      </c>
      <c r="F43" s="6">
        <v>43957</v>
      </c>
      <c r="G43" s="6" t="s">
        <v>122</v>
      </c>
      <c r="H43" s="6">
        <v>43964</v>
      </c>
    </row>
    <row r="44" spans="1:11" x14ac:dyDescent="0.25">
      <c r="B44" s="47" t="s">
        <v>134</v>
      </c>
      <c r="C44">
        <f>SUM(INT((WEEKDAY(F44-{2,3,4,5,6})+H44-F44)/7))</f>
        <v>6</v>
      </c>
      <c r="D44" t="s">
        <v>124</v>
      </c>
      <c r="E44" t="s">
        <v>166</v>
      </c>
      <c r="F44" s="6">
        <v>43957</v>
      </c>
      <c r="G44" s="6" t="s">
        <v>122</v>
      </c>
      <c r="H44" s="6">
        <v>43964</v>
      </c>
    </row>
    <row r="45" spans="1:11" x14ac:dyDescent="0.25">
      <c r="B45" s="47" t="s">
        <v>17</v>
      </c>
      <c r="C45" t="str">
        <f>IF(SUM(H48:H49)&gt;SUM(G48:G49),"Delayed",IF(SUM(H48:H49)&lt;SUM(G48:G49),"InAdvanced","Ontime"))</f>
        <v>InAdvanced</v>
      </c>
      <c r="F45" s="6"/>
      <c r="G45" s="6"/>
      <c r="H45" s="6"/>
    </row>
    <row r="47" spans="1:11" ht="45" x14ac:dyDescent="0.25">
      <c r="C47" s="48" t="s">
        <v>25</v>
      </c>
      <c r="D47" s="48" t="s">
        <v>26</v>
      </c>
      <c r="E47" s="49" t="s">
        <v>125</v>
      </c>
      <c r="F47" s="49" t="s">
        <v>126</v>
      </c>
      <c r="G47" s="49" t="s">
        <v>127</v>
      </c>
      <c r="H47" s="49" t="s">
        <v>128</v>
      </c>
      <c r="I47" s="49" t="s">
        <v>29</v>
      </c>
      <c r="J47" s="170" t="str">
        <f>Table!$C$36</f>
        <v>OPL</v>
      </c>
      <c r="K47" s="170" t="str">
        <f>Table!$C$37</f>
        <v>Defect</v>
      </c>
    </row>
    <row r="48" spans="1:11" x14ac:dyDescent="0.25">
      <c r="C48" s="50">
        <v>1</v>
      </c>
      <c r="D48" s="41" t="str">
        <f>Table!$D$3</f>
        <v>PSW</v>
      </c>
      <c r="E48" s="41">
        <f>SUMIFS(Merged_COEM!$W$48:$W$308,Merged_COEM!$D$48:$D$308,D48, Merged_COEM!$C$48:$C$308,C41)</f>
        <v>10414</v>
      </c>
      <c r="F48" s="41">
        <f>SUMIFS(Merged_COEM!$X$48:$X$308,Merged_COEM!$D$48:$D$308,D48, Merged_COEM!$C$48:$C$308,C41)-SUM(SUMIFS(Merged_COEM!$X$48:$X$308,Merged_COEM!$D$48:$D$308,Table!$D$3,Merged_COEM!$AA$48:$AA$308,{"Ongoing","N/A",""},Merged_COEM!$C$48:$C$308,C41))</f>
        <v>10414</v>
      </c>
      <c r="G48" s="41">
        <f>1/8*(SUMIFS(Merged_COEM!$Y$48:$Y$308,Merged_COEM!$D$48:$D$308,D48, Merged_COEM!$C$48:$C$308,C41))</f>
        <v>23.123749999999998</v>
      </c>
      <c r="H48" s="64">
        <f>1/8*(SUMIFS(Merged_COEM!$Z$48:$Z$308,Merged_COEM!$D$48:$D$308,D48, Merged_COEM!$C$48:$C$308,C41)-SUM(SUMIFS(Merged_COEM!$Z$48:$Z$308,Merged_COEM!$D$48:$D$308,D48,Merged_COEM!$AA$48:$AA$308,{"Ongoing","N/A",""},Merged_COEM!$C$48:$C$308,C41)))</f>
        <v>11.0625</v>
      </c>
      <c r="I48" s="42">
        <f>IFERROR(F48/E48,"N/A")</f>
        <v>1</v>
      </c>
      <c r="J48" s="3">
        <f>COUNTIFS(Merged_COEM!$AK$48:$AK$308,J47,Merged_COEM!$D$48:$D$308,D48,Merged_COEM!$C$48:$C$308,C41)</f>
        <v>4</v>
      </c>
      <c r="K48" s="3">
        <f>COUNTIFS(Merged_COEM!$AK$48:$AK$308,K47,Merged_COEM!$D$48:$D$308,D48,Merged_COEM!$C$48:$C$308,C41)</f>
        <v>0</v>
      </c>
    </row>
    <row r="49" spans="1:11" x14ac:dyDescent="0.25">
      <c r="C49" s="50">
        <v>2</v>
      </c>
      <c r="D49" s="41" t="str">
        <f>Table!$C$3</f>
        <v>ASW</v>
      </c>
      <c r="E49" s="41">
        <f>SUMIFS(Merged_COEM!$W$48:$W$308,Merged_COEM!$D$48:$D$308,D49, Merged_COEM!$C$48:$C$308,C41)</f>
        <v>0</v>
      </c>
      <c r="F49" s="41">
        <f>SUMIFS(Merged_COEM!$X$48:$X$308,Merged_COEM!$D$48:$D$308,D49, Merged_COEM!$C$48:$C$308,C41)-SUM(SUMIFS(Merged_COEM!$X$48:$X$308,Merged_COEM!$D$48:$D$308,D49,Merged_COEM!$AA$48:$AA$308,{"Ongoing","N/A",""},Merged_COEM!$C$48:$C$308,C41))</f>
        <v>0</v>
      </c>
      <c r="G49" s="41">
        <f>1/8*(SUMIFS(Merged_COEM!$Y$48:$Y$308,Merged_COEM!$D$48:$D$308,D49, Merged_COEM!$C$48:$C$308,C41))</f>
        <v>0</v>
      </c>
      <c r="H49" s="64">
        <f>1/8*(SUMIFS(Merged_COEM!$Z$48:$Z$308,Merged_COEM!$D$48:$D$308,D49, Merged_COEM!$C$48:$C$308,C41)-SUM(SUMIFS(Merged_COEM!$Z$48:$Z$308,Merged_COEM!$D$48:$D$308,D49,Merged_COEM!$AA$48:$AA$308,{"Ongoing","N/A",""},Merged_COEM!$C$48:$C$308,C41)))</f>
        <v>0</v>
      </c>
      <c r="I49" s="42" t="str">
        <f>IFERROR(F49/E49,"N/A")</f>
        <v>N/A</v>
      </c>
      <c r="J49" s="3">
        <f>COUNTIFS(Merged_COEM!$AK$48:$AK$308,J47,Merged_COEM!$D$48:$D$308,D49,Merged_COEM!$C$48:$C$308,C41)</f>
        <v>0</v>
      </c>
      <c r="K49" s="3">
        <f>COUNTIFS(Merged_COEM!$AK$48:$AK$308,K47,Merged_COEM!$D$48:$D$308,D49,Merged_COEM!$C$48:$C$308,C41)</f>
        <v>0</v>
      </c>
    </row>
    <row r="51" spans="1:11" x14ac:dyDescent="0.25">
      <c r="C51" t="s">
        <v>130</v>
      </c>
    </row>
    <row r="52" spans="1:11" x14ac:dyDescent="0.25">
      <c r="D52" s="37" t="s">
        <v>135</v>
      </c>
    </row>
    <row r="54" spans="1:11" x14ac:dyDescent="0.25">
      <c r="A54" s="47">
        <v>5</v>
      </c>
      <c r="B54" s="47" t="s">
        <v>56</v>
      </c>
      <c r="C54" s="47">
        <v>20200507</v>
      </c>
    </row>
    <row r="55" spans="1:11" x14ac:dyDescent="0.25">
      <c r="B55" s="47" t="s">
        <v>123</v>
      </c>
      <c r="C55">
        <f>SUM(G61:G62)</f>
        <v>9.0487500000000001</v>
      </c>
      <c r="D55" t="s">
        <v>124</v>
      </c>
    </row>
    <row r="56" spans="1:11" x14ac:dyDescent="0.25">
      <c r="B56" s="47" t="s">
        <v>133</v>
      </c>
      <c r="C56">
        <f>SUM(INT((WEEKDAY(F56-{2,3,4,5,6})+H56-F56)/7))</f>
        <v>6</v>
      </c>
      <c r="D56" t="s">
        <v>124</v>
      </c>
      <c r="E56" t="s">
        <v>166</v>
      </c>
      <c r="F56" s="6">
        <v>43958</v>
      </c>
      <c r="G56" s="6" t="s">
        <v>122</v>
      </c>
      <c r="H56" s="6">
        <v>43965</v>
      </c>
    </row>
    <row r="57" spans="1:11" x14ac:dyDescent="0.25">
      <c r="B57" s="47" t="s">
        <v>134</v>
      </c>
      <c r="C57">
        <f>SUM(INT((WEEKDAY(F57-{2,3,4,5,6})+H57-F57)/7))</f>
        <v>6</v>
      </c>
      <c r="D57" t="s">
        <v>124</v>
      </c>
      <c r="E57" t="s">
        <v>166</v>
      </c>
      <c r="F57" s="6">
        <v>43958</v>
      </c>
      <c r="G57" s="6" t="s">
        <v>122</v>
      </c>
      <c r="H57" s="6">
        <v>43965</v>
      </c>
    </row>
    <row r="58" spans="1:11" x14ac:dyDescent="0.25">
      <c r="B58" s="47" t="s">
        <v>17</v>
      </c>
      <c r="C58" t="str">
        <f>IF(SUM(H61:H62)&gt;SUM(G61:G62),"Delayed",IF(SUM(H61:H62)&lt;SUM(G61:G62),"InAdvanced","Ontime"))</f>
        <v>InAdvanced</v>
      </c>
      <c r="F58" s="6"/>
      <c r="G58" s="6"/>
      <c r="H58" s="6"/>
    </row>
    <row r="60" spans="1:11" ht="45" x14ac:dyDescent="0.25">
      <c r="C60" s="48" t="s">
        <v>25</v>
      </c>
      <c r="D60" s="48" t="s">
        <v>26</v>
      </c>
      <c r="E60" s="49" t="s">
        <v>125</v>
      </c>
      <c r="F60" s="49" t="s">
        <v>126</v>
      </c>
      <c r="G60" s="49" t="s">
        <v>127</v>
      </c>
      <c r="H60" s="49" t="s">
        <v>128</v>
      </c>
      <c r="I60" s="49" t="s">
        <v>29</v>
      </c>
      <c r="J60" s="170" t="str">
        <f>Table!$C$36</f>
        <v>OPL</v>
      </c>
      <c r="K60" s="170" t="str">
        <f>Table!$C$37</f>
        <v>Defect</v>
      </c>
    </row>
    <row r="61" spans="1:11" x14ac:dyDescent="0.25">
      <c r="C61" s="50">
        <v>1</v>
      </c>
      <c r="D61" s="41" t="str">
        <f>Table!$D$3</f>
        <v>PSW</v>
      </c>
      <c r="E61" s="41">
        <f>SUMIFS(Merged_COEM!$W$48:$W$308,Merged_COEM!$D$48:$D$308,D61, Merged_COEM!$C$48:$C$308,C54)</f>
        <v>4075</v>
      </c>
      <c r="F61" s="41">
        <f>SUMIFS(Merged_COEM!$X$48:$X$308,Merged_COEM!$D$48:$D$308,D61, Merged_COEM!$C$48:$C$308,C54)-SUM(SUMIFS(Merged_COEM!$X$48:$X$308,Merged_COEM!$D$48:$D$308,Table!$D$3,Merged_COEM!$AA$48:$AA$308,{"Ongoing","N/A",""},Merged_COEM!$C$48:$C$308,C54))</f>
        <v>4075</v>
      </c>
      <c r="G61" s="41">
        <f>1/8*(SUMIFS(Merged_COEM!$Y$48:$Y$308,Merged_COEM!$D$48:$D$308,D61, Merged_COEM!$C$48:$C$308,C54))</f>
        <v>9.0487500000000001</v>
      </c>
      <c r="H61" s="64">
        <f>1/8*(SUMIFS(Merged_COEM!$Z$48:$Z$308,Merged_COEM!$D$48:$D$308,D61, Merged_COEM!$C$48:$C$308,C54)-SUM(SUMIFS(Merged_COEM!$Z$48:$Z$308,Merged_COEM!$D$48:$D$308,D61,Merged_COEM!$AA$48:$AA$308,{"Ongoing","N/A",""},Merged_COEM!$C$48:$C$308,C54)))</f>
        <v>3.0775000000000001</v>
      </c>
      <c r="I61" s="42">
        <f>IFERROR(F61/E61,"N/A")</f>
        <v>1</v>
      </c>
      <c r="J61" s="3">
        <f>COUNTIFS(Merged_COEM!$AK$48:$AK$308,J60,Merged_COEM!$D$48:$D$308,D61,Merged_COEM!$C$48:$C$308,C54)</f>
        <v>1</v>
      </c>
      <c r="K61" s="3">
        <f>COUNTIFS(Merged_COEM!$AK$48:$AK$308,K60,Merged_COEM!$D$48:$D$308,D61,Merged_COEM!$C$48:$C$308,C54)</f>
        <v>0</v>
      </c>
    </row>
    <row r="62" spans="1:11" x14ac:dyDescent="0.25">
      <c r="C62" s="50">
        <v>2</v>
      </c>
      <c r="D62" s="41" t="str">
        <f>Table!$C$3</f>
        <v>ASW</v>
      </c>
      <c r="E62" s="41">
        <f>SUMIFS(Merged_COEM!$W$48:$W$308,Merged_COEM!$D$48:$D$308,D62, Merged_COEM!$C$48:$C$308,C54)</f>
        <v>0</v>
      </c>
      <c r="F62" s="41">
        <f>SUMIFS(Merged_COEM!$X$48:$X$308,Merged_COEM!$D$48:$D$308,D62, Merged_COEM!$C$48:$C$308,C54)-SUM(SUMIFS(Merged_COEM!$X$48:$X$308,Merged_COEM!$D$48:$D$308,D62,Merged_COEM!$AA$48:$AA$308,{"Ongoing","N/A",""},Merged_COEM!$C$48:$C$308,C54))</f>
        <v>0</v>
      </c>
      <c r="G62" s="41">
        <f>1/8*(SUMIFS(Merged_COEM!$Y$48:$Y$308,Merged_COEM!$D$48:$D$308,D62, Merged_COEM!$C$48:$C$308,C54))</f>
        <v>0</v>
      </c>
      <c r="H62" s="64">
        <f>1/8*(SUMIFS(Merged_COEM!$Z$48:$Z$308,Merged_COEM!$D$48:$D$308,D62, Merged_COEM!$C$48:$C$308,C54)-SUM(SUMIFS(Merged_COEM!$Z$48:$Z$308,Merged_COEM!$D$48:$D$308,D62,Merged_COEM!$AA$48:$AA$308,{"Ongoing","N/A",""},Merged_COEM!$C$48:$C$308,C54)))</f>
        <v>0</v>
      </c>
      <c r="I62" s="42" t="str">
        <f>IFERROR(F62/E62,"N/A")</f>
        <v>N/A</v>
      </c>
      <c r="J62" s="3">
        <f>COUNTIFS(Merged_COEM!$AK$48:$AK$308,J60,Merged_COEM!$D$48:$D$308,D62,Merged_COEM!$C$48:$C$308,C54)</f>
        <v>0</v>
      </c>
      <c r="K62" s="3">
        <f>COUNTIFS(Merged_COEM!$AK$48:$AK$308,K60,Merged_COEM!$D$48:$D$308,D62,Merged_COEM!$C$48:$C$308,C54)</f>
        <v>0</v>
      </c>
    </row>
    <row r="64" spans="1:11" x14ac:dyDescent="0.25">
      <c r="C64" t="s">
        <v>130</v>
      </c>
    </row>
    <row r="65" spans="1:11" x14ac:dyDescent="0.25">
      <c r="D65" s="37" t="s">
        <v>135</v>
      </c>
    </row>
    <row r="67" spans="1:11" x14ac:dyDescent="0.25">
      <c r="A67" s="47">
        <v>6</v>
      </c>
      <c r="B67" s="47" t="s">
        <v>56</v>
      </c>
      <c r="C67" s="47">
        <v>20200508</v>
      </c>
    </row>
    <row r="68" spans="1:11" x14ac:dyDescent="0.25">
      <c r="B68" s="47" t="s">
        <v>123</v>
      </c>
      <c r="C68">
        <f>SUM(G74:G75)</f>
        <v>3.4225000000000003</v>
      </c>
      <c r="D68" t="s">
        <v>124</v>
      </c>
    </row>
    <row r="69" spans="1:11" x14ac:dyDescent="0.25">
      <c r="B69" s="47" t="s">
        <v>133</v>
      </c>
      <c r="C69">
        <f>SUM(INT((WEEKDAY(F69-{2,3,4,5,6})+H69-F69)/7))</f>
        <v>5</v>
      </c>
      <c r="D69" t="s">
        <v>124</v>
      </c>
      <c r="E69" t="s">
        <v>166</v>
      </c>
      <c r="F69" s="6">
        <v>43959</v>
      </c>
      <c r="G69" s="6" t="s">
        <v>122</v>
      </c>
      <c r="H69" s="6">
        <v>43965</v>
      </c>
    </row>
    <row r="70" spans="1:11" x14ac:dyDescent="0.25">
      <c r="B70" s="47" t="s">
        <v>134</v>
      </c>
      <c r="C70">
        <f>SUM(INT((WEEKDAY(F70-{2,3,4,5,6})+H70-F70)/7))</f>
        <v>5</v>
      </c>
      <c r="D70" t="s">
        <v>124</v>
      </c>
      <c r="E70" t="s">
        <v>166</v>
      </c>
      <c r="F70" s="6">
        <v>43959</v>
      </c>
      <c r="G70" s="6" t="s">
        <v>122</v>
      </c>
      <c r="H70" s="6">
        <v>43965</v>
      </c>
    </row>
    <row r="71" spans="1:11" x14ac:dyDescent="0.25">
      <c r="B71" s="47" t="s">
        <v>17</v>
      </c>
      <c r="C71" t="str">
        <f>IF(SUM(H74:H75)&gt;SUM(G74:G75),"Delayed",IF(SUM(H74:H75)&lt;SUM(G74:G75),"InAdvanced","Ontime"))</f>
        <v>InAdvanced</v>
      </c>
      <c r="F71" s="6"/>
      <c r="G71" s="6"/>
      <c r="H71" s="6"/>
    </row>
    <row r="73" spans="1:11" ht="45" x14ac:dyDescent="0.25">
      <c r="C73" s="48" t="s">
        <v>25</v>
      </c>
      <c r="D73" s="48" t="s">
        <v>26</v>
      </c>
      <c r="E73" s="49" t="s">
        <v>125</v>
      </c>
      <c r="F73" s="49" t="s">
        <v>126</v>
      </c>
      <c r="G73" s="49" t="s">
        <v>127</v>
      </c>
      <c r="H73" s="49" t="s">
        <v>128</v>
      </c>
      <c r="I73" s="49" t="s">
        <v>29</v>
      </c>
      <c r="J73" s="170" t="str">
        <f>Table!$C$36</f>
        <v>OPL</v>
      </c>
      <c r="K73" s="170" t="str">
        <f>Table!$C$37</f>
        <v>Defect</v>
      </c>
    </row>
    <row r="74" spans="1:11" x14ac:dyDescent="0.25">
      <c r="C74" s="50">
        <v>1</v>
      </c>
      <c r="D74" s="41" t="str">
        <f>Table!$D$3</f>
        <v>PSW</v>
      </c>
      <c r="E74" s="41">
        <f>SUMIFS(Merged_COEM!$W$48:$W$308,Merged_COEM!$D$48:$D$308,D74, Merged_COEM!$C$48:$C$308,C67)</f>
        <v>1541</v>
      </c>
      <c r="F74" s="41">
        <f>SUMIFS(Merged_COEM!$X$48:$X$308,Merged_COEM!$D$48:$D$308,D74, Merged_COEM!$C$48:$C$308,C67)-SUM(SUMIFS(Merged_COEM!$X$48:$X$308,Merged_COEM!$D$48:$D$308,Table!$D$3,Merged_COEM!$AA$48:$AA$308,{"Ongoing","N/A",""},Merged_COEM!$C$48:$C$308,C67))</f>
        <v>1541</v>
      </c>
      <c r="G74" s="41">
        <f>1/8*(SUMIFS(Merged_COEM!$Y$48:$Y$308,Merged_COEM!$D$48:$D$308,D74, Merged_COEM!$C$48:$C$308,C67))</f>
        <v>3.4225000000000003</v>
      </c>
      <c r="H74" s="64">
        <f>1/8*(SUMIFS(Merged_COEM!$Z$48:$Z$308,Merged_COEM!$D$48:$D$308,D74, Merged_COEM!$C$48:$C$308,C67)-SUM(SUMIFS(Merged_COEM!$Z$48:$Z$308,Merged_COEM!$D$48:$D$308,D74,Merged_COEM!$AA$48:$AA$308,{"Ongoing","N/A",""},Merged_COEM!$C$48:$C$308,C67)))</f>
        <v>0.79875000000000007</v>
      </c>
      <c r="I74" s="42">
        <f>IFERROR(F74/E74,"N/A")</f>
        <v>1</v>
      </c>
      <c r="J74" s="3">
        <f>COUNTIFS(Merged_COEM!$AK$48:$AK$308,J73,Merged_COEM!$D$48:$D$308,D74,Merged_COEM!$C$48:$C$308,C67)</f>
        <v>1</v>
      </c>
      <c r="K74" s="3">
        <f>COUNTIFS(Merged_COEM!$AK$48:$AK$308,K73,Merged_COEM!$D$48:$D$308,D74,Merged_COEM!$C$48:$C$308,C67)</f>
        <v>0</v>
      </c>
    </row>
    <row r="75" spans="1:11" x14ac:dyDescent="0.25">
      <c r="C75" s="50">
        <v>2</v>
      </c>
      <c r="D75" s="41" t="str">
        <f>Table!$C$3</f>
        <v>ASW</v>
      </c>
      <c r="E75" s="41">
        <f>SUMIFS(Merged_COEM!$W$48:$W$308,Merged_COEM!$D$48:$D$308,D75, Merged_COEM!$C$48:$C$308,C67)</f>
        <v>0</v>
      </c>
      <c r="F75" s="41">
        <f>SUMIFS(Merged_COEM!$X$48:$X$308,Merged_COEM!$D$48:$D$308,D75, Merged_COEM!$C$48:$C$308,C67)-SUM(SUMIFS(Merged_COEM!$X$48:$X$308,Merged_COEM!$D$48:$D$308,D75,Merged_COEM!$AA$48:$AA$308,{"Ongoing","N/A",""},Merged_COEM!$C$48:$C$308,C67))</f>
        <v>0</v>
      </c>
      <c r="G75" s="41">
        <f>1/8*(SUMIFS(Merged_COEM!$Y$48:$Y$308,Merged_COEM!$D$48:$D$308,D75, Merged_COEM!$C$48:$C$308,C67))</f>
        <v>0</v>
      </c>
      <c r="H75" s="64">
        <f>1/8*(SUMIFS(Merged_COEM!$Z$48:$Z$308,Merged_COEM!$D$48:$D$308,D75, Merged_COEM!$C$48:$C$308,C67)-SUM(SUMIFS(Merged_COEM!$Z$48:$Z$308,Merged_COEM!$D$48:$D$308,D75,Merged_COEM!$AA$48:$AA$308,{"Ongoing","N/A",""},Merged_COEM!$C$48:$C$308,C67)))</f>
        <v>0</v>
      </c>
      <c r="I75" s="42" t="str">
        <f>IFERROR(F75/E75,"N/A")</f>
        <v>N/A</v>
      </c>
      <c r="J75" s="3">
        <f>COUNTIFS(Merged_COEM!$AK$48:$AK$308,J73,Merged_COEM!$D$48:$D$308,D75,Merged_COEM!$C$48:$C$308,C67)</f>
        <v>0</v>
      </c>
      <c r="K75" s="3">
        <f>COUNTIFS(Merged_COEM!$AK$48:$AK$308,K73,Merged_COEM!$D$48:$D$308,D75,Merged_COEM!$C$48:$C$308,C67)</f>
        <v>0</v>
      </c>
    </row>
    <row r="77" spans="1:11" x14ac:dyDescent="0.25">
      <c r="C77" t="s">
        <v>130</v>
      </c>
    </row>
    <row r="78" spans="1:11" x14ac:dyDescent="0.25">
      <c r="D78" s="125" t="s">
        <v>726</v>
      </c>
    </row>
    <row r="80" spans="1:11" x14ac:dyDescent="0.25">
      <c r="A80" s="47">
        <v>7</v>
      </c>
      <c r="B80" s="47" t="s">
        <v>56</v>
      </c>
      <c r="C80" s="47">
        <v>20200511</v>
      </c>
    </row>
    <row r="81" spans="1:11" x14ac:dyDescent="0.25">
      <c r="B81" s="47" t="s">
        <v>123</v>
      </c>
      <c r="C81">
        <f>SUM(G87:G88)</f>
        <v>5.4087499999999995</v>
      </c>
      <c r="D81" t="s">
        <v>124</v>
      </c>
    </row>
    <row r="82" spans="1:11" x14ac:dyDescent="0.25">
      <c r="B82" s="47" t="s">
        <v>133</v>
      </c>
      <c r="C82">
        <f>SUM(INT((WEEKDAY(F82-{2,3,4,5,6})+H82-F82)/7))</f>
        <v>6</v>
      </c>
      <c r="D82" t="s">
        <v>124</v>
      </c>
      <c r="E82" t="s">
        <v>166</v>
      </c>
      <c r="F82" s="6">
        <v>43963</v>
      </c>
      <c r="G82" s="6" t="s">
        <v>122</v>
      </c>
      <c r="H82" s="6">
        <v>43970</v>
      </c>
    </row>
    <row r="83" spans="1:11" x14ac:dyDescent="0.25">
      <c r="B83" s="47" t="s">
        <v>134</v>
      </c>
      <c r="C83">
        <f>SUM(INT((WEEKDAY(F83-{2,3,4,5,6})+H83-F83)/7))</f>
        <v>5</v>
      </c>
      <c r="D83" t="s">
        <v>124</v>
      </c>
      <c r="E83" t="s">
        <v>166</v>
      </c>
      <c r="F83" s="6">
        <v>43963</v>
      </c>
      <c r="G83" s="6" t="s">
        <v>122</v>
      </c>
      <c r="H83" s="6">
        <v>43969</v>
      </c>
    </row>
    <row r="84" spans="1:11" x14ac:dyDescent="0.25">
      <c r="B84" s="47" t="s">
        <v>17</v>
      </c>
      <c r="C84" t="str">
        <f>IF(SUM(H87:H88)&gt;SUM(G87:G88),"Delayed",IF(SUM(H87:H88)&lt;SUM(G87:G88),"InAdvanced","Ontime"))</f>
        <v>InAdvanced</v>
      </c>
      <c r="F84" s="6"/>
      <c r="G84" s="6"/>
      <c r="H84" s="6"/>
    </row>
    <row r="86" spans="1:11" ht="45" x14ac:dyDescent="0.25">
      <c r="C86" s="48" t="s">
        <v>25</v>
      </c>
      <c r="D86" s="48" t="s">
        <v>26</v>
      </c>
      <c r="E86" s="49" t="s">
        <v>125</v>
      </c>
      <c r="F86" s="49" t="s">
        <v>126</v>
      </c>
      <c r="G86" s="49" t="s">
        <v>127</v>
      </c>
      <c r="H86" s="49" t="s">
        <v>128</v>
      </c>
      <c r="I86" s="49" t="s">
        <v>29</v>
      </c>
      <c r="J86" s="170" t="str">
        <f>Table!$C$36</f>
        <v>OPL</v>
      </c>
      <c r="K86" s="170" t="str">
        <f>Table!$C$37</f>
        <v>Defect</v>
      </c>
    </row>
    <row r="87" spans="1:11" x14ac:dyDescent="0.25">
      <c r="C87" s="50">
        <v>1</v>
      </c>
      <c r="D87" s="41" t="str">
        <f>Table!$D$3</f>
        <v>PSW</v>
      </c>
      <c r="E87" s="41">
        <f>SUMIFS(Merged_COEM!$W$48:$W$308,Merged_COEM!$D$48:$D$308,D87, Merged_COEM!$C$48:$C$308,C80)</f>
        <v>2035</v>
      </c>
      <c r="F87" s="41">
        <f>SUMIFS(Merged_COEM!$X$48:$X$308,Merged_COEM!$D$48:$D$308,D87, Merged_COEM!$C$48:$C$308,C80)-SUM(SUMIFS(Merged_COEM!$X$48:$X$308,Merged_COEM!$D$48:$D$308,Table!$D$3,Merged_COEM!$AA$48:$AA$308,{"Ongoing","N/A",""},Merged_COEM!$C$48:$C$308,C80))</f>
        <v>2035</v>
      </c>
      <c r="G87" s="41">
        <f>1/8*(SUMIFS(Merged_COEM!$Y$48:$Y$308,Merged_COEM!$D$48:$D$308,D87, Merged_COEM!$C$48:$C$308,C80))</f>
        <v>4.5112499999999995</v>
      </c>
      <c r="H87" s="64">
        <f>1/8*(SUMIFS(Merged_COEM!$Z$48:$Z$308,Merged_COEM!$D$48:$D$308,D87, Merged_COEM!$C$48:$C$308,C80)-SUM(SUMIFS(Merged_COEM!$Z$48:$Z$308,Merged_COEM!$D$48:$D$308,D87,Merged_COEM!$AA$48:$AA$308,{"Ongoing","N/A",""},Merged_COEM!$C$48:$C$308,C80)))</f>
        <v>2.4375</v>
      </c>
      <c r="I87" s="42">
        <f>IFERROR(F87/E87,"N/A")</f>
        <v>1</v>
      </c>
      <c r="J87" s="3">
        <f>COUNTIFS(Merged_COEM!$AK$48:$AK$308,J86,Merged_COEM!$D$48:$D$308,D87,Merged_COEM!$C$48:$C$308,C80)</f>
        <v>3</v>
      </c>
      <c r="K87" s="3">
        <f>COUNTIFS(Merged_COEM!$AK$48:$AK$308,K86,Merged_COEM!$D$48:$D$308,D87,Merged_COEM!$C$48:$C$308,C80)</f>
        <v>0</v>
      </c>
    </row>
    <row r="88" spans="1:11" x14ac:dyDescent="0.25">
      <c r="C88" s="50">
        <v>2</v>
      </c>
      <c r="D88" s="41" t="str">
        <f>Table!$C$3</f>
        <v>ASW</v>
      </c>
      <c r="E88" s="41">
        <f>SUMIFS(Merged_COEM!$W$48:$W$308,Merged_COEM!$D$48:$D$308,D88, Merged_COEM!$C$48:$C$308,C80)</f>
        <v>117</v>
      </c>
      <c r="F88" s="41">
        <f>SUMIFS(Merged_COEM!$X$48:$X$308,Merged_COEM!$D$48:$D$308,D88, Merged_COEM!$C$48:$C$308,C80)-SUM(SUMIFS(Merged_COEM!$X$48:$X$308,Merged_COEM!$D$48:$D$308,D88,Merged_COEM!$AA$48:$AA$308,{"Ongoing","N/A",""},Merged_COEM!$C$48:$C$308,C80))</f>
        <v>117</v>
      </c>
      <c r="G88" s="41">
        <f>1/8*(SUMIFS(Merged_COEM!$Y$48:$Y$308,Merged_COEM!$D$48:$D$308,D88, Merged_COEM!$C$48:$C$308,C80))</f>
        <v>0.89749999999999996</v>
      </c>
      <c r="H88" s="64">
        <f>1/8*(SUMIFS(Merged_COEM!$Z$48:$Z$308,Merged_COEM!$D$48:$D$308,D88, Merged_COEM!$C$48:$C$308,C80)-SUM(SUMIFS(Merged_COEM!$Z$48:$Z$308,Merged_COEM!$D$48:$D$308,D88,Merged_COEM!$AA$48:$AA$308,{"Ongoing","N/A",""},Merged_COEM!$C$48:$C$308,C80)))</f>
        <v>1.5912500000000001</v>
      </c>
      <c r="I88" s="42">
        <f>IFERROR(F88/E88,"N/A")</f>
        <v>1</v>
      </c>
      <c r="J88" s="3">
        <f>COUNTIFS(Merged_COEM!$AK$48:$AK$308,J86,Merged_COEM!$D$48:$D$308,D88,Merged_COEM!$C$48:$C$308,C80)</f>
        <v>2</v>
      </c>
      <c r="K88" s="3">
        <f>COUNTIFS(Merged_COEM!$AK$48:$AK$308,K86,Merged_COEM!$D$48:$D$308,D88,Merged_COEM!$C$48:$C$308,C80)</f>
        <v>0</v>
      </c>
    </row>
    <row r="90" spans="1:11" x14ac:dyDescent="0.25">
      <c r="C90" t="s">
        <v>130</v>
      </c>
    </row>
    <row r="91" spans="1:11" x14ac:dyDescent="0.25">
      <c r="D91" s="155" t="s">
        <v>135</v>
      </c>
    </row>
    <row r="93" spans="1:11" x14ac:dyDescent="0.25">
      <c r="A93" s="1">
        <v>8</v>
      </c>
      <c r="B93" s="1" t="s">
        <v>56</v>
      </c>
      <c r="C93" s="1">
        <v>20200513</v>
      </c>
    </row>
    <row r="94" spans="1:11" x14ac:dyDescent="0.25">
      <c r="B94" s="1" t="s">
        <v>123</v>
      </c>
      <c r="C94">
        <f>SUM(G100:G101)</f>
        <v>0.59499999999999997</v>
      </c>
      <c r="D94" t="s">
        <v>124</v>
      </c>
    </row>
    <row r="95" spans="1:11" x14ac:dyDescent="0.25">
      <c r="B95" s="1" t="s">
        <v>133</v>
      </c>
      <c r="C95">
        <f>SUM(INT((WEEKDAY(F95-{2,3,4,5,6})+H95-F95)/7))</f>
        <v>3</v>
      </c>
      <c r="D95" t="s">
        <v>124</v>
      </c>
      <c r="E95" t="s">
        <v>166</v>
      </c>
      <c r="F95" s="6">
        <v>43964</v>
      </c>
      <c r="G95" s="6" t="s">
        <v>122</v>
      </c>
      <c r="H95" s="6">
        <v>43966</v>
      </c>
    </row>
    <row r="96" spans="1:11" x14ac:dyDescent="0.25">
      <c r="B96" s="1" t="s">
        <v>134</v>
      </c>
      <c r="C96">
        <f>SUM(INT((WEEKDAY(F96-{2,3,4,5,6})+H96-F96)/7))</f>
        <v>1</v>
      </c>
      <c r="D96" t="s">
        <v>124</v>
      </c>
      <c r="E96" t="s">
        <v>166</v>
      </c>
      <c r="F96" s="6">
        <v>43964</v>
      </c>
      <c r="G96" s="6" t="s">
        <v>122</v>
      </c>
      <c r="H96" s="6">
        <v>43964</v>
      </c>
    </row>
    <row r="97" spans="1:11" x14ac:dyDescent="0.25">
      <c r="B97" s="1" t="s">
        <v>17</v>
      </c>
      <c r="C97" t="str">
        <f>IF(SUM(H100:H101)&gt;SUM(G100:G101),"Delayed",IF(SUM(H100:H101)&lt;SUM(G100:G101),"InAdvanced","Ontime"))</f>
        <v>InAdvanced</v>
      </c>
      <c r="F97" s="6"/>
      <c r="G97" s="6"/>
      <c r="H97" s="6"/>
    </row>
    <row r="99" spans="1:11" ht="45" x14ac:dyDescent="0.25">
      <c r="C99" s="59" t="s">
        <v>25</v>
      </c>
      <c r="D99" s="59" t="s">
        <v>26</v>
      </c>
      <c r="E99" s="9" t="s">
        <v>125</v>
      </c>
      <c r="F99" s="9" t="s">
        <v>126</v>
      </c>
      <c r="G99" s="9" t="s">
        <v>127</v>
      </c>
      <c r="H99" s="9" t="s">
        <v>128</v>
      </c>
      <c r="I99" s="9" t="s">
        <v>29</v>
      </c>
      <c r="J99" s="170" t="str">
        <f>Table!$C$36</f>
        <v>OPL</v>
      </c>
      <c r="K99" s="170" t="str">
        <f>Table!$C$37</f>
        <v>Defect</v>
      </c>
    </row>
    <row r="100" spans="1:11" x14ac:dyDescent="0.25">
      <c r="C100" s="50">
        <v>1</v>
      </c>
      <c r="D100" s="41" t="str">
        <f>Table!$D$3</f>
        <v>PSW</v>
      </c>
      <c r="E100" s="41">
        <f>SUMIFS(Merged_COEM!$W$48:$W$308,Merged_COEM!$D$48:$D$308,D100, Merged_COEM!$C$48:$C$308,C93)</f>
        <v>130</v>
      </c>
      <c r="F100" s="41">
        <f>SUMIFS(Merged_COEM!$X$48:$X$308,Merged_COEM!$D$48:$D$308,D100, Merged_COEM!$C$48:$C$308,C93)-SUM(SUMIFS(Merged_COEM!$X$48:$X$308,Merged_COEM!$D$48:$D$308,Table!$D$3,Merged_COEM!$AA$48:$AA$308,{"Ongoing","N/A",""},Merged_COEM!$C$48:$C$308,C93))</f>
        <v>130</v>
      </c>
      <c r="G100" s="41">
        <f>1/8*(SUMIFS(Merged_COEM!$Y$48:$Y$308,Merged_COEM!$D$48:$D$308,D100, Merged_COEM!$C$48:$C$308,C93))</f>
        <v>0.28749999999999998</v>
      </c>
      <c r="H100" s="41">
        <f>1/8*(SUMIFS(Merged_COEM!$Z$48:$Z$308,Merged_COEM!$D$48:$D$308,D100, Merged_COEM!$C$48:$C$308,C93)-SUM(SUMIFS(Merged_COEM!$Z$48:$Z$308,Merged_COEM!$D$48:$D$308,D100,Merged_COEM!$AA$48:$AA$308,{"Ongoing","N/A",""},Merged_COEM!$C$48:$C$308,C93)))</f>
        <v>0.1875</v>
      </c>
      <c r="I100" s="42">
        <f>IFERROR(F100/E100,"N/A")</f>
        <v>1</v>
      </c>
      <c r="J100" s="3">
        <f>COUNTIFS(Merged_COEM!$AK$48:$AK$308,J99,Merged_COEM!$D$48:$D$308,D100,Merged_COEM!$C$48:$C$308,C93)</f>
        <v>0</v>
      </c>
      <c r="K100" s="3">
        <f>COUNTIFS(Merged_COEM!$AK$48:$AK$308,K99,Merged_COEM!$D$48:$D$308,D100,Merged_COEM!$C$48:$C$308,C93)</f>
        <v>0</v>
      </c>
    </row>
    <row r="101" spans="1:11" x14ac:dyDescent="0.25">
      <c r="C101" s="50">
        <v>2</v>
      </c>
      <c r="D101" s="41" t="str">
        <f>Table!$C$3</f>
        <v>ASW</v>
      </c>
      <c r="E101" s="41">
        <f>SUMIFS(Merged_COEM!$W$48:$W$308,Merged_COEM!$D$48:$D$308,D101, Merged_COEM!$C$48:$C$308,C93)</f>
        <v>40</v>
      </c>
      <c r="F101" s="41">
        <f>SUMIFS(Merged_COEM!$X$48:$X$308,Merged_COEM!$D$48:$D$308,D101, Merged_COEM!$C$48:$C$308,C93)-SUM(SUMIFS(Merged_COEM!$X$48:$X$308,Merged_COEM!$D$48:$D$308,D101,Merged_COEM!$AA$48:$AA$308,{"Ongoing","N/A",""},Merged_COEM!$C$48:$C$308,C93))</f>
        <v>40</v>
      </c>
      <c r="G101" s="41">
        <f>1/8*(SUMIFS(Merged_COEM!$Y$48:$Y$308,Merged_COEM!$D$48:$D$308,D101, Merged_COEM!$C$48:$C$308,C93))</f>
        <v>0.3075</v>
      </c>
      <c r="H101" s="41">
        <f>1/8*(SUMIFS(Merged_COEM!$Z$48:$Z$308,Merged_COEM!$D$48:$D$308,D101, Merged_COEM!$C$48:$C$308,C93)-SUM(SUMIFS(Merged_COEM!$Z$48:$Z$308,Merged_COEM!$D$48:$D$308,D101,Merged_COEM!$AA$48:$AA$308,{"Ongoing","N/A",""},Merged_COEM!$C$48:$C$308,C93)))</f>
        <v>0.25</v>
      </c>
      <c r="I101" s="42">
        <f>IFERROR(F101/E101,"N/A")</f>
        <v>1</v>
      </c>
      <c r="J101" s="3">
        <f>COUNTIFS(Merged_COEM!$AK$48:$AK$308,J99,Merged_COEM!$D$48:$D$308,D101,Merged_COEM!$C$48:$C$308,C93)</f>
        <v>0</v>
      </c>
      <c r="K101" s="3">
        <f>COUNTIFS(Merged_COEM!$AK$48:$AK$308,K99,Merged_COEM!$D$48:$D$308,D101,Merged_COEM!$C$48:$C$308,C93)</f>
        <v>0</v>
      </c>
    </row>
    <row r="103" spans="1:11" x14ac:dyDescent="0.25">
      <c r="C103" t="s">
        <v>130</v>
      </c>
    </row>
    <row r="104" spans="1:11" x14ac:dyDescent="0.25">
      <c r="D104" s="155" t="s">
        <v>135</v>
      </c>
    </row>
    <row r="106" spans="1:11" x14ac:dyDescent="0.25">
      <c r="A106" s="152">
        <v>9</v>
      </c>
      <c r="B106" s="152" t="s">
        <v>56</v>
      </c>
      <c r="C106" s="152">
        <v>20200514</v>
      </c>
    </row>
    <row r="107" spans="1:11" x14ac:dyDescent="0.25">
      <c r="B107" s="152" t="s">
        <v>123</v>
      </c>
      <c r="C107">
        <f>SUM(G113:G114)</f>
        <v>11.27</v>
      </c>
      <c r="D107" t="s">
        <v>124</v>
      </c>
    </row>
    <row r="108" spans="1:11" x14ac:dyDescent="0.25">
      <c r="B108" s="152" t="s">
        <v>133</v>
      </c>
      <c r="C108">
        <f>SUM(INT((WEEKDAY(F108-{2,3,4,5,6})+H108-F108)/7))</f>
        <v>4</v>
      </c>
      <c r="D108" t="s">
        <v>124</v>
      </c>
      <c r="E108" t="s">
        <v>166</v>
      </c>
      <c r="F108" s="6">
        <v>43965</v>
      </c>
      <c r="G108" s="6" t="s">
        <v>122</v>
      </c>
      <c r="H108" s="6">
        <v>43970</v>
      </c>
    </row>
    <row r="109" spans="1:11" x14ac:dyDescent="0.25">
      <c r="B109" s="152" t="s">
        <v>134</v>
      </c>
      <c r="C109">
        <f>SUM(INT((WEEKDAY(F109-{2,3,4,5,6})+H109-F109)/7))</f>
        <v>3</v>
      </c>
      <c r="D109" t="s">
        <v>124</v>
      </c>
      <c r="E109" t="s">
        <v>166</v>
      </c>
      <c r="F109" s="6">
        <v>43965</v>
      </c>
      <c r="G109" s="6" t="s">
        <v>122</v>
      </c>
      <c r="H109" s="6">
        <v>43969</v>
      </c>
    </row>
    <row r="110" spans="1:11" x14ac:dyDescent="0.25">
      <c r="B110" s="152" t="s">
        <v>17</v>
      </c>
      <c r="C110" t="str">
        <f>IF(SUM(H113:H114)&gt;SUM(G113:G114),"Delayed",IF(SUM(H113:H114)&lt;SUM(G113:G114),"InAdvanced","Ontime"))</f>
        <v>InAdvanced</v>
      </c>
      <c r="F110" s="6"/>
      <c r="G110" s="6"/>
      <c r="H110" s="6"/>
    </row>
    <row r="112" spans="1:11" ht="45" x14ac:dyDescent="0.25">
      <c r="C112" s="153" t="s">
        <v>25</v>
      </c>
      <c r="D112" s="153" t="s">
        <v>26</v>
      </c>
      <c r="E112" s="154" t="s">
        <v>125</v>
      </c>
      <c r="F112" s="154" t="s">
        <v>126</v>
      </c>
      <c r="G112" s="154" t="s">
        <v>127</v>
      </c>
      <c r="H112" s="154" t="s">
        <v>128</v>
      </c>
      <c r="I112" s="154" t="s">
        <v>29</v>
      </c>
      <c r="J112" s="170" t="str">
        <f>Table!$C$36</f>
        <v>OPL</v>
      </c>
      <c r="K112" s="170" t="str">
        <f>Table!$C$37</f>
        <v>Defect</v>
      </c>
    </row>
    <row r="113" spans="1:11" x14ac:dyDescent="0.25">
      <c r="C113" s="50">
        <v>1</v>
      </c>
      <c r="D113" s="41" t="str">
        <f>Table!$D$3</f>
        <v>PSW</v>
      </c>
      <c r="E113" s="41">
        <f>SUMIFS(Merged_COEM!$W$48:$W$308,Merged_COEM!$D$48:$D$308,D113, Merged_COEM!$C$48:$C$308,C106)</f>
        <v>5080</v>
      </c>
      <c r="F113" s="41">
        <f>SUMIFS(Merged_COEM!$X$48:$X$308,Merged_COEM!$D$48:$D$308,D113, Merged_COEM!$C$48:$C$308,C106)-SUM(SUMIFS(Merged_COEM!$X$48:$X$308,Merged_COEM!$D$48:$D$308,Table!$D$3,Merged_COEM!$AA$48:$AA$308,{"Ongoing","N/A",""},Merged_COEM!$C$48:$C$308,C106))</f>
        <v>5080</v>
      </c>
      <c r="G113" s="41">
        <f>1/8*(SUMIFS(Merged_COEM!$Y$48:$Y$308,Merged_COEM!$D$48:$D$308,D113, Merged_COEM!$C$48:$C$308,C106))</f>
        <v>11.27</v>
      </c>
      <c r="H113" s="41">
        <f>1/8*(SUMIFS(Merged_COEM!$Z$48:$Z$308,Merged_COEM!$D$48:$D$308,D113, Merged_COEM!$C$48:$C$308,C106)-SUM(SUMIFS(Merged_COEM!$Z$48:$Z$308,Merged_COEM!$D$48:$D$308,D113,Merged_COEM!$AA$48:$AA$308,{"Ongoing","N/A",""},Merged_COEM!$C$48:$C$308,C106)))</f>
        <v>6.0250000000000004</v>
      </c>
      <c r="I113" s="42">
        <f>IFERROR(F113/E113,"N/A")</f>
        <v>1</v>
      </c>
      <c r="J113" s="3">
        <f>COUNTIFS(Merged_COEM!$AK$48:$AK$308,J112,Merged_COEM!$D$48:$D$308,D113,Merged_COEM!$C$48:$C$308,C106)</f>
        <v>2</v>
      </c>
      <c r="K113" s="3">
        <f>COUNTIFS(Merged_COEM!$AK$48:$AK$308,K112,Merged_COEM!$D$48:$D$308,D113,Merged_COEM!$C$48:$C$308,C106)</f>
        <v>0</v>
      </c>
    </row>
    <row r="114" spans="1:11" x14ac:dyDescent="0.25">
      <c r="C114" s="50">
        <v>2</v>
      </c>
      <c r="D114" s="41" t="str">
        <f>Table!$C$3</f>
        <v>ASW</v>
      </c>
      <c r="E114" s="41">
        <f>SUMIFS(Merged_COEM!$W$48:$W$308,Merged_COEM!$D$48:$D$308,D114, Merged_COEM!$C$48:$C$308,C106)</f>
        <v>0</v>
      </c>
      <c r="F114" s="41">
        <f>SUMIFS(Merged_COEM!$X$48:$X$308,Merged_COEM!$D$48:$D$308,D114, Merged_COEM!$C$48:$C$308,C106)-SUM(SUMIFS(Merged_COEM!$X$48:$X$308,Merged_COEM!$D$48:$D$308,D114,Merged_COEM!$AA$48:$AA$308,{"Ongoing","N/A",""},Merged_COEM!$C$48:$C$308,C106))</f>
        <v>0</v>
      </c>
      <c r="G114" s="41">
        <f>1/8*(SUMIFS(Merged_COEM!$Y$48:$Y$308,Merged_COEM!$D$48:$D$308,D114, Merged_COEM!$C$48:$C$308,C106))</f>
        <v>0</v>
      </c>
      <c r="H114" s="41">
        <f>1/8*(SUMIFS(Merged_COEM!$Z$48:$Z$308,Merged_COEM!$D$48:$D$308,D114, Merged_COEM!$C$48:$C$308,C106)-SUM(SUMIFS(Merged_COEM!$Z$48:$Z$308,Merged_COEM!$D$48:$D$308,D114,Merged_COEM!$AA$48:$AA$308,{"Ongoing","N/A",""},Merged_COEM!$C$48:$C$308,C106)))</f>
        <v>0</v>
      </c>
      <c r="I114" s="42" t="str">
        <f>IFERROR(F114/E114,"N/A")</f>
        <v>N/A</v>
      </c>
      <c r="J114" s="3">
        <f>COUNTIFS(Merged_COEM!$AK$48:$AK$308,J112,Merged_COEM!$D$48:$D$308,D114,Merged_COEM!$C$48:$C$308,C106)</f>
        <v>0</v>
      </c>
      <c r="K114" s="3">
        <f>COUNTIFS(Merged_COEM!$AK$48:$AK$308,K112,Merged_COEM!$D$48:$D$308,D114,Merged_COEM!$C$48:$C$308,C106)</f>
        <v>0</v>
      </c>
    </row>
    <row r="116" spans="1:11" x14ac:dyDescent="0.25">
      <c r="C116" t="s">
        <v>130</v>
      </c>
    </row>
    <row r="117" spans="1:11" x14ac:dyDescent="0.25">
      <c r="D117" s="156" t="s">
        <v>135</v>
      </c>
    </row>
    <row r="119" spans="1:11" x14ac:dyDescent="0.25">
      <c r="A119" s="152">
        <v>10</v>
      </c>
      <c r="B119" s="152" t="s">
        <v>56</v>
      </c>
      <c r="C119" s="152">
        <v>20200515</v>
      </c>
    </row>
    <row r="120" spans="1:11" x14ac:dyDescent="0.25">
      <c r="B120" s="152" t="s">
        <v>123</v>
      </c>
      <c r="C120">
        <f>SUM(G126:G127)</f>
        <v>4.7949999999999999</v>
      </c>
      <c r="D120" t="s">
        <v>124</v>
      </c>
    </row>
    <row r="121" spans="1:11" x14ac:dyDescent="0.25">
      <c r="B121" s="152" t="s">
        <v>133</v>
      </c>
      <c r="C121">
        <f>SUM(INT((WEEKDAY(F121-{2,3,4,5,6})+H121-F121)/7))</f>
        <v>4</v>
      </c>
      <c r="D121" t="s">
        <v>124</v>
      </c>
      <c r="E121" t="s">
        <v>166</v>
      </c>
      <c r="F121" s="6">
        <v>43966</v>
      </c>
      <c r="G121" s="6" t="s">
        <v>122</v>
      </c>
      <c r="H121" s="6">
        <v>43971</v>
      </c>
    </row>
    <row r="122" spans="1:11" x14ac:dyDescent="0.25">
      <c r="B122" s="152" t="s">
        <v>134</v>
      </c>
      <c r="C122">
        <f>SUM(INT((WEEKDAY(F122-{2,3,4,5,6})+H122-F122)/7))</f>
        <v>2</v>
      </c>
      <c r="D122" t="s">
        <v>124</v>
      </c>
      <c r="E122" t="s">
        <v>166</v>
      </c>
      <c r="F122" s="6">
        <v>43966</v>
      </c>
      <c r="G122" s="6" t="s">
        <v>122</v>
      </c>
      <c r="H122" s="6">
        <v>43969</v>
      </c>
    </row>
    <row r="123" spans="1:11" x14ac:dyDescent="0.25">
      <c r="B123" s="152" t="s">
        <v>17</v>
      </c>
      <c r="C123" t="str">
        <f>IF(SUM(H126:H127)&gt;SUM(G126:G127),"Delayed",IF(SUM(H126:H127)&lt;SUM(G126:G127),"InAdvanced","Ontime"))</f>
        <v>InAdvanced</v>
      </c>
      <c r="F123" s="6"/>
      <c r="G123" s="6"/>
      <c r="H123" s="6"/>
    </row>
    <row r="125" spans="1:11" ht="45" x14ac:dyDescent="0.25">
      <c r="C125" s="153" t="s">
        <v>25</v>
      </c>
      <c r="D125" s="153" t="s">
        <v>26</v>
      </c>
      <c r="E125" s="154" t="s">
        <v>125</v>
      </c>
      <c r="F125" s="154" t="s">
        <v>126</v>
      </c>
      <c r="G125" s="154" t="s">
        <v>127</v>
      </c>
      <c r="H125" s="154" t="s">
        <v>128</v>
      </c>
      <c r="I125" s="154" t="s">
        <v>29</v>
      </c>
      <c r="J125" s="170" t="str">
        <f>Table!$C$36</f>
        <v>OPL</v>
      </c>
      <c r="K125" s="170" t="str">
        <f>Table!$C$37</f>
        <v>Defect</v>
      </c>
    </row>
    <row r="126" spans="1:11" x14ac:dyDescent="0.25">
      <c r="C126" s="50">
        <v>1</v>
      </c>
      <c r="D126" s="41" t="str">
        <f>Table!$D$3</f>
        <v>PSW</v>
      </c>
      <c r="E126" s="41">
        <f>SUMIFS(Merged_COEM!$W$48:$W$308,Merged_COEM!$D$48:$D$308,D126, Merged_COEM!$C$48:$C$308,C119)</f>
        <v>2161</v>
      </c>
      <c r="F126" s="41">
        <f>SUMIFS(Merged_COEM!$X$48:$X$308,Merged_COEM!$D$48:$D$308,D126, Merged_COEM!$C$48:$C$308,C119)-SUM(SUMIFS(Merged_COEM!$X$48:$X$308,Merged_COEM!$D$48:$D$308,Table!$D$3,Merged_COEM!$AA$48:$AA$308,{"Ongoing","N/A",""},Merged_COEM!$C$48:$C$308,C119))</f>
        <v>2161</v>
      </c>
      <c r="G126" s="41">
        <f>1/8*(SUMIFS(Merged_COEM!$Y$48:$Y$308,Merged_COEM!$D$48:$D$308,D126, Merged_COEM!$C$48:$C$308,C119))</f>
        <v>4.7949999999999999</v>
      </c>
      <c r="H126" s="41">
        <f>1/8*(SUMIFS(Merged_COEM!$Z$48:$Z$308,Merged_COEM!$D$48:$D$308,D126, Merged_COEM!$C$48:$C$308,C119)-SUM(SUMIFS(Merged_COEM!$Z$48:$Z$308,Merged_COEM!$D$48:$D$308,D126,Merged_COEM!$AA$48:$AA$308,{"Ongoing","N/A",""},Merged_COEM!$C$48:$C$308,C119)))</f>
        <v>2.7925</v>
      </c>
      <c r="I126" s="42">
        <f>IFERROR(F126/E126,"N/A")</f>
        <v>1</v>
      </c>
      <c r="J126" s="3">
        <f>COUNTIFS(Merged_COEM!$AK$48:$AK$308,J125,Merged_COEM!$D$48:$D$308,D126,Merged_COEM!$C$48:$C$308,C119)</f>
        <v>2</v>
      </c>
      <c r="K126" s="3">
        <f>COUNTIFS(Merged_COEM!$AK$48:$AK$308,K125,Merged_COEM!$D$48:$D$308,D126,Merged_COEM!$C$48:$C$308,C119)</f>
        <v>0</v>
      </c>
    </row>
    <row r="127" spans="1:11" x14ac:dyDescent="0.25">
      <c r="C127" s="50">
        <v>2</v>
      </c>
      <c r="D127" s="41" t="str">
        <f>Table!$C$3</f>
        <v>ASW</v>
      </c>
      <c r="E127" s="41">
        <f>SUMIFS(Merged_COEM!$W$48:$W$308,Merged_COEM!$D$48:$D$308,D127, Merged_COEM!$C$48:$C$308,C119)</f>
        <v>0</v>
      </c>
      <c r="F127" s="41">
        <f>SUMIFS(Merged_COEM!$X$48:$X$308,Merged_COEM!$D$48:$D$308,D127, Merged_COEM!$C$48:$C$308,C119)-SUM(SUMIFS(Merged_COEM!$X$48:$X$308,Merged_COEM!$D$48:$D$308,D127,Merged_COEM!$AA$48:$AA$308,{"Ongoing","N/A",""},Merged_COEM!$C$48:$C$308,C119))</f>
        <v>0</v>
      </c>
      <c r="G127" s="41">
        <f>1/8*(SUMIFS(Merged_COEM!$Y$48:$Y$308,Merged_COEM!$D$48:$D$308,D127, Merged_COEM!$C$48:$C$308,C119))</f>
        <v>0</v>
      </c>
      <c r="H127" s="41">
        <f>1/8*(SUMIFS(Merged_COEM!$Z$48:$Z$308,Merged_COEM!$D$48:$D$308,D127, Merged_COEM!$C$48:$C$308,C119)-SUM(SUMIFS(Merged_COEM!$Z$48:$Z$308,Merged_COEM!$D$48:$D$308,D127,Merged_COEM!$AA$48:$AA$308,{"Ongoing","N/A",""},Merged_COEM!$C$48:$C$308,C119)))</f>
        <v>0</v>
      </c>
      <c r="I127" s="42" t="str">
        <f>IFERROR(F127/E127,"N/A")</f>
        <v>N/A</v>
      </c>
      <c r="J127" s="3">
        <f>COUNTIFS(Merged_COEM!$AK$48:$AK$308,J125,Merged_COEM!$D$48:$D$308,D127,Merged_COEM!$C$48:$C$308,C119)</f>
        <v>0</v>
      </c>
      <c r="K127" s="3">
        <f>COUNTIFS(Merged_COEM!$AK$48:$AK$308,K125,Merged_COEM!$D$48:$D$308,D127,Merged_COEM!$C$48:$C$308,C119)</f>
        <v>0</v>
      </c>
    </row>
    <row r="129" spans="1:11" x14ac:dyDescent="0.25">
      <c r="C129" t="s">
        <v>130</v>
      </c>
    </row>
    <row r="130" spans="1:11" x14ac:dyDescent="0.25">
      <c r="D130" s="156" t="s">
        <v>135</v>
      </c>
    </row>
    <row r="132" spans="1:11" x14ac:dyDescent="0.25">
      <c r="A132" s="152">
        <v>11</v>
      </c>
      <c r="B132" s="152" t="s">
        <v>56</v>
      </c>
      <c r="C132" s="152">
        <v>20200518</v>
      </c>
    </row>
    <row r="133" spans="1:11" x14ac:dyDescent="0.25">
      <c r="B133" s="152" t="s">
        <v>123</v>
      </c>
      <c r="C133">
        <f>SUM(G139:G140)</f>
        <v>4.6325000000000003</v>
      </c>
      <c r="D133" t="s">
        <v>124</v>
      </c>
    </row>
    <row r="134" spans="1:11" x14ac:dyDescent="0.25">
      <c r="B134" s="152" t="s">
        <v>133</v>
      </c>
      <c r="C134">
        <f>SUM(INT((WEEKDAY(F134-{2,3,4,5,6})+H134-F134)/7))</f>
        <v>8</v>
      </c>
      <c r="D134" t="s">
        <v>124</v>
      </c>
      <c r="E134" t="s">
        <v>166</v>
      </c>
      <c r="F134" s="6">
        <v>43969</v>
      </c>
      <c r="G134" s="6" t="s">
        <v>122</v>
      </c>
      <c r="H134" s="6">
        <v>43978</v>
      </c>
    </row>
    <row r="135" spans="1:11" x14ac:dyDescent="0.25">
      <c r="B135" s="152" t="s">
        <v>134</v>
      </c>
      <c r="C135">
        <f>SUM(INT((WEEKDAY(F135-{2,3,4,5,6})+H135-F135)/7))</f>
        <v>8</v>
      </c>
      <c r="D135" t="s">
        <v>124</v>
      </c>
      <c r="E135" t="s">
        <v>166</v>
      </c>
      <c r="F135" s="6">
        <v>43969</v>
      </c>
      <c r="G135" s="6" t="s">
        <v>122</v>
      </c>
      <c r="H135" s="6">
        <v>43978</v>
      </c>
    </row>
    <row r="136" spans="1:11" x14ac:dyDescent="0.25">
      <c r="B136" s="152" t="s">
        <v>17</v>
      </c>
      <c r="C136" t="str">
        <f>IF(SUM(H139:H140)&gt;SUM(G139:G140),"Delayed",IF(SUM(H139:H140)&lt;SUM(G139:G140),"InAdvanced","Ontime"))</f>
        <v>InAdvanced</v>
      </c>
      <c r="F136" s="6"/>
      <c r="G136" s="6"/>
      <c r="H136" s="6"/>
    </row>
    <row r="138" spans="1:11" ht="45" x14ac:dyDescent="0.25">
      <c r="C138" s="153" t="s">
        <v>25</v>
      </c>
      <c r="D138" s="153" t="s">
        <v>26</v>
      </c>
      <c r="E138" s="154" t="s">
        <v>125</v>
      </c>
      <c r="F138" s="154" t="s">
        <v>126</v>
      </c>
      <c r="G138" s="154" t="s">
        <v>127</v>
      </c>
      <c r="H138" s="154" t="s">
        <v>128</v>
      </c>
      <c r="I138" s="154" t="s">
        <v>29</v>
      </c>
      <c r="J138" s="170" t="str">
        <f>Table!$C$36</f>
        <v>OPL</v>
      </c>
      <c r="K138" s="170" t="str">
        <f>Table!$C$37</f>
        <v>Defect</v>
      </c>
    </row>
    <row r="139" spans="1:11" x14ac:dyDescent="0.25">
      <c r="C139" s="50">
        <v>1</v>
      </c>
      <c r="D139" s="41" t="str">
        <f>Table!$D$3</f>
        <v>PSW</v>
      </c>
      <c r="E139" s="41">
        <f>SUMIFS(Merged_COEM!$W$48:$W$308,Merged_COEM!$D$48:$D$308,D139, Merged_COEM!$C$48:$C$308,C132)</f>
        <v>2090</v>
      </c>
      <c r="F139" s="41">
        <f>SUMIFS(Merged_COEM!$X$48:$X$308,Merged_COEM!$D$48:$D$308,D139, Merged_COEM!$C$48:$C$308,C132)-SUM(SUMIFS(Merged_COEM!$X$48:$X$308,Merged_COEM!$D$48:$D$308,Table!$D$3,Merged_COEM!$AA$48:$AA$308,{"Ongoing","N/A",""},Merged_COEM!$C$48:$C$308,C132))</f>
        <v>2090</v>
      </c>
      <c r="G139" s="41">
        <f>1/8*(SUMIFS(Merged_COEM!$Y$48:$Y$308,Merged_COEM!$D$48:$D$308,D139, Merged_COEM!$C$48:$C$308,C132))</f>
        <v>4.6325000000000003</v>
      </c>
      <c r="H139" s="41">
        <f>1/8*(SUMIFS(Merged_COEM!$Z$48:$Z$308,Merged_COEM!$D$48:$D$308,D139, Merged_COEM!$C$48:$C$308,C132)-SUM(SUMIFS(Merged_COEM!$Z$48:$Z$308,Merged_COEM!$D$48:$D$308,D139,Merged_COEM!$AA$48:$AA$308,{"Ongoing","N/A",""},Merged_COEM!$C$48:$C$308,C132)))</f>
        <v>2.6724999999999999</v>
      </c>
      <c r="I139" s="42">
        <f>IFERROR(F139/E139,"N/A")</f>
        <v>1</v>
      </c>
      <c r="J139" s="3">
        <f>COUNTIFS(Merged_COEM!$AK$48:$AK$308,J138,Merged_COEM!$D$48:$D$308,D139,Merged_COEM!$C$48:$C$308,C132)</f>
        <v>4</v>
      </c>
      <c r="K139" s="3">
        <f>COUNTIFS(Merged_COEM!$AK$48:$AK$308,K138,Merged_COEM!$D$48:$D$308,D139,Merged_COEM!$C$48:$C$308,C132)</f>
        <v>0</v>
      </c>
    </row>
    <row r="140" spans="1:11" x14ac:dyDescent="0.25">
      <c r="C140" s="50">
        <v>2</v>
      </c>
      <c r="D140" s="41" t="str">
        <f>Table!$C$3</f>
        <v>ASW</v>
      </c>
      <c r="E140" s="41">
        <f>SUMIFS(Merged_COEM!$W$48:$W$308,Merged_COEM!$D$48:$D$308,D140, Merged_COEM!$C$48:$C$308,C132)</f>
        <v>0</v>
      </c>
      <c r="F140" s="41">
        <f>SUMIFS(Merged_COEM!$X$48:$X$308,Merged_COEM!$D$48:$D$308,D140, Merged_COEM!$C$48:$C$308,C132)-SUM(SUMIFS(Merged_COEM!$X$48:$X$308,Merged_COEM!$D$48:$D$308,D140,Merged_COEM!$AA$48:$AA$308,{"Ongoing","N/A",""},Merged_COEM!$C$48:$C$308,C132))</f>
        <v>0</v>
      </c>
      <c r="G140" s="41">
        <f>1/8*(SUMIFS(Merged_COEM!$Y$48:$Y$308,Merged_COEM!$D$48:$D$308,D140, Merged_COEM!$C$48:$C$308,C132))</f>
        <v>0</v>
      </c>
      <c r="H140" s="41">
        <f>1/8*(SUMIFS(Merged_COEM!$Z$48:$Z$308,Merged_COEM!$D$48:$D$308,D140, Merged_COEM!$C$48:$C$308,C132)-SUM(SUMIFS(Merged_COEM!$Z$48:$Z$308,Merged_COEM!$D$48:$D$308,D140,Merged_COEM!$AA$48:$AA$308,{"Ongoing","N/A",""},Merged_COEM!$C$48:$C$308,C132)))</f>
        <v>0</v>
      </c>
      <c r="I140" s="42" t="str">
        <f>IFERROR(F140/E140,"N/A")</f>
        <v>N/A</v>
      </c>
      <c r="J140" s="3">
        <f>COUNTIFS(Merged_COEM!$AK$48:$AK$308,J138,Merged_COEM!$D$48:$D$308,D140,Merged_COEM!$C$48:$C$308,C132)</f>
        <v>0</v>
      </c>
      <c r="K140" s="3">
        <f>COUNTIFS(Merged_COEM!$AK$48:$AK$308,K138,Merged_COEM!$D$48:$D$308,D140,Merged_COEM!$C$48:$C$308,C132)</f>
        <v>0</v>
      </c>
    </row>
    <row r="142" spans="1:11" x14ac:dyDescent="0.25">
      <c r="C142" t="s">
        <v>130</v>
      </c>
    </row>
    <row r="143" spans="1:11" x14ac:dyDescent="0.25">
      <c r="D143" s="156" t="s">
        <v>135</v>
      </c>
    </row>
    <row r="145" spans="1:11" x14ac:dyDescent="0.25">
      <c r="A145" s="152">
        <v>12</v>
      </c>
      <c r="B145" s="152" t="s">
        <v>56</v>
      </c>
      <c r="C145" s="152">
        <v>20200519</v>
      </c>
    </row>
    <row r="146" spans="1:11" x14ac:dyDescent="0.25">
      <c r="B146" s="152" t="s">
        <v>123</v>
      </c>
      <c r="C146">
        <f>SUM(G152:G153)</f>
        <v>2.4124999999999996</v>
      </c>
      <c r="D146" t="s">
        <v>124</v>
      </c>
    </row>
    <row r="147" spans="1:11" x14ac:dyDescent="0.25">
      <c r="B147" s="152" t="s">
        <v>133</v>
      </c>
      <c r="C147">
        <f>SUM(INT((WEEKDAY(F147-{2,3,4,5,6})+H147-F147)/7))</f>
        <v>6</v>
      </c>
      <c r="D147" t="s">
        <v>124</v>
      </c>
      <c r="E147" t="s">
        <v>166</v>
      </c>
      <c r="F147" s="6">
        <v>43970</v>
      </c>
      <c r="G147" s="6" t="s">
        <v>122</v>
      </c>
      <c r="H147" s="6">
        <v>43977</v>
      </c>
    </row>
    <row r="148" spans="1:11" x14ac:dyDescent="0.25">
      <c r="B148" s="152" t="s">
        <v>134</v>
      </c>
      <c r="C148">
        <f>SUM(INT((WEEKDAY(F148-{2,3,4,5,6})+H148-F148)/7))</f>
        <v>6</v>
      </c>
      <c r="D148" t="s">
        <v>124</v>
      </c>
      <c r="E148" t="s">
        <v>166</v>
      </c>
      <c r="F148" s="6">
        <v>43970</v>
      </c>
      <c r="G148" s="6" t="s">
        <v>122</v>
      </c>
      <c r="H148" s="6">
        <v>43977</v>
      </c>
    </row>
    <row r="149" spans="1:11" x14ac:dyDescent="0.25">
      <c r="B149" s="152" t="s">
        <v>17</v>
      </c>
      <c r="C149" t="str">
        <f>IF(SUM(H152:H153)&gt;SUM(G152:G153),"Delayed",IF(SUM(H152:H153)&lt;SUM(G152:G153),"InAdvanced","Ontime"))</f>
        <v>InAdvanced</v>
      </c>
      <c r="F149" s="6"/>
      <c r="G149" s="6"/>
      <c r="H149" s="6"/>
    </row>
    <row r="151" spans="1:11" ht="45" x14ac:dyDescent="0.25">
      <c r="C151" s="153" t="s">
        <v>25</v>
      </c>
      <c r="D151" s="153" t="s">
        <v>26</v>
      </c>
      <c r="E151" s="154" t="s">
        <v>125</v>
      </c>
      <c r="F151" s="154" t="s">
        <v>126</v>
      </c>
      <c r="G151" s="154" t="s">
        <v>127</v>
      </c>
      <c r="H151" s="154" t="s">
        <v>128</v>
      </c>
      <c r="I151" s="154" t="s">
        <v>29</v>
      </c>
      <c r="J151" s="170" t="str">
        <f>Table!$C$36</f>
        <v>OPL</v>
      </c>
      <c r="K151" s="170" t="str">
        <f>Table!$C$37</f>
        <v>Defect</v>
      </c>
    </row>
    <row r="152" spans="1:11" x14ac:dyDescent="0.25">
      <c r="C152" s="50">
        <v>1</v>
      </c>
      <c r="D152" s="41" t="str">
        <f>Table!$D$3</f>
        <v>PSW</v>
      </c>
      <c r="E152" s="41">
        <f>SUMIFS(Merged_COEM!$W$48:$W$308,Merged_COEM!$D$48:$D$308,D152, Merged_COEM!$C$48:$C$308,C145)</f>
        <v>1087</v>
      </c>
      <c r="F152" s="41">
        <f>SUMIFS(Merged_COEM!$X$48:$X$308,Merged_COEM!$D$48:$D$308,D152, Merged_COEM!$C$48:$C$308,C145)-SUM(SUMIFS(Merged_COEM!$X$48:$X$308,Merged_COEM!$D$48:$D$308,Table!$D$3,Merged_COEM!$AA$48:$AA$308,{"Ongoing","N/A",""},Merged_COEM!$C$48:$C$308,C145))</f>
        <v>1087</v>
      </c>
      <c r="G152" s="41">
        <f>1/8*(SUMIFS(Merged_COEM!$Y$48:$Y$308,Merged_COEM!$D$48:$D$308,D152, Merged_COEM!$C$48:$C$308,C145))</f>
        <v>2.4124999999999996</v>
      </c>
      <c r="H152" s="41">
        <f>1/8*(SUMIFS(Merged_COEM!$Z$48:$Z$308,Merged_COEM!$D$48:$D$308,D152, Merged_COEM!$C$48:$C$308,C145)-SUM(SUMIFS(Merged_COEM!$Z$48:$Z$308,Merged_COEM!$D$48:$D$308,D152,Merged_COEM!$AA$48:$AA$308,{"Ongoing","N/A",""},Merged_COEM!$C$48:$C$308,C145)))</f>
        <v>0.75</v>
      </c>
      <c r="I152" s="42">
        <f>IFERROR(F152/E152,"N/A")</f>
        <v>1</v>
      </c>
      <c r="J152" s="3">
        <f>COUNTIFS(Merged_COEM!$AK$48:$AK$308,J151,Merged_COEM!$D$48:$D$308,D152,Merged_COEM!$C$48:$C$308,C145)</f>
        <v>1</v>
      </c>
      <c r="K152" s="3">
        <f>COUNTIFS(Merged_COEM!$AK$48:$AK$308,K151,Merged_COEM!$D$48:$D$308,D152,Merged_COEM!$C$48:$C$308,C145)</f>
        <v>0</v>
      </c>
    </row>
    <row r="153" spans="1:11" x14ac:dyDescent="0.25">
      <c r="C153" s="50">
        <v>2</v>
      </c>
      <c r="D153" s="41" t="str">
        <f>Table!$C$3</f>
        <v>ASW</v>
      </c>
      <c r="E153" s="41">
        <f>SUMIFS(Merged_COEM!$W$48:$W$308,Merged_COEM!$D$48:$D$308,D153, Merged_COEM!$C$48:$C$308,C145)</f>
        <v>0</v>
      </c>
      <c r="F153" s="41">
        <f>SUMIFS(Merged_COEM!$X$48:$X$308,Merged_COEM!$D$48:$D$308,D153, Merged_COEM!$C$48:$C$308,C145)-SUM(SUMIFS(Merged_COEM!$X$48:$X$308,Merged_COEM!$D$48:$D$308,D153,Merged_COEM!$AA$48:$AA$308,{"Ongoing","N/A",""},Merged_COEM!$C$48:$C$308,C145))</f>
        <v>0</v>
      </c>
      <c r="G153" s="41">
        <f>1/8*(SUMIFS(Merged_COEM!$Y$48:$Y$308,Merged_COEM!$D$48:$D$308,D153, Merged_COEM!$C$48:$C$308,C145))</f>
        <v>0</v>
      </c>
      <c r="H153" s="41">
        <f>1/8*(SUMIFS(Merged_COEM!$Z$48:$Z$308,Merged_COEM!$D$48:$D$308,D153, Merged_COEM!$C$48:$C$308,C145)-SUM(SUMIFS(Merged_COEM!$Z$48:$Z$308,Merged_COEM!$D$48:$D$308,D153,Merged_COEM!$AA$48:$AA$308,{"Ongoing","N/A",""},Merged_COEM!$C$48:$C$308,C145)))</f>
        <v>0</v>
      </c>
      <c r="I153" s="42" t="str">
        <f>IFERROR(F153/E153,"N/A")</f>
        <v>N/A</v>
      </c>
      <c r="J153" s="3">
        <f>COUNTIFS(Merged_COEM!$AK$48:$AK$308,J151,Merged_COEM!$D$48:$D$308,D153,Merged_COEM!$C$48:$C$308,C145)</f>
        <v>0</v>
      </c>
      <c r="K153" s="3">
        <f>COUNTIFS(Merged_COEM!$AK$48:$AK$308,K151,Merged_COEM!$D$48:$D$308,D153,Merged_COEM!$C$48:$C$308,C145)</f>
        <v>0</v>
      </c>
    </row>
    <row r="155" spans="1:11" x14ac:dyDescent="0.25">
      <c r="C155" t="s">
        <v>130</v>
      </c>
    </row>
    <row r="156" spans="1:11" x14ac:dyDescent="0.25">
      <c r="D156" s="156" t="s">
        <v>135</v>
      </c>
    </row>
    <row r="158" spans="1:11" x14ac:dyDescent="0.25">
      <c r="A158" s="164">
        <v>13</v>
      </c>
      <c r="B158" s="164" t="s">
        <v>56</v>
      </c>
      <c r="C158" s="164">
        <v>20200520</v>
      </c>
    </row>
    <row r="159" spans="1:11" x14ac:dyDescent="0.25">
      <c r="B159" s="164" t="s">
        <v>123</v>
      </c>
      <c r="C159">
        <f>SUM(G165:G166)</f>
        <v>0</v>
      </c>
      <c r="D159" t="s">
        <v>124</v>
      </c>
    </row>
    <row r="160" spans="1:11" x14ac:dyDescent="0.25">
      <c r="B160" s="164" t="s">
        <v>133</v>
      </c>
      <c r="C160">
        <f>SUM(INT((WEEKDAY(F160-{2,3,4,5,6})+H160-F160)/7))</f>
        <v>11</v>
      </c>
      <c r="D160" t="s">
        <v>124</v>
      </c>
      <c r="E160" t="s">
        <v>166</v>
      </c>
      <c r="F160" s="6">
        <v>43971</v>
      </c>
      <c r="G160" s="6" t="s">
        <v>122</v>
      </c>
      <c r="H160" s="6">
        <v>43985</v>
      </c>
    </row>
    <row r="161" spans="1:11" x14ac:dyDescent="0.25">
      <c r="B161" s="164" t="s">
        <v>134</v>
      </c>
      <c r="C161">
        <f>SUM(INT((WEEKDAY(F161-{2,3,4,5,6})+H161-F161)/7))</f>
        <v>11</v>
      </c>
      <c r="D161" t="s">
        <v>124</v>
      </c>
      <c r="E161" t="s">
        <v>166</v>
      </c>
      <c r="F161" s="6">
        <v>43971</v>
      </c>
      <c r="G161" s="6" t="s">
        <v>122</v>
      </c>
      <c r="H161" s="6">
        <v>43985</v>
      </c>
    </row>
    <row r="162" spans="1:11" x14ac:dyDescent="0.25">
      <c r="B162" s="164" t="s">
        <v>17</v>
      </c>
      <c r="C162" t="str">
        <f>IF(SUM(H165:H166)&gt;SUM(G165:G166),"Delayed",IF(SUM(H165:H166)&lt;SUM(G165:G166),"InAdvanced","Ontime"))</f>
        <v>Ontime</v>
      </c>
      <c r="F162" s="6"/>
      <c r="G162" s="6"/>
      <c r="H162" s="6"/>
    </row>
    <row r="164" spans="1:11" ht="45" x14ac:dyDescent="0.25">
      <c r="C164" s="165" t="s">
        <v>25</v>
      </c>
      <c r="D164" s="165" t="s">
        <v>26</v>
      </c>
      <c r="E164" s="166" t="s">
        <v>125</v>
      </c>
      <c r="F164" s="166" t="s">
        <v>126</v>
      </c>
      <c r="G164" s="166" t="s">
        <v>127</v>
      </c>
      <c r="H164" s="166" t="s">
        <v>128</v>
      </c>
      <c r="I164" s="166" t="s">
        <v>29</v>
      </c>
      <c r="J164" s="170" t="str">
        <f>Table!$C$36</f>
        <v>OPL</v>
      </c>
      <c r="K164" s="170" t="str">
        <f>Table!$C$37</f>
        <v>Defect</v>
      </c>
    </row>
    <row r="165" spans="1:11" x14ac:dyDescent="0.25">
      <c r="C165" s="50">
        <v>1</v>
      </c>
      <c r="D165" s="41" t="str">
        <f>Table!$D$3</f>
        <v>PSW</v>
      </c>
      <c r="E165" s="41">
        <f>SUMIFS(Merged_COEM!$W$48:$W$308,Merged_COEM!$D$48:$D$308,D165, Merged_COEM!$C$48:$C$308,C158)</f>
        <v>0</v>
      </c>
      <c r="F165" s="41">
        <f>SUMIFS(Merged_COEM!$X$48:$X$308,Merged_COEM!$D$48:$D$308,D165, Merged_COEM!$C$48:$C$308,C158)-SUM(SUMIFS(Merged_COEM!$X$48:$X$308,Merged_COEM!$D$48:$D$308,Table!$D$3,Merged_COEM!$AA$48:$AA$308,{"Ongoing","N/A",""},Merged_COEM!$C$48:$C$308,C158))</f>
        <v>0</v>
      </c>
      <c r="G165" s="41">
        <f>1/8*(SUMIFS(Merged_COEM!$Y$48:$Y$308,Merged_COEM!$D$48:$D$308,D165, Merged_COEM!$C$48:$C$308,C158))</f>
        <v>0</v>
      </c>
      <c r="H165" s="41">
        <f>1/8*(SUMIFS(Merged_COEM!$Z$48:$Z$308,Merged_COEM!$D$48:$D$308,D165, Merged_COEM!$C$48:$C$308,C158)-SUM(SUMIFS(Merged_COEM!$Z$48:$Z$308,Merged_COEM!$D$48:$D$308,D165,Merged_COEM!$AA$48:$AA$308,{"Ongoing","N/A",""},Merged_COEM!$C$48:$C$308,C158)))</f>
        <v>0</v>
      </c>
      <c r="I165" s="42" t="str">
        <f>IFERROR(F165/E165,"N/A")</f>
        <v>N/A</v>
      </c>
      <c r="J165" s="3">
        <f>COUNTIFS(Merged_COEM!$AK$48:$AK$308,J164,Merged_COEM!$D$48:$D$308,D165,Merged_COEM!$C$48:$C$308,C158)</f>
        <v>0</v>
      </c>
      <c r="K165" s="3">
        <f>COUNTIFS(Merged_COEM!$AK$48:$AK$308,K164,Merged_COEM!$D$48:$D$308,D165,Merged_COEM!$C$48:$C$308,C158)</f>
        <v>0</v>
      </c>
    </row>
    <row r="166" spans="1:11" x14ac:dyDescent="0.25">
      <c r="C166" s="50">
        <v>2</v>
      </c>
      <c r="D166" s="41" t="str">
        <f>Table!$C$3</f>
        <v>ASW</v>
      </c>
      <c r="E166" s="41">
        <f>SUMIFS(Merged_COEM!$W$48:$W$308,Merged_COEM!$D$48:$D$308,D166, Merged_COEM!$C$48:$C$308,C158)</f>
        <v>0</v>
      </c>
      <c r="F166" s="41">
        <f>SUMIFS(Merged_COEM!$X$48:$X$308,Merged_COEM!$D$48:$D$308,D166, Merged_COEM!$C$48:$C$308,C158)-SUM(SUMIFS(Merged_COEM!$X$48:$X$308,Merged_COEM!$D$48:$D$308,D166,Merged_COEM!$AA$48:$AA$308,{"Ongoing","N/A",""},Merged_COEM!$C$48:$C$308,C158))</f>
        <v>0</v>
      </c>
      <c r="G166" s="41">
        <f>1/8*(SUMIFS(Merged_COEM!$Y$48:$Y$308,Merged_COEM!$D$48:$D$308,D166, Merged_COEM!$C$48:$C$308,C158))</f>
        <v>0</v>
      </c>
      <c r="H166" s="41">
        <f>1/8*(SUMIFS(Merged_COEM!$Z$48:$Z$308,Merged_COEM!$D$48:$D$308,D166, Merged_COEM!$C$48:$C$308,C158)-SUM(SUMIFS(Merged_COEM!$Z$48:$Z$308,Merged_COEM!$D$48:$D$308,D166,Merged_COEM!$AA$48:$AA$308,{"Ongoing","N/A",""},Merged_COEM!$C$48:$C$308,C158)))</f>
        <v>0</v>
      </c>
      <c r="I166" s="42" t="str">
        <f>IFERROR(F166/E166,"N/A")</f>
        <v>N/A</v>
      </c>
      <c r="J166" s="3">
        <f>COUNTIFS(Merged_COEM!$AK$48:$AK$308,J164,Merged_COEM!$D$48:$D$308,D166,Merged_COEM!$C$48:$C$308,C158)</f>
        <v>0</v>
      </c>
      <c r="K166" s="3">
        <f>COUNTIFS(Merged_COEM!$AK$48:$AK$308,K164,Merged_COEM!$D$48:$D$308,D166,Merged_COEM!$C$48:$C$308,C158)</f>
        <v>0</v>
      </c>
    </row>
    <row r="168" spans="1:11" x14ac:dyDescent="0.25">
      <c r="C168" t="s">
        <v>130</v>
      </c>
    </row>
    <row r="169" spans="1:11" x14ac:dyDescent="0.25">
      <c r="D169" s="167" t="s">
        <v>135</v>
      </c>
    </row>
    <row r="171" spans="1:11" x14ac:dyDescent="0.25">
      <c r="A171" s="164">
        <v>14</v>
      </c>
      <c r="B171" s="164" t="s">
        <v>56</v>
      </c>
      <c r="C171" s="164">
        <v>20200521</v>
      </c>
    </row>
    <row r="172" spans="1:11" x14ac:dyDescent="0.25">
      <c r="B172" s="164" t="s">
        <v>123</v>
      </c>
      <c r="C172">
        <f>SUM(G178:G179)</f>
        <v>0</v>
      </c>
      <c r="D172" t="s">
        <v>124</v>
      </c>
    </row>
    <row r="173" spans="1:11" x14ac:dyDescent="0.25">
      <c r="B173" s="164" t="s">
        <v>133</v>
      </c>
      <c r="C173" t="e">
        <f>SUM(INT((WEEKDAY(F173-{2,3,4,5,6})+H173-F173)/7))</f>
        <v>#NUM!</v>
      </c>
      <c r="D173" t="s">
        <v>124</v>
      </c>
      <c r="E173" t="s">
        <v>166</v>
      </c>
      <c r="F173" s="6"/>
      <c r="G173" s="6" t="s">
        <v>122</v>
      </c>
      <c r="H173" s="6"/>
    </row>
    <row r="174" spans="1:11" x14ac:dyDescent="0.25">
      <c r="B174" s="164" t="s">
        <v>134</v>
      </c>
      <c r="C174" t="e">
        <f>SUM(INT((WEEKDAY(F174-{2,3,4,5,6})+H174-F174)/7))</f>
        <v>#NUM!</v>
      </c>
      <c r="D174" t="s">
        <v>124</v>
      </c>
      <c r="E174" t="s">
        <v>166</v>
      </c>
      <c r="F174" s="6"/>
      <c r="G174" s="6" t="s">
        <v>122</v>
      </c>
      <c r="H174" s="6"/>
    </row>
    <row r="175" spans="1:11" x14ac:dyDescent="0.25">
      <c r="B175" s="164" t="s">
        <v>17</v>
      </c>
      <c r="C175" t="str">
        <f>IF(SUM(H178:H179)&gt;SUM(G178:G179),"Delayed",IF(SUM(H178:H179)&lt;SUM(G178:G179),"InAdvanced","Ontime"))</f>
        <v>Ontime</v>
      </c>
      <c r="F175" s="6"/>
      <c r="G175" s="6"/>
      <c r="H175" s="6"/>
    </row>
    <row r="177" spans="1:11" ht="45" x14ac:dyDescent="0.25">
      <c r="C177" s="165" t="s">
        <v>25</v>
      </c>
      <c r="D177" s="165" t="s">
        <v>26</v>
      </c>
      <c r="E177" s="166" t="s">
        <v>125</v>
      </c>
      <c r="F177" s="166" t="s">
        <v>126</v>
      </c>
      <c r="G177" s="166" t="s">
        <v>127</v>
      </c>
      <c r="H177" s="166" t="s">
        <v>128</v>
      </c>
      <c r="I177" s="166" t="s">
        <v>29</v>
      </c>
      <c r="J177" s="170" t="str">
        <f>Table!$C$36</f>
        <v>OPL</v>
      </c>
      <c r="K177" s="170" t="str">
        <f>Table!$C$37</f>
        <v>Defect</v>
      </c>
    </row>
    <row r="178" spans="1:11" x14ac:dyDescent="0.25">
      <c r="C178" s="50">
        <v>1</v>
      </c>
      <c r="D178" s="41" t="str">
        <f>Table!$D$3</f>
        <v>PSW</v>
      </c>
      <c r="E178" s="41">
        <f>SUMIFS(Merged_COEM!$W$48:$W$308,Merged_COEM!$D$48:$D$308,D178, Merged_COEM!$C$48:$C$308,C171)</f>
        <v>0</v>
      </c>
      <c r="F178" s="41">
        <f>SUMIFS(Merged_COEM!$X$48:$X$308,Merged_COEM!$D$48:$D$308,D178, Merged_COEM!$C$48:$C$308,C171)-SUM(SUMIFS(Merged_COEM!$X$48:$X$308,Merged_COEM!$D$48:$D$308,Table!$D$3,Merged_COEM!$AA$48:$AA$308,{"Ongoing","N/A",""},Merged_COEM!$C$48:$C$308,C171))</f>
        <v>0</v>
      </c>
      <c r="G178" s="41">
        <f>1/8*(SUMIFS(Merged_COEM!$Y$48:$Y$308,Merged_COEM!$D$48:$D$308,D178, Merged_COEM!$C$48:$C$308,C171))</f>
        <v>0</v>
      </c>
      <c r="H178" s="41">
        <f>1/8*(SUMIFS(Merged_COEM!$Z$48:$Z$308,Merged_COEM!$D$48:$D$308,D178, Merged_COEM!$C$48:$C$308,C171)-SUM(SUMIFS(Merged_COEM!$Z$48:$Z$308,Merged_COEM!$D$48:$D$308,D178,Merged_COEM!$AA$48:$AA$308,{"Ongoing","N/A",""},Merged_COEM!$C$48:$C$308,C171)))</f>
        <v>0</v>
      </c>
      <c r="I178" s="42" t="str">
        <f>IFERROR(F178/E178,"N/A")</f>
        <v>N/A</v>
      </c>
      <c r="J178" s="3">
        <f>COUNTIFS(Merged_COEM!$AK$48:$AK$308,J177,Merged_COEM!$D$48:$D$308,D178,Merged_COEM!$C$48:$C$308,C171)</f>
        <v>0</v>
      </c>
      <c r="K178" s="3">
        <f>COUNTIFS(Merged_COEM!$AK$48:$AK$308,K177,Merged_COEM!$D$48:$D$308,D178,Merged_COEM!$C$48:$C$308,C171)</f>
        <v>0</v>
      </c>
    </row>
    <row r="179" spans="1:11" x14ac:dyDescent="0.25">
      <c r="C179" s="50">
        <v>2</v>
      </c>
      <c r="D179" s="41" t="str">
        <f>Table!$C$3</f>
        <v>ASW</v>
      </c>
      <c r="E179" s="41">
        <f>SUMIFS(Merged_COEM!$W$48:$W$308,Merged_COEM!$D$48:$D$308,D179, Merged_COEM!$C$48:$C$308,C171)</f>
        <v>0</v>
      </c>
      <c r="F179" s="41">
        <f>SUMIFS(Merged_COEM!$X$48:$X$308,Merged_COEM!$D$48:$D$308,D179, Merged_COEM!$C$48:$C$308,C171)-SUM(SUMIFS(Merged_COEM!$X$48:$X$308,Merged_COEM!$D$48:$D$308,D179,Merged_COEM!$AA$48:$AA$308,{"Ongoing","N/A",""},Merged_COEM!$C$48:$C$308,C171))</f>
        <v>0</v>
      </c>
      <c r="G179" s="41">
        <f>1/8*(SUMIFS(Merged_COEM!$Y$48:$Y$308,Merged_COEM!$D$48:$D$308,D179, Merged_COEM!$C$48:$C$308,C171))</f>
        <v>0</v>
      </c>
      <c r="H179" s="41">
        <f>1/8*(SUMIFS(Merged_COEM!$Z$48:$Z$308,Merged_COEM!$D$48:$D$308,D179, Merged_COEM!$C$48:$C$308,C171)-SUM(SUMIFS(Merged_COEM!$Z$48:$Z$308,Merged_COEM!$D$48:$D$308,D179,Merged_COEM!$AA$48:$AA$308,{"Ongoing","N/A",""},Merged_COEM!$C$48:$C$308,C171)))</f>
        <v>0</v>
      </c>
      <c r="I179" s="42" t="str">
        <f>IFERROR(F179/E179,"N/A")</f>
        <v>N/A</v>
      </c>
      <c r="J179" s="3">
        <f>COUNTIFS(Merged_COEM!$AK$48:$AK$308,J177,Merged_COEM!$D$48:$D$308,D179,Merged_COEM!$C$48:$C$308,C171)</f>
        <v>0</v>
      </c>
      <c r="K179" s="3">
        <f>COUNTIFS(Merged_COEM!$AK$48:$AK$308,K177,Merged_COEM!$D$48:$D$308,D179,Merged_COEM!$C$48:$C$308,C171)</f>
        <v>0</v>
      </c>
    </row>
    <row r="181" spans="1:11" x14ac:dyDescent="0.25">
      <c r="C181" t="s">
        <v>130</v>
      </c>
    </row>
    <row r="182" spans="1:11" x14ac:dyDescent="0.25">
      <c r="D182" s="167" t="s">
        <v>135</v>
      </c>
    </row>
    <row r="184" spans="1:11" x14ac:dyDescent="0.25">
      <c r="A184" s="164">
        <v>15</v>
      </c>
      <c r="B184" s="164" t="s">
        <v>56</v>
      </c>
      <c r="C184" s="164">
        <v>20200522</v>
      </c>
    </row>
    <row r="185" spans="1:11" x14ac:dyDescent="0.25">
      <c r="B185" s="164" t="s">
        <v>123</v>
      </c>
      <c r="C185">
        <f>SUM(G191:G192)</f>
        <v>0</v>
      </c>
      <c r="D185" t="s">
        <v>124</v>
      </c>
    </row>
    <row r="186" spans="1:11" x14ac:dyDescent="0.25">
      <c r="B186" s="164" t="s">
        <v>133</v>
      </c>
      <c r="C186" t="e">
        <f>SUM(INT((WEEKDAY(F186-{2,3,4,5,6})+H186-F186)/7))</f>
        <v>#NUM!</v>
      </c>
      <c r="D186" t="s">
        <v>124</v>
      </c>
      <c r="E186" t="s">
        <v>166</v>
      </c>
      <c r="F186" s="6"/>
      <c r="G186" s="6" t="s">
        <v>122</v>
      </c>
      <c r="H186" s="6"/>
    </row>
    <row r="187" spans="1:11" x14ac:dyDescent="0.25">
      <c r="B187" s="164" t="s">
        <v>134</v>
      </c>
      <c r="C187" t="e">
        <f>SUM(INT((WEEKDAY(F187-{2,3,4,5,6})+H187-F187)/7))</f>
        <v>#NUM!</v>
      </c>
      <c r="D187" t="s">
        <v>124</v>
      </c>
      <c r="E187" t="s">
        <v>166</v>
      </c>
      <c r="F187" s="6"/>
      <c r="G187" s="6" t="s">
        <v>122</v>
      </c>
      <c r="H187" s="6"/>
    </row>
    <row r="188" spans="1:11" x14ac:dyDescent="0.25">
      <c r="B188" s="164" t="s">
        <v>17</v>
      </c>
      <c r="C188" t="str">
        <f>IF(SUM(H191:H192)&gt;SUM(G191:G192),"Delayed",IF(SUM(H191:H192)&lt;SUM(G191:G192),"InAdvanced","Ontime"))</f>
        <v>Ontime</v>
      </c>
      <c r="F188" s="6"/>
      <c r="G188" s="6"/>
      <c r="H188" s="6"/>
    </row>
    <row r="190" spans="1:11" ht="45" x14ac:dyDescent="0.25">
      <c r="C190" s="165" t="s">
        <v>25</v>
      </c>
      <c r="D190" s="165" t="s">
        <v>26</v>
      </c>
      <c r="E190" s="166" t="s">
        <v>125</v>
      </c>
      <c r="F190" s="166" t="s">
        <v>126</v>
      </c>
      <c r="G190" s="166" t="s">
        <v>127</v>
      </c>
      <c r="H190" s="166" t="s">
        <v>128</v>
      </c>
      <c r="I190" s="166" t="s">
        <v>29</v>
      </c>
      <c r="J190" s="170" t="str">
        <f>Table!$C$36</f>
        <v>OPL</v>
      </c>
      <c r="K190" s="170" t="str">
        <f>Table!$C$37</f>
        <v>Defect</v>
      </c>
    </row>
    <row r="191" spans="1:11" x14ac:dyDescent="0.25">
      <c r="C191" s="50">
        <v>1</v>
      </c>
      <c r="D191" s="41" t="str">
        <f>Table!$D$3</f>
        <v>PSW</v>
      </c>
      <c r="E191" s="41">
        <f>SUMIFS(Merged_COEM!$W$48:$W$308,Merged_COEM!$D$48:$D$308,D191, Merged_COEM!$C$48:$C$308,C184)</f>
        <v>0</v>
      </c>
      <c r="F191" s="41">
        <f>SUMIFS(Merged_COEM!$X$48:$X$308,Merged_COEM!$D$48:$D$308,D191, Merged_COEM!$C$48:$C$308,C184)-SUM(SUMIFS(Merged_COEM!$X$48:$X$308,Merged_COEM!$D$48:$D$308,Table!$D$3,Merged_COEM!$AA$48:$AA$308,{"Ongoing","N/A",""},Merged_COEM!$C$48:$C$308,C184))</f>
        <v>0</v>
      </c>
      <c r="G191" s="41">
        <f>1/8*(SUMIFS(Merged_COEM!$Y$48:$Y$308,Merged_COEM!$D$48:$D$308,D191, Merged_COEM!$C$48:$C$308,C184))</f>
        <v>0</v>
      </c>
      <c r="H191" s="41">
        <f>1/8*(SUMIFS(Merged_COEM!$Z$48:$Z$308,Merged_COEM!$D$48:$D$308,D191, Merged_COEM!$C$48:$C$308,C184)-SUM(SUMIFS(Merged_COEM!$Z$48:$Z$308,Merged_COEM!$D$48:$D$308,D191,Merged_COEM!$AA$48:$AA$308,{"Ongoing","N/A",""},Merged_COEM!$C$48:$C$308,C184)))</f>
        <v>0</v>
      </c>
      <c r="I191" s="42" t="str">
        <f>IFERROR(F191/E191,"N/A")</f>
        <v>N/A</v>
      </c>
      <c r="J191" s="3">
        <f>COUNTIFS(Merged_COEM!$AK$48:$AK$308,J190,Merged_COEM!$D$48:$D$308,D191,Merged_COEM!$C$48:$C$308,C184)</f>
        <v>0</v>
      </c>
      <c r="K191" s="3">
        <f>COUNTIFS(Merged_COEM!$AK$48:$AK$308,K190,Merged_COEM!$D$48:$D$308,D191,Merged_COEM!$C$48:$C$308,C184)</f>
        <v>0</v>
      </c>
    </row>
    <row r="192" spans="1:11" x14ac:dyDescent="0.25">
      <c r="C192" s="50">
        <v>2</v>
      </c>
      <c r="D192" s="41" t="str">
        <f>Table!$C$3</f>
        <v>ASW</v>
      </c>
      <c r="E192" s="41">
        <f>SUMIFS(Merged_COEM!$W$48:$W$308,Merged_COEM!$D$48:$D$308,D192, Merged_COEM!$C$48:$C$308,C184)</f>
        <v>0</v>
      </c>
      <c r="F192" s="41">
        <f>SUMIFS(Merged_COEM!$X$48:$X$308,Merged_COEM!$D$48:$D$308,D192, Merged_COEM!$C$48:$C$308,C184)-SUM(SUMIFS(Merged_COEM!$X$48:$X$308,Merged_COEM!$D$48:$D$308,D192,Merged_COEM!$AA$48:$AA$308,{"Ongoing","N/A",""},Merged_COEM!$C$48:$C$308,C184))</f>
        <v>0</v>
      </c>
      <c r="G192" s="41">
        <f>1/8*(SUMIFS(Merged_COEM!$Y$48:$Y$308,Merged_COEM!$D$48:$D$308,D192, Merged_COEM!$C$48:$C$308,C184))</f>
        <v>0</v>
      </c>
      <c r="H192" s="41">
        <f>1/8*(SUMIFS(Merged_COEM!$Z$48:$Z$308,Merged_COEM!$D$48:$D$308,D192, Merged_COEM!$C$48:$C$308,C184)-SUM(SUMIFS(Merged_COEM!$Z$48:$Z$308,Merged_COEM!$D$48:$D$308,D192,Merged_COEM!$AA$48:$AA$308,{"Ongoing","N/A",""},Merged_COEM!$C$48:$C$308,C184)))</f>
        <v>0</v>
      </c>
      <c r="I192" s="42" t="str">
        <f>IFERROR(F192/E192,"N/A")</f>
        <v>N/A</v>
      </c>
      <c r="J192" s="3">
        <f>COUNTIFS(Merged_COEM!$AK$48:$AK$308,J190,Merged_COEM!$D$48:$D$308,D192,Merged_COEM!$C$48:$C$308,C184)</f>
        <v>0</v>
      </c>
      <c r="K192" s="3">
        <f>COUNTIFS(Merged_COEM!$AK$48:$AK$308,K190,Merged_COEM!$D$48:$D$308,D192,Merged_COEM!$C$48:$C$308,C184)</f>
        <v>0</v>
      </c>
    </row>
    <row r="194" spans="3:4" x14ac:dyDescent="0.25">
      <c r="C194" t="s">
        <v>130</v>
      </c>
    </row>
    <row r="195" spans="3:4" x14ac:dyDescent="0.25">
      <c r="D195" s="167" t="s">
        <v>135</v>
      </c>
    </row>
  </sheetData>
  <customSheetViews>
    <customSheetView guid="{D33AC7AF-C8AB-4CE9-94C7-9237011A5FC3}" scale="85" topLeftCell="A151">
      <selection activeCell="A177" sqref="A177:I187"/>
      <pageMargins left="0.7" right="0.7" top="0.75" bottom="0.75" header="0.3" footer="0.3"/>
      <pageSetup orientation="portrait" r:id="rId1"/>
    </customSheetView>
    <customSheetView guid="{250915DF-0B97-45D7-B29D-7EED4C89C1C1}" scale="85" topLeftCell="A166">
      <selection activeCell="F186" sqref="F186"/>
      <pageMargins left="0.7" right="0.7" top="0.75" bottom="0.75" header="0.3" footer="0.3"/>
      <pageSetup orientation="portrait" r:id="rId2"/>
    </customSheetView>
    <customSheetView guid="{3B3E6719-EACB-4D2C-89C1-05FFAB6020FD}" scale="85" topLeftCell="A151">
      <selection activeCell="A178" sqref="A178:XFD178"/>
      <pageMargins left="0.7" right="0.7" top="0.75" bottom="0.75" header="0.3" footer="0.3"/>
      <pageSetup orientation="portrait" r:id="rId3"/>
    </customSheetView>
    <customSheetView guid="{72A6EB0A-84D5-4B8A-AC51-54CCD061630B}" scale="85">
      <selection activeCell="E9" sqref="E9"/>
      <pageMargins left="0.7" right="0.7" top="0.75" bottom="0.75" header="0.3" footer="0.3"/>
      <pageSetup orientation="portrait" r:id="rId4"/>
    </customSheetView>
    <customSheetView guid="{4E06BDBF-2CED-473B-850B-2A6C7311FF41}" scale="85">
      <selection activeCell="R10" sqref="R10"/>
      <pageMargins left="0.7" right="0.7" top="0.75" bottom="0.75" header="0.3" footer="0.3"/>
      <pageSetup orientation="portrait" r:id="rId5"/>
    </customSheetView>
    <customSheetView guid="{A2C66332-A809-458E-971B-FDB6D62C74C3}" scale="85">
      <selection activeCell="G160" sqref="G160"/>
      <pageMargins left="0.7" right="0.7" top="0.75" bottom="0.75" header="0.3" footer="0.3"/>
      <pageSetup orientation="portrait" r:id="rId6"/>
    </customSheetView>
    <customSheetView guid="{336B6883-2145-4B58-921E-CEC7185A847E}" topLeftCell="A10">
      <selection activeCell="L50" sqref="L50"/>
      <pageMargins left="0.7" right="0.7" top="0.75" bottom="0.75" header="0.3" footer="0.3"/>
    </customSheetView>
    <customSheetView guid="{7ECC2B8E-6A82-42F5-8AB0-4A51C54EA5EC}" scale="85" topLeftCell="A19">
      <selection activeCell="M30" sqref="M30"/>
      <pageMargins left="0.7" right="0.7" top="0.75" bottom="0.75" header="0.3" footer="0.3"/>
      <pageSetup orientation="portrait" r:id="rId7"/>
    </customSheetView>
    <customSheetView guid="{60D2C030-4E31-4E07-8E1C-44D2EE84B177}" scale="85">
      <selection activeCell="R10" sqref="R10"/>
      <pageMargins left="0.7" right="0.7" top="0.75" bottom="0.75" header="0.3" footer="0.3"/>
      <pageSetup orientation="portrait" r:id="rId8"/>
    </customSheetView>
    <customSheetView guid="{7E0EA425-A420-4443-B9E0-CDF0AA9E5D09}" scale="85">
      <selection activeCell="K22" sqref="K22"/>
      <pageMargins left="0.7" right="0.7" top="0.75" bottom="0.75" header="0.3" footer="0.3"/>
      <pageSetup orientation="portrait" r:id="rId9"/>
    </customSheetView>
  </customSheetViews>
  <pageMargins left="0.7" right="0.7" top="0.75" bottom="0.75" header="0.3" footer="0.3"/>
  <pageSetup orientation="portrait" r:id="rId1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40"/>
  <sheetViews>
    <sheetView workbookViewId="0">
      <selection activeCell="K38" sqref="K38"/>
    </sheetView>
  </sheetViews>
  <sheetFormatPr defaultRowHeight="15" x14ac:dyDescent="0.25"/>
  <cols>
    <col min="3" max="3" width="5" customWidth="1"/>
    <col min="5" max="5" width="10" customWidth="1"/>
    <col min="6" max="6" width="13.140625" customWidth="1"/>
    <col min="8" max="8" width="15.140625" customWidth="1"/>
    <col min="9" max="9" width="23.5703125" customWidth="1"/>
  </cols>
  <sheetData>
    <row r="2" spans="1:11" x14ac:dyDescent="0.25">
      <c r="A2" s="1">
        <f>1</f>
        <v>1</v>
      </c>
      <c r="B2" s="1" t="s">
        <v>56</v>
      </c>
      <c r="C2" s="1" t="s">
        <v>503</v>
      </c>
    </row>
    <row r="3" spans="1:11" x14ac:dyDescent="0.25">
      <c r="B3" s="1" t="s">
        <v>123</v>
      </c>
      <c r="C3" s="35">
        <f>SUM(G9:G10)</f>
        <v>10.860500000000005</v>
      </c>
      <c r="D3" t="s">
        <v>124</v>
      </c>
    </row>
    <row r="4" spans="1:11" x14ac:dyDescent="0.25">
      <c r="B4" s="1" t="s">
        <v>133</v>
      </c>
      <c r="C4">
        <f>SUM(INT((WEEKDAY(F4-{2,3,4,5,6})+H4-F4)/7))-2</f>
        <v>7</v>
      </c>
      <c r="D4" t="s">
        <v>124</v>
      </c>
      <c r="E4" t="s">
        <v>131</v>
      </c>
      <c r="F4" s="6">
        <v>43948</v>
      </c>
      <c r="G4" s="6" t="s">
        <v>122</v>
      </c>
      <c r="H4" s="6">
        <v>43958</v>
      </c>
    </row>
    <row r="5" spans="1:11" x14ac:dyDescent="0.25">
      <c r="B5" s="1" t="s">
        <v>134</v>
      </c>
      <c r="C5">
        <f>SUM(INT((WEEKDAY(F5-{2,3,4,5,6})+H5-F5)/7))-2</f>
        <v>7</v>
      </c>
      <c r="D5" t="s">
        <v>124</v>
      </c>
      <c r="E5" t="s">
        <v>131</v>
      </c>
      <c r="F5" s="6">
        <v>43948</v>
      </c>
      <c r="G5" s="6" t="s">
        <v>122</v>
      </c>
      <c r="H5" s="6">
        <v>43958</v>
      </c>
    </row>
    <row r="6" spans="1:11" x14ac:dyDescent="0.25">
      <c r="B6" s="1" t="s">
        <v>17</v>
      </c>
      <c r="C6" t="str">
        <f>IF(SUM(H9:H10)&gt;SUM(G9:G10),"Delayed",IF(SUM(H9:H10)&lt;SUM(G9:G10),"InAdvanced","Ontime"))</f>
        <v>InAdvanced</v>
      </c>
      <c r="F6" s="6"/>
      <c r="G6" s="6"/>
      <c r="H6" s="6"/>
    </row>
    <row r="8" spans="1:11" ht="30" x14ac:dyDescent="0.25">
      <c r="C8" s="43" t="s">
        <v>25</v>
      </c>
      <c r="D8" s="43" t="s">
        <v>26</v>
      </c>
      <c r="E8" s="9" t="s">
        <v>125</v>
      </c>
      <c r="F8" s="9" t="s">
        <v>126</v>
      </c>
      <c r="G8" s="9" t="s">
        <v>127</v>
      </c>
      <c r="H8" s="9" t="s">
        <v>128</v>
      </c>
      <c r="I8" s="9" t="s">
        <v>29</v>
      </c>
      <c r="J8" s="170" t="str">
        <f>Table!$C$36</f>
        <v>OPL</v>
      </c>
      <c r="K8" s="170" t="str">
        <f>Table!$C$37</f>
        <v>Defect</v>
      </c>
    </row>
    <row r="9" spans="1:11" x14ac:dyDescent="0.25">
      <c r="C9" s="8">
        <v>1</v>
      </c>
      <c r="D9" s="64" t="str">
        <f>Table!$D$3</f>
        <v>PSW</v>
      </c>
      <c r="E9" s="44">
        <f>SUMIFS(Merged_JOEM!$W$48:$W$174,Merged_JOEM!$D$48:$D$174,D9, Merged_JOEM!$E$48:$E$174,C2)</f>
        <v>3852.2249999999999</v>
      </c>
      <c r="F9" s="64">
        <f>SUMIFS(Merged_JOEM!$X$48:$X$174,Merged_JOEM!$D$48:$D$174,D9, Merged_JOEM!$E$48:$E$174,Report_For_Each_Project_JOEM!C2)-SUM(SUMIFS(Merged_JOEM!$X$48:$X$174,Merged_JOEM!$D$48:$D$174,D9,Merged_JOEM!$AA$48:$AA$174,{"Ongoing","N/A",""},Merged_JOEM!$E$48:$E$174,C2))</f>
        <v>3852.2249999999999</v>
      </c>
      <c r="G9" s="44">
        <f>1/8*(SUMIFS(Merged_JOEM!$Y$48:$Y$174,Merged_JOEM!$D$48:$D$174,D9, Merged_JOEM!$E$48:$E$174,C2))</f>
        <v>8.5605000000000047</v>
      </c>
      <c r="H9" s="44">
        <f>1/8*(SUMIFS(Merged_JOEM!$Z$48:$Z$174,Merged_JOEM!$D$48:$D$174,D9, Merged_JOEM!$E$48:$E$174,C2)-SUM(SUMIFS(Merged_JOEM!$Z$48:$Z$174,Merged_JOEM!$D$48:$D$174,D9,Merged_JOEM!$AA$48:$AA$174,{"Ongoing","N/A",""},Merged_JOEM!$E$48:$E$174,C2)))</f>
        <v>7.3150000000000013</v>
      </c>
      <c r="I9" s="42">
        <f>IFERROR(F9/E9,"N/A")</f>
        <v>1</v>
      </c>
      <c r="J9" s="3">
        <f>COUNTIFS(Merged_JOEM!$AK$48:$AK$174,J8,Merged_JOEM!$D$48:$D$174,D9,Merged_JOEM!$E$48:$E$174,C2)</f>
        <v>0</v>
      </c>
      <c r="K9" s="3">
        <f>COUNTIFS(Merged_JOEM!$AK$48:$AK$174,K8,Merged_JOEM!$D$48:$D$174,D9,Merged_JOEM!$E$48:$E$174,C2)</f>
        <v>0</v>
      </c>
    </row>
    <row r="10" spans="1:11" x14ac:dyDescent="0.25">
      <c r="C10" s="8">
        <v>2</v>
      </c>
      <c r="D10" s="64" t="str">
        <f>Table!$C$3</f>
        <v>ASW</v>
      </c>
      <c r="E10" s="64">
        <f>SUMIFS(Merged_JOEM!$W$48:$W$174,Merged_JOEM!$D$48:$D$174,D10, Merged_JOEM!$E$48:$E$174,C2)</f>
        <v>299</v>
      </c>
      <c r="F10" s="46">
        <f>SUMIFS(Merged_JOEM!$X$48:$X$174,Merged_JOEM!$D$48:$D$174,D10, Merged_JOEM!$E$48:$E$174,C2)-SUM(SUMIFS(Merged_JOEM!$X$48:$X$174,Merged_JOEM!$D$48:$D$174,D10,Merged_JOEM!$AA$48:$AA$174,{"Ongoing","N/A",""},Merged_JOEM!$E$48:$E$174,C2))</f>
        <v>299</v>
      </c>
      <c r="G10" s="64">
        <f>1/8*(SUMIFS(Merged_JOEM!$Y$48:$Y$174,Merged_JOEM!$D$48:$D$174,D10, Merged_JOEM!$E$48:$E$174,C2))</f>
        <v>2.2999999999999998</v>
      </c>
      <c r="H10" s="44">
        <f>1/8*(SUMIFS(Merged_JOEM!$Z$48:$Z$174,Merged_JOEM!$D$48:$D$174,D10, Merged_JOEM!$E$48:$E$174,Report_For_Each_Project_JOEM!C2)-SUM(SUMIFS(Merged_JOEM!$Z$48:$Z$174,Merged_JOEM!$D$48:$D$174,D10,Merged_JOEM!$AA$48:$AA$174,{"Ongoing","N/A",""},Merged_JOEM!$E$48:$E$174,C2)))</f>
        <v>1</v>
      </c>
      <c r="I10" s="42">
        <f>IFERROR(F10/E10,"N/A")</f>
        <v>1</v>
      </c>
      <c r="J10" s="3">
        <f>COUNTIFS(Merged_JOEM!$AK$48:$AK$174,J8,Merged_JOEM!$D$48:$D$174,D10,Merged_JOEM!$E$48:$E$174,C2)</f>
        <v>0</v>
      </c>
      <c r="K10" s="3">
        <f>COUNTIFS(Merged_JOEM!$AK$48:$AK$174,K8,Merged_JOEM!$D$48:$D$174,D10,Merged_JOEM!$E$48:$E$174,C2)</f>
        <v>0</v>
      </c>
    </row>
    <row r="12" spans="1:11" x14ac:dyDescent="0.25">
      <c r="C12" t="s">
        <v>130</v>
      </c>
    </row>
    <row r="13" spans="1:11" x14ac:dyDescent="0.25">
      <c r="D13" t="s">
        <v>135</v>
      </c>
    </row>
    <row r="15" spans="1:11" x14ac:dyDescent="0.25">
      <c r="A15" s="1">
        <v>2</v>
      </c>
      <c r="B15" s="1" t="s">
        <v>56</v>
      </c>
      <c r="C15" s="1" t="s">
        <v>513</v>
      </c>
    </row>
    <row r="16" spans="1:11" x14ac:dyDescent="0.25">
      <c r="B16" s="1" t="s">
        <v>123</v>
      </c>
      <c r="C16" s="117">
        <f>SUM(G22:G23)</f>
        <v>6.1999999999999993</v>
      </c>
      <c r="D16" t="s">
        <v>124</v>
      </c>
    </row>
    <row r="17" spans="1:11" x14ac:dyDescent="0.25">
      <c r="B17" s="1" t="s">
        <v>133</v>
      </c>
      <c r="C17">
        <f>SUM(INT((WEEKDAY(F17-{2,3,4,5,6})+H17-F17)/7))</f>
        <v>3</v>
      </c>
      <c r="D17" t="s">
        <v>124</v>
      </c>
      <c r="E17" t="s">
        <v>529</v>
      </c>
      <c r="F17" s="6">
        <v>43957</v>
      </c>
      <c r="G17" s="6" t="s">
        <v>122</v>
      </c>
      <c r="H17" s="6">
        <v>43959</v>
      </c>
    </row>
    <row r="18" spans="1:11" x14ac:dyDescent="0.25">
      <c r="B18" s="1" t="s">
        <v>134</v>
      </c>
      <c r="C18">
        <f>SUM(INT((WEEKDAY(F18-{2,3,4,5,6})+H18-F18)/7))</f>
        <v>3</v>
      </c>
      <c r="D18" t="s">
        <v>124</v>
      </c>
      <c r="E18" t="s">
        <v>529</v>
      </c>
      <c r="F18" s="6">
        <v>43957</v>
      </c>
      <c r="G18" s="6" t="s">
        <v>122</v>
      </c>
      <c r="H18" s="6">
        <v>43959</v>
      </c>
    </row>
    <row r="19" spans="1:11" x14ac:dyDescent="0.25">
      <c r="B19" s="1" t="s">
        <v>17</v>
      </c>
      <c r="C19" t="str">
        <f>IF(SUM(H22:H23)&gt;SUM(G22:G23),"Delayed",IF(SUM(H22:H23)&lt;SUM(G22:G23),"InAdvanced","Ontime"))</f>
        <v>InAdvanced</v>
      </c>
      <c r="F19" s="6"/>
      <c r="G19" s="6"/>
      <c r="H19" s="6"/>
    </row>
    <row r="21" spans="1:11" ht="30" x14ac:dyDescent="0.25">
      <c r="C21" s="59" t="s">
        <v>25</v>
      </c>
      <c r="D21" s="59" t="s">
        <v>26</v>
      </c>
      <c r="E21" s="9" t="s">
        <v>125</v>
      </c>
      <c r="F21" s="9" t="s">
        <v>126</v>
      </c>
      <c r="G21" s="9" t="s">
        <v>127</v>
      </c>
      <c r="H21" s="9" t="s">
        <v>128</v>
      </c>
      <c r="I21" s="9" t="s">
        <v>29</v>
      </c>
      <c r="J21" s="170" t="str">
        <f>Table!$C$36</f>
        <v>OPL</v>
      </c>
      <c r="K21" s="170" t="str">
        <f>Table!$C$37</f>
        <v>Defect</v>
      </c>
    </row>
    <row r="22" spans="1:11" x14ac:dyDescent="0.25">
      <c r="C22" s="50">
        <v>1</v>
      </c>
      <c r="D22" s="41" t="str">
        <f>Table!$D$3</f>
        <v>PSW</v>
      </c>
      <c r="E22" s="41">
        <f>SUMIFS(Merged_JOEM!$W$48:$W$174,Merged_JOEM!$D$48:$D$174,D22, Merged_JOEM!$E$48:$E$174,C15)</f>
        <v>1080</v>
      </c>
      <c r="F22" s="41">
        <f>SUMIFS(Merged_JOEM!$X$48:$X$174,Merged_JOEM!$D$48:$D$174,D22, Merged_JOEM!$E$48:$E$174,Report_For_Each_Project_JOEM!C15)-SUM(SUMIFS(Merged_JOEM!$X$48:$X$174,Merged_JOEM!$D$48:$D$174,D22,Merged_JOEM!$AA$48:$AA$174,{"Ongoing","N/A",""},Merged_JOEM!$E$48:$E$174,C15))</f>
        <v>1080</v>
      </c>
      <c r="G22" s="41">
        <f>1/8*(SUMIFS(Merged_JOEM!$Y$48:$Y$174,Merged_JOEM!$D$48:$D$174,D22, Merged_JOEM!$E$48:$E$174,C15))</f>
        <v>2.4</v>
      </c>
      <c r="H22" s="41">
        <f>1/8*(SUMIFS(Merged_JOEM!$Z$48:$Z$174,Merged_JOEM!$D$48:$D$174,D22, Merged_JOEM!$E$48:$E$174,C15)-SUM(SUMIFS(Merged_JOEM!$Z$48:$Z$174,Merged_JOEM!$D$48:$D$174,D22,Merged_JOEM!$AA$48:$AA$174,{"Ongoing","N/A",""},Merged_JOEM!$E$48:$E$174,C15)))</f>
        <v>1</v>
      </c>
      <c r="I22" s="42">
        <f>IFERROR(F22/E22,"N/A")</f>
        <v>1</v>
      </c>
      <c r="J22" s="3">
        <f>COUNTIFS(Merged_JOEM!$AK$48:$AK$174,J21,Merged_JOEM!$D$48:$D$174,D22,Merged_JOEM!$E$48:$E$174,C15)</f>
        <v>0</v>
      </c>
      <c r="K22" s="3">
        <f>COUNTIFS(Merged_JOEM!$AK$48:$AK$174,K21,Merged_JOEM!$D$48:$D$174,D22,Merged_JOEM!$E$48:$E$174,C15)</f>
        <v>0</v>
      </c>
    </row>
    <row r="23" spans="1:11" x14ac:dyDescent="0.25">
      <c r="C23" s="50">
        <v>2</v>
      </c>
      <c r="D23" s="41" t="str">
        <f>Table!$C$3</f>
        <v>ASW</v>
      </c>
      <c r="E23" s="41">
        <f>SUMIFS(Merged_JOEM!$W$48:$W$174,Merged_JOEM!$D$48:$D$174,D23, Merged_JOEM!$E$48:$E$174,C15)</f>
        <v>494</v>
      </c>
      <c r="F23" s="41">
        <f>SUMIFS(Merged_JOEM!$X$48:$X$174,Merged_JOEM!$D$48:$D$174,D23, Merged_JOEM!$E$48:$E$174,C15)-SUM(SUMIFS(Merged_JOEM!$X$48:$X$174,Merged_JOEM!$D$48:$D$174,D23,Merged_JOEM!$AA$48:$AA$174,{"Ongoing","N/A",""},Merged_JOEM!$E$48:$E$174,C15))</f>
        <v>494</v>
      </c>
      <c r="G23" s="41">
        <f>1/8*(SUMIFS(Merged_JOEM!$Y$48:$Y$174,Merged_JOEM!$D$48:$D$174,D23, Merged_JOEM!$E$48:$E$174,C15))</f>
        <v>3.8</v>
      </c>
      <c r="H23" s="41">
        <f>1/8*(SUMIFS(Merged_JOEM!$Z$48:$Z$174,Merged_JOEM!$D$48:$D$174,D23, Merged_JOEM!$E$48:$E$174,Report_For_Each_Project_JOEM!C15)-SUM(SUMIFS(Merged_JOEM!$Z$48:$Z$174,Merged_JOEM!$D$48:$D$174,D23,Merged_JOEM!$AA$48:$AA$174,{"Ongoing","N/A",""},Merged_JOEM!$E$48:$E$174,C15)))</f>
        <v>1.25</v>
      </c>
      <c r="I23" s="42">
        <f>IFERROR(F23/E23,"N/A")</f>
        <v>1</v>
      </c>
      <c r="J23" s="3">
        <f>COUNTIFS(Merged_JOEM!$AK$48:$AK$174,J21,Merged_JOEM!$D$48:$D$174,D23,Merged_JOEM!$E$48:$E$174,C15)</f>
        <v>0</v>
      </c>
      <c r="K23" s="3">
        <f>COUNTIFS(Merged_JOEM!$AK$48:$AK$174,K21,Merged_JOEM!$D$48:$D$174,D23,Merged_JOEM!$E$48:$E$174,C15)</f>
        <v>0</v>
      </c>
    </row>
    <row r="25" spans="1:11" x14ac:dyDescent="0.25">
      <c r="C25" t="s">
        <v>130</v>
      </c>
    </row>
    <row r="26" spans="1:11" x14ac:dyDescent="0.25">
      <c r="D26" s="125" t="s">
        <v>614</v>
      </c>
    </row>
    <row r="28" spans="1:11" x14ac:dyDescent="0.25">
      <c r="A28" s="1">
        <v>3</v>
      </c>
      <c r="B28" s="1" t="s">
        <v>56</v>
      </c>
      <c r="C28" s="1" t="s">
        <v>656</v>
      </c>
    </row>
    <row r="29" spans="1:11" x14ac:dyDescent="0.25">
      <c r="B29" s="1" t="s">
        <v>123</v>
      </c>
      <c r="C29">
        <f>SUM(G35:G36)</f>
        <v>21.87</v>
      </c>
      <c r="D29" t="s">
        <v>124</v>
      </c>
    </row>
    <row r="30" spans="1:11" x14ac:dyDescent="0.25">
      <c r="B30" s="1" t="s">
        <v>133</v>
      </c>
      <c r="C30">
        <f>SUM(INT((WEEKDAY(F30-{2,3,4,5,6})+H30-F30)/7))</f>
        <v>12</v>
      </c>
      <c r="D30" t="s">
        <v>124</v>
      </c>
      <c r="E30" t="s">
        <v>166</v>
      </c>
      <c r="F30" s="6">
        <v>43962</v>
      </c>
      <c r="G30" s="6" t="s">
        <v>122</v>
      </c>
      <c r="H30" s="6">
        <v>43977</v>
      </c>
    </row>
    <row r="31" spans="1:11" x14ac:dyDescent="0.25">
      <c r="B31" s="1" t="s">
        <v>134</v>
      </c>
      <c r="C31">
        <f>SUM(INT((WEEKDAY(F31-{2,3,4,5,6})+H31-F31)/7))</f>
        <v>12</v>
      </c>
      <c r="D31" t="s">
        <v>124</v>
      </c>
      <c r="E31" t="s">
        <v>679</v>
      </c>
      <c r="F31" s="6">
        <v>43962</v>
      </c>
      <c r="G31" s="6" t="s">
        <v>122</v>
      </c>
      <c r="H31" s="6">
        <v>43977</v>
      </c>
    </row>
    <row r="32" spans="1:11" x14ac:dyDescent="0.25">
      <c r="B32" s="1" t="s">
        <v>17</v>
      </c>
      <c r="C32" t="str">
        <f>IF(SUM(H35:H36)&gt;SUM(G35:G36),"Delayed",IF(SUM(H35:H36)&lt;SUM(G35:G36),"InAdvanced","Ontime"))</f>
        <v>InAdvanced</v>
      </c>
      <c r="F32" s="6"/>
      <c r="G32" s="6"/>
      <c r="H32" s="6"/>
    </row>
    <row r="34" spans="3:11" ht="30" x14ac:dyDescent="0.25">
      <c r="C34" s="59" t="s">
        <v>25</v>
      </c>
      <c r="D34" s="59" t="s">
        <v>26</v>
      </c>
      <c r="E34" s="9" t="s">
        <v>125</v>
      </c>
      <c r="F34" s="9" t="s">
        <v>126</v>
      </c>
      <c r="G34" s="9" t="s">
        <v>127</v>
      </c>
      <c r="H34" s="9" t="s">
        <v>128</v>
      </c>
      <c r="I34" s="9" t="s">
        <v>29</v>
      </c>
      <c r="J34" s="170" t="str">
        <f>Table!$C$36</f>
        <v>OPL</v>
      </c>
      <c r="K34" s="170" t="str">
        <f>Table!$C$37</f>
        <v>Defect</v>
      </c>
    </row>
    <row r="35" spans="3:11" x14ac:dyDescent="0.25">
      <c r="C35" s="50">
        <v>1</v>
      </c>
      <c r="D35" s="41" t="str">
        <f>Table!$D$3</f>
        <v>PSW</v>
      </c>
      <c r="E35" s="41">
        <f>SUMIFS(Merged_JOEM!$W$48:$W$174,Merged_JOEM!$D$48:$D$174,D35, Merged_JOEM!$E$48:$E$174,C28)</f>
        <v>5148</v>
      </c>
      <c r="F35" s="41">
        <f>SUMIFS(Merged_JOEM!$X$48:$X$174,Merged_JOEM!$D$48:$D$174,D35, Merged_JOEM!$E$48:$E$174,Report_For_Each_Project_JOEM!C28)-SUM(SUMIFS(Merged_JOEM!$X$48:$X$174,Merged_JOEM!$D$48:$D$174,D35,Merged_JOEM!$AA$48:$AA$174,{"Ongoing","N/A",""},Merged_JOEM!$E$48:$E$174,C28))</f>
        <v>5148</v>
      </c>
      <c r="G35" s="41">
        <f>1/8*(SUMIFS(Merged_JOEM!$Y$48:$Y$174,Merged_JOEM!$D$48:$D$174,D35, Merged_JOEM!$E$48:$E$174,C28))</f>
        <v>11.440000000000001</v>
      </c>
      <c r="H35" s="41">
        <f>1/8*(SUMIFS(Merged_JOEM!$Z$48:$Z$174,Merged_JOEM!$D$48:$D$174,D35, Merged_JOEM!$E$48:$E$174,C28)-SUM(SUMIFS(Merged_JOEM!$Z$48:$Z$174,Merged_JOEM!$D$48:$D$174,D35,Merged_JOEM!$AA$48:$AA$174,{"Ongoing","N/A",""},Merged_JOEM!$E$48:$E$174,C28)))</f>
        <v>3.75</v>
      </c>
      <c r="I35" s="42">
        <f>IFERROR(F35/E35,"N/A")</f>
        <v>1</v>
      </c>
      <c r="J35" s="3">
        <f>COUNTIFS(Merged_JOEM!$AK$48:$AK$174,J34,Merged_JOEM!$D$48:$D$174,D35,Merged_JOEM!$E$48:$E$174,C28)</f>
        <v>0</v>
      </c>
      <c r="K35" s="3">
        <f>COUNTIFS(Merged_JOEM!$AK$48:$AK$174,K34,Merged_JOEM!$D$48:$D$174,D35,Merged_JOEM!$E$48:$E$174,C28)</f>
        <v>1</v>
      </c>
    </row>
    <row r="36" spans="3:11" x14ac:dyDescent="0.25">
      <c r="C36" s="50">
        <v>2</v>
      </c>
      <c r="D36" s="41" t="str">
        <f>Table!$C$3</f>
        <v>ASW</v>
      </c>
      <c r="E36" s="41">
        <f>SUMIFS(Merged_JOEM!$W$48:$W$174,Merged_JOEM!$D$48:$D$174,D36, Merged_JOEM!$E$48:$E$174,C28)</f>
        <v>1355.9</v>
      </c>
      <c r="F36" s="41">
        <f>SUMIFS(Merged_JOEM!$X$48:$X$174,Merged_JOEM!$D$48:$D$174,D36, Merged_JOEM!$E$48:$E$174,C28)-SUM(SUMIFS(Merged_JOEM!$X$48:$X$174,Merged_JOEM!$D$48:$D$174,D36,Merged_JOEM!$AA$48:$AA$174,{"Ongoing","N/A",""},Merged_JOEM!$E$48:$E$174,C28))</f>
        <v>1355.9</v>
      </c>
      <c r="G36" s="41">
        <f>1/8*(SUMIFS(Merged_JOEM!$Y$48:$Y$174,Merged_JOEM!$D$48:$D$174,D36, Merged_JOEM!$E$48:$E$174,C28))</f>
        <v>10.43</v>
      </c>
      <c r="H36" s="41">
        <f>1/8*(SUMIFS(Merged_JOEM!$Z$48:$Z$174,Merged_JOEM!$D$48:$D$174,D36, Merged_JOEM!$E$48:$E$174,Report_For_Each_Project_JOEM!C28)-SUM(SUMIFS(Merged_JOEM!$Z$48:$Z$174,Merged_JOEM!$D$48:$D$174,D36,Merged_JOEM!$AA$48:$AA$174,{"Ongoing","N/A",""},Merged_JOEM!$E$48:$E$174,C28)))</f>
        <v>7.375</v>
      </c>
      <c r="I36" s="42">
        <f>IFERROR(F36/E36,"N/A")</f>
        <v>1</v>
      </c>
      <c r="J36" s="3">
        <f>COUNTIFS(Merged_JOEM!$AK$48:$AK$174,J34,Merged_JOEM!$D$48:$D$174,D36,Merged_JOEM!$E$48:$E$174,C28)</f>
        <v>0</v>
      </c>
      <c r="K36" s="3">
        <f>COUNTIFS(Merged_JOEM!$AK$48:$AK$174,K34,Merged_JOEM!$D$48:$D$174,D36,Merged_JOEM!$E$48:$E$174,C28)</f>
        <v>0</v>
      </c>
    </row>
    <row r="38" spans="3:11" x14ac:dyDescent="0.25">
      <c r="C38" t="s">
        <v>130</v>
      </c>
    </row>
    <row r="39" spans="3:11" x14ac:dyDescent="0.25">
      <c r="D39" s="37" t="s">
        <v>980</v>
      </c>
    </row>
    <row r="40" spans="3:11" x14ac:dyDescent="0.25">
      <c r="D40" s="37" t="s">
        <v>981</v>
      </c>
    </row>
  </sheetData>
  <customSheetViews>
    <customSheetView guid="{D33AC7AF-C8AB-4CE9-94C7-9237011A5FC3}">
      <selection activeCell="K38" sqref="K38"/>
      <pageMargins left="0.7" right="0.7" top="0.75" bottom="0.75" header="0.3" footer="0.3"/>
    </customSheetView>
    <customSheetView guid="{250915DF-0B97-45D7-B29D-7EED4C89C1C1}">
      <selection activeCell="E36" sqref="E36"/>
      <pageMargins left="0.7" right="0.7" top="0.75" bottom="0.75" header="0.3" footer="0.3"/>
      <pageSetup paperSize="9" orientation="portrait" r:id="rId1"/>
    </customSheetView>
    <customSheetView guid="{3B3E6719-EACB-4D2C-89C1-05FFAB6020FD}">
      <selection activeCell="N1" sqref="N1:N1048576"/>
      <pageMargins left="0.7" right="0.7" top="0.75" bottom="0.75" header="0.3" footer="0.3"/>
    </customSheetView>
    <customSheetView guid="{72A6EB0A-84D5-4B8A-AC51-54CCD061630B}">
      <selection activeCell="N1" sqref="N1:N1048576"/>
      <pageMargins left="0.7" right="0.7" top="0.75" bottom="0.75" header="0.3" footer="0.3"/>
    </customSheetView>
    <customSheetView guid="{4E06BDBF-2CED-473B-850B-2A6C7311FF41}">
      <selection activeCell="E9" sqref="E9"/>
      <pageMargins left="0.7" right="0.7" top="0.75" bottom="0.75" header="0.3" footer="0.3"/>
    </customSheetView>
    <customSheetView guid="{A2C66332-A809-458E-971B-FDB6D62C74C3}">
      <selection activeCell="F10" sqref="F10"/>
      <pageMargins left="0.7" right="0.7" top="0.75" bottom="0.75" header="0.3" footer="0.3"/>
    </customSheetView>
    <customSheetView guid="{336B6883-2145-4B58-921E-CEC7185A847E}">
      <selection activeCell="K38" sqref="K38"/>
      <pageMargins left="0.7" right="0.7" top="0.75" bottom="0.75" header="0.3" footer="0.3"/>
    </customSheetView>
    <customSheetView guid="{7ECC2B8E-6A82-42F5-8AB0-4A51C54EA5EC}">
      <selection activeCell="N1" sqref="N1:N1048576"/>
      <pageMargins left="0.7" right="0.7" top="0.75" bottom="0.75" header="0.3" footer="0.3"/>
    </customSheetView>
    <customSheetView guid="{60D2C030-4E31-4E07-8E1C-44D2EE84B177}">
      <selection activeCell="E9" sqref="E9"/>
      <pageMargins left="0.7" right="0.7" top="0.75" bottom="0.75" header="0.3" footer="0.3"/>
    </customSheetView>
    <customSheetView guid="{7E0EA425-A420-4443-B9E0-CDF0AA9E5D09}">
      <selection activeCell="C2" sqref="C2"/>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R96"/>
  <sheetViews>
    <sheetView zoomScale="85" zoomScaleNormal="85" workbookViewId="0">
      <selection activeCell="K21" sqref="K21"/>
    </sheetView>
  </sheetViews>
  <sheetFormatPr defaultRowHeight="15" x14ac:dyDescent="0.25"/>
  <cols>
    <col min="1" max="1" width="10" customWidth="1"/>
    <col min="2" max="2" width="12.42578125" customWidth="1"/>
    <col min="4" max="4" width="22" customWidth="1"/>
    <col min="5" max="5" width="14.85546875" bestFit="1" customWidth="1"/>
    <col min="6" max="6" width="28.5703125" bestFit="1" customWidth="1"/>
    <col min="7" max="7" width="13.140625" customWidth="1"/>
    <col min="8" max="8" width="23" customWidth="1"/>
    <col min="11" max="11" width="10" bestFit="1" customWidth="1"/>
    <col min="12" max="12" width="13.28515625" customWidth="1"/>
    <col min="13" max="13" width="8.7109375" customWidth="1"/>
    <col min="14" max="14" width="27.85546875" bestFit="1" customWidth="1"/>
    <col min="15" max="15" width="14.85546875" bestFit="1" customWidth="1"/>
    <col min="16" max="16" width="16.28515625" customWidth="1"/>
    <col min="17" max="17" width="12.85546875" customWidth="1"/>
    <col min="18" max="18" width="20.5703125" customWidth="1"/>
  </cols>
  <sheetData>
    <row r="2" spans="2:14" x14ac:dyDescent="0.25">
      <c r="B2" s="73" t="s">
        <v>110</v>
      </c>
    </row>
    <row r="3" spans="2:14" x14ac:dyDescent="0.25">
      <c r="B3" s="66" t="s">
        <v>0</v>
      </c>
      <c r="C3" s="66" t="s">
        <v>8</v>
      </c>
      <c r="D3" s="66" t="s">
        <v>129</v>
      </c>
      <c r="E3" s="66" t="s">
        <v>53</v>
      </c>
      <c r="F3" s="66" t="s">
        <v>102</v>
      </c>
      <c r="G3" s="66" t="s">
        <v>22</v>
      </c>
      <c r="H3" s="67" t="s">
        <v>24</v>
      </c>
      <c r="I3" s="67" t="s">
        <v>149</v>
      </c>
      <c r="J3" s="67" t="s">
        <v>164</v>
      </c>
    </row>
    <row r="4" spans="2:14" x14ac:dyDescent="0.25">
      <c r="B4" s="68">
        <v>1</v>
      </c>
      <c r="C4" s="83" t="s">
        <v>6</v>
      </c>
      <c r="D4" s="70">
        <f>SUM(Merged_COEM!D34,Merged_JOEM!D34)</f>
        <v>4970.1000000000004</v>
      </c>
      <c r="E4" s="70">
        <f>SUM(Merged_COEM!E34,Merged_JOEM!E34)</f>
        <v>4970.1000000000004</v>
      </c>
      <c r="F4" s="70">
        <f ca="1">$B$22-SUM(VALUE(SUBSTITUTE(E64,"-",0)),VALUE(SUBSTITUTE(O64,"-",0)))</f>
        <v>13</v>
      </c>
      <c r="G4" s="70">
        <f t="shared" ref="G4" ca="1" si="0">IF(ISERROR(E4/(F4)),"N/A",E4/F4)</f>
        <v>382.31538461538463</v>
      </c>
      <c r="H4" s="71">
        <f t="shared" ref="H4:H14" si="1">IF(ISERROR(E4/D4),"N/A",E4/D4)</f>
        <v>1</v>
      </c>
      <c r="I4" s="3">
        <f>SUM(Merged_COEM!I34,Merged_JOEM!I34)</f>
        <v>1</v>
      </c>
      <c r="J4" s="3">
        <f>SUM(Merged_COEM!J34,Merged_JOEM!J34)</f>
        <v>0</v>
      </c>
      <c r="K4">
        <f ca="1">RANK(G4,$G$4:$G$13)</f>
        <v>8</v>
      </c>
    </row>
    <row r="5" spans="2:14" x14ac:dyDescent="0.25">
      <c r="B5" s="68">
        <v>2</v>
      </c>
      <c r="C5" s="83" t="s">
        <v>64</v>
      </c>
      <c r="D5" s="70">
        <f>SUM(Merged_COEM!D35,Merged_JOEM!D35)</f>
        <v>7737.2307692307695</v>
      </c>
      <c r="E5" s="70">
        <f>SUM(Merged_COEM!E35,Merged_JOEM!E35)</f>
        <v>7737.2307692307695</v>
      </c>
      <c r="F5" s="70">
        <f t="shared" ref="F5:F13" ca="1" si="2">$B$22-SUM(VALUE(SUBSTITUTE(E65,"-",0)),VALUE(SUBSTITUTE(O65,"-",0)))</f>
        <v>13</v>
      </c>
      <c r="G5" s="70">
        <f ca="1">IF(ISERROR(E5/(F5)),"N/A",E5/F5)</f>
        <v>595.17159763313612</v>
      </c>
      <c r="H5" s="71">
        <f t="shared" si="1"/>
        <v>1</v>
      </c>
      <c r="I5" s="3">
        <f>SUM(Merged_COEM!I35,Merged_JOEM!I35)</f>
        <v>4</v>
      </c>
      <c r="J5" s="3">
        <f>SUM(Merged_COEM!J35,Merged_JOEM!J35)</f>
        <v>0</v>
      </c>
      <c r="K5">
        <f t="shared" ref="K5:K13" ca="1" si="3">RANK(G5,$G$4:$G$13)</f>
        <v>2</v>
      </c>
    </row>
    <row r="6" spans="2:14" x14ac:dyDescent="0.25">
      <c r="B6" s="68">
        <v>3</v>
      </c>
      <c r="C6" s="83" t="s">
        <v>65</v>
      </c>
      <c r="D6" s="70">
        <f>SUM(Merged_COEM!D36,Merged_JOEM!D36)</f>
        <v>5562</v>
      </c>
      <c r="E6" s="70">
        <f>SUM(Merged_COEM!E36,Merged_JOEM!E36)</f>
        <v>5562</v>
      </c>
      <c r="F6" s="70">
        <f t="shared" ca="1" si="2"/>
        <v>13</v>
      </c>
      <c r="G6" s="70">
        <f t="shared" ref="G6:G13" ca="1" si="4">IF(ISERROR(E6/(F6)),"N/A",E6/F6)</f>
        <v>427.84615384615387</v>
      </c>
      <c r="H6" s="71">
        <f t="shared" si="1"/>
        <v>1</v>
      </c>
      <c r="I6" s="3">
        <f>SUM(Merged_COEM!I36,Merged_JOEM!I36)</f>
        <v>3</v>
      </c>
      <c r="J6" s="3">
        <f>SUM(Merged_COEM!J36,Merged_JOEM!J36)</f>
        <v>0</v>
      </c>
      <c r="K6">
        <f t="shared" ca="1" si="3"/>
        <v>5</v>
      </c>
    </row>
    <row r="7" spans="2:14" x14ac:dyDescent="0.25">
      <c r="B7" s="68">
        <v>4</v>
      </c>
      <c r="C7" s="83" t="s">
        <v>66</v>
      </c>
      <c r="D7" s="70">
        <f>SUM(Merged_COEM!D37,Merged_JOEM!D37)</f>
        <v>10817.775000000001</v>
      </c>
      <c r="E7" s="70">
        <f>SUM(Merged_COEM!E37,Merged_JOEM!E37)</f>
        <v>10817.775000000001</v>
      </c>
      <c r="F7" s="70">
        <f t="shared" ca="1" si="2"/>
        <v>13</v>
      </c>
      <c r="G7" s="70">
        <f t="shared" ca="1" si="4"/>
        <v>832.13653846153852</v>
      </c>
      <c r="H7" s="71">
        <f t="shared" si="1"/>
        <v>1</v>
      </c>
      <c r="I7" s="3">
        <f>SUM(Merged_COEM!I37,Merged_JOEM!I37)</f>
        <v>0</v>
      </c>
      <c r="J7" s="3">
        <f>SUM(Merged_COEM!J37,Merged_JOEM!J37)</f>
        <v>0</v>
      </c>
      <c r="K7">
        <f t="shared" ca="1" si="3"/>
        <v>1</v>
      </c>
    </row>
    <row r="8" spans="2:14" x14ac:dyDescent="0.25">
      <c r="B8" s="68">
        <v>5</v>
      </c>
      <c r="C8" s="83" t="s">
        <v>67</v>
      </c>
      <c r="D8" s="70">
        <f>SUM(Merged_COEM!D38,Merged_JOEM!D38)</f>
        <v>5317.9230769230771</v>
      </c>
      <c r="E8" s="70">
        <f>SUM(Merged_COEM!E38,Merged_JOEM!E38)</f>
        <v>5317.9230769230771</v>
      </c>
      <c r="F8" s="70">
        <f t="shared" ca="1" si="2"/>
        <v>13</v>
      </c>
      <c r="G8" s="70">
        <f t="shared" ca="1" si="4"/>
        <v>409.07100591715977</v>
      </c>
      <c r="H8" s="71">
        <f t="shared" si="1"/>
        <v>1</v>
      </c>
      <c r="I8" s="3">
        <f>SUM(Merged_COEM!I38,Merged_JOEM!I38)</f>
        <v>5</v>
      </c>
      <c r="J8" s="3">
        <f>SUM(Merged_COEM!J38,Merged_JOEM!J38)</f>
        <v>0</v>
      </c>
      <c r="K8">
        <f t="shared" ca="1" si="3"/>
        <v>6</v>
      </c>
    </row>
    <row r="9" spans="2:14" x14ac:dyDescent="0.25">
      <c r="B9" s="68">
        <v>6</v>
      </c>
      <c r="C9" s="83" t="s">
        <v>68</v>
      </c>
      <c r="D9" s="70">
        <f>SUM(Merged_COEM!D39,Merged_JOEM!D39)</f>
        <v>5030.6153846153848</v>
      </c>
      <c r="E9" s="70">
        <f>SUM(Merged_COEM!E39,Merged_JOEM!E39)</f>
        <v>5030.6153846153848</v>
      </c>
      <c r="F9" s="70">
        <f t="shared" ca="1" si="2"/>
        <v>13</v>
      </c>
      <c r="G9" s="70">
        <f t="shared" ca="1" si="4"/>
        <v>386.97041420118342</v>
      </c>
      <c r="H9" s="71">
        <f t="shared" si="1"/>
        <v>1</v>
      </c>
      <c r="I9" s="3">
        <f>SUM(Merged_COEM!I39,Merged_JOEM!I39)</f>
        <v>3</v>
      </c>
      <c r="J9" s="3">
        <f>SUM(Merged_COEM!J39,Merged_JOEM!J39)</f>
        <v>0</v>
      </c>
      <c r="K9">
        <f t="shared" ca="1" si="3"/>
        <v>7</v>
      </c>
    </row>
    <row r="10" spans="2:14" x14ac:dyDescent="0.25">
      <c r="B10" s="68">
        <v>7</v>
      </c>
      <c r="C10" s="83" t="s">
        <v>69</v>
      </c>
      <c r="D10" s="70">
        <f>SUM(Merged_COEM!D40,Merged_JOEM!D40)</f>
        <v>4582.1538461538457</v>
      </c>
      <c r="E10" s="70">
        <f>SUM(Merged_COEM!E40,Merged_JOEM!E40)</f>
        <v>4582.1538461538457</v>
      </c>
      <c r="F10" s="70">
        <f t="shared" ca="1" si="2"/>
        <v>13</v>
      </c>
      <c r="G10" s="70">
        <f t="shared" ca="1" si="4"/>
        <v>352.47337278106505</v>
      </c>
      <c r="H10" s="71">
        <f t="shared" si="1"/>
        <v>1</v>
      </c>
      <c r="I10" s="3">
        <f>SUM(Merged_COEM!I40,Merged_JOEM!I40)</f>
        <v>6</v>
      </c>
      <c r="J10" s="3">
        <f>SUM(Merged_COEM!J40,Merged_JOEM!J40)</f>
        <v>0</v>
      </c>
      <c r="K10">
        <f t="shared" ca="1" si="3"/>
        <v>10</v>
      </c>
    </row>
    <row r="11" spans="2:14" x14ac:dyDescent="0.25">
      <c r="B11" s="68">
        <v>8</v>
      </c>
      <c r="C11" s="83" t="s">
        <v>70</v>
      </c>
      <c r="D11" s="70">
        <f>SUM(Merged_COEM!D41,Merged_JOEM!D41)</f>
        <v>5666</v>
      </c>
      <c r="E11" s="70">
        <f>SUM(Merged_COEM!E41,Merged_JOEM!E41)</f>
        <v>5666</v>
      </c>
      <c r="F11" s="70">
        <f t="shared" ca="1" si="2"/>
        <v>13</v>
      </c>
      <c r="G11" s="70">
        <f t="shared" ca="1" si="4"/>
        <v>435.84615384615387</v>
      </c>
      <c r="H11" s="71">
        <f t="shared" si="1"/>
        <v>1</v>
      </c>
      <c r="I11" s="3">
        <f>SUM(Merged_COEM!I41,Merged_JOEM!I41)</f>
        <v>5</v>
      </c>
      <c r="J11" s="3">
        <f>SUM(Merged_COEM!J41,Merged_JOEM!J41)</f>
        <v>1</v>
      </c>
      <c r="K11">
        <f t="shared" ca="1" si="3"/>
        <v>4</v>
      </c>
    </row>
    <row r="12" spans="2:14" x14ac:dyDescent="0.25">
      <c r="B12" s="68">
        <v>9</v>
      </c>
      <c r="C12" s="83" t="s">
        <v>156</v>
      </c>
      <c r="D12" s="70">
        <f>SUM(Merged_COEM!D42,Merged_JOEM!D42)</f>
        <v>6359.85</v>
      </c>
      <c r="E12" s="70">
        <f>SUM(Merged_COEM!E42,Merged_JOEM!E42)</f>
        <v>6359.85</v>
      </c>
      <c r="F12" s="70">
        <f t="shared" ca="1" si="2"/>
        <v>13</v>
      </c>
      <c r="G12" s="70">
        <f t="shared" ca="1" si="4"/>
        <v>489.21923076923082</v>
      </c>
      <c r="H12" s="71">
        <f t="shared" si="1"/>
        <v>1</v>
      </c>
      <c r="I12" s="3">
        <f>SUM(Merged_COEM!I42,Merged_JOEM!I42)</f>
        <v>0</v>
      </c>
      <c r="J12" s="3">
        <f>SUM(Merged_COEM!J42,Merged_JOEM!J42)</f>
        <v>1</v>
      </c>
      <c r="K12">
        <f t="shared" ca="1" si="3"/>
        <v>3</v>
      </c>
    </row>
    <row r="13" spans="2:14" x14ac:dyDescent="0.25">
      <c r="B13" s="68">
        <v>10</v>
      </c>
      <c r="C13" s="83" t="s">
        <v>157</v>
      </c>
      <c r="D13" s="70">
        <f>SUM(Merged_COEM!D43,Merged_JOEM!D43)</f>
        <v>4673.7692307692305</v>
      </c>
      <c r="E13" s="70">
        <f>SUM(Merged_COEM!E43,Merged_JOEM!E43)</f>
        <v>4673.7692307692305</v>
      </c>
      <c r="F13" s="70">
        <f t="shared" ca="1" si="2"/>
        <v>13</v>
      </c>
      <c r="G13" s="70">
        <f t="shared" ca="1" si="4"/>
        <v>359.52071005917156</v>
      </c>
      <c r="H13" s="71">
        <f t="shared" si="1"/>
        <v>1</v>
      </c>
      <c r="I13" s="3">
        <f>SUM(Merged_COEM!I43,Merged_JOEM!I43)</f>
        <v>8</v>
      </c>
      <c r="J13" s="3">
        <f>SUM(Merged_COEM!J43,Merged_JOEM!J43)</f>
        <v>0</v>
      </c>
      <c r="K13">
        <f t="shared" ca="1" si="3"/>
        <v>9</v>
      </c>
    </row>
    <row r="14" spans="2:14" x14ac:dyDescent="0.25">
      <c r="B14" s="66" t="s">
        <v>109</v>
      </c>
      <c r="C14" s="72"/>
      <c r="D14" s="70">
        <f>SUM(D4:D13)</f>
        <v>60717.417307692303</v>
      </c>
      <c r="E14" s="70">
        <f>SUM(E4:E13)</f>
        <v>60717.417307692303</v>
      </c>
      <c r="F14" s="70">
        <f ca="1">$B$22*COUNTA($C$4:$C$13)</f>
        <v>130</v>
      </c>
      <c r="G14" s="70">
        <f ca="1">IF(ISERROR(E14/(F14)),"N/A",E14/F14)</f>
        <v>467.05705621301774</v>
      </c>
      <c r="H14" s="71">
        <f t="shared" si="1"/>
        <v>1</v>
      </c>
      <c r="I14" s="3">
        <f>SUM(I4:I13)</f>
        <v>35</v>
      </c>
      <c r="J14" s="3">
        <f>SUM(J4:J13)</f>
        <v>2</v>
      </c>
      <c r="K14">
        <f ca="1">F14*450</f>
        <v>58500</v>
      </c>
      <c r="L14" s="117">
        <f ca="1">E14-K14</f>
        <v>2217.4173076923034</v>
      </c>
      <c r="M14">
        <f>COUNTA($C$4:$C$13)*450</f>
        <v>4500</v>
      </c>
      <c r="N14">
        <f ca="1">L14/450</f>
        <v>4.927594017094008</v>
      </c>
    </row>
    <row r="17" spans="1:18" x14ac:dyDescent="0.25">
      <c r="A17" s="81" t="s">
        <v>337</v>
      </c>
      <c r="B17" s="81" t="s">
        <v>186</v>
      </c>
      <c r="J17" s="82"/>
      <c r="K17" s="81" t="s">
        <v>337</v>
      </c>
      <c r="L17" s="81" t="s">
        <v>185</v>
      </c>
    </row>
    <row r="18" spans="1:18" x14ac:dyDescent="0.25">
      <c r="J18" s="82"/>
    </row>
    <row r="19" spans="1:18" x14ac:dyDescent="0.25">
      <c r="A19" s="1" t="s">
        <v>38</v>
      </c>
      <c r="B19" s="36">
        <v>43952</v>
      </c>
      <c r="D19" s="36">
        <v>43971</v>
      </c>
      <c r="F19" s="6"/>
      <c r="J19" s="82"/>
      <c r="K19" s="1" t="s">
        <v>38</v>
      </c>
      <c r="L19" s="36">
        <f>B19</f>
        <v>43952</v>
      </c>
      <c r="N19" s="36">
        <f>D19</f>
        <v>43971</v>
      </c>
      <c r="P19" s="6"/>
    </row>
    <row r="20" spans="1:18" x14ac:dyDescent="0.25">
      <c r="A20" s="1" t="s">
        <v>30</v>
      </c>
      <c r="B20" s="7">
        <f>SUM(INT((WEEKDAY(B19-{2,3,4,5,6}) +D19-B19)/7))</f>
        <v>14</v>
      </c>
      <c r="J20" s="82"/>
      <c r="K20" s="1" t="s">
        <v>30</v>
      </c>
      <c r="L20" s="7">
        <f>B20</f>
        <v>14</v>
      </c>
    </row>
    <row r="21" spans="1:18" x14ac:dyDescent="0.25">
      <c r="A21" s="1" t="s">
        <v>145</v>
      </c>
      <c r="B21" s="7">
        <v>1</v>
      </c>
      <c r="C21" t="s">
        <v>318</v>
      </c>
      <c r="J21" s="82"/>
      <c r="K21" s="1" t="s">
        <v>145</v>
      </c>
      <c r="L21" s="7">
        <f>B21</f>
        <v>1</v>
      </c>
      <c r="M21" t="s">
        <v>318</v>
      </c>
    </row>
    <row r="22" spans="1:18" x14ac:dyDescent="0.25">
      <c r="A22" s="1" t="s">
        <v>111</v>
      </c>
      <c r="B22">
        <f ca="1">IF(TODAY()&lt;D19,SUM(INT((WEEKDAY(B19-{2,3,4,5,6})+TODAY()-B19)/7)),SUM(INT((WEEKDAY(B19-{2,3,4,5,6})+D19-B19)/7)))-B21</f>
        <v>13</v>
      </c>
      <c r="J22" s="82"/>
      <c r="K22" s="1" t="s">
        <v>111</v>
      </c>
      <c r="L22">
        <f ca="1">B22</f>
        <v>13</v>
      </c>
    </row>
    <row r="23" spans="1:18" x14ac:dyDescent="0.25">
      <c r="A23" s="1"/>
      <c r="J23" s="82"/>
      <c r="K23" s="1"/>
    </row>
    <row r="24" spans="1:18" x14ac:dyDescent="0.25">
      <c r="B24" s="1" t="s">
        <v>404</v>
      </c>
      <c r="J24" s="82"/>
      <c r="L24" s="1" t="s">
        <v>404</v>
      </c>
    </row>
    <row r="25" spans="1:18" ht="45" x14ac:dyDescent="0.25">
      <c r="C25" s="51" t="s">
        <v>25</v>
      </c>
      <c r="D25" s="51" t="s">
        <v>26</v>
      </c>
      <c r="E25" s="51" t="s">
        <v>27</v>
      </c>
      <c r="F25" s="51" t="s">
        <v>28</v>
      </c>
      <c r="G25" s="9" t="s">
        <v>102</v>
      </c>
      <c r="H25" s="9" t="s">
        <v>29</v>
      </c>
      <c r="J25" s="82"/>
      <c r="M25" s="59" t="s">
        <v>25</v>
      </c>
      <c r="N25" s="59" t="s">
        <v>26</v>
      </c>
      <c r="O25" s="59" t="s">
        <v>27</v>
      </c>
      <c r="P25" s="59" t="s">
        <v>28</v>
      </c>
      <c r="Q25" s="9" t="s">
        <v>102</v>
      </c>
      <c r="R25" s="9" t="s">
        <v>29</v>
      </c>
    </row>
    <row r="26" spans="1:18" x14ac:dyDescent="0.25">
      <c r="C26" s="53">
        <v>1</v>
      </c>
      <c r="D26" s="53" t="s">
        <v>3</v>
      </c>
      <c r="E26" s="53">
        <f>SUM(Merged_COEM!D14)</f>
        <v>41371</v>
      </c>
      <c r="F26" s="53">
        <f>SUM(Merged_COEM!E14)</f>
        <v>41371</v>
      </c>
      <c r="G26" s="53">
        <f>E26/Table!$D$4</f>
        <v>91.935555555555553</v>
      </c>
      <c r="H26" s="42">
        <f>IFERROR(F26/E26,"N/A")</f>
        <v>1</v>
      </c>
      <c r="J26" s="82"/>
      <c r="M26" s="64">
        <v>1</v>
      </c>
      <c r="N26" s="64" t="s">
        <v>3</v>
      </c>
      <c r="O26" s="64">
        <f>SUM(Merged_JOEM!D14)</f>
        <v>10080.225</v>
      </c>
      <c r="P26" s="64">
        <f>SUM(Merged_JOEM!E14)</f>
        <v>10080.225</v>
      </c>
      <c r="Q26" s="64">
        <f>O26/Table!$D$4</f>
        <v>22.400500000000001</v>
      </c>
      <c r="R26" s="42">
        <f>IFERROR(P26/O26,"N/A")</f>
        <v>1</v>
      </c>
    </row>
    <row r="27" spans="1:18" x14ac:dyDescent="0.25">
      <c r="C27" s="53">
        <v>2</v>
      </c>
      <c r="D27" s="53" t="s">
        <v>2</v>
      </c>
      <c r="E27" s="60">
        <f>SUM(Merged_COEM!D29)</f>
        <v>528</v>
      </c>
      <c r="F27" s="64">
        <f>SUM(Merged_COEM!E29)</f>
        <v>528</v>
      </c>
      <c r="G27" s="53">
        <f>E27/Table!$C$4</f>
        <v>4.0615384615384613</v>
      </c>
      <c r="H27" s="42">
        <f>IFERROR(F27/E27,"N/A")</f>
        <v>1</v>
      </c>
      <c r="J27" s="82"/>
      <c r="M27" s="64">
        <v>2</v>
      </c>
      <c r="N27" s="64" t="s">
        <v>2</v>
      </c>
      <c r="O27" s="64">
        <f>SUM(Merged_JOEM!D29)</f>
        <v>2148.9</v>
      </c>
      <c r="P27" s="64">
        <f>SUM(Merged_JOEM!E29)</f>
        <v>2148.9</v>
      </c>
      <c r="Q27" s="64">
        <f>O27/Table!$C$4</f>
        <v>16.53</v>
      </c>
      <c r="R27" s="42">
        <f>IFERROR(P27/O27,"N/A")</f>
        <v>1</v>
      </c>
    </row>
    <row r="28" spans="1:18" x14ac:dyDescent="0.25">
      <c r="C28" s="33"/>
      <c r="D28" s="31"/>
      <c r="E28" s="31"/>
      <c r="F28" s="31"/>
      <c r="G28" s="34"/>
      <c r="J28" s="82"/>
      <c r="M28" s="33"/>
      <c r="N28" s="31"/>
      <c r="O28" s="31"/>
      <c r="P28" s="31"/>
      <c r="Q28" s="34"/>
    </row>
    <row r="29" spans="1:18" x14ac:dyDescent="0.25">
      <c r="B29" s="1" t="s">
        <v>405</v>
      </c>
      <c r="J29" s="82"/>
      <c r="L29" s="1" t="s">
        <v>405</v>
      </c>
    </row>
    <row r="30" spans="1:18" ht="30" x14ac:dyDescent="0.25">
      <c r="C30" s="51" t="s">
        <v>25</v>
      </c>
      <c r="D30" s="51" t="s">
        <v>31</v>
      </c>
      <c r="E30" s="9" t="s">
        <v>32</v>
      </c>
      <c r="F30" s="9" t="s">
        <v>33</v>
      </c>
      <c r="G30" s="9" t="s">
        <v>139</v>
      </c>
      <c r="H30" s="9" t="s">
        <v>140</v>
      </c>
      <c r="J30" s="82"/>
      <c r="M30" s="59" t="s">
        <v>25</v>
      </c>
      <c r="N30" s="59" t="s">
        <v>31</v>
      </c>
      <c r="O30" s="9" t="s">
        <v>32</v>
      </c>
      <c r="P30" s="9" t="s">
        <v>33</v>
      </c>
      <c r="Q30" s="9" t="s">
        <v>139</v>
      </c>
      <c r="R30" s="9" t="s">
        <v>140</v>
      </c>
    </row>
    <row r="31" spans="1:18" x14ac:dyDescent="0.25">
      <c r="C31" s="53">
        <v>1</v>
      </c>
      <c r="D31" s="29" t="s">
        <v>117</v>
      </c>
      <c r="E31" s="53">
        <f>VLOOKUP(SUBSTITUTE(SUBSTITUTE(SUBSTITUTE(SUBSTITUTE(SUBSTITUTE(SUBSTITUTE(SUBSTITUTE(SUBSTITUTE(SUBSTITUTE(SUBSTITUTE(D31,"Nguyen Trung Hieu","hieu.nguyen-trung"),"Nguyen Tai Hau","hau.nguyen-tai"),"Nguyen Duy Bang","bang.nguyen-duy"),"Luu Cong Dac","dac.luu-cong"),"Nguyen Tuan Duong","duong.nguyen"),"Do Phu Loc","loc.do-phu"),"Nguyen Kim Thanh","thanh.nguyen-kim"),"Ly Chung","chung.ly"),"Do Anh Huy","huy.do-anh"),"Nguyen Thanh Phuong","phuong.nguyen-thanh"),Merged_COEM!$C$4:$H$13,3,0)</f>
        <v>4629</v>
      </c>
      <c r="F31" s="60">
        <f>VLOOKUP(SUBSTITUTE(SUBSTITUTE(SUBSTITUTE(SUBSTITUTE(SUBSTITUTE(SUBSTITUTE(SUBSTITUTE(SUBSTITUTE(SUBSTITUTE(SUBSTITUTE(D31,"Nguyen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1" s="53">
        <f>E31/Table!$D$4</f>
        <v>10.286666666666667</v>
      </c>
      <c r="H31" s="53">
        <f>F31/Table!$C$4</f>
        <v>0</v>
      </c>
      <c r="J31" s="82"/>
      <c r="M31" s="64">
        <v>1</v>
      </c>
      <c r="N31" s="29" t="s">
        <v>117</v>
      </c>
      <c r="O31" s="64">
        <f>VLOOKUP(SUBSTITUTE(SUBSTITUTE(SUBSTITUTE(SUBSTITUTE(SUBSTITUTE(SUBSTITUTE(SUBSTITUTE(SUBSTITUTE(SUBSTITUTE(SUBSTITUTE(N31,"Nguyen Trung Hieu","hieu.nguyen-trung"),"Nguyen Tai Hau","hau.nguyen-tai"),"Nguyen Duy Bang","bang.nguyen-duy"),"Luu Cong Dac","dac.luu-cong"),"Nguyen Tuan Duong","duong.nguyen"),"Do Phu Loc","loc.do-phu"),"Nguyen Kim Thanh","thanh.nguyen-kim"),"Ly Chung","chung.ly"),"Do Anh Huy","huy.do-anh"),"Nguyen Thanh Phuong","phuong.nguyen-thanh"),Merged_JOEM!$C$4:$H$13,3,0)</f>
        <v>341.1</v>
      </c>
      <c r="P31" s="64">
        <f>VLOOKUP(SUBSTITUTE(SUBSTITUTE(SUBSTITUTE(SUBSTITUTE(SUBSTITUTE(SUBSTITUTE(SUBSTITUTE(SUBSTITUTE(SUBSTITUTE(SUBSTITUTE(N31,"Nguyen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1" s="64">
        <f>O31/Table!$D$4</f>
        <v>0.75800000000000001</v>
      </c>
      <c r="R31" s="64">
        <f>P31/Table!$C$4</f>
        <v>0</v>
      </c>
    </row>
    <row r="32" spans="1:18" x14ac:dyDescent="0.25">
      <c r="C32" s="53">
        <v>2</v>
      </c>
      <c r="D32" s="29" t="s">
        <v>118</v>
      </c>
      <c r="E32" s="64">
        <f>VLOOKUP(SUBSTITUTE(SUBSTITUTE(SUBSTITUTE(SUBSTITUTE(SUBSTITUTE(SUBSTITUTE(SUBSTITUTE(SUBSTITUTE(SUBSTITUTE(SUBSTITUTE(D32,"Nguyen Trung Hieu","hieu.nguyen-trung"),"Nguyen Tai Hau","hau.nguyen-tai"),"Nguyen Duy Bang","bang.nguyen-duy"),"Luu Cong Dac","dac.luu-cong"),"Nguyen Tuan Duong","duong.nguyen"),"Do Phu Loc","loc.do-phu"),"Nguyen Kim Thanh","thanh.nguyen-kim"),"Ly Chung","chung.ly"),"Do Anh Huy","huy.do-anh"),"Nguyen Thanh Phuong","phuong.nguyen-thanh"),Merged_COEM!$C$4:$H$13,3,0)</f>
        <v>7668</v>
      </c>
      <c r="F32" s="64">
        <f>VLOOKUP(SUBSTITUTE(SUBSTITUTE(SUBSTITUTE(SUBSTITUTE(SUBSTITUTE(SUBSTITUTE(SUBSTITUTE(SUBSTITUTE(SUBSTITUTE(SUBSTITUTE(D32,"Nguyen Trung Hieu","hieu.nguyen-trung"),"Nguyen Tai Hau","hau.nguyen-tai"),"Nguyen Duy Bang","bang.nguyen-duy"),"Luu Cong Dac","dac.luu-cong"),"Nguyen Tuan Duong","duong.nguyen"),"Do Phu Loc","loc.do-phu"),"Nguyen Kim Thanh","thanh.nguyen-kim"),"Ly Chung","chung.ly"),"Do Anh Huy","huy.do-anh"),"Nguyen Thanh Phuong","phuong.nguyen-thanh"),Merged_COEM!$C$19:$H$28,3,0)</f>
        <v>20</v>
      </c>
      <c r="G32" s="64">
        <f>E32/Table!$D$4</f>
        <v>17.04</v>
      </c>
      <c r="H32" s="64">
        <f>F32/Table!$C$4</f>
        <v>0.15384615384615385</v>
      </c>
      <c r="J32" s="82"/>
      <c r="M32" s="64">
        <v>2</v>
      </c>
      <c r="N32" s="29" t="s">
        <v>118</v>
      </c>
      <c r="O32" s="64">
        <f>VLOOKUP(SUBSTITUTE(SUBSTITUTE(SUBSTITUTE(SUBSTITUTE(SUBSTITUTE(SUBSTITUTE(SUBSTITUTE(SUBSTITUTE(SUBSTITUTE(SUBSTITUTE(N32,"Nguyen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2" s="64">
        <f>VLOOKUP(SUBSTITUTE(SUBSTITUTE(SUBSTITUTE(SUBSTITUTE(SUBSTITUTE(SUBSTITUTE(SUBSTITUTE(SUBSTITUTE(SUBSTITUTE(SUBSTITUTE(N32,"Nguyen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2" s="64">
        <f>O32/Table!$D$4</f>
        <v>0</v>
      </c>
      <c r="R32" s="64">
        <f>P32/Table!$C$4</f>
        <v>0</v>
      </c>
    </row>
    <row r="33" spans="2:18" x14ac:dyDescent="0.25">
      <c r="C33" s="53">
        <v>3</v>
      </c>
      <c r="D33" s="29" t="s">
        <v>119</v>
      </c>
      <c r="E33" s="64">
        <f>VLOOKUP(SUBSTITUTE(SUBSTITUTE(SUBSTITUTE(SUBSTITUTE(SUBSTITUTE(SUBSTITUTE(SUBSTITUTE(SUBSTITUTE(SUBSTITUTE(SUBSTITUTE(D33,"Nguyen Trung Hieu","hieu.nguyen-trung"),"Nguyen Tai Hau","hau.nguyen-tai"),"Nguyen Duy Bang","bang.nguyen-duy"),"Luu Cong Dac","dac.luu-cong"),"Nguyen Tuan Duong","duong.nguyen"),"Do Phu Loc","loc.do-phu"),"Nguyen Kim Thanh","thanh.nguyen-kim"),"Ly Chung","chung.ly"),"Do Anh Huy","huy.do-anh"),"Nguyen Thanh Phuong","phuong.nguyen-thanh"),Merged_COEM!$C$4:$H$13,3,0)</f>
        <v>5562</v>
      </c>
      <c r="F33" s="64">
        <f>VLOOKUP(SUBSTITUTE(SUBSTITUTE(SUBSTITUTE(SUBSTITUTE(SUBSTITUTE(SUBSTITUTE(SUBSTITUTE(SUBSTITUTE(SUBSTITUTE(SUBSTITUTE(D33,"Nguyen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3" s="64">
        <f>E33/Table!$D$4</f>
        <v>12.36</v>
      </c>
      <c r="H33" s="64">
        <f>F33/Table!$C$4</f>
        <v>0</v>
      </c>
      <c r="J33" s="82"/>
      <c r="M33" s="64">
        <v>3</v>
      </c>
      <c r="N33" s="29" t="s">
        <v>119</v>
      </c>
      <c r="O33" s="64">
        <f>VLOOKUP(SUBSTITUTE(SUBSTITUTE(SUBSTITUTE(SUBSTITUTE(SUBSTITUTE(SUBSTITUTE(SUBSTITUTE(SUBSTITUTE(SUBSTITUTE(SUBSTITUTE(N33,"Nguyen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3" s="64">
        <f>VLOOKUP(SUBSTITUTE(SUBSTITUTE(SUBSTITUTE(SUBSTITUTE(SUBSTITUTE(SUBSTITUTE(SUBSTITUTE(SUBSTITUTE(SUBSTITUTE(SUBSTITUTE(N33,"Nguyen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3" s="64">
        <f>O33/Table!$D$4</f>
        <v>0</v>
      </c>
      <c r="R33" s="64">
        <f>P33/Table!$C$4</f>
        <v>0</v>
      </c>
    </row>
    <row r="34" spans="2:18" x14ac:dyDescent="0.25">
      <c r="C34" s="64">
        <v>4</v>
      </c>
      <c r="D34" s="29" t="s">
        <v>120</v>
      </c>
      <c r="E34" s="64">
        <f>VLOOKUP(SUBSTITUTE(SUBSTITUTE(SUBSTITUTE(SUBSTITUTE(SUBSTITUTE(SUBSTITUTE(SUBSTITUTE(SUBSTITUTE(SUBSTITUTE(SUBSTITUTE(D34,"Nguyen Trung Hieu","hieu.nguyen-trung"),"Nguyen Tai Hau","hau.nguyen-tai"),"Nguyen Duy Bang","bang.nguyen-duy"),"Luu Cong Dac","dac.luu-cong"),"Nguyen Tuan Duong","duong.nguyen"),"Do Phu Loc","loc.do-phu"),"Nguyen Kim Thanh","thanh.nguyen-kim"),"Ly Chung","chung.ly"),"Do Anh Huy","huy.do-anh"),"Nguyen Thanh Phuong","phuong.nguyen-thanh"),Merged_COEM!$C$4:$H$13,3,0)</f>
        <v>0</v>
      </c>
      <c r="F34" s="64">
        <f>VLOOKUP(SUBSTITUTE(SUBSTITUTE(SUBSTITUTE(SUBSTITUTE(SUBSTITUTE(SUBSTITUTE(SUBSTITUTE(SUBSTITUTE(SUBSTITUTE(SUBSTITUTE(D34,"Nguyen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4" s="64">
        <f>E34/Table!$D$4</f>
        <v>0</v>
      </c>
      <c r="H34" s="64">
        <f>F34/Table!$C$4</f>
        <v>0</v>
      </c>
      <c r="J34" s="82"/>
      <c r="M34" s="64">
        <v>4</v>
      </c>
      <c r="N34" s="29" t="s">
        <v>120</v>
      </c>
      <c r="O34" s="64">
        <f>VLOOKUP(SUBSTITUTE(SUBSTITUTE(SUBSTITUTE(SUBSTITUTE(SUBSTITUTE(SUBSTITUTE(SUBSTITUTE(SUBSTITUTE(SUBSTITUTE(SUBSTITUTE(N34,"Nguyen Trung Hieu","hieu.nguyen-trung"),"Nguyen Tai Hau","hau.nguyen-tai"),"Nguyen Duy Bang","bang.nguyen-duy"),"Luu Cong Dac","dac.luu-cong"),"Nguyen Tuan Duong","duong.nguyen"),"Do Phu Loc","loc.do-phu"),"Nguyen Kim Thanh","thanh.nguyen-kim"),"Ly Chung","chung.ly"),"Do Anh Huy","huy.do-anh"),"Nguyen Thanh Phuong","phuong.nguyen-thanh"),Merged_JOEM!$C$4:$H$13,3,0)</f>
        <v>4711.2749999999996</v>
      </c>
      <c r="P34" s="64">
        <f>VLOOKUP(SUBSTITUTE(SUBSTITUTE(SUBSTITUTE(SUBSTITUTE(SUBSTITUTE(SUBSTITUTE(SUBSTITUTE(SUBSTITUTE(SUBSTITUTE(SUBSTITUTE(N34,"Nguyen Trung Hieu","hieu.nguyen-trung"),"Nguyen Tai Hau","hau.nguyen-tai"),"Nguyen Duy Bang","bang.nguyen-duy"),"Luu Cong Dac","dac.luu-cong"),"Nguyen Tuan Duong","duong.nguyen"),"Do Phu Loc","loc.do-phu"),"Nguyen Kim Thanh","thanh.nguyen-kim"),"Ly Chung","chung.ly"),"Do Anh Huy","huy.do-anh"),"Nguyen Thanh Phuong","phuong.nguyen-thanh"),Merged_JOEM!$C$19:$H$28,3,0)</f>
        <v>1764.1000000000001</v>
      </c>
      <c r="Q34" s="64">
        <f>O34/Table!$D$4</f>
        <v>10.4695</v>
      </c>
      <c r="R34" s="64">
        <f>P34/Table!$C$4</f>
        <v>13.57</v>
      </c>
    </row>
    <row r="35" spans="2:18" x14ac:dyDescent="0.25">
      <c r="C35" s="64">
        <v>5</v>
      </c>
      <c r="D35" s="29" t="s">
        <v>190</v>
      </c>
      <c r="E35" s="64">
        <f>VLOOKUP(SUBSTITUTE(SUBSTITUTE(SUBSTITUTE(SUBSTITUTE(SUBSTITUTE(SUBSTITUTE(SUBSTITUTE(SUBSTITUTE(SUBSTITUTE(SUBSTITUTE(D35,"Nguyen Trung Hieu","hieu.nguyen-trung"),"Nguyen Tai Hau","hau.nguyen-tai"),"Nguyen Duy Bang","bang.nguyen-duy"),"Luu Cong Dac","dac.luu-cong"),"Nguyen Tuan Duong","duong.nguyen"),"Do Phu Loc","loc.do-phu"),"Nguyen Kim Thanh","thanh.nguyen-kim"),"Ly Chung","chung.ly"),"Do Anh Huy","huy.do-anh"),"Nguyen Thanh Phuong","phuong.nguyen-thanh"),Merged_COEM!$C$4:$H$13,3,0)</f>
        <v>4996</v>
      </c>
      <c r="F35" s="64">
        <f>VLOOKUP(SUBSTITUTE(SUBSTITUTE(SUBSTITUTE(SUBSTITUTE(SUBSTITUTE(SUBSTITUTE(SUBSTITUTE(SUBSTITUTE(SUBSTITUTE(SUBSTITUTE(D35,"Nguyen Trung Hieu","hieu.nguyen-trung"),"Nguyen Tai Hau","hau.nguyen-tai"),"Nguyen Duy Bang","bang.nguyen-duy"),"Luu Cong Dac","dac.luu-cong"),"Nguyen Tuan Duong","duong.nguyen"),"Do Phu Loc","loc.do-phu"),"Nguyen Kim Thanh","thanh.nguyen-kim"),"Ly Chung","chung.ly"),"Do Anh Huy","huy.do-anh"),"Nguyen Thanh Phuong","phuong.nguyen-thanh"),Merged_COEM!$C$19:$H$28,3,0)</f>
        <v>93</v>
      </c>
      <c r="G35" s="64">
        <f>E35/Table!$D$4</f>
        <v>11.102222222222222</v>
      </c>
      <c r="H35" s="64">
        <f>F35/Table!$C$4</f>
        <v>0.7153846153846154</v>
      </c>
      <c r="J35" s="82"/>
      <c r="M35" s="64">
        <v>5</v>
      </c>
      <c r="N35" s="29" t="s">
        <v>190</v>
      </c>
      <c r="O35" s="64">
        <f>VLOOKUP(SUBSTITUTE(SUBSTITUTE(SUBSTITUTE(SUBSTITUTE(SUBSTITUTE(SUBSTITUTE(SUBSTITUTE(SUBSTITUTE(SUBSTITUTE(SUBSTITUTE(N35,"Nguyen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5" s="64">
        <f>VLOOKUP(SUBSTITUTE(SUBSTITUTE(SUBSTITUTE(SUBSTITUTE(SUBSTITUTE(SUBSTITUTE(SUBSTITUTE(SUBSTITUTE(SUBSTITUTE(SUBSTITUTE(N35,"Nguyen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5" s="64">
        <f>O35/Table!$D$4</f>
        <v>0</v>
      </c>
      <c r="R35" s="64">
        <f>P35/Table!$C$4</f>
        <v>0</v>
      </c>
    </row>
    <row r="36" spans="2:18" x14ac:dyDescent="0.25">
      <c r="C36" s="64">
        <v>6</v>
      </c>
      <c r="D36" s="29" t="s">
        <v>191</v>
      </c>
      <c r="E36" s="64">
        <f>VLOOKUP(SUBSTITUTE(SUBSTITUTE(SUBSTITUTE(SUBSTITUTE(SUBSTITUTE(SUBSTITUTE(SUBSTITUTE(SUBSTITUTE(SUBSTITUTE(SUBSTITUTE(D36,"Nguyen Trung Hieu","hieu.nguyen-trung"),"Nguyen Tai Hau","hau.nguyen-tai"),"Nguyen Duy Bang","bang.nguyen-duy"),"Luu Cong Dac","dac.luu-cong"),"Nguyen Tuan Duong","duong.nguyen"),"Do Phu Loc","loc.do-phu"),"Nguyen Kim Thanh","thanh.nguyen-kim"),"Ly Chung","chung.ly"),"Do Anh Huy","huy.do-anh"),"Nguyen Thanh Phuong","phuong.nguyen-thanh"),Merged_COEM!$C$4:$H$13,3,0)</f>
        <v>4456</v>
      </c>
      <c r="F36" s="64">
        <f>VLOOKUP(SUBSTITUTE(SUBSTITUTE(SUBSTITUTE(SUBSTITUTE(SUBSTITUTE(SUBSTITUTE(SUBSTITUTE(SUBSTITUTE(SUBSTITUTE(SUBSTITUTE(D36,"Nguyen Trung Hieu","hieu.nguyen-trung"),"Nguyen Tai Hau","hau.nguyen-tai"),"Nguyen Duy Bang","bang.nguyen-duy"),"Luu Cong Dac","dac.luu-cong"),"Nguyen Tuan Duong","duong.nguyen"),"Do Phu Loc","loc.do-phu"),"Nguyen Kim Thanh","thanh.nguyen-kim"),"Ly Chung","chung.ly"),"Do Anh Huy","huy.do-anh"),"Nguyen Thanh Phuong","phuong.nguyen-thanh"),Merged_COEM!$C$19:$H$28,3,0)</f>
        <v>166</v>
      </c>
      <c r="G36" s="64">
        <f>E36/Table!$D$4</f>
        <v>9.9022222222222229</v>
      </c>
      <c r="H36" s="64">
        <f>F36/Table!$C$4</f>
        <v>1.2769230769230768</v>
      </c>
      <c r="J36" s="82"/>
      <c r="M36" s="64">
        <v>6</v>
      </c>
      <c r="N36" s="29" t="s">
        <v>191</v>
      </c>
      <c r="O36" s="64">
        <f>VLOOKUP(SUBSTITUTE(SUBSTITUTE(SUBSTITUTE(SUBSTITUTE(SUBSTITUTE(SUBSTITUTE(SUBSTITUTE(SUBSTITUTE(SUBSTITUTE(SUBSTITUTE(N36,"Nguyen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6" s="64">
        <f>VLOOKUP(SUBSTITUTE(SUBSTITUTE(SUBSTITUTE(SUBSTITUTE(SUBSTITUTE(SUBSTITUTE(SUBSTITUTE(SUBSTITUTE(SUBSTITUTE(SUBSTITUTE(N36,"Nguyen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6" s="64">
        <f>O36/Table!$D$4</f>
        <v>0</v>
      </c>
      <c r="R36" s="64">
        <f>P36/Table!$C$4</f>
        <v>0</v>
      </c>
    </row>
    <row r="37" spans="2:18" x14ac:dyDescent="0.25">
      <c r="C37" s="64">
        <v>7</v>
      </c>
      <c r="D37" s="29" t="s">
        <v>192</v>
      </c>
      <c r="E37" s="64">
        <f>VLOOKUP(SUBSTITUTE(SUBSTITUTE(SUBSTITUTE(SUBSTITUTE(SUBSTITUTE(SUBSTITUTE(SUBSTITUTE(SUBSTITUTE(SUBSTITUTE(SUBSTITUTE(D37,"Nguyen Trung Hieu","hieu.nguyen-trung"),"Nguyen Tai Hau","hau.nguyen-tai"),"Nguyen Duy Bang","bang.nguyen-duy"),"Luu Cong Dac","dac.luu-cong"),"Nguyen Tuan Duong","duong.nguyen"),"Do Phu Loc","loc.do-phu"),"Nguyen Kim Thanh","thanh.nguyen-kim"),"Ly Chung","chung.ly"),"Do Anh Huy","huy.do-anh"),"Nguyen Thanh Phuong","phuong.nguyen-thanh"),Merged_COEM!$C$4:$H$13,3,0)</f>
        <v>4056</v>
      </c>
      <c r="F37" s="64">
        <f>VLOOKUP(SUBSTITUTE(SUBSTITUTE(SUBSTITUTE(SUBSTITUTE(SUBSTITUTE(SUBSTITUTE(SUBSTITUTE(SUBSTITUTE(SUBSTITUTE(SUBSTITUTE(D37,"Nguyen Trung Hieu","hieu.nguyen-trung"),"Nguyen Tai Hau","hau.nguyen-tai"),"Nguyen Duy Bang","bang.nguyen-duy"),"Luu Cong Dac","dac.luu-cong"),"Nguyen Tuan Duong","duong.nguyen"),"Do Phu Loc","loc.do-phu"),"Nguyen Kim Thanh","thanh.nguyen-kim"),"Ly Chung","chung.ly"),"Do Anh Huy","huy.do-anh"),"Nguyen Thanh Phuong","phuong.nguyen-thanh"),Merged_COEM!$C$19:$H$28,3,0)</f>
        <v>152</v>
      </c>
      <c r="G37" s="64">
        <f>E37/Table!$D$4</f>
        <v>9.0133333333333336</v>
      </c>
      <c r="H37" s="64">
        <f>F37/Table!$C$4</f>
        <v>1.1692307692307693</v>
      </c>
      <c r="J37" s="82"/>
      <c r="M37" s="64">
        <v>7</v>
      </c>
      <c r="N37" s="29" t="s">
        <v>192</v>
      </c>
      <c r="O37" s="64">
        <f>VLOOKUP(SUBSTITUTE(SUBSTITUTE(SUBSTITUTE(SUBSTITUTE(SUBSTITUTE(SUBSTITUTE(SUBSTITUTE(SUBSTITUTE(SUBSTITUTE(SUBSTITUTE(N37,"Nguyen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7" s="64">
        <f>VLOOKUP(SUBSTITUTE(SUBSTITUTE(SUBSTITUTE(SUBSTITUTE(SUBSTITUTE(SUBSTITUTE(SUBSTITUTE(SUBSTITUTE(SUBSTITUTE(SUBSTITUTE(N37,"Nguyen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7" s="64">
        <f>O37/Table!$D$4</f>
        <v>0</v>
      </c>
      <c r="R37" s="64">
        <f>P37/Table!$C$4</f>
        <v>0</v>
      </c>
    </row>
    <row r="38" spans="2:18" x14ac:dyDescent="0.25">
      <c r="C38" s="64">
        <v>8</v>
      </c>
      <c r="D38" s="29" t="s">
        <v>193</v>
      </c>
      <c r="E38" s="64">
        <f>VLOOKUP(SUBSTITUTE(SUBSTITUTE(SUBSTITUTE(SUBSTITUTE(SUBSTITUTE(SUBSTITUTE(SUBSTITUTE(SUBSTITUTE(SUBSTITUTE(SUBSTITUTE(D38,"Nguyen Trung Hieu","hieu.nguyen-trung"),"Nguyen Tai Hau","hau.nguyen-tai"),"Nguyen Duy Bang","bang.nguyen-duy"),"Luu Cong Dac","dac.luu-cong"),"Nguyen Tuan Duong","duong.nguyen"),"Do Phu Loc","loc.do-phu"),"Nguyen Kim Thanh","thanh.nguyen-kim"),"Ly Chung","chung.ly"),"Do Anh Huy","huy.do-anh"),"Nguyen Thanh Phuong","phuong.nguyen-thanh"),Merged_COEM!$C$4:$H$13,3,0)</f>
        <v>5666</v>
      </c>
      <c r="F38" s="64">
        <f>VLOOKUP(SUBSTITUTE(SUBSTITUTE(SUBSTITUTE(SUBSTITUTE(SUBSTITUTE(SUBSTITUTE(SUBSTITUTE(SUBSTITUTE(SUBSTITUTE(SUBSTITUTE(D38,"Nguyen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8" s="64">
        <f>E38/Table!$D$4</f>
        <v>12.591111111111111</v>
      </c>
      <c r="H38" s="64">
        <f>F38/Table!$C$4</f>
        <v>0</v>
      </c>
      <c r="J38" s="82"/>
      <c r="M38" s="64">
        <v>8</v>
      </c>
      <c r="N38" s="29" t="s">
        <v>193</v>
      </c>
      <c r="O38" s="64">
        <f>VLOOKUP(SUBSTITUTE(SUBSTITUTE(SUBSTITUTE(SUBSTITUTE(SUBSTITUTE(SUBSTITUTE(SUBSTITUTE(SUBSTITUTE(SUBSTITUTE(SUBSTITUTE(N38,"Nguyen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8" s="64">
        <f>VLOOKUP(SUBSTITUTE(SUBSTITUTE(SUBSTITUTE(SUBSTITUTE(SUBSTITUTE(SUBSTITUTE(SUBSTITUTE(SUBSTITUTE(SUBSTITUTE(SUBSTITUTE(N38,"Nguyen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8" s="64">
        <f>O38/Table!$D$4</f>
        <v>0</v>
      </c>
      <c r="R38" s="64">
        <f>P38/Table!$C$4</f>
        <v>0</v>
      </c>
    </row>
    <row r="39" spans="2:18" x14ac:dyDescent="0.25">
      <c r="C39" s="64">
        <v>9</v>
      </c>
      <c r="D39" s="29" t="s">
        <v>180</v>
      </c>
      <c r="E39" s="64">
        <f>VLOOKUP(SUBSTITUTE(SUBSTITUTE(SUBSTITUTE(SUBSTITUTE(SUBSTITUTE(SUBSTITUTE(SUBSTITUTE(SUBSTITUTE(SUBSTITUTE(SUBSTITUTE(D39,"Nguyen Trung Hieu","hieu.nguyen-trung"),"Nguyen Tai Hau","hau.nguyen-tai"),"Nguyen Duy Bang","bang.nguyen-duy"),"Luu Cong Dac","dac.luu-cong"),"Nguyen Tuan Duong","duong.nguyen"),"Do Phu Loc","loc.do-phu"),"Nguyen Kim Thanh","thanh.nguyen-kim"),"Ly Chung","chung.ly"),"Do Anh Huy","huy.do-anh"),"Nguyen Thanh Phuong","phuong.nguyen-thanh"),Merged_COEM!$C$4:$H$13,3,0)</f>
        <v>0</v>
      </c>
      <c r="F39" s="64">
        <f>VLOOKUP(SUBSTITUTE(SUBSTITUTE(SUBSTITUTE(SUBSTITUTE(SUBSTITUTE(SUBSTITUTE(SUBSTITUTE(SUBSTITUTE(SUBSTITUTE(SUBSTITUTE(D39,"Nguyen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9" s="64">
        <f>E39/Table!$D$4</f>
        <v>0</v>
      </c>
      <c r="H39" s="64">
        <f>F39/Table!$C$4</f>
        <v>0</v>
      </c>
      <c r="J39" s="82"/>
      <c r="M39" s="64">
        <v>9</v>
      </c>
      <c r="N39" s="29" t="s">
        <v>180</v>
      </c>
      <c r="O39" s="64">
        <f>VLOOKUP(SUBSTITUTE(SUBSTITUTE(SUBSTITUTE(SUBSTITUTE(SUBSTITUTE(SUBSTITUTE(SUBSTITUTE(SUBSTITUTE(SUBSTITUTE(SUBSTITUTE(N39,"Nguyen Trung Hieu","hieu.nguyen-trung"),"Nguyen Tai Hau","hau.nguyen-tai"),"Nguyen Duy Bang","bang.nguyen-duy"),"Luu Cong Dac","dac.luu-cong"),"Nguyen Tuan Duong","duong.nguyen"),"Do Phu Loc","loc.do-phu"),"Nguyen Kim Thanh","thanh.nguyen-kim"),"Ly Chung","chung.ly"),"Do Anh Huy","huy.do-anh"),"Nguyen Thanh Phuong","phuong.nguyen-thanh"),Merged_JOEM!$C$4:$H$13,3,0)</f>
        <v>5027.8500000000004</v>
      </c>
      <c r="P39" s="64">
        <f>VLOOKUP(SUBSTITUTE(SUBSTITUTE(SUBSTITUTE(SUBSTITUTE(SUBSTITUTE(SUBSTITUTE(SUBSTITUTE(SUBSTITUTE(SUBSTITUTE(SUBSTITUTE(N39,"Nguyen Trung Hieu","hieu.nguyen-trung"),"Nguyen Tai Hau","hau.nguyen-tai"),"Nguyen Duy Bang","bang.nguyen-duy"),"Luu Cong Dac","dac.luu-cong"),"Nguyen Tuan Duong","duong.nguyen"),"Do Phu Loc","loc.do-phu"),"Nguyen Kim Thanh","thanh.nguyen-kim"),"Ly Chung","chung.ly"),"Do Anh Huy","huy.do-anh"),"Nguyen Thanh Phuong","phuong.nguyen-thanh"),Merged_JOEM!$C$19:$H$28,3,0)</f>
        <v>384.8</v>
      </c>
      <c r="Q39" s="64">
        <f>O39/Table!$D$4</f>
        <v>11.173</v>
      </c>
      <c r="R39" s="64">
        <f>P39/Table!$C$4</f>
        <v>2.96</v>
      </c>
    </row>
    <row r="40" spans="2:18" x14ac:dyDescent="0.25">
      <c r="C40" s="64">
        <v>10</v>
      </c>
      <c r="D40" s="29" t="s">
        <v>179</v>
      </c>
      <c r="E40" s="64">
        <f>VLOOKUP(SUBSTITUTE(SUBSTITUTE(SUBSTITUTE(SUBSTITUTE(SUBSTITUTE(SUBSTITUTE(SUBSTITUTE(SUBSTITUTE(SUBSTITUTE(SUBSTITUTE(D40,"Nguyen Trung Hieu","hieu.nguyen-trung"),"Nguyen Tai Hau","hau.nguyen-tai"),"Nguyen Duy Bang","bang.nguyen-duy"),"Luu Cong Dac","dac.luu-cong"),"Nguyen Tuan Duong","duong.nguyen"),"Do Phu Loc","loc.do-phu"),"Nguyen Kim Thanh","thanh.nguyen-kim"),"Ly Chung","chung.ly"),"Do Anh Huy","huy.do-anh"),"Nguyen Thanh Phuong","phuong.nguyen-thanh"),Merged_COEM!$C$4:$H$13,3,0)</f>
        <v>4338</v>
      </c>
      <c r="F40" s="64">
        <f>VLOOKUP(SUBSTITUTE(SUBSTITUTE(SUBSTITUTE(SUBSTITUTE(SUBSTITUTE(SUBSTITUTE(SUBSTITUTE(SUBSTITUTE(SUBSTITUTE(SUBSTITUTE(D40,"Nguyen Trung Hieu","hieu.nguyen-trung"),"Nguyen Tai Hau","hau.nguyen-tai"),"Nguyen Duy Bang","bang.nguyen-duy"),"Luu Cong Dac","dac.luu-cong"),"Nguyen Tuan Duong","duong.nguyen"),"Do Phu Loc","loc.do-phu"),"Nguyen Kim Thanh","thanh.nguyen-kim"),"Ly Chung","chung.ly"),"Do Anh Huy","huy.do-anh"),"Nguyen Thanh Phuong","phuong.nguyen-thanh"),Merged_COEM!$C$19:$H$28,3,0)</f>
        <v>97</v>
      </c>
      <c r="G40" s="64">
        <f>E40/Table!$D$4</f>
        <v>9.64</v>
      </c>
      <c r="H40" s="64">
        <f>F40/Table!$C$4</f>
        <v>0.74615384615384617</v>
      </c>
      <c r="J40" s="82"/>
      <c r="M40" s="64">
        <v>10</v>
      </c>
      <c r="N40" s="29" t="s">
        <v>179</v>
      </c>
      <c r="O40" s="64">
        <f>VLOOKUP(SUBSTITUTE(SUBSTITUTE(SUBSTITUTE(SUBSTITUTE(SUBSTITUTE(SUBSTITUTE(SUBSTITUTE(SUBSTITUTE(SUBSTITUTE(SUBSTITUTE(N40,"Nguyen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40" s="64">
        <f>VLOOKUP(SUBSTITUTE(SUBSTITUTE(SUBSTITUTE(SUBSTITUTE(SUBSTITUTE(SUBSTITUTE(SUBSTITUTE(SUBSTITUTE(SUBSTITUTE(SUBSTITUTE(N40,"Nguyen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40" s="64">
        <f>O40/Table!$D$4</f>
        <v>0</v>
      </c>
      <c r="R40" s="64">
        <f>P40/Table!$C$4</f>
        <v>0</v>
      </c>
    </row>
    <row r="41" spans="2:18" x14ac:dyDescent="0.25">
      <c r="C41" s="30"/>
      <c r="D41" s="30"/>
      <c r="E41" s="31"/>
      <c r="F41" s="31"/>
      <c r="J41" s="82"/>
      <c r="M41" s="30"/>
      <c r="N41" s="30"/>
      <c r="O41" s="31"/>
      <c r="P41" s="31"/>
    </row>
    <row r="42" spans="2:18" x14ac:dyDescent="0.25">
      <c r="B42" s="1" t="s">
        <v>34</v>
      </c>
      <c r="J42" s="82"/>
      <c r="L42" s="1" t="s">
        <v>34</v>
      </c>
    </row>
    <row r="43" spans="2:18" x14ac:dyDescent="0.25">
      <c r="C43" s="59" t="s">
        <v>25</v>
      </c>
      <c r="D43" s="54" t="s">
        <v>35</v>
      </c>
      <c r="E43" s="55"/>
      <c r="F43" s="56"/>
      <c r="J43" s="82"/>
      <c r="M43" s="59" t="s">
        <v>25</v>
      </c>
      <c r="N43" s="54" t="s">
        <v>35</v>
      </c>
      <c r="O43" s="55"/>
      <c r="P43" s="56"/>
    </row>
    <row r="44" spans="2:18" x14ac:dyDescent="0.25">
      <c r="C44" s="64">
        <v>1</v>
      </c>
      <c r="D44" s="38" t="s">
        <v>61</v>
      </c>
      <c r="E44" s="39"/>
      <c r="F44" s="40"/>
      <c r="J44" s="82"/>
      <c r="M44" s="64">
        <v>1</v>
      </c>
      <c r="N44" s="38" t="s">
        <v>61</v>
      </c>
      <c r="O44" s="39"/>
      <c r="P44" s="40"/>
    </row>
    <row r="45" spans="2:18" x14ac:dyDescent="0.25">
      <c r="C45" s="64">
        <v>2</v>
      </c>
      <c r="D45" s="38" t="s">
        <v>61</v>
      </c>
      <c r="E45" s="39"/>
      <c r="F45" s="40"/>
      <c r="J45" s="82"/>
      <c r="M45" s="64">
        <v>2</v>
      </c>
      <c r="N45" s="38" t="s">
        <v>61</v>
      </c>
      <c r="O45" s="39"/>
      <c r="P45" s="40"/>
    </row>
    <row r="46" spans="2:18" x14ac:dyDescent="0.25">
      <c r="C46" s="64">
        <v>3</v>
      </c>
      <c r="D46" s="38" t="s">
        <v>61</v>
      </c>
      <c r="E46" s="39"/>
      <c r="F46" s="40"/>
      <c r="J46" s="82"/>
      <c r="M46" s="64">
        <v>3</v>
      </c>
      <c r="N46" s="38" t="s">
        <v>61</v>
      </c>
      <c r="O46" s="39"/>
      <c r="P46" s="40"/>
    </row>
    <row r="47" spans="2:18" x14ac:dyDescent="0.25">
      <c r="C47" s="64">
        <v>4</v>
      </c>
      <c r="D47" s="38" t="s">
        <v>61</v>
      </c>
      <c r="E47" s="39"/>
      <c r="F47" s="40"/>
      <c r="J47" s="82"/>
      <c r="M47" s="64">
        <v>4</v>
      </c>
      <c r="N47" s="38" t="s">
        <v>61</v>
      </c>
      <c r="O47" s="39"/>
      <c r="P47" s="40"/>
    </row>
    <row r="48" spans="2:18" x14ac:dyDescent="0.25">
      <c r="J48" s="82"/>
    </row>
    <row r="49" spans="2:16" x14ac:dyDescent="0.25">
      <c r="B49" s="1" t="s">
        <v>406</v>
      </c>
      <c r="J49" s="82"/>
      <c r="L49" s="1" t="s">
        <v>406</v>
      </c>
    </row>
    <row r="50" spans="2:16" x14ac:dyDescent="0.25">
      <c r="C50" s="51" t="s">
        <v>25</v>
      </c>
      <c r="D50" s="51" t="s">
        <v>31</v>
      </c>
      <c r="E50" s="9" t="s">
        <v>137</v>
      </c>
      <c r="F50" s="9" t="s">
        <v>138</v>
      </c>
      <c r="J50" s="82"/>
      <c r="M50" s="59" t="s">
        <v>25</v>
      </c>
      <c r="N50" s="59" t="s">
        <v>31</v>
      </c>
      <c r="O50" s="9" t="s">
        <v>137</v>
      </c>
      <c r="P50" s="9" t="s">
        <v>138</v>
      </c>
    </row>
    <row r="51" spans="2:16" x14ac:dyDescent="0.25">
      <c r="C51" s="64">
        <v>1</v>
      </c>
      <c r="D51" s="29" t="s">
        <v>117</v>
      </c>
      <c r="E51" s="52">
        <f>VLOOKUP(SUBSTITUTE(SUBSTITUTE(SUBSTITUTE(SUBSTITUTE(SUBSTITUTE(SUBSTITUTE(SUBSTITUTE(SUBSTITUTE(SUBSTITUTE(SUBSTITUTE(D51,"Nguyen Trung Hieu","hieu.nguyen-trung"),"Nguyen Tai Hau","hau.nguyen-tai"),"Nguyen Duy Bang","bang.nguyen-duy"),"Luu Cong Dac","dac.luu-cong"),"Nguyen Tuan Duong","duong.nguyen"),"Do Phu Loc","loc.do-phu"),"Nguyen Kim Thanh","thanh.nguyen-kim"),"Ly Chung","chung.ly"),"Do Anh Huy","huy.do-anh"),"Nguyen Thanh Phuong","phuong.nguyen-thanh"),Merged_COEM!$C$34:$J$43,7,0)</f>
        <v>1</v>
      </c>
      <c r="F51" s="60">
        <f>VLOOKUP(SUBSTITUTE(SUBSTITUTE(SUBSTITUTE(SUBSTITUTE(SUBSTITUTE(SUBSTITUTE(SUBSTITUTE(SUBSTITUTE(SUBSTITUTE(SUBSTITUTE(D51,"Nguyen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1" s="82"/>
      <c r="M51" s="64">
        <v>1</v>
      </c>
      <c r="N51" s="29" t="s">
        <v>117</v>
      </c>
      <c r="O51" s="63">
        <f>VLOOKUP(SUBSTITUTE(SUBSTITUTE(SUBSTITUTE(SUBSTITUTE(SUBSTITUTE(SUBSTITUTE(SUBSTITUTE(SUBSTITUTE(SUBSTITUTE(SUBSTITUTE(N51,"Nguyen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1" s="64">
        <f>VLOOKUP(SUBSTITUTE(SUBSTITUTE(SUBSTITUTE(SUBSTITUTE(SUBSTITUTE(SUBSTITUTE(SUBSTITUTE(SUBSTITUTE(SUBSTITUTE(SUBSTITUTE(N51,"Nguyen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2" spans="2:16" x14ac:dyDescent="0.25">
      <c r="C52" s="64">
        <v>2</v>
      </c>
      <c r="D52" s="29" t="s">
        <v>118</v>
      </c>
      <c r="E52" s="63">
        <f>VLOOKUP(SUBSTITUTE(SUBSTITUTE(SUBSTITUTE(SUBSTITUTE(SUBSTITUTE(SUBSTITUTE(SUBSTITUTE(SUBSTITUTE(SUBSTITUTE(SUBSTITUTE(D52,"Nguyen Trung Hieu","hieu.nguyen-trung"),"Nguyen Tai Hau","hau.nguyen-tai"),"Nguyen Duy Bang","bang.nguyen-duy"),"Luu Cong Dac","dac.luu-cong"),"Nguyen Tuan Duong","duong.nguyen"),"Do Phu Loc","loc.do-phu"),"Nguyen Kim Thanh","thanh.nguyen-kim"),"Ly Chung","chung.ly"),"Do Anh Huy","huy.do-anh"),"Nguyen Thanh Phuong","phuong.nguyen-thanh"),Merged_COEM!$C$34:$J$43,7,0)</f>
        <v>4</v>
      </c>
      <c r="F52" s="64">
        <f>VLOOKUP(SUBSTITUTE(SUBSTITUTE(SUBSTITUTE(SUBSTITUTE(SUBSTITUTE(SUBSTITUTE(SUBSTITUTE(SUBSTITUTE(SUBSTITUTE(SUBSTITUTE(D52,"Nguyen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2" s="82"/>
      <c r="M52" s="64">
        <v>2</v>
      </c>
      <c r="N52" s="29" t="s">
        <v>118</v>
      </c>
      <c r="O52" s="63">
        <f>VLOOKUP(SUBSTITUTE(SUBSTITUTE(SUBSTITUTE(SUBSTITUTE(SUBSTITUTE(SUBSTITUTE(SUBSTITUTE(SUBSTITUTE(SUBSTITUTE(SUBSTITUTE(N52,"Nguyen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2" s="64">
        <f>VLOOKUP(SUBSTITUTE(SUBSTITUTE(SUBSTITUTE(SUBSTITUTE(SUBSTITUTE(SUBSTITUTE(SUBSTITUTE(SUBSTITUTE(SUBSTITUTE(SUBSTITUTE(N52,"Nguyen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3" spans="2:16" x14ac:dyDescent="0.25">
      <c r="C53" s="64">
        <v>3</v>
      </c>
      <c r="D53" s="29" t="s">
        <v>119</v>
      </c>
      <c r="E53" s="63">
        <f>VLOOKUP(SUBSTITUTE(SUBSTITUTE(SUBSTITUTE(SUBSTITUTE(SUBSTITUTE(SUBSTITUTE(SUBSTITUTE(SUBSTITUTE(SUBSTITUTE(SUBSTITUTE(D53,"Nguyen Trung Hieu","hieu.nguyen-trung"),"Nguyen Tai Hau","hau.nguyen-tai"),"Nguyen Duy Bang","bang.nguyen-duy"),"Luu Cong Dac","dac.luu-cong"),"Nguyen Tuan Duong","duong.nguyen"),"Do Phu Loc","loc.do-phu"),"Nguyen Kim Thanh","thanh.nguyen-kim"),"Ly Chung","chung.ly"),"Do Anh Huy","huy.do-anh"),"Nguyen Thanh Phuong","phuong.nguyen-thanh"),Merged_COEM!$C$34:$J$43,7,0)</f>
        <v>3</v>
      </c>
      <c r="F53" s="64">
        <f>VLOOKUP(SUBSTITUTE(SUBSTITUTE(SUBSTITUTE(SUBSTITUTE(SUBSTITUTE(SUBSTITUTE(SUBSTITUTE(SUBSTITUTE(SUBSTITUTE(SUBSTITUTE(D53,"Nguyen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3" s="82"/>
      <c r="M53" s="64">
        <v>3</v>
      </c>
      <c r="N53" s="29" t="s">
        <v>119</v>
      </c>
      <c r="O53" s="63">
        <f>VLOOKUP(SUBSTITUTE(SUBSTITUTE(SUBSTITUTE(SUBSTITUTE(SUBSTITUTE(SUBSTITUTE(SUBSTITUTE(SUBSTITUTE(SUBSTITUTE(SUBSTITUTE(N53,"Nguyen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3" s="64">
        <f>VLOOKUP(SUBSTITUTE(SUBSTITUTE(SUBSTITUTE(SUBSTITUTE(SUBSTITUTE(SUBSTITUTE(SUBSTITUTE(SUBSTITUTE(SUBSTITUTE(SUBSTITUTE(N53,"Nguyen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4" spans="2:16" x14ac:dyDescent="0.25">
      <c r="C54" s="64">
        <v>4</v>
      </c>
      <c r="D54" s="29" t="s">
        <v>120</v>
      </c>
      <c r="E54" s="63">
        <f>VLOOKUP(SUBSTITUTE(SUBSTITUTE(SUBSTITUTE(SUBSTITUTE(SUBSTITUTE(SUBSTITUTE(SUBSTITUTE(SUBSTITUTE(SUBSTITUTE(SUBSTITUTE(D54,"Nguyen Trung Hieu","hieu.nguyen-trung"),"Nguyen Tai Hau","hau.nguyen-tai"),"Nguyen Duy Bang","bang.nguyen-duy"),"Luu Cong Dac","dac.luu-cong"),"Nguyen Tuan Duong","duong.nguyen"),"Do Phu Loc","loc.do-phu"),"Nguyen Kim Thanh","thanh.nguyen-kim"),"Ly Chung","chung.ly"),"Do Anh Huy","huy.do-anh"),"Nguyen Thanh Phuong","phuong.nguyen-thanh"),Merged_COEM!$C$34:$J$43,7,0)</f>
        <v>0</v>
      </c>
      <c r="F54" s="64">
        <f>VLOOKUP(SUBSTITUTE(SUBSTITUTE(SUBSTITUTE(SUBSTITUTE(SUBSTITUTE(SUBSTITUTE(SUBSTITUTE(SUBSTITUTE(SUBSTITUTE(SUBSTITUTE(D54,"Nguyen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4" s="82"/>
      <c r="M54" s="64">
        <v>4</v>
      </c>
      <c r="N54" s="29" t="s">
        <v>120</v>
      </c>
      <c r="O54" s="63">
        <f>VLOOKUP(SUBSTITUTE(SUBSTITUTE(SUBSTITUTE(SUBSTITUTE(SUBSTITUTE(SUBSTITUTE(SUBSTITUTE(SUBSTITUTE(SUBSTITUTE(SUBSTITUTE(N54,"Nguyen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4" s="64">
        <f>VLOOKUP(SUBSTITUTE(SUBSTITUTE(SUBSTITUTE(SUBSTITUTE(SUBSTITUTE(SUBSTITUTE(SUBSTITUTE(SUBSTITUTE(SUBSTITUTE(SUBSTITUTE(N54,"Nguyen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5" spans="2:16" x14ac:dyDescent="0.25">
      <c r="C55" s="64">
        <v>5</v>
      </c>
      <c r="D55" s="29" t="s">
        <v>190</v>
      </c>
      <c r="E55" s="63">
        <f>VLOOKUP(SUBSTITUTE(SUBSTITUTE(SUBSTITUTE(SUBSTITUTE(SUBSTITUTE(SUBSTITUTE(SUBSTITUTE(SUBSTITUTE(SUBSTITUTE(SUBSTITUTE(D55,"Nguyen Trung Hieu","hieu.nguyen-trung"),"Nguyen Tai Hau","hau.nguyen-tai"),"Nguyen Duy Bang","bang.nguyen-duy"),"Luu Cong Dac","dac.luu-cong"),"Nguyen Tuan Duong","duong.nguyen"),"Do Phu Loc","loc.do-phu"),"Nguyen Kim Thanh","thanh.nguyen-kim"),"Ly Chung","chung.ly"),"Do Anh Huy","huy.do-anh"),"Nguyen Thanh Phuong","phuong.nguyen-thanh"),Merged_COEM!$C$34:$J$43,7,0)</f>
        <v>5</v>
      </c>
      <c r="F55" s="64">
        <f>VLOOKUP(SUBSTITUTE(SUBSTITUTE(SUBSTITUTE(SUBSTITUTE(SUBSTITUTE(SUBSTITUTE(SUBSTITUTE(SUBSTITUTE(SUBSTITUTE(SUBSTITUTE(D55,"Nguyen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5" s="82"/>
      <c r="M55" s="64">
        <v>5</v>
      </c>
      <c r="N55" s="29" t="s">
        <v>190</v>
      </c>
      <c r="O55" s="63">
        <f>VLOOKUP(SUBSTITUTE(SUBSTITUTE(SUBSTITUTE(SUBSTITUTE(SUBSTITUTE(SUBSTITUTE(SUBSTITUTE(SUBSTITUTE(SUBSTITUTE(SUBSTITUTE(N55,"Nguyen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5" s="64">
        <f>VLOOKUP(SUBSTITUTE(SUBSTITUTE(SUBSTITUTE(SUBSTITUTE(SUBSTITUTE(SUBSTITUTE(SUBSTITUTE(SUBSTITUTE(SUBSTITUTE(SUBSTITUTE(N55,"Nguyen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6" spans="2:16" x14ac:dyDescent="0.25">
      <c r="C56" s="64">
        <v>6</v>
      </c>
      <c r="D56" s="29" t="s">
        <v>191</v>
      </c>
      <c r="E56" s="63">
        <f>VLOOKUP(SUBSTITUTE(SUBSTITUTE(SUBSTITUTE(SUBSTITUTE(SUBSTITUTE(SUBSTITUTE(SUBSTITUTE(SUBSTITUTE(SUBSTITUTE(SUBSTITUTE(D56,"Nguyen Trung Hieu","hieu.nguyen-trung"),"Nguyen Tai Hau","hau.nguyen-tai"),"Nguyen Duy Bang","bang.nguyen-duy"),"Luu Cong Dac","dac.luu-cong"),"Nguyen Tuan Duong","duong.nguyen"),"Do Phu Loc","loc.do-phu"),"Nguyen Kim Thanh","thanh.nguyen-kim"),"Ly Chung","chung.ly"),"Do Anh Huy","huy.do-anh"),"Nguyen Thanh Phuong","phuong.nguyen-thanh"),Merged_COEM!$C$34:$J$43,7,0)</f>
        <v>3</v>
      </c>
      <c r="F56" s="64">
        <f>VLOOKUP(SUBSTITUTE(SUBSTITUTE(SUBSTITUTE(SUBSTITUTE(SUBSTITUTE(SUBSTITUTE(SUBSTITUTE(SUBSTITUTE(SUBSTITUTE(SUBSTITUTE(D56,"Nguyen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6" s="82"/>
      <c r="M56" s="64">
        <v>6</v>
      </c>
      <c r="N56" s="29" t="s">
        <v>191</v>
      </c>
      <c r="O56" s="63">
        <f>VLOOKUP(SUBSTITUTE(SUBSTITUTE(SUBSTITUTE(SUBSTITUTE(SUBSTITUTE(SUBSTITUTE(SUBSTITUTE(SUBSTITUTE(SUBSTITUTE(SUBSTITUTE(N56,"Nguyen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6" s="64">
        <f>VLOOKUP(SUBSTITUTE(SUBSTITUTE(SUBSTITUTE(SUBSTITUTE(SUBSTITUTE(SUBSTITUTE(SUBSTITUTE(SUBSTITUTE(SUBSTITUTE(SUBSTITUTE(N56,"Nguyen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7" spans="2:16" x14ac:dyDescent="0.25">
      <c r="C57" s="64">
        <v>7</v>
      </c>
      <c r="D57" s="29" t="s">
        <v>192</v>
      </c>
      <c r="E57" s="63">
        <f>VLOOKUP(SUBSTITUTE(SUBSTITUTE(SUBSTITUTE(SUBSTITUTE(SUBSTITUTE(SUBSTITUTE(SUBSTITUTE(SUBSTITUTE(SUBSTITUTE(SUBSTITUTE(D57,"Nguyen Trung Hieu","hieu.nguyen-trung"),"Nguyen Tai Hau","hau.nguyen-tai"),"Nguyen Duy Bang","bang.nguyen-duy"),"Luu Cong Dac","dac.luu-cong"),"Nguyen Tuan Duong","duong.nguyen"),"Do Phu Loc","loc.do-phu"),"Nguyen Kim Thanh","thanh.nguyen-kim"),"Ly Chung","chung.ly"),"Do Anh Huy","huy.do-anh"),"Nguyen Thanh Phuong","phuong.nguyen-thanh"),Merged_COEM!$C$34:$J$43,7,0)</f>
        <v>6</v>
      </c>
      <c r="F57" s="64">
        <f>VLOOKUP(SUBSTITUTE(SUBSTITUTE(SUBSTITUTE(SUBSTITUTE(SUBSTITUTE(SUBSTITUTE(SUBSTITUTE(SUBSTITUTE(SUBSTITUTE(SUBSTITUTE(D57,"Nguyen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7" s="82"/>
      <c r="M57" s="64">
        <v>7</v>
      </c>
      <c r="N57" s="29" t="s">
        <v>192</v>
      </c>
      <c r="O57" s="63">
        <f>VLOOKUP(SUBSTITUTE(SUBSTITUTE(SUBSTITUTE(SUBSTITUTE(SUBSTITUTE(SUBSTITUTE(SUBSTITUTE(SUBSTITUTE(SUBSTITUTE(SUBSTITUTE(N57,"Nguyen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7" s="64">
        <f>VLOOKUP(SUBSTITUTE(SUBSTITUTE(SUBSTITUTE(SUBSTITUTE(SUBSTITUTE(SUBSTITUTE(SUBSTITUTE(SUBSTITUTE(SUBSTITUTE(SUBSTITUTE(N57,"Nguyen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8" spans="2:16" x14ac:dyDescent="0.25">
      <c r="C58" s="64">
        <v>8</v>
      </c>
      <c r="D58" s="29" t="s">
        <v>193</v>
      </c>
      <c r="E58" s="63">
        <f>VLOOKUP(SUBSTITUTE(SUBSTITUTE(SUBSTITUTE(SUBSTITUTE(SUBSTITUTE(SUBSTITUTE(SUBSTITUTE(SUBSTITUTE(SUBSTITUTE(SUBSTITUTE(D58,"Nguyen Trung Hieu","hieu.nguyen-trung"),"Nguyen Tai Hau","hau.nguyen-tai"),"Nguyen Duy Bang","bang.nguyen-duy"),"Luu Cong Dac","dac.luu-cong"),"Nguyen Tuan Duong","duong.nguyen"),"Do Phu Loc","loc.do-phu"),"Nguyen Kim Thanh","thanh.nguyen-kim"),"Ly Chung","chung.ly"),"Do Anh Huy","huy.do-anh"),"Nguyen Thanh Phuong","phuong.nguyen-thanh"),Merged_COEM!$C$34:$J$43,7,0)</f>
        <v>5</v>
      </c>
      <c r="F58" s="64">
        <f>VLOOKUP(SUBSTITUTE(SUBSTITUTE(SUBSTITUTE(SUBSTITUTE(SUBSTITUTE(SUBSTITUTE(SUBSTITUTE(SUBSTITUTE(SUBSTITUTE(SUBSTITUTE(D58,"Nguyen Trung Hieu","hieu.nguyen-trung"),"Nguyen Tai Hau","hau.nguyen-tai"),"Nguyen Duy Bang","bang.nguyen-duy"),"Luu Cong Dac","dac.luu-cong"),"Nguyen Tuan Duong","duong.nguyen"),"Do Phu Loc","loc.do-phu"),"Nguyen Kim Thanh","thanh.nguyen-kim"),"Ly Chung","chung.ly"),"Do Anh Huy","huy.do-anh"),"Nguyen Thanh Phuong","phuong.nguyen-thanh"),Merged_COEM!$C$34:$J$43,8,0)</f>
        <v>1</v>
      </c>
      <c r="J58" s="82"/>
      <c r="M58" s="64">
        <v>8</v>
      </c>
      <c r="N58" s="29" t="s">
        <v>193</v>
      </c>
      <c r="O58" s="63">
        <f>VLOOKUP(SUBSTITUTE(SUBSTITUTE(SUBSTITUTE(SUBSTITUTE(SUBSTITUTE(SUBSTITUTE(SUBSTITUTE(SUBSTITUTE(SUBSTITUTE(SUBSTITUTE(N58,"Nguyen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8" s="64">
        <f>VLOOKUP(SUBSTITUTE(SUBSTITUTE(SUBSTITUTE(SUBSTITUTE(SUBSTITUTE(SUBSTITUTE(SUBSTITUTE(SUBSTITUTE(SUBSTITUTE(SUBSTITUTE(N58,"Nguyen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9" spans="2:16" x14ac:dyDescent="0.25">
      <c r="C59" s="64">
        <v>9</v>
      </c>
      <c r="D59" s="29" t="s">
        <v>180</v>
      </c>
      <c r="E59" s="63">
        <f>VLOOKUP(SUBSTITUTE(SUBSTITUTE(SUBSTITUTE(SUBSTITUTE(SUBSTITUTE(SUBSTITUTE(SUBSTITUTE(SUBSTITUTE(SUBSTITUTE(SUBSTITUTE(D59,"Nguyen Trung Hieu","hieu.nguyen-trung"),"Nguyen Tai Hau","hau.nguyen-tai"),"Nguyen Duy Bang","bang.nguyen-duy"),"Luu Cong Dac","dac.luu-cong"),"Nguyen Tuan Duong","duong.nguyen"),"Do Phu Loc","loc.do-phu"),"Nguyen Kim Thanh","thanh.nguyen-kim"),"Ly Chung","chung.ly"),"Do Anh Huy","huy.do-anh"),"Nguyen Thanh Phuong","phuong.nguyen-thanh"),Merged_COEM!$C$34:$J$43,7,0)</f>
        <v>0</v>
      </c>
      <c r="F59" s="64">
        <f>VLOOKUP(SUBSTITUTE(SUBSTITUTE(SUBSTITUTE(SUBSTITUTE(SUBSTITUTE(SUBSTITUTE(SUBSTITUTE(SUBSTITUTE(SUBSTITUTE(SUBSTITUTE(D59,"Nguyen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9" s="82"/>
      <c r="M59" s="64">
        <v>9</v>
      </c>
      <c r="N59" s="29" t="s">
        <v>180</v>
      </c>
      <c r="O59" s="63">
        <f>VLOOKUP(SUBSTITUTE(SUBSTITUTE(SUBSTITUTE(SUBSTITUTE(SUBSTITUTE(SUBSTITUTE(SUBSTITUTE(SUBSTITUTE(SUBSTITUTE(SUBSTITUTE(N59,"Nguyen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9" s="64">
        <f>VLOOKUP(SUBSTITUTE(SUBSTITUTE(SUBSTITUTE(SUBSTITUTE(SUBSTITUTE(SUBSTITUTE(SUBSTITUTE(SUBSTITUTE(SUBSTITUTE(SUBSTITUTE(N59,"Nguyen Trung Hieu","hieu.nguyen-trung"),"Nguyen Tai Hau","hau.nguyen-tai"),"Nguyen Duy Bang","bang.nguyen-duy"),"Luu Cong Dac","dac.luu-cong"),"Nguyen Tuan Duong","duong.nguyen"),"Do Phu Loc","loc.do-phu"),"Nguyen Kim Thanh","thanh.nguyen-kim"),"Ly Chung","chung.ly"),"Do Anh Huy","huy.do-anh"),"Nguyen Thanh Phuong","phuong.nguyen-thanh"),Merged_JOEM!$C$34:$J$43,8,0)</f>
        <v>1</v>
      </c>
    </row>
    <row r="60" spans="2:16" x14ac:dyDescent="0.25">
      <c r="C60" s="64">
        <v>10</v>
      </c>
      <c r="D60" s="29" t="s">
        <v>179</v>
      </c>
      <c r="E60" s="63">
        <f>VLOOKUP(SUBSTITUTE(SUBSTITUTE(SUBSTITUTE(SUBSTITUTE(SUBSTITUTE(SUBSTITUTE(SUBSTITUTE(SUBSTITUTE(SUBSTITUTE(SUBSTITUTE(D60,"Nguyen Trung Hieu","hieu.nguyen-trung"),"Nguyen Tai Hau","hau.nguyen-tai"),"Nguyen Duy Bang","bang.nguyen-duy"),"Luu Cong Dac","dac.luu-cong"),"Nguyen Tuan Duong","duong.nguyen"),"Do Phu Loc","loc.do-phu"),"Nguyen Kim Thanh","thanh.nguyen-kim"),"Ly Chung","chung.ly"),"Do Anh Huy","huy.do-anh"),"Nguyen Thanh Phuong","phuong.nguyen-thanh"),Merged_COEM!$C$34:$J$43,7,0)</f>
        <v>8</v>
      </c>
      <c r="F60" s="64">
        <f>VLOOKUP(SUBSTITUTE(SUBSTITUTE(SUBSTITUTE(SUBSTITUTE(SUBSTITUTE(SUBSTITUTE(SUBSTITUTE(SUBSTITUTE(SUBSTITUTE(SUBSTITUTE(D60,"Nguyen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60" s="82"/>
      <c r="M60" s="64">
        <v>10</v>
      </c>
      <c r="N60" s="29" t="s">
        <v>179</v>
      </c>
      <c r="O60" s="63">
        <f>VLOOKUP(SUBSTITUTE(SUBSTITUTE(SUBSTITUTE(SUBSTITUTE(SUBSTITUTE(SUBSTITUTE(SUBSTITUTE(SUBSTITUTE(SUBSTITUTE(SUBSTITUTE(N60,"Nguyen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60" s="64">
        <f>VLOOKUP(SUBSTITUTE(SUBSTITUTE(SUBSTITUTE(SUBSTITUTE(SUBSTITUTE(SUBSTITUTE(SUBSTITUTE(SUBSTITUTE(SUBSTITUTE(SUBSTITUTE(N60,"Nguyen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61" spans="2:16" x14ac:dyDescent="0.25">
      <c r="C61" s="31"/>
      <c r="D61" s="30"/>
      <c r="E61" s="65"/>
      <c r="F61" s="31"/>
      <c r="J61" s="82"/>
      <c r="M61" s="31"/>
      <c r="N61" s="30"/>
      <c r="O61" s="65"/>
      <c r="P61" s="31"/>
    </row>
    <row r="62" spans="2:16" x14ac:dyDescent="0.25">
      <c r="B62" s="1" t="s">
        <v>407</v>
      </c>
      <c r="J62" s="82"/>
      <c r="L62" s="1" t="s">
        <v>407</v>
      </c>
    </row>
    <row r="63" spans="2:16" x14ac:dyDescent="0.25">
      <c r="C63" s="51" t="s">
        <v>25</v>
      </c>
      <c r="D63" s="51" t="s">
        <v>31</v>
      </c>
      <c r="E63" s="9" t="s">
        <v>36</v>
      </c>
      <c r="F63" s="9" t="s">
        <v>37</v>
      </c>
      <c r="J63" s="82"/>
      <c r="M63" s="59" t="s">
        <v>25</v>
      </c>
      <c r="N63" s="59" t="s">
        <v>31</v>
      </c>
      <c r="O63" s="9" t="s">
        <v>36</v>
      </c>
      <c r="P63" s="9" t="s">
        <v>37</v>
      </c>
    </row>
    <row r="64" spans="2:16" x14ac:dyDescent="0.25">
      <c r="C64" s="64">
        <v>1</v>
      </c>
      <c r="D64" s="29" t="s">
        <v>117</v>
      </c>
      <c r="E64" s="52" t="s">
        <v>61</v>
      </c>
      <c r="F64" s="52" t="s">
        <v>61</v>
      </c>
      <c r="J64" s="82"/>
      <c r="M64" s="64">
        <v>1</v>
      </c>
      <c r="N64" s="29" t="s">
        <v>117</v>
      </c>
      <c r="O64" s="63" t="s">
        <v>61</v>
      </c>
      <c r="P64" s="63" t="s">
        <v>61</v>
      </c>
    </row>
    <row r="65" spans="2:16" x14ac:dyDescent="0.25">
      <c r="C65" s="64">
        <v>2</v>
      </c>
      <c r="D65" s="29" t="s">
        <v>118</v>
      </c>
      <c r="E65" s="52" t="s">
        <v>61</v>
      </c>
      <c r="F65" s="52" t="s">
        <v>61</v>
      </c>
      <c r="J65" s="82"/>
      <c r="M65" s="64">
        <v>2</v>
      </c>
      <c r="N65" s="29" t="s">
        <v>118</v>
      </c>
      <c r="O65" s="63" t="s">
        <v>61</v>
      </c>
      <c r="P65" s="63" t="s">
        <v>61</v>
      </c>
    </row>
    <row r="66" spans="2:16" x14ac:dyDescent="0.25">
      <c r="C66" s="64">
        <v>3</v>
      </c>
      <c r="D66" s="29" t="s">
        <v>119</v>
      </c>
      <c r="E66" s="52" t="s">
        <v>61</v>
      </c>
      <c r="F66" s="63" t="s">
        <v>61</v>
      </c>
      <c r="J66" s="82"/>
      <c r="M66" s="64">
        <v>3</v>
      </c>
      <c r="N66" s="29" t="s">
        <v>119</v>
      </c>
      <c r="O66" s="63" t="s">
        <v>61</v>
      </c>
      <c r="P66" s="63" t="s">
        <v>61</v>
      </c>
    </row>
    <row r="67" spans="2:16" x14ac:dyDescent="0.25">
      <c r="C67" s="64">
        <v>4</v>
      </c>
      <c r="D67" s="29" t="s">
        <v>120</v>
      </c>
      <c r="E67" s="52" t="s">
        <v>61</v>
      </c>
      <c r="F67" s="176" t="s">
        <v>61</v>
      </c>
      <c r="J67" s="82"/>
      <c r="M67" s="64">
        <v>4</v>
      </c>
      <c r="N67" s="29" t="s">
        <v>120</v>
      </c>
      <c r="O67" s="63" t="s">
        <v>61</v>
      </c>
      <c r="P67" s="63" t="s">
        <v>61</v>
      </c>
    </row>
    <row r="68" spans="2:16" x14ac:dyDescent="0.25">
      <c r="C68" s="64">
        <v>5</v>
      </c>
      <c r="D68" s="29" t="s">
        <v>190</v>
      </c>
      <c r="E68" s="63" t="s">
        <v>61</v>
      </c>
      <c r="F68" s="63" t="s">
        <v>61</v>
      </c>
      <c r="J68" s="82"/>
      <c r="M68" s="64">
        <v>5</v>
      </c>
      <c r="N68" s="29" t="s">
        <v>190</v>
      </c>
      <c r="O68" s="63" t="s">
        <v>61</v>
      </c>
      <c r="P68" s="63" t="s">
        <v>61</v>
      </c>
    </row>
    <row r="69" spans="2:16" x14ac:dyDescent="0.25">
      <c r="C69" s="64">
        <v>6</v>
      </c>
      <c r="D69" s="29" t="s">
        <v>191</v>
      </c>
      <c r="E69" s="63" t="s">
        <v>61</v>
      </c>
      <c r="F69" s="63" t="s">
        <v>61</v>
      </c>
      <c r="J69" s="82"/>
      <c r="M69" s="64">
        <v>6</v>
      </c>
      <c r="N69" s="29" t="s">
        <v>191</v>
      </c>
      <c r="O69" s="63" t="s">
        <v>61</v>
      </c>
      <c r="P69" s="63" t="s">
        <v>61</v>
      </c>
    </row>
    <row r="70" spans="2:16" x14ac:dyDescent="0.25">
      <c r="C70" s="64">
        <v>7</v>
      </c>
      <c r="D70" s="29" t="s">
        <v>192</v>
      </c>
      <c r="E70" s="63" t="s">
        <v>61</v>
      </c>
      <c r="F70" s="63" t="s">
        <v>61</v>
      </c>
      <c r="J70" s="82"/>
      <c r="M70" s="64">
        <v>7</v>
      </c>
      <c r="N70" s="29" t="s">
        <v>192</v>
      </c>
      <c r="O70" s="63" t="s">
        <v>61</v>
      </c>
      <c r="P70" s="63" t="s">
        <v>61</v>
      </c>
    </row>
    <row r="71" spans="2:16" x14ac:dyDescent="0.25">
      <c r="C71" s="64">
        <v>8</v>
      </c>
      <c r="D71" s="29" t="s">
        <v>193</v>
      </c>
      <c r="E71" s="63" t="s">
        <v>61</v>
      </c>
      <c r="F71" s="63" t="s">
        <v>61</v>
      </c>
      <c r="J71" s="82"/>
      <c r="M71" s="64">
        <v>8</v>
      </c>
      <c r="N71" s="29" t="s">
        <v>193</v>
      </c>
      <c r="O71" s="63" t="s">
        <v>61</v>
      </c>
      <c r="P71" s="63" t="s">
        <v>61</v>
      </c>
    </row>
    <row r="72" spans="2:16" x14ac:dyDescent="0.25">
      <c r="C72" s="64">
        <v>9</v>
      </c>
      <c r="D72" s="29" t="s">
        <v>180</v>
      </c>
      <c r="E72" s="63" t="s">
        <v>61</v>
      </c>
      <c r="F72" s="63" t="s">
        <v>61</v>
      </c>
      <c r="J72" s="82"/>
      <c r="M72" s="64">
        <v>9</v>
      </c>
      <c r="N72" s="29" t="s">
        <v>180</v>
      </c>
      <c r="O72" s="63" t="s">
        <v>61</v>
      </c>
      <c r="P72" s="176" t="s">
        <v>61</v>
      </c>
    </row>
    <row r="73" spans="2:16" x14ac:dyDescent="0.25">
      <c r="C73" s="64">
        <v>10</v>
      </c>
      <c r="D73" s="29" t="s">
        <v>179</v>
      </c>
      <c r="E73" s="63" t="s">
        <v>61</v>
      </c>
      <c r="F73" s="63" t="s">
        <v>61</v>
      </c>
      <c r="J73" s="82"/>
      <c r="M73" s="64">
        <v>10</v>
      </c>
      <c r="N73" s="29" t="s">
        <v>179</v>
      </c>
      <c r="O73" s="63" t="s">
        <v>61</v>
      </c>
      <c r="P73" s="63" t="s">
        <v>61</v>
      </c>
    </row>
    <row r="74" spans="2:16" x14ac:dyDescent="0.25">
      <c r="C74" s="31"/>
      <c r="D74" s="30"/>
      <c r="E74" s="65"/>
      <c r="F74" s="65"/>
      <c r="J74" s="82"/>
      <c r="M74" s="31"/>
      <c r="N74" s="30"/>
      <c r="O74" s="65"/>
      <c r="P74" s="65"/>
    </row>
    <row r="75" spans="2:16" x14ac:dyDescent="0.25">
      <c r="C75" s="31"/>
      <c r="D75" s="30"/>
      <c r="E75" s="65"/>
      <c r="F75" s="65"/>
      <c r="J75" s="82"/>
      <c r="M75" s="31"/>
      <c r="N75" s="30"/>
      <c r="O75" s="65"/>
      <c r="P75" s="65"/>
    </row>
    <row r="76" spans="2:16" x14ac:dyDescent="0.25">
      <c r="B76" s="1" t="s">
        <v>39</v>
      </c>
      <c r="J76" s="82"/>
      <c r="L76" s="1" t="s">
        <v>39</v>
      </c>
    </row>
    <row r="77" spans="2:16" x14ac:dyDescent="0.25">
      <c r="C77" s="1" t="s">
        <v>41</v>
      </c>
      <c r="J77" s="82"/>
      <c r="M77" s="1" t="s">
        <v>41</v>
      </c>
    </row>
    <row r="78" spans="2:16" x14ac:dyDescent="0.25">
      <c r="D78" t="s">
        <v>40</v>
      </c>
      <c r="J78" s="82"/>
      <c r="N78" t="s">
        <v>40</v>
      </c>
    </row>
    <row r="79" spans="2:16" x14ac:dyDescent="0.25">
      <c r="D79" t="s">
        <v>100</v>
      </c>
      <c r="J79" s="82"/>
      <c r="N79" t="s">
        <v>100</v>
      </c>
    </row>
    <row r="80" spans="2:16" x14ac:dyDescent="0.25">
      <c r="C80" s="1" t="s">
        <v>42</v>
      </c>
      <c r="J80" s="82"/>
      <c r="M80" s="1" t="s">
        <v>42</v>
      </c>
    </row>
    <row r="81" spans="2:14" x14ac:dyDescent="0.25">
      <c r="D81" t="s">
        <v>43</v>
      </c>
      <c r="J81" s="82"/>
      <c r="N81" t="s">
        <v>43</v>
      </c>
    </row>
    <row r="82" spans="2:14" x14ac:dyDescent="0.25">
      <c r="D82" t="s">
        <v>44</v>
      </c>
      <c r="J82" s="82"/>
      <c r="N82" t="s">
        <v>44</v>
      </c>
    </row>
    <row r="83" spans="2:14" x14ac:dyDescent="0.25">
      <c r="C83" s="1" t="s">
        <v>187</v>
      </c>
      <c r="J83" s="82"/>
      <c r="M83" s="1" t="s">
        <v>187</v>
      </c>
    </row>
    <row r="84" spans="2:14" x14ac:dyDescent="0.25">
      <c r="D84" t="s">
        <v>188</v>
      </c>
      <c r="J84" s="82"/>
      <c r="N84" t="s">
        <v>188</v>
      </c>
    </row>
    <row r="85" spans="2:14" x14ac:dyDescent="0.25">
      <c r="D85" t="s">
        <v>189</v>
      </c>
      <c r="J85" s="82"/>
      <c r="N85" t="s">
        <v>189</v>
      </c>
    </row>
    <row r="86" spans="2:14" x14ac:dyDescent="0.25">
      <c r="J86" s="82"/>
    </row>
    <row r="87" spans="2:14" x14ac:dyDescent="0.25">
      <c r="J87" s="82"/>
    </row>
    <row r="88" spans="2:14" x14ac:dyDescent="0.25">
      <c r="B88" t="s">
        <v>332</v>
      </c>
      <c r="C88" t="s">
        <v>186</v>
      </c>
      <c r="J88" s="82"/>
      <c r="K88" t="s">
        <v>185</v>
      </c>
    </row>
    <row r="89" spans="2:14" x14ac:dyDescent="0.25">
      <c r="D89" s="29" t="s">
        <v>117</v>
      </c>
      <c r="J89" s="82"/>
      <c r="L89" s="29" t="s">
        <v>120</v>
      </c>
    </row>
    <row r="90" spans="2:14" x14ac:dyDescent="0.25">
      <c r="D90" s="29" t="s">
        <v>118</v>
      </c>
      <c r="J90" s="82"/>
      <c r="L90" s="29" t="s">
        <v>180</v>
      </c>
    </row>
    <row r="91" spans="2:14" x14ac:dyDescent="0.25">
      <c r="D91" s="29" t="s">
        <v>119</v>
      </c>
      <c r="J91" s="82"/>
    </row>
    <row r="92" spans="2:14" x14ac:dyDescent="0.25">
      <c r="D92" s="29" t="s">
        <v>190</v>
      </c>
      <c r="J92" s="82"/>
    </row>
    <row r="93" spans="2:14" x14ac:dyDescent="0.25">
      <c r="D93" s="29" t="s">
        <v>191</v>
      </c>
      <c r="J93" s="82"/>
    </row>
    <row r="94" spans="2:14" x14ac:dyDescent="0.25">
      <c r="D94" s="29" t="s">
        <v>192</v>
      </c>
      <c r="J94" s="82"/>
    </row>
    <row r="95" spans="2:14" x14ac:dyDescent="0.25">
      <c r="D95" s="29" t="s">
        <v>193</v>
      </c>
      <c r="J95" s="82"/>
    </row>
    <row r="96" spans="2:14" x14ac:dyDescent="0.25">
      <c r="D96" s="29" t="s">
        <v>179</v>
      </c>
      <c r="J96" s="82"/>
    </row>
  </sheetData>
  <customSheetViews>
    <customSheetView guid="{D33AC7AF-C8AB-4CE9-94C7-9237011A5FC3}" scale="85">
      <selection activeCell="K21" sqref="K21"/>
      <pageMargins left="0.7" right="0.7" top="0.75" bottom="0.75" header="0.3" footer="0.3"/>
      <pageSetup orientation="portrait" horizontalDpi="300" verticalDpi="0" r:id="rId1"/>
    </customSheetView>
    <customSheetView guid="{250915DF-0B97-45D7-B29D-7EED4C89C1C1}" scale="85">
      <selection activeCell="B19" sqref="B19:D19"/>
      <pageMargins left="0.7" right="0.7" top="0.75" bottom="0.75" header="0.3" footer="0.3"/>
      <pageSetup orientation="portrait" horizontalDpi="300" r:id="rId2"/>
    </customSheetView>
    <customSheetView guid="{3B3E6719-EACB-4D2C-89C1-05FFAB6020FD}" scale="85">
      <selection activeCell="Q1" sqref="Q1:Q1048576"/>
      <pageMargins left="0.7" right="0.7" top="0.75" bottom="0.75" header="0.3" footer="0.3"/>
      <pageSetup orientation="portrait" horizontalDpi="300" verticalDpi="0" r:id="rId3"/>
    </customSheetView>
    <customSheetView guid="{72A6EB0A-84D5-4B8A-AC51-54CCD061630B}" scale="85">
      <selection activeCell="D13" sqref="D13"/>
      <pageMargins left="0.7" right="0.7" top="0.75" bottom="0.75" header="0.3" footer="0.3"/>
      <pageSetup orientation="portrait" horizontalDpi="300" verticalDpi="0" r:id="rId4"/>
    </customSheetView>
    <customSheetView guid="{4E06BDBF-2CED-473B-850B-2A6C7311FF41}" scale="85" topLeftCell="A34">
      <selection activeCell="H89" sqref="H89"/>
      <pageMargins left="0.7" right="0.7" top="0.75" bottom="0.75" header="0.3" footer="0.3"/>
      <pageSetup orientation="portrait" horizontalDpi="300" verticalDpi="0" r:id="rId5"/>
    </customSheetView>
    <customSheetView guid="{A2C66332-A809-458E-971B-FDB6D62C74C3}" scale="85" topLeftCell="A76">
      <selection activeCell="G6" sqref="G6"/>
      <pageMargins left="0.7" right="0.7" top="0.75" bottom="0.75" header="0.3" footer="0.3"/>
      <pageSetup orientation="portrait" horizontalDpi="300" verticalDpi="0" r:id="rId6"/>
    </customSheetView>
    <customSheetView guid="{336B6883-2145-4B58-921E-CEC7185A847E}" scale="85">
      <selection activeCell="K21" sqref="K21"/>
      <pageMargins left="0.7" right="0.7" top="0.75" bottom="0.75" header="0.3" footer="0.3"/>
      <pageSetup orientation="portrait" horizontalDpi="300" verticalDpi="0" r:id="rId7"/>
    </customSheetView>
    <customSheetView guid="{7ECC2B8E-6A82-42F5-8AB0-4A51C54EA5EC}" scale="85">
      <selection activeCell="D10" sqref="D10"/>
      <pageMargins left="0.7" right="0.7" top="0.75" bottom="0.75" header="0.3" footer="0.3"/>
      <pageSetup orientation="portrait" horizontalDpi="300" verticalDpi="0" r:id="rId8"/>
    </customSheetView>
    <customSheetView guid="{60D2C030-4E31-4E07-8E1C-44D2EE84B177}" scale="85" topLeftCell="A58">
      <selection activeCell="G38" sqref="G38"/>
      <pageMargins left="0.7" right="0.7" top="0.75" bottom="0.75" header="0.3" footer="0.3"/>
      <pageSetup orientation="portrait" horizontalDpi="300" verticalDpi="0" r:id="rId9"/>
    </customSheetView>
    <customSheetView guid="{7E0EA425-A420-4443-B9E0-CDF0AA9E5D09}" scale="85" topLeftCell="A4">
      <selection activeCell="D7" sqref="D7"/>
      <pageMargins left="0.7" right="0.7" top="0.75" bottom="0.75" header="0.3" footer="0.3"/>
      <pageSetup orientation="portrait" horizontalDpi="300" verticalDpi="0" r:id="rId10"/>
    </customSheetView>
  </customSheetViews>
  <conditionalFormatting sqref="H26:H27">
    <cfRule type="cellIs" dxfId="15" priority="23" operator="equal">
      <formula>1</formula>
    </cfRule>
    <cfRule type="cellIs" dxfId="14" priority="24" operator="lessThan">
      <formula>1</formula>
    </cfRule>
  </conditionalFormatting>
  <conditionalFormatting sqref="R26:R27">
    <cfRule type="cellIs" dxfId="13" priority="13" operator="equal">
      <formula>1</formula>
    </cfRule>
    <cfRule type="cellIs" dxfId="12" priority="14" operator="lessThan">
      <formula>1</formula>
    </cfRule>
  </conditionalFormatting>
  <conditionalFormatting sqref="H14">
    <cfRule type="cellIs" dxfId="11" priority="1" operator="equal">
      <formula>1</formula>
    </cfRule>
    <cfRule type="cellIs" dxfId="10" priority="2" operator="lessThan">
      <formula>1</formula>
    </cfRule>
  </conditionalFormatting>
  <conditionalFormatting sqref="H4">
    <cfRule type="cellIs" dxfId="9" priority="5" operator="equal">
      <formula>1</formula>
    </cfRule>
    <cfRule type="cellIs" dxfId="8" priority="6" operator="lessThan">
      <formula>1</formula>
    </cfRule>
  </conditionalFormatting>
  <conditionalFormatting sqref="H5:H13">
    <cfRule type="cellIs" dxfId="7" priority="3" operator="equal">
      <formula>1</formula>
    </cfRule>
    <cfRule type="cellIs" dxfId="6" priority="4" operator="lessThan">
      <formula>1</formula>
    </cfRule>
  </conditionalFormatting>
  <pageMargins left="0.7" right="0.7" top="0.75" bottom="0.75" header="0.3" footer="0.3"/>
  <pageSetup orientation="portrait" horizontalDpi="300" verticalDpi="0" r:id="rId11"/>
  <extLst>
    <ext xmlns:x14="http://schemas.microsoft.com/office/spreadsheetml/2009/9/main" uri="{78C0D931-6437-407d-A8EE-F0AAD7539E65}">
      <x14:conditionalFormattings>
        <x14:conditionalFormatting xmlns:xm="http://schemas.microsoft.com/office/excel/2006/main">
          <x14:cfRule type="cellIs" priority="11" operator="greaterThanOrEqual" id="{AB332625-2C78-42D1-BCBA-02B5FD48AA05}">
            <xm:f>Table!$D$4</xm:f>
            <x14:dxf>
              <font>
                <color rgb="FF006100"/>
              </font>
              <fill>
                <patternFill>
                  <bgColor rgb="FFC6EFCE"/>
                </patternFill>
              </fill>
            </x14:dxf>
          </x14:cfRule>
          <x14:cfRule type="cellIs" priority="12" operator="lessThan" id="{1E93C942-BB2F-462A-A99C-2305A078DAA8}">
            <xm:f>Table!$D$4</xm:f>
            <x14:dxf>
              <font>
                <color rgb="FF9C0006"/>
              </font>
              <fill>
                <patternFill>
                  <bgColor rgb="FFFFC7CE"/>
                </patternFill>
              </fill>
            </x14:dxf>
          </x14:cfRule>
          <xm:sqref>G14</xm:sqref>
        </x14:conditionalFormatting>
        <x14:conditionalFormatting xmlns:xm="http://schemas.microsoft.com/office/excel/2006/main">
          <x14:cfRule type="cellIs" priority="9" operator="greaterThanOrEqual" id="{4B346809-FC6E-4052-825C-9EECC10D071B}">
            <xm:f>Table!$D$4</xm:f>
            <x14:dxf>
              <font>
                <color rgb="FF006100"/>
              </font>
              <fill>
                <patternFill>
                  <bgColor rgb="FFC6EFCE"/>
                </patternFill>
              </fill>
            </x14:dxf>
          </x14:cfRule>
          <x14:cfRule type="cellIs" priority="10" operator="lessThan" id="{5CFD224B-CAA0-4685-8DB1-64A0D653A763}">
            <xm:f>Table!$D$4</xm:f>
            <x14:dxf>
              <font>
                <color rgb="FF9C0006"/>
              </font>
              <fill>
                <patternFill>
                  <bgColor rgb="FFFFC7CE"/>
                </patternFill>
              </fill>
            </x14:dxf>
          </x14:cfRule>
          <xm:sqref>G4</xm:sqref>
        </x14:conditionalFormatting>
        <x14:conditionalFormatting xmlns:xm="http://schemas.microsoft.com/office/excel/2006/main">
          <x14:cfRule type="cellIs" priority="7" operator="greaterThanOrEqual" id="{D32FD3CD-2742-4E2D-A1E0-1D9D8E790342}">
            <xm:f>Table!$D$4</xm:f>
            <x14:dxf>
              <font>
                <color rgb="FF006100"/>
              </font>
              <fill>
                <patternFill>
                  <bgColor rgb="FFC6EFCE"/>
                </patternFill>
              </fill>
            </x14:dxf>
          </x14:cfRule>
          <x14:cfRule type="cellIs" priority="8" operator="lessThan" id="{6A6817B6-F442-4CC7-8A5E-214EF3759B7C}">
            <xm:f>Table!$D$4</xm:f>
            <x14:dxf>
              <font>
                <color rgb="FF9C0006"/>
              </font>
              <fill>
                <patternFill>
                  <bgColor rgb="FFFFC7CE"/>
                </patternFill>
              </fill>
            </x14:dxf>
          </x14:cfRule>
          <xm:sqref>G5:G13</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E48"/>
  <sheetViews>
    <sheetView workbookViewId="0">
      <selection activeCell="C12" sqref="C12"/>
    </sheetView>
  </sheetViews>
  <sheetFormatPr defaultRowHeight="15" x14ac:dyDescent="0.25"/>
  <cols>
    <col min="2" max="2" width="11.7109375" bestFit="1" customWidth="1"/>
    <col min="3" max="3" width="18.7109375" bestFit="1" customWidth="1"/>
    <col min="4" max="4" width="20.140625" customWidth="1"/>
    <col min="5" max="5" width="33.85546875" customWidth="1"/>
  </cols>
  <sheetData>
    <row r="2" spans="2:5" x14ac:dyDescent="0.25">
      <c r="B2" s="10" t="s">
        <v>11</v>
      </c>
    </row>
    <row r="3" spans="2:5" x14ac:dyDescent="0.25">
      <c r="B3" s="2" t="s">
        <v>4</v>
      </c>
      <c r="C3" s="11" t="s">
        <v>2</v>
      </c>
      <c r="D3" s="11" t="s">
        <v>3</v>
      </c>
    </row>
    <row r="4" spans="2:5" x14ac:dyDescent="0.25">
      <c r="B4" s="11">
        <v>1</v>
      </c>
      <c r="C4" s="12">
        <v>130</v>
      </c>
      <c r="D4" s="12">
        <v>450</v>
      </c>
    </row>
    <row r="6" spans="2:5" x14ac:dyDescent="0.25">
      <c r="B6" s="1" t="s">
        <v>45</v>
      </c>
    </row>
    <row r="7" spans="2:5" x14ac:dyDescent="0.25">
      <c r="B7" s="2" t="s">
        <v>0</v>
      </c>
      <c r="C7" s="2" t="s">
        <v>1</v>
      </c>
      <c r="D7" s="2" t="s">
        <v>50</v>
      </c>
      <c r="E7" s="4" t="s">
        <v>47</v>
      </c>
    </row>
    <row r="8" spans="2:5" ht="60" x14ac:dyDescent="0.25">
      <c r="B8" s="13">
        <v>1</v>
      </c>
      <c r="C8" s="13" t="s">
        <v>2</v>
      </c>
      <c r="D8" s="13" t="s">
        <v>48</v>
      </c>
      <c r="E8" s="14" t="s">
        <v>9</v>
      </c>
    </row>
    <row r="9" spans="2:5" ht="75" x14ac:dyDescent="0.25">
      <c r="B9" s="13">
        <v>2</v>
      </c>
      <c r="C9" s="13" t="s">
        <v>3</v>
      </c>
      <c r="D9" s="13" t="s">
        <v>49</v>
      </c>
      <c r="E9" s="14" t="s">
        <v>10</v>
      </c>
    </row>
    <row r="11" spans="2:5" x14ac:dyDescent="0.25">
      <c r="B11" s="1" t="s">
        <v>46</v>
      </c>
    </row>
    <row r="12" spans="2:5" x14ac:dyDescent="0.25">
      <c r="B12" s="2" t="s">
        <v>0</v>
      </c>
      <c r="C12" s="2" t="s">
        <v>5</v>
      </c>
    </row>
    <row r="13" spans="2:5" x14ac:dyDescent="0.25">
      <c r="B13" s="3">
        <v>1</v>
      </c>
      <c r="C13" s="3" t="s">
        <v>6</v>
      </c>
    </row>
    <row r="14" spans="2:5" x14ac:dyDescent="0.25">
      <c r="B14" s="3">
        <v>2</v>
      </c>
      <c r="C14" s="3" t="s">
        <v>64</v>
      </c>
    </row>
    <row r="15" spans="2:5" x14ac:dyDescent="0.25">
      <c r="B15" s="3">
        <v>3</v>
      </c>
      <c r="C15" s="3" t="s">
        <v>65</v>
      </c>
    </row>
    <row r="16" spans="2:5" x14ac:dyDescent="0.25">
      <c r="B16" s="3">
        <v>4</v>
      </c>
      <c r="C16" s="3" t="s">
        <v>66</v>
      </c>
    </row>
    <row r="17" spans="2:5" x14ac:dyDescent="0.25">
      <c r="B17" s="3">
        <v>5</v>
      </c>
      <c r="C17" s="3" t="s">
        <v>67</v>
      </c>
    </row>
    <row r="18" spans="2:5" x14ac:dyDescent="0.25">
      <c r="B18" s="3">
        <v>6</v>
      </c>
      <c r="C18" s="3" t="s">
        <v>68</v>
      </c>
    </row>
    <row r="19" spans="2:5" x14ac:dyDescent="0.25">
      <c r="B19" s="3">
        <v>7</v>
      </c>
      <c r="C19" s="3" t="s">
        <v>69</v>
      </c>
    </row>
    <row r="20" spans="2:5" x14ac:dyDescent="0.25">
      <c r="B20" s="3">
        <v>8</v>
      </c>
      <c r="C20" s="3" t="s">
        <v>70</v>
      </c>
    </row>
    <row r="21" spans="2:5" x14ac:dyDescent="0.25">
      <c r="B21" s="3">
        <v>9</v>
      </c>
      <c r="C21" s="3" t="s">
        <v>156</v>
      </c>
    </row>
    <row r="22" spans="2:5" x14ac:dyDescent="0.25">
      <c r="B22" s="3">
        <v>10</v>
      </c>
      <c r="C22" s="3" t="s">
        <v>157</v>
      </c>
    </row>
    <row r="24" spans="2:5" x14ac:dyDescent="0.25">
      <c r="B24" s="10" t="s">
        <v>19</v>
      </c>
    </row>
    <row r="25" spans="2:5" x14ac:dyDescent="0.25">
      <c r="B25" s="2" t="s">
        <v>0</v>
      </c>
      <c r="C25" s="2" t="s">
        <v>17</v>
      </c>
    </row>
    <row r="26" spans="2:5" x14ac:dyDescent="0.25">
      <c r="B26" s="2">
        <v>1</v>
      </c>
      <c r="C26" s="3" t="s">
        <v>20</v>
      </c>
      <c r="E26" s="24"/>
    </row>
    <row r="27" spans="2:5" x14ac:dyDescent="0.25">
      <c r="B27" s="2">
        <v>2</v>
      </c>
      <c r="C27" s="3" t="s">
        <v>23</v>
      </c>
    </row>
    <row r="28" spans="2:5" x14ac:dyDescent="0.25">
      <c r="B28" s="2">
        <v>3</v>
      </c>
      <c r="C28" s="3" t="s">
        <v>18</v>
      </c>
    </row>
    <row r="29" spans="2:5" x14ac:dyDescent="0.25">
      <c r="B29" s="2">
        <v>4</v>
      </c>
      <c r="C29" s="3" t="s">
        <v>73</v>
      </c>
    </row>
    <row r="30" spans="2:5" x14ac:dyDescent="0.25">
      <c r="B30" s="2">
        <v>5</v>
      </c>
      <c r="C30" s="3" t="s">
        <v>21</v>
      </c>
    </row>
    <row r="31" spans="2:5" x14ac:dyDescent="0.25">
      <c r="B31" s="2">
        <v>6</v>
      </c>
      <c r="C31" s="3" t="s">
        <v>93</v>
      </c>
    </row>
    <row r="32" spans="2:5" x14ac:dyDescent="0.25">
      <c r="B32" s="2">
        <v>7</v>
      </c>
      <c r="C32" s="3" t="s">
        <v>74</v>
      </c>
    </row>
    <row r="34" spans="2:3" x14ac:dyDescent="0.25">
      <c r="B34" s="10" t="s">
        <v>163</v>
      </c>
    </row>
    <row r="35" spans="2:3" x14ac:dyDescent="0.25">
      <c r="B35" s="2" t="s">
        <v>0</v>
      </c>
      <c r="C35" s="2" t="s">
        <v>17</v>
      </c>
    </row>
    <row r="36" spans="2:3" x14ac:dyDescent="0.25">
      <c r="B36" s="2">
        <v>1</v>
      </c>
      <c r="C36" s="3" t="s">
        <v>149</v>
      </c>
    </row>
    <row r="37" spans="2:3" x14ac:dyDescent="0.25">
      <c r="B37" s="2">
        <v>2</v>
      </c>
      <c r="C37" s="3" t="s">
        <v>164</v>
      </c>
    </row>
    <row r="38" spans="2:3" x14ac:dyDescent="0.25">
      <c r="B38" s="2">
        <v>3</v>
      </c>
      <c r="C38" s="3" t="s">
        <v>165</v>
      </c>
    </row>
    <row r="40" spans="2:3" x14ac:dyDescent="0.25">
      <c r="B40" s="1" t="s">
        <v>77</v>
      </c>
    </row>
    <row r="41" spans="2:3" x14ac:dyDescent="0.25">
      <c r="B41" s="2" t="s">
        <v>0</v>
      </c>
      <c r="C41" s="2" t="s">
        <v>17</v>
      </c>
    </row>
    <row r="42" spans="2:3" x14ac:dyDescent="0.25">
      <c r="B42" s="2">
        <v>1</v>
      </c>
      <c r="C42" s="3" t="s">
        <v>335</v>
      </c>
    </row>
    <row r="43" spans="2:3" x14ac:dyDescent="0.25">
      <c r="B43" s="2">
        <v>2</v>
      </c>
      <c r="C43" s="3" t="s">
        <v>336</v>
      </c>
    </row>
    <row r="45" spans="2:3" x14ac:dyDescent="0.25">
      <c r="B45" s="1" t="s">
        <v>159</v>
      </c>
    </row>
    <row r="46" spans="2:3" x14ac:dyDescent="0.25">
      <c r="B46" s="2" t="s">
        <v>0</v>
      </c>
      <c r="C46" s="2" t="s">
        <v>17</v>
      </c>
    </row>
    <row r="47" spans="2:3" x14ac:dyDescent="0.25">
      <c r="B47" s="2">
        <v>1</v>
      </c>
      <c r="C47" s="3" t="s">
        <v>161</v>
      </c>
    </row>
    <row r="48" spans="2:3" x14ac:dyDescent="0.25">
      <c r="B48" s="2">
        <v>2</v>
      </c>
      <c r="C48" s="3" t="s">
        <v>353</v>
      </c>
    </row>
  </sheetData>
  <customSheetViews>
    <customSheetView guid="{D33AC7AF-C8AB-4CE9-94C7-9237011A5FC3}">
      <selection activeCell="C12" sqref="C12"/>
      <pageMargins left="0.7" right="0.7" top="0.75" bottom="0.75" header="0.3" footer="0.3"/>
    </customSheetView>
    <customSheetView guid="{250915DF-0B97-45D7-B29D-7EED4C89C1C1}">
      <selection activeCell="C13" sqref="C13:C22"/>
      <pageMargins left="0.7" right="0.7" top="0.75" bottom="0.75" header="0.3" footer="0.3"/>
      <pageSetup orientation="portrait" horizontalDpi="300" verticalDpi="0" r:id="rId1"/>
    </customSheetView>
    <customSheetView guid="{3B3E6719-EACB-4D2C-89C1-05FFAB6020FD}">
      <selection activeCell="C12" sqref="C12"/>
      <pageMargins left="0.7" right="0.7" top="0.75" bottom="0.75" header="0.3" footer="0.3"/>
    </customSheetView>
    <customSheetView guid="{72A6EB0A-84D5-4B8A-AC51-54CCD061630B}">
      <selection activeCell="C49" sqref="C49"/>
      <pageMargins left="0.7" right="0.7" top="0.75" bottom="0.75" header="0.3" footer="0.3"/>
      <pageSetup orientation="portrait" horizontalDpi="300" verticalDpi="0" r:id="rId2"/>
    </customSheetView>
    <customSheetView guid="{4E06BDBF-2CED-473B-850B-2A6C7311FF41}" topLeftCell="A13">
      <selection activeCell="B24" sqref="B24:C29"/>
      <pageMargins left="0.7" right="0.7" top="0.75" bottom="0.75" header="0.3" footer="0.3"/>
    </customSheetView>
    <customSheetView guid="{A2C66332-A809-458E-971B-FDB6D62C74C3}" topLeftCell="A16">
      <selection activeCell="C37" sqref="C37"/>
      <pageMargins left="0.7" right="0.7" top="0.75" bottom="0.75" header="0.3" footer="0.3"/>
    </customSheetView>
    <customSheetView guid="{336B6883-2145-4B58-921E-CEC7185A847E}" topLeftCell="A13">
      <selection activeCell="B24" sqref="B24:C29"/>
      <pageMargins left="0.7" right="0.7" top="0.75" bottom="0.75" header="0.3" footer="0.3"/>
    </customSheetView>
    <customSheetView guid="{7ECC2B8E-6A82-42F5-8AB0-4A51C54EA5EC}" topLeftCell="A7">
      <selection activeCell="C39" sqref="C39"/>
      <pageMargins left="0.7" right="0.7" top="0.75" bottom="0.75" header="0.3" footer="0.3"/>
    </customSheetView>
    <customSheetView guid="{60D2C030-4E31-4E07-8E1C-44D2EE84B177}">
      <selection activeCell="E40" sqref="E40"/>
      <pageMargins left="0.7" right="0.7" top="0.75" bottom="0.75" header="0.3" footer="0.3"/>
    </customSheetView>
    <customSheetView guid="{7E0EA425-A420-4443-B9E0-CDF0AA9E5D09}">
      <selection activeCell="D4" sqref="D4"/>
      <pageMargins left="0.7" right="0.7" top="0.75" bottom="0.75" header="0.3" footer="0.3"/>
      <pageSetup orientation="portrait" horizontalDpi="300" verticalDpi="0" r:id="rId3"/>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9"/>
  <sheetViews>
    <sheetView workbookViewId="0">
      <selection activeCell="D14" sqref="D14"/>
    </sheetView>
  </sheetViews>
  <sheetFormatPr defaultRowHeight="15" x14ac:dyDescent="0.25"/>
  <cols>
    <col min="2" max="2" width="33.42578125" customWidth="1"/>
    <col min="3" max="3" width="82.140625" bestFit="1" customWidth="1"/>
    <col min="4" max="4" width="11.28515625" bestFit="1" customWidth="1"/>
    <col min="5" max="5" width="11.5703125" bestFit="1" customWidth="1"/>
  </cols>
  <sheetData>
    <row r="1" spans="1:9" x14ac:dyDescent="0.25">
      <c r="A1" s="1" t="s">
        <v>84</v>
      </c>
    </row>
    <row r="2" spans="1:9" x14ac:dyDescent="0.25">
      <c r="B2" s="23" t="s">
        <v>86</v>
      </c>
      <c r="C2" t="s">
        <v>87</v>
      </c>
    </row>
    <row r="3" spans="1:9" x14ac:dyDescent="0.25">
      <c r="B3" s="23" t="s">
        <v>89</v>
      </c>
      <c r="C3" t="s">
        <v>88</v>
      </c>
    </row>
    <row r="4" spans="1:9" x14ac:dyDescent="0.25">
      <c r="B4" s="23"/>
    </row>
    <row r="5" spans="1:9" x14ac:dyDescent="0.25">
      <c r="B5" s="22" t="s">
        <v>82</v>
      </c>
    </row>
    <row r="6" spans="1:9" x14ac:dyDescent="0.25">
      <c r="B6" s="23" t="s">
        <v>90</v>
      </c>
      <c r="C6" t="s">
        <v>91</v>
      </c>
    </row>
    <row r="7" spans="1:9" x14ac:dyDescent="0.25">
      <c r="B7" s="23"/>
    </row>
    <row r="8" spans="1:9" x14ac:dyDescent="0.25">
      <c r="B8" s="22" t="s">
        <v>83</v>
      </c>
      <c r="C8" t="s">
        <v>85</v>
      </c>
    </row>
    <row r="11" spans="1:9" x14ac:dyDescent="0.25">
      <c r="B11" s="25" t="s">
        <v>56</v>
      </c>
      <c r="C11" s="25" t="s">
        <v>8</v>
      </c>
      <c r="D11" s="25" t="s">
        <v>101</v>
      </c>
      <c r="E11" s="25" t="s">
        <v>102</v>
      </c>
      <c r="F11" s="25" t="s">
        <v>103</v>
      </c>
    </row>
    <row r="12" spans="1:9" x14ac:dyDescent="0.25">
      <c r="B12" s="26" t="s">
        <v>503</v>
      </c>
      <c r="C12" s="3" t="s">
        <v>108</v>
      </c>
      <c r="D12" s="3" t="s">
        <v>98</v>
      </c>
      <c r="E12" s="3">
        <v>0.65</v>
      </c>
      <c r="F12" s="3" t="s">
        <v>105</v>
      </c>
      <c r="I12" t="s">
        <v>104</v>
      </c>
    </row>
    <row r="13" spans="1:9" x14ac:dyDescent="0.25">
      <c r="B13" s="27"/>
      <c r="C13" s="3" t="s">
        <v>504</v>
      </c>
      <c r="D13" s="15" t="s">
        <v>99</v>
      </c>
      <c r="E13" s="3">
        <v>1.6</v>
      </c>
      <c r="F13" s="3" t="s">
        <v>105</v>
      </c>
      <c r="I13" t="s">
        <v>106</v>
      </c>
    </row>
    <row r="14" spans="1:9" x14ac:dyDescent="0.25">
      <c r="B14" s="27"/>
      <c r="C14" s="3" t="s">
        <v>107</v>
      </c>
      <c r="D14" s="15" t="s">
        <v>97</v>
      </c>
      <c r="E14" s="3">
        <v>0.75</v>
      </c>
      <c r="F14" s="3" t="s">
        <v>105</v>
      </c>
      <c r="I14" t="s">
        <v>107</v>
      </c>
    </row>
    <row r="15" spans="1:9" x14ac:dyDescent="0.25">
      <c r="B15" s="28"/>
      <c r="C15" s="3" t="s">
        <v>108</v>
      </c>
      <c r="D15" s="15" t="s">
        <v>141</v>
      </c>
      <c r="E15" s="3">
        <v>1.2</v>
      </c>
      <c r="F15" s="3" t="s">
        <v>105</v>
      </c>
      <c r="I15" t="s">
        <v>108</v>
      </c>
    </row>
    <row r="16" spans="1:9" x14ac:dyDescent="0.25">
      <c r="I16" t="s">
        <v>504</v>
      </c>
    </row>
    <row r="18" spans="1:1" x14ac:dyDescent="0.25">
      <c r="A18" s="1" t="s">
        <v>114</v>
      </c>
    </row>
    <row r="38" spans="2:2" x14ac:dyDescent="0.25">
      <c r="B38" t="s">
        <v>115</v>
      </c>
    </row>
    <row r="39" spans="2:2" x14ac:dyDescent="0.25">
      <c r="B39" t="s">
        <v>116</v>
      </c>
    </row>
  </sheetData>
  <customSheetViews>
    <customSheetView guid="{D33AC7AF-C8AB-4CE9-94C7-9237011A5FC3}">
      <selection activeCell="D14" sqref="D14"/>
      <pageMargins left="0.7" right="0.7" top="0.75" bottom="0.75" header="0.3" footer="0.3"/>
    </customSheetView>
    <customSheetView guid="{250915DF-0B97-45D7-B29D-7EED4C89C1C1}">
      <selection activeCell="B11" sqref="B11:F15"/>
      <pageMargins left="0.7" right="0.7" top="0.75" bottom="0.75" header="0.3" footer="0.3"/>
    </customSheetView>
    <customSheetView guid="{3B3E6719-EACB-4D2C-89C1-05FFAB6020FD}">
      <selection activeCell="D14" sqref="D14"/>
      <pageMargins left="0.7" right="0.7" top="0.75" bottom="0.75" header="0.3" footer="0.3"/>
    </customSheetView>
    <customSheetView guid="{72A6EB0A-84D5-4B8A-AC51-54CCD061630B}">
      <selection activeCell="C12" sqref="C12"/>
      <pageMargins left="0.7" right="0.7" top="0.75" bottom="0.75" header="0.3" footer="0.3"/>
    </customSheetView>
    <customSheetView guid="{4E06BDBF-2CED-473B-850B-2A6C7311FF41}">
      <selection activeCell="B6" sqref="B6:C6"/>
      <pageMargins left="0.7" right="0.7" top="0.75" bottom="0.75" header="0.3" footer="0.3"/>
    </customSheetView>
    <customSheetView guid="{A2C66332-A809-458E-971B-FDB6D62C74C3}">
      <selection activeCell="D14" sqref="D14"/>
      <pageMargins left="0.7" right="0.7" top="0.75" bottom="0.75" header="0.3" footer="0.3"/>
    </customSheetView>
    <customSheetView guid="{336B6883-2145-4B58-921E-CEC7185A847E}">
      <selection activeCell="B6" sqref="B6:C6"/>
      <pageMargins left="0.7" right="0.7" top="0.75" bottom="0.75" header="0.3" footer="0.3"/>
    </customSheetView>
    <customSheetView guid="{7ECC2B8E-6A82-42F5-8AB0-4A51C54EA5EC}">
      <selection activeCell="C12" sqref="C12"/>
      <pageMargins left="0.7" right="0.7" top="0.75" bottom="0.75" header="0.3" footer="0.3"/>
    </customSheetView>
    <customSheetView guid="{60D2C030-4E31-4E07-8E1C-44D2EE84B177}">
      <selection activeCell="I27" sqref="I27"/>
      <pageMargins left="0.7" right="0.7" top="0.75" bottom="0.75" header="0.3" footer="0.3"/>
    </customSheetView>
    <customSheetView guid="{7E0EA425-A420-4443-B9E0-CDF0AA9E5D09}">
      <selection activeCell="C12" sqref="C12"/>
      <pageMargins left="0.7" right="0.7" top="0.75" bottom="0.75" header="0.3" footer="0.3"/>
    </customSheetView>
  </customSheetView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P30" sqref="P30"/>
    </sheetView>
  </sheetViews>
  <sheetFormatPr defaultRowHeight="15" x14ac:dyDescent="0.25"/>
  <sheetData/>
  <customSheetViews>
    <customSheetView guid="{D33AC7AF-C8AB-4CE9-94C7-9237011A5FC3}">
      <selection activeCell="P30" sqref="P30"/>
      <pageMargins left="0.7" right="0.7" top="0.75" bottom="0.75" header="0.3" footer="0.3"/>
    </customSheetView>
    <customSheetView guid="{250915DF-0B97-45D7-B29D-7EED4C89C1C1}">
      <selection activeCell="P30" sqref="P30"/>
      <pageMargins left="0.7" right="0.7" top="0.75" bottom="0.75" header="0.3" footer="0.3"/>
    </customSheetView>
    <customSheetView guid="{3B3E6719-EACB-4D2C-89C1-05FFAB6020FD}">
      <selection activeCell="P30" sqref="P30"/>
      <pageMargins left="0.7" right="0.7" top="0.75" bottom="0.75" header="0.3" footer="0.3"/>
    </customSheetView>
    <customSheetView guid="{72A6EB0A-84D5-4B8A-AC51-54CCD061630B}">
      <selection activeCell="P30" sqref="P30"/>
      <pageMargins left="0.7" right="0.7" top="0.75" bottom="0.75" header="0.3" footer="0.3"/>
    </customSheetView>
    <customSheetView guid="{4E06BDBF-2CED-473B-850B-2A6C7311FF41}">
      <selection activeCell="P30" sqref="P30"/>
      <pageMargins left="0.7" right="0.7" top="0.75" bottom="0.75" header="0.3" footer="0.3"/>
    </customSheetView>
    <customSheetView guid="{A2C66332-A809-458E-971B-FDB6D62C74C3}">
      <selection activeCell="P30" sqref="P30"/>
      <pageMargins left="0.7" right="0.7" top="0.75" bottom="0.75" header="0.3" footer="0.3"/>
    </customSheetView>
    <customSheetView guid="{336B6883-2145-4B58-921E-CEC7185A847E}">
      <selection activeCell="P30" sqref="P30"/>
      <pageMargins left="0.7" right="0.7" top="0.75" bottom="0.75" header="0.3" footer="0.3"/>
    </customSheetView>
    <customSheetView guid="{7ECC2B8E-6A82-42F5-8AB0-4A51C54EA5EC}">
      <selection activeCell="P30" sqref="P30"/>
      <pageMargins left="0.7" right="0.7" top="0.75" bottom="0.75" header="0.3" footer="0.3"/>
    </customSheetView>
    <customSheetView guid="{60D2C030-4E31-4E07-8E1C-44D2EE84B177}">
      <selection activeCell="P30" sqref="P30"/>
      <pageMargins left="0.7" right="0.7" top="0.75" bottom="0.75" header="0.3" footer="0.3"/>
    </customSheetView>
    <customSheetView guid="{7E0EA425-A420-4443-B9E0-CDF0AA9E5D09}">
      <selection activeCell="P30" sqref="P30"/>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80"/>
  <sheetViews>
    <sheetView workbookViewId="0">
      <selection activeCell="A31" sqref="A31"/>
    </sheetView>
  </sheetViews>
  <sheetFormatPr defaultRowHeight="15" x14ac:dyDescent="0.25"/>
  <cols>
    <col min="1" max="1" width="10" bestFit="1" customWidth="1"/>
    <col min="2" max="2" width="13.28515625" customWidth="1"/>
    <col min="4" max="4" width="25" customWidth="1"/>
    <col min="5" max="5" width="14.85546875" bestFit="1" customWidth="1"/>
    <col min="6" max="6" width="27.85546875" bestFit="1" customWidth="1"/>
    <col min="8" max="8" width="19" customWidth="1"/>
  </cols>
  <sheetData>
    <row r="1" spans="1:18" x14ac:dyDescent="0.25">
      <c r="A1" s="81" t="s">
        <v>337</v>
      </c>
      <c r="B1" s="81" t="s">
        <v>186</v>
      </c>
      <c r="J1" s="82"/>
      <c r="K1" s="81" t="s">
        <v>337</v>
      </c>
      <c r="L1" s="81" t="s">
        <v>185</v>
      </c>
    </row>
    <row r="2" spans="1:18" x14ac:dyDescent="0.25">
      <c r="J2" s="82"/>
    </row>
    <row r="3" spans="1:18" x14ac:dyDescent="0.25">
      <c r="A3" s="1" t="s">
        <v>38</v>
      </c>
      <c r="B3" s="36">
        <v>43952</v>
      </c>
      <c r="D3" s="36">
        <v>43955</v>
      </c>
      <c r="F3" s="6"/>
      <c r="J3" s="82"/>
      <c r="K3" s="1" t="s">
        <v>38</v>
      </c>
      <c r="L3" s="36">
        <v>43952</v>
      </c>
      <c r="N3" s="36">
        <v>43955</v>
      </c>
      <c r="P3" s="6"/>
    </row>
    <row r="4" spans="1:18" x14ac:dyDescent="0.25">
      <c r="A4" s="1" t="s">
        <v>30</v>
      </c>
      <c r="B4" s="7">
        <v>2</v>
      </c>
      <c r="J4" s="82"/>
      <c r="K4" s="1" t="s">
        <v>30</v>
      </c>
      <c r="L4" s="7">
        <v>2</v>
      </c>
    </row>
    <row r="5" spans="1:18" x14ac:dyDescent="0.25">
      <c r="A5" s="1" t="s">
        <v>145</v>
      </c>
      <c r="B5" s="7">
        <v>1</v>
      </c>
      <c r="C5" t="s">
        <v>318</v>
      </c>
      <c r="J5" s="82"/>
      <c r="K5" s="1" t="s">
        <v>145</v>
      </c>
      <c r="L5" s="7">
        <v>1</v>
      </c>
      <c r="M5" t="s">
        <v>318</v>
      </c>
    </row>
    <row r="6" spans="1:18" x14ac:dyDescent="0.25">
      <c r="A6" s="1" t="s">
        <v>111</v>
      </c>
      <c r="B6">
        <v>1</v>
      </c>
      <c r="J6" s="82"/>
      <c r="K6" s="1" t="s">
        <v>111</v>
      </c>
      <c r="L6">
        <v>1</v>
      </c>
    </row>
    <row r="7" spans="1:18" x14ac:dyDescent="0.25">
      <c r="A7" s="1"/>
      <c r="J7" s="82"/>
      <c r="K7" s="1"/>
    </row>
    <row r="8" spans="1:18" x14ac:dyDescent="0.25">
      <c r="B8" s="1" t="s">
        <v>404</v>
      </c>
      <c r="J8" s="82"/>
      <c r="L8" s="1" t="s">
        <v>404</v>
      </c>
    </row>
    <row r="9" spans="1:18" ht="75" x14ac:dyDescent="0.25">
      <c r="C9" s="59" t="s">
        <v>25</v>
      </c>
      <c r="D9" s="59" t="s">
        <v>26</v>
      </c>
      <c r="E9" s="59" t="s">
        <v>27</v>
      </c>
      <c r="F9" s="59" t="s">
        <v>28</v>
      </c>
      <c r="G9" s="9" t="s">
        <v>102</v>
      </c>
      <c r="H9" s="9" t="s">
        <v>29</v>
      </c>
      <c r="J9" s="82"/>
      <c r="M9" s="59" t="s">
        <v>25</v>
      </c>
      <c r="N9" s="59" t="s">
        <v>26</v>
      </c>
      <c r="O9" s="59" t="s">
        <v>27</v>
      </c>
      <c r="P9" s="59" t="s">
        <v>28</v>
      </c>
      <c r="Q9" s="9" t="s">
        <v>102</v>
      </c>
      <c r="R9" s="9" t="s">
        <v>29</v>
      </c>
    </row>
    <row r="10" spans="1:18" x14ac:dyDescent="0.25">
      <c r="C10" s="64">
        <v>1</v>
      </c>
      <c r="D10" s="64" t="s">
        <v>3</v>
      </c>
      <c r="E10" s="64">
        <v>11319</v>
      </c>
      <c r="F10" s="64">
        <v>0</v>
      </c>
      <c r="G10" s="64">
        <v>25.153333333333332</v>
      </c>
      <c r="H10" s="42">
        <v>0</v>
      </c>
      <c r="J10" s="82"/>
      <c r="M10" s="64">
        <v>1</v>
      </c>
      <c r="N10" s="64" t="s">
        <v>3</v>
      </c>
      <c r="O10" s="64">
        <v>3852.2249999999999</v>
      </c>
      <c r="P10" s="64">
        <v>0</v>
      </c>
      <c r="Q10" s="64">
        <v>8.5604999999999993</v>
      </c>
      <c r="R10" s="42">
        <v>0</v>
      </c>
    </row>
    <row r="11" spans="1:18" x14ac:dyDescent="0.25">
      <c r="C11" s="64">
        <v>2</v>
      </c>
      <c r="D11" s="64" t="s">
        <v>2</v>
      </c>
      <c r="E11" s="64">
        <v>136</v>
      </c>
      <c r="F11" s="64">
        <v>18</v>
      </c>
      <c r="G11" s="64">
        <v>1.0461538461538462</v>
      </c>
      <c r="H11" s="42">
        <v>0.13235294117647059</v>
      </c>
      <c r="J11" s="82"/>
      <c r="M11" s="64">
        <v>2</v>
      </c>
      <c r="N11" s="64" t="s">
        <v>2</v>
      </c>
      <c r="O11" s="64">
        <v>299</v>
      </c>
      <c r="P11" s="64">
        <v>0</v>
      </c>
      <c r="Q11" s="64">
        <v>2.2999999999999998</v>
      </c>
      <c r="R11" s="42">
        <v>0</v>
      </c>
    </row>
    <row r="12" spans="1:18" x14ac:dyDescent="0.25">
      <c r="C12" s="33"/>
      <c r="D12" s="31"/>
      <c r="E12" s="31"/>
      <c r="F12" s="31"/>
      <c r="G12" s="34"/>
      <c r="J12" s="82"/>
      <c r="M12" s="33"/>
      <c r="N12" s="31"/>
      <c r="O12" s="31"/>
      <c r="P12" s="31"/>
      <c r="Q12" s="34"/>
    </row>
    <row r="13" spans="1:18" x14ac:dyDescent="0.25">
      <c r="B13" s="1" t="s">
        <v>405</v>
      </c>
      <c r="J13" s="82"/>
      <c r="L13" s="1" t="s">
        <v>405</v>
      </c>
    </row>
    <row r="14" spans="1:18" ht="45" x14ac:dyDescent="0.25">
      <c r="C14" s="59" t="s">
        <v>25</v>
      </c>
      <c r="D14" s="59" t="s">
        <v>31</v>
      </c>
      <c r="E14" s="9" t="s">
        <v>32</v>
      </c>
      <c r="F14" s="9" t="s">
        <v>33</v>
      </c>
      <c r="G14" s="9" t="s">
        <v>139</v>
      </c>
      <c r="H14" s="9" t="s">
        <v>140</v>
      </c>
      <c r="J14" s="82"/>
      <c r="M14" s="59" t="s">
        <v>25</v>
      </c>
      <c r="N14" s="59" t="s">
        <v>31</v>
      </c>
      <c r="O14" s="9" t="s">
        <v>32</v>
      </c>
      <c r="P14" s="9" t="s">
        <v>33</v>
      </c>
      <c r="Q14" s="9" t="s">
        <v>139</v>
      </c>
      <c r="R14" s="9" t="s">
        <v>140</v>
      </c>
    </row>
    <row r="15" spans="1:18" x14ac:dyDescent="0.25">
      <c r="C15" s="64">
        <v>1</v>
      </c>
      <c r="D15" s="29" t="s">
        <v>117</v>
      </c>
      <c r="E15" s="64">
        <v>0</v>
      </c>
      <c r="F15" s="64">
        <v>0</v>
      </c>
      <c r="G15" s="64">
        <v>0</v>
      </c>
      <c r="H15" s="64">
        <v>0</v>
      </c>
      <c r="J15" s="82"/>
      <c r="M15" s="64">
        <v>1</v>
      </c>
      <c r="N15" s="29" t="s">
        <v>117</v>
      </c>
      <c r="O15" s="64">
        <v>0</v>
      </c>
      <c r="P15" s="64">
        <v>0</v>
      </c>
      <c r="Q15" s="64">
        <v>0</v>
      </c>
      <c r="R15" s="64">
        <v>0</v>
      </c>
    </row>
    <row r="16" spans="1:18" x14ac:dyDescent="0.25">
      <c r="C16" s="64">
        <v>2</v>
      </c>
      <c r="D16" s="29" t="s">
        <v>118</v>
      </c>
      <c r="E16" s="64">
        <v>0</v>
      </c>
      <c r="F16" s="64">
        <v>0</v>
      </c>
      <c r="G16" s="64">
        <v>0</v>
      </c>
      <c r="H16" s="64">
        <v>0</v>
      </c>
      <c r="J16" s="82"/>
      <c r="M16" s="64">
        <v>2</v>
      </c>
      <c r="N16" s="29" t="s">
        <v>118</v>
      </c>
      <c r="O16" s="64">
        <v>0</v>
      </c>
      <c r="P16" s="64">
        <v>0</v>
      </c>
      <c r="Q16" s="64">
        <v>0</v>
      </c>
      <c r="R16" s="64">
        <v>0</v>
      </c>
    </row>
    <row r="17" spans="2:18" x14ac:dyDescent="0.25">
      <c r="C17" s="64">
        <v>3</v>
      </c>
      <c r="D17" s="29" t="s">
        <v>119</v>
      </c>
      <c r="E17" s="64">
        <v>0</v>
      </c>
      <c r="F17" s="64">
        <v>0</v>
      </c>
      <c r="G17" s="64">
        <v>0</v>
      </c>
      <c r="H17" s="64">
        <v>0</v>
      </c>
      <c r="J17" s="82"/>
      <c r="M17" s="64">
        <v>3</v>
      </c>
      <c r="N17" s="29" t="s">
        <v>119</v>
      </c>
      <c r="O17" s="64">
        <v>0</v>
      </c>
      <c r="P17" s="64">
        <v>0</v>
      </c>
      <c r="Q17" s="64">
        <v>0</v>
      </c>
      <c r="R17" s="64">
        <v>0</v>
      </c>
    </row>
    <row r="18" spans="2:18" x14ac:dyDescent="0.25">
      <c r="C18" s="64">
        <v>4</v>
      </c>
      <c r="D18" s="29" t="s">
        <v>120</v>
      </c>
      <c r="E18" s="64">
        <v>0</v>
      </c>
      <c r="F18" s="64">
        <v>0</v>
      </c>
      <c r="G18" s="64">
        <v>0</v>
      </c>
      <c r="H18" s="64">
        <v>0</v>
      </c>
      <c r="J18" s="82"/>
      <c r="M18" s="64">
        <v>4</v>
      </c>
      <c r="N18" s="29" t="s">
        <v>120</v>
      </c>
      <c r="O18" s="64">
        <v>0</v>
      </c>
      <c r="P18" s="64">
        <v>0</v>
      </c>
      <c r="Q18" s="64">
        <v>0</v>
      </c>
      <c r="R18" s="64">
        <v>0</v>
      </c>
    </row>
    <row r="19" spans="2:18" x14ac:dyDescent="0.25">
      <c r="C19" s="64">
        <v>5</v>
      </c>
      <c r="D19" s="29" t="s">
        <v>190</v>
      </c>
      <c r="E19" s="64">
        <v>0</v>
      </c>
      <c r="F19" s="64">
        <v>0</v>
      </c>
      <c r="G19" s="64">
        <v>0</v>
      </c>
      <c r="H19" s="64">
        <v>0</v>
      </c>
      <c r="J19" s="82"/>
      <c r="M19" s="64">
        <v>5</v>
      </c>
      <c r="N19" s="29" t="s">
        <v>190</v>
      </c>
      <c r="O19" s="64">
        <v>0</v>
      </c>
      <c r="P19" s="64">
        <v>0</v>
      </c>
      <c r="Q19" s="64">
        <v>0</v>
      </c>
      <c r="R19" s="64">
        <v>0</v>
      </c>
    </row>
    <row r="20" spans="2:18" x14ac:dyDescent="0.25">
      <c r="C20" s="64">
        <v>6</v>
      </c>
      <c r="D20" s="29" t="s">
        <v>191</v>
      </c>
      <c r="E20" s="64">
        <v>0</v>
      </c>
      <c r="F20" s="64">
        <v>0</v>
      </c>
      <c r="G20" s="64">
        <v>0</v>
      </c>
      <c r="H20" s="64">
        <v>0</v>
      </c>
      <c r="J20" s="82"/>
      <c r="M20" s="64">
        <v>6</v>
      </c>
      <c r="N20" s="29" t="s">
        <v>191</v>
      </c>
      <c r="O20" s="64">
        <v>0</v>
      </c>
      <c r="P20" s="64">
        <v>0</v>
      </c>
      <c r="Q20" s="64">
        <v>0</v>
      </c>
      <c r="R20" s="64">
        <v>0</v>
      </c>
    </row>
    <row r="21" spans="2:18" x14ac:dyDescent="0.25">
      <c r="C21" s="64">
        <v>7</v>
      </c>
      <c r="D21" s="29" t="s">
        <v>192</v>
      </c>
      <c r="E21" s="64">
        <v>0</v>
      </c>
      <c r="F21" s="64">
        <v>18</v>
      </c>
      <c r="G21" s="64">
        <v>0</v>
      </c>
      <c r="H21" s="64">
        <v>0.13846153846153847</v>
      </c>
      <c r="J21" s="82"/>
      <c r="M21" s="64">
        <v>7</v>
      </c>
      <c r="N21" s="29" t="s">
        <v>192</v>
      </c>
      <c r="O21" s="64">
        <v>0</v>
      </c>
      <c r="P21" s="64">
        <v>0</v>
      </c>
      <c r="Q21" s="64">
        <v>0</v>
      </c>
      <c r="R21" s="64">
        <v>0</v>
      </c>
    </row>
    <row r="22" spans="2:18" x14ac:dyDescent="0.25">
      <c r="C22" s="64">
        <v>8</v>
      </c>
      <c r="D22" s="29" t="s">
        <v>193</v>
      </c>
      <c r="E22" s="64">
        <v>0</v>
      </c>
      <c r="F22" s="64">
        <v>0</v>
      </c>
      <c r="G22" s="64">
        <v>0</v>
      </c>
      <c r="H22" s="64">
        <v>0</v>
      </c>
      <c r="J22" s="82"/>
      <c r="M22" s="64">
        <v>8</v>
      </c>
      <c r="N22" s="29" t="s">
        <v>193</v>
      </c>
      <c r="O22" s="64">
        <v>0</v>
      </c>
      <c r="P22" s="64">
        <v>0</v>
      </c>
      <c r="Q22" s="64">
        <v>0</v>
      </c>
      <c r="R22" s="64">
        <v>0</v>
      </c>
    </row>
    <row r="23" spans="2:18" x14ac:dyDescent="0.25">
      <c r="C23" s="64">
        <v>9</v>
      </c>
      <c r="D23" s="29" t="s">
        <v>180</v>
      </c>
      <c r="E23" s="64">
        <v>0</v>
      </c>
      <c r="F23" s="64">
        <v>0</v>
      </c>
      <c r="G23" s="64">
        <v>0</v>
      </c>
      <c r="H23" s="64">
        <v>0</v>
      </c>
      <c r="J23" s="82"/>
      <c r="M23" s="64">
        <v>9</v>
      </c>
      <c r="N23" s="29" t="s">
        <v>180</v>
      </c>
      <c r="O23" s="64">
        <v>0</v>
      </c>
      <c r="P23" s="64">
        <v>0</v>
      </c>
      <c r="Q23" s="64">
        <v>0</v>
      </c>
      <c r="R23" s="64">
        <v>0</v>
      </c>
    </row>
    <row r="24" spans="2:18" x14ac:dyDescent="0.25">
      <c r="C24" s="64">
        <v>10</v>
      </c>
      <c r="D24" s="29" t="s">
        <v>179</v>
      </c>
      <c r="E24" s="64">
        <v>0</v>
      </c>
      <c r="F24" s="64">
        <v>0</v>
      </c>
      <c r="G24" s="64">
        <v>0</v>
      </c>
      <c r="H24" s="64">
        <v>0</v>
      </c>
      <c r="J24" s="82"/>
      <c r="M24" s="64">
        <v>10</v>
      </c>
      <c r="N24" s="29" t="s">
        <v>179</v>
      </c>
      <c r="O24" s="64">
        <v>0</v>
      </c>
      <c r="P24" s="64">
        <v>0</v>
      </c>
      <c r="Q24" s="64">
        <v>0</v>
      </c>
      <c r="R24" s="64">
        <v>0</v>
      </c>
    </row>
    <row r="25" spans="2:18" x14ac:dyDescent="0.25">
      <c r="C25" s="30"/>
      <c r="D25" s="30"/>
      <c r="E25" s="31"/>
      <c r="F25" s="31"/>
      <c r="J25" s="82"/>
      <c r="M25" s="30"/>
      <c r="N25" s="30"/>
      <c r="O25" s="31"/>
      <c r="P25" s="31"/>
    </row>
    <row r="26" spans="2:18" x14ac:dyDescent="0.25">
      <c r="B26" s="1" t="s">
        <v>34</v>
      </c>
      <c r="J26" s="82"/>
      <c r="L26" s="1" t="s">
        <v>34</v>
      </c>
    </row>
    <row r="27" spans="2:18" x14ac:dyDescent="0.25">
      <c r="C27" s="59" t="s">
        <v>25</v>
      </c>
      <c r="D27" s="54" t="s">
        <v>35</v>
      </c>
      <c r="E27" s="55"/>
      <c r="F27" s="56"/>
      <c r="J27" s="82"/>
      <c r="M27" s="59" t="s">
        <v>25</v>
      </c>
      <c r="N27" s="54" t="s">
        <v>35</v>
      </c>
      <c r="O27" s="55"/>
      <c r="P27" s="56"/>
    </row>
    <row r="28" spans="2:18" x14ac:dyDescent="0.25">
      <c r="C28" s="64">
        <v>1</v>
      </c>
      <c r="D28" s="38" t="s">
        <v>61</v>
      </c>
      <c r="E28" s="39"/>
      <c r="F28" s="40"/>
      <c r="J28" s="82"/>
      <c r="M28" s="64">
        <v>1</v>
      </c>
      <c r="N28" s="38" t="s">
        <v>61</v>
      </c>
      <c r="O28" s="39"/>
      <c r="P28" s="40"/>
    </row>
    <row r="29" spans="2:18" x14ac:dyDescent="0.25">
      <c r="C29" s="64">
        <v>2</v>
      </c>
      <c r="D29" s="38" t="s">
        <v>61</v>
      </c>
      <c r="E29" s="39"/>
      <c r="F29" s="40"/>
      <c r="J29" s="82"/>
      <c r="M29" s="64">
        <v>2</v>
      </c>
      <c r="N29" s="38" t="s">
        <v>61</v>
      </c>
      <c r="O29" s="39"/>
      <c r="P29" s="40"/>
    </row>
    <row r="30" spans="2:18" x14ac:dyDescent="0.25">
      <c r="C30" s="64">
        <v>3</v>
      </c>
      <c r="D30" s="38" t="s">
        <v>61</v>
      </c>
      <c r="E30" s="39"/>
      <c r="F30" s="40"/>
      <c r="J30" s="82"/>
      <c r="M30" s="64">
        <v>3</v>
      </c>
      <c r="N30" s="38" t="s">
        <v>61</v>
      </c>
      <c r="O30" s="39"/>
      <c r="P30" s="40"/>
    </row>
    <row r="31" spans="2:18" x14ac:dyDescent="0.25">
      <c r="C31" s="64">
        <v>4</v>
      </c>
      <c r="D31" s="38" t="s">
        <v>61</v>
      </c>
      <c r="E31" s="39"/>
      <c r="F31" s="40"/>
      <c r="J31" s="82"/>
      <c r="M31" s="64">
        <v>4</v>
      </c>
      <c r="N31" s="38" t="s">
        <v>61</v>
      </c>
      <c r="O31" s="39"/>
      <c r="P31" s="40"/>
    </row>
    <row r="32" spans="2:18" x14ac:dyDescent="0.25">
      <c r="J32" s="82"/>
    </row>
    <row r="33" spans="2:16" x14ac:dyDescent="0.25">
      <c r="B33" s="1" t="s">
        <v>406</v>
      </c>
      <c r="J33" s="82"/>
      <c r="L33" s="1" t="s">
        <v>406</v>
      </c>
    </row>
    <row r="34" spans="2:16" ht="30" x14ac:dyDescent="0.25">
      <c r="C34" s="59" t="s">
        <v>25</v>
      </c>
      <c r="D34" s="59" t="s">
        <v>31</v>
      </c>
      <c r="E34" s="9" t="s">
        <v>137</v>
      </c>
      <c r="F34" s="9" t="s">
        <v>138</v>
      </c>
      <c r="J34" s="82"/>
      <c r="M34" s="59" t="s">
        <v>25</v>
      </c>
      <c r="N34" s="59" t="s">
        <v>31</v>
      </c>
      <c r="O34" s="9" t="s">
        <v>137</v>
      </c>
      <c r="P34" s="9" t="s">
        <v>138</v>
      </c>
    </row>
    <row r="35" spans="2:16" x14ac:dyDescent="0.25">
      <c r="C35" s="64">
        <v>1</v>
      </c>
      <c r="D35" s="29" t="s">
        <v>117</v>
      </c>
      <c r="E35" s="63">
        <v>0</v>
      </c>
      <c r="F35" s="64">
        <v>0</v>
      </c>
      <c r="J35" s="82"/>
      <c r="M35" s="64">
        <v>1</v>
      </c>
      <c r="N35" s="29" t="s">
        <v>117</v>
      </c>
      <c r="O35" s="63">
        <v>0</v>
      </c>
      <c r="P35" s="64">
        <v>0</v>
      </c>
    </row>
    <row r="36" spans="2:16" x14ac:dyDescent="0.25">
      <c r="C36" s="64">
        <v>2</v>
      </c>
      <c r="D36" s="29" t="s">
        <v>118</v>
      </c>
      <c r="E36" s="63">
        <v>0</v>
      </c>
      <c r="F36" s="64">
        <v>0</v>
      </c>
      <c r="J36" s="82"/>
      <c r="M36" s="64">
        <v>2</v>
      </c>
      <c r="N36" s="29" t="s">
        <v>118</v>
      </c>
      <c r="O36" s="63">
        <v>0</v>
      </c>
      <c r="P36" s="64">
        <v>0</v>
      </c>
    </row>
    <row r="37" spans="2:16" x14ac:dyDescent="0.25">
      <c r="C37" s="64">
        <v>3</v>
      </c>
      <c r="D37" s="29" t="s">
        <v>119</v>
      </c>
      <c r="E37" s="63">
        <v>0</v>
      </c>
      <c r="F37" s="64">
        <v>0</v>
      </c>
      <c r="J37" s="82"/>
      <c r="M37" s="64">
        <v>3</v>
      </c>
      <c r="N37" s="29" t="s">
        <v>119</v>
      </c>
      <c r="O37" s="63">
        <v>0</v>
      </c>
      <c r="P37" s="64">
        <v>0</v>
      </c>
    </row>
    <row r="38" spans="2:16" x14ac:dyDescent="0.25">
      <c r="C38" s="64">
        <v>4</v>
      </c>
      <c r="D38" s="29" t="s">
        <v>120</v>
      </c>
      <c r="E38" s="63">
        <v>0</v>
      </c>
      <c r="F38" s="64">
        <v>0</v>
      </c>
      <c r="J38" s="82"/>
      <c r="M38" s="64">
        <v>4</v>
      </c>
      <c r="N38" s="29" t="s">
        <v>120</v>
      </c>
      <c r="O38" s="63">
        <v>0</v>
      </c>
      <c r="P38" s="64">
        <v>0</v>
      </c>
    </row>
    <row r="39" spans="2:16" x14ac:dyDescent="0.25">
      <c r="C39" s="64">
        <v>5</v>
      </c>
      <c r="D39" s="29" t="s">
        <v>190</v>
      </c>
      <c r="E39" s="63">
        <v>0</v>
      </c>
      <c r="F39" s="64">
        <v>0</v>
      </c>
      <c r="J39" s="82"/>
      <c r="M39" s="64">
        <v>5</v>
      </c>
      <c r="N39" s="29" t="s">
        <v>190</v>
      </c>
      <c r="O39" s="63">
        <v>0</v>
      </c>
      <c r="P39" s="64">
        <v>0</v>
      </c>
    </row>
    <row r="40" spans="2:16" x14ac:dyDescent="0.25">
      <c r="C40" s="64">
        <v>6</v>
      </c>
      <c r="D40" s="29" t="s">
        <v>191</v>
      </c>
      <c r="E40" s="63">
        <v>0</v>
      </c>
      <c r="F40" s="64">
        <v>0</v>
      </c>
      <c r="J40" s="82"/>
      <c r="M40" s="64">
        <v>6</v>
      </c>
      <c r="N40" s="29" t="s">
        <v>191</v>
      </c>
      <c r="O40" s="63">
        <v>0</v>
      </c>
      <c r="P40" s="64">
        <v>0</v>
      </c>
    </row>
    <row r="41" spans="2:16" x14ac:dyDescent="0.25">
      <c r="C41" s="64">
        <v>7</v>
      </c>
      <c r="D41" s="29" t="s">
        <v>192</v>
      </c>
      <c r="E41" s="63">
        <v>0</v>
      </c>
      <c r="F41" s="64">
        <v>0</v>
      </c>
      <c r="J41" s="82"/>
      <c r="M41" s="64">
        <v>7</v>
      </c>
      <c r="N41" s="29" t="s">
        <v>192</v>
      </c>
      <c r="O41" s="63">
        <v>0</v>
      </c>
      <c r="P41" s="64">
        <v>0</v>
      </c>
    </row>
    <row r="42" spans="2:16" x14ac:dyDescent="0.25">
      <c r="C42" s="64">
        <v>8</v>
      </c>
      <c r="D42" s="29" t="s">
        <v>193</v>
      </c>
      <c r="E42" s="63">
        <v>0</v>
      </c>
      <c r="F42" s="64">
        <v>0</v>
      </c>
      <c r="J42" s="82"/>
      <c r="M42" s="64">
        <v>8</v>
      </c>
      <c r="N42" s="29" t="s">
        <v>193</v>
      </c>
      <c r="O42" s="63">
        <v>0</v>
      </c>
      <c r="P42" s="64">
        <v>0</v>
      </c>
    </row>
    <row r="43" spans="2:16" x14ac:dyDescent="0.25">
      <c r="C43" s="64">
        <v>9</v>
      </c>
      <c r="D43" s="29" t="s">
        <v>180</v>
      </c>
      <c r="E43" s="63">
        <v>0</v>
      </c>
      <c r="F43" s="64">
        <v>0</v>
      </c>
      <c r="J43" s="82"/>
      <c r="M43" s="64">
        <v>9</v>
      </c>
      <c r="N43" s="29" t="s">
        <v>180</v>
      </c>
      <c r="O43" s="63">
        <v>0</v>
      </c>
      <c r="P43" s="64">
        <v>0</v>
      </c>
    </row>
    <row r="44" spans="2:16" x14ac:dyDescent="0.25">
      <c r="C44" s="64">
        <v>10</v>
      </c>
      <c r="D44" s="29" t="s">
        <v>179</v>
      </c>
      <c r="E44" s="63">
        <v>0</v>
      </c>
      <c r="F44" s="64">
        <v>0</v>
      </c>
      <c r="J44" s="82"/>
      <c r="M44" s="64">
        <v>10</v>
      </c>
      <c r="N44" s="29" t="s">
        <v>179</v>
      </c>
      <c r="O44" s="63">
        <v>0</v>
      </c>
      <c r="P44" s="64">
        <v>0</v>
      </c>
    </row>
    <row r="45" spans="2:16" x14ac:dyDescent="0.25">
      <c r="C45" s="31"/>
      <c r="D45" s="30"/>
      <c r="E45" s="65"/>
      <c r="F45" s="31"/>
      <c r="J45" s="82"/>
      <c r="M45" s="31"/>
      <c r="N45" s="30"/>
      <c r="O45" s="65"/>
      <c r="P45" s="31"/>
    </row>
    <row r="46" spans="2:16" x14ac:dyDescent="0.25">
      <c r="B46" s="1" t="s">
        <v>407</v>
      </c>
      <c r="J46" s="82"/>
      <c r="L46" s="1" t="s">
        <v>407</v>
      </c>
    </row>
    <row r="47" spans="2:16" ht="30" x14ac:dyDescent="0.25">
      <c r="C47" s="59" t="s">
        <v>25</v>
      </c>
      <c r="D47" s="59" t="s">
        <v>31</v>
      </c>
      <c r="E47" s="9" t="s">
        <v>36</v>
      </c>
      <c r="F47" s="9" t="s">
        <v>37</v>
      </c>
      <c r="J47" s="82"/>
      <c r="M47" s="59" t="s">
        <v>25</v>
      </c>
      <c r="N47" s="59" t="s">
        <v>31</v>
      </c>
      <c r="O47" s="9" t="s">
        <v>36</v>
      </c>
      <c r="P47" s="9" t="s">
        <v>37</v>
      </c>
    </row>
    <row r="48" spans="2:16" x14ac:dyDescent="0.25">
      <c r="C48" s="64">
        <v>1</v>
      </c>
      <c r="D48" s="29" t="s">
        <v>117</v>
      </c>
      <c r="E48" s="63" t="s">
        <v>61</v>
      </c>
      <c r="F48" s="63" t="s">
        <v>61</v>
      </c>
      <c r="J48" s="82"/>
      <c r="M48" s="64">
        <v>1</v>
      </c>
      <c r="N48" s="29" t="s">
        <v>117</v>
      </c>
      <c r="O48" s="63" t="s">
        <v>61</v>
      </c>
      <c r="P48" s="63" t="s">
        <v>61</v>
      </c>
    </row>
    <row r="49" spans="2:16" x14ac:dyDescent="0.25">
      <c r="C49" s="64">
        <v>2</v>
      </c>
      <c r="D49" s="29" t="s">
        <v>118</v>
      </c>
      <c r="E49" s="63" t="s">
        <v>61</v>
      </c>
      <c r="F49" s="63" t="s">
        <v>61</v>
      </c>
      <c r="J49" s="82"/>
      <c r="M49" s="64">
        <v>2</v>
      </c>
      <c r="N49" s="29" t="s">
        <v>118</v>
      </c>
      <c r="O49" s="63" t="s">
        <v>61</v>
      </c>
      <c r="P49" s="63" t="s">
        <v>61</v>
      </c>
    </row>
    <row r="50" spans="2:16" x14ac:dyDescent="0.25">
      <c r="C50" s="64">
        <v>3</v>
      </c>
      <c r="D50" s="29" t="s">
        <v>119</v>
      </c>
      <c r="E50" s="63" t="s">
        <v>61</v>
      </c>
      <c r="F50" s="63" t="s">
        <v>61</v>
      </c>
      <c r="J50" s="82"/>
      <c r="M50" s="64">
        <v>3</v>
      </c>
      <c r="N50" s="29" t="s">
        <v>119</v>
      </c>
      <c r="O50" s="63" t="s">
        <v>61</v>
      </c>
      <c r="P50" s="63" t="s">
        <v>61</v>
      </c>
    </row>
    <row r="51" spans="2:16" x14ac:dyDescent="0.25">
      <c r="C51" s="64">
        <v>4</v>
      </c>
      <c r="D51" s="29" t="s">
        <v>120</v>
      </c>
      <c r="E51" s="63" t="s">
        <v>61</v>
      </c>
      <c r="F51" s="63" t="s">
        <v>61</v>
      </c>
      <c r="J51" s="82"/>
      <c r="M51" s="64">
        <v>4</v>
      </c>
      <c r="N51" s="29" t="s">
        <v>120</v>
      </c>
      <c r="O51" s="63" t="s">
        <v>61</v>
      </c>
      <c r="P51" s="63" t="s">
        <v>61</v>
      </c>
    </row>
    <row r="52" spans="2:16" x14ac:dyDescent="0.25">
      <c r="C52" s="64">
        <v>5</v>
      </c>
      <c r="D52" s="29" t="s">
        <v>190</v>
      </c>
      <c r="E52" s="63" t="s">
        <v>61</v>
      </c>
      <c r="F52" s="63" t="s">
        <v>61</v>
      </c>
      <c r="J52" s="82"/>
      <c r="M52" s="64">
        <v>5</v>
      </c>
      <c r="N52" s="29" t="s">
        <v>190</v>
      </c>
      <c r="O52" s="63" t="s">
        <v>61</v>
      </c>
      <c r="P52" s="63" t="s">
        <v>61</v>
      </c>
    </row>
    <row r="53" spans="2:16" x14ac:dyDescent="0.25">
      <c r="C53" s="64">
        <v>6</v>
      </c>
      <c r="D53" s="29" t="s">
        <v>191</v>
      </c>
      <c r="E53" s="63" t="s">
        <v>61</v>
      </c>
      <c r="F53" s="63" t="s">
        <v>61</v>
      </c>
      <c r="J53" s="82"/>
      <c r="M53" s="64">
        <v>6</v>
      </c>
      <c r="N53" s="29" t="s">
        <v>191</v>
      </c>
      <c r="O53" s="63" t="s">
        <v>61</v>
      </c>
      <c r="P53" s="63" t="s">
        <v>61</v>
      </c>
    </row>
    <row r="54" spans="2:16" x14ac:dyDescent="0.25">
      <c r="C54" s="64">
        <v>7</v>
      </c>
      <c r="D54" s="29" t="s">
        <v>192</v>
      </c>
      <c r="E54" s="63" t="s">
        <v>61</v>
      </c>
      <c r="F54" s="63" t="s">
        <v>61</v>
      </c>
      <c r="J54" s="82"/>
      <c r="M54" s="64">
        <v>7</v>
      </c>
      <c r="N54" s="29" t="s">
        <v>192</v>
      </c>
      <c r="O54" s="63" t="s">
        <v>61</v>
      </c>
      <c r="P54" s="63" t="s">
        <v>61</v>
      </c>
    </row>
    <row r="55" spans="2:16" x14ac:dyDescent="0.25">
      <c r="C55" s="64">
        <v>8</v>
      </c>
      <c r="D55" s="29" t="s">
        <v>193</v>
      </c>
      <c r="E55" s="63" t="s">
        <v>61</v>
      </c>
      <c r="F55" s="63" t="s">
        <v>61</v>
      </c>
      <c r="J55" s="82"/>
      <c r="M55" s="64">
        <v>8</v>
      </c>
      <c r="N55" s="29" t="s">
        <v>193</v>
      </c>
      <c r="O55" s="63" t="s">
        <v>61</v>
      </c>
      <c r="P55" s="63" t="s">
        <v>61</v>
      </c>
    </row>
    <row r="56" spans="2:16" x14ac:dyDescent="0.25">
      <c r="C56" s="64">
        <v>9</v>
      </c>
      <c r="D56" s="29" t="s">
        <v>180</v>
      </c>
      <c r="E56" s="63" t="s">
        <v>61</v>
      </c>
      <c r="F56" s="63" t="s">
        <v>61</v>
      </c>
      <c r="J56" s="82"/>
      <c r="M56" s="64">
        <v>9</v>
      </c>
      <c r="N56" s="29" t="s">
        <v>180</v>
      </c>
      <c r="O56" s="63" t="s">
        <v>61</v>
      </c>
      <c r="P56" s="63" t="s">
        <v>61</v>
      </c>
    </row>
    <row r="57" spans="2:16" x14ac:dyDescent="0.25">
      <c r="C57" s="64">
        <v>10</v>
      </c>
      <c r="D57" s="29" t="s">
        <v>179</v>
      </c>
      <c r="E57" s="63" t="s">
        <v>61</v>
      </c>
      <c r="F57" s="63" t="s">
        <v>61</v>
      </c>
      <c r="J57" s="82"/>
      <c r="M57" s="64">
        <v>10</v>
      </c>
      <c r="N57" s="29" t="s">
        <v>179</v>
      </c>
      <c r="O57" s="63" t="s">
        <v>61</v>
      </c>
      <c r="P57" s="63" t="s">
        <v>61</v>
      </c>
    </row>
    <row r="58" spans="2:16" x14ac:dyDescent="0.25">
      <c r="C58" s="31"/>
      <c r="D58" s="30"/>
      <c r="E58" s="65"/>
      <c r="F58" s="65"/>
      <c r="J58" s="82"/>
      <c r="M58" s="31"/>
      <c r="N58" s="30"/>
      <c r="O58" s="65"/>
      <c r="P58" s="65"/>
    </row>
    <row r="59" spans="2:16" x14ac:dyDescent="0.25">
      <c r="C59" s="31"/>
      <c r="D59" s="30"/>
      <c r="E59" s="65"/>
      <c r="F59" s="65"/>
      <c r="J59" s="82"/>
      <c r="M59" s="31"/>
      <c r="N59" s="30"/>
      <c r="O59" s="65"/>
      <c r="P59" s="65"/>
    </row>
    <row r="60" spans="2:16" x14ac:dyDescent="0.25">
      <c r="B60" s="1" t="s">
        <v>39</v>
      </c>
      <c r="J60" s="82"/>
      <c r="L60" s="1" t="s">
        <v>39</v>
      </c>
    </row>
    <row r="61" spans="2:16" x14ac:dyDescent="0.25">
      <c r="C61" s="1" t="s">
        <v>41</v>
      </c>
      <c r="J61" s="82"/>
      <c r="M61" s="1" t="s">
        <v>41</v>
      </c>
    </row>
    <row r="62" spans="2:16" x14ac:dyDescent="0.25">
      <c r="D62" t="s">
        <v>40</v>
      </c>
      <c r="J62" s="82"/>
      <c r="N62" t="s">
        <v>40</v>
      </c>
    </row>
    <row r="63" spans="2:16" x14ac:dyDescent="0.25">
      <c r="D63" t="s">
        <v>100</v>
      </c>
      <c r="J63" s="82"/>
      <c r="N63" t="s">
        <v>100</v>
      </c>
    </row>
    <row r="64" spans="2:16" x14ac:dyDescent="0.25">
      <c r="C64" s="1" t="s">
        <v>42</v>
      </c>
      <c r="J64" s="82"/>
      <c r="M64" s="1" t="s">
        <v>42</v>
      </c>
    </row>
    <row r="65" spans="2:14" x14ac:dyDescent="0.25">
      <c r="D65" t="s">
        <v>43</v>
      </c>
      <c r="J65" s="82"/>
      <c r="N65" t="s">
        <v>43</v>
      </c>
    </row>
    <row r="66" spans="2:14" x14ac:dyDescent="0.25">
      <c r="D66" t="s">
        <v>44</v>
      </c>
      <c r="J66" s="82"/>
      <c r="N66" t="s">
        <v>44</v>
      </c>
    </row>
    <row r="67" spans="2:14" x14ac:dyDescent="0.25">
      <c r="C67" s="1" t="s">
        <v>187</v>
      </c>
      <c r="J67" s="82"/>
      <c r="M67" s="1" t="s">
        <v>187</v>
      </c>
    </row>
    <row r="68" spans="2:14" x14ac:dyDescent="0.25">
      <c r="D68" t="s">
        <v>188</v>
      </c>
      <c r="J68" s="82"/>
      <c r="N68" t="s">
        <v>188</v>
      </c>
    </row>
    <row r="69" spans="2:14" x14ac:dyDescent="0.25">
      <c r="D69" t="s">
        <v>189</v>
      </c>
      <c r="J69" s="82"/>
      <c r="N69" t="s">
        <v>189</v>
      </c>
    </row>
    <row r="70" spans="2:14" x14ac:dyDescent="0.25">
      <c r="J70" s="82"/>
    </row>
    <row r="71" spans="2:14" x14ac:dyDescent="0.25">
      <c r="J71" s="82"/>
    </row>
    <row r="72" spans="2:14" x14ac:dyDescent="0.25">
      <c r="B72" t="s">
        <v>332</v>
      </c>
      <c r="C72" t="s">
        <v>186</v>
      </c>
      <c r="J72" s="82"/>
      <c r="K72" t="s">
        <v>185</v>
      </c>
    </row>
    <row r="73" spans="2:14" x14ac:dyDescent="0.25">
      <c r="D73" s="29" t="s">
        <v>117</v>
      </c>
      <c r="J73" s="82"/>
      <c r="L73" s="29" t="s">
        <v>120</v>
      </c>
    </row>
    <row r="74" spans="2:14" x14ac:dyDescent="0.25">
      <c r="D74" s="29" t="s">
        <v>118</v>
      </c>
      <c r="J74" s="82"/>
      <c r="L74" s="29" t="s">
        <v>180</v>
      </c>
    </row>
    <row r="75" spans="2:14" x14ac:dyDescent="0.25">
      <c r="D75" s="29" t="s">
        <v>119</v>
      </c>
      <c r="J75" s="82"/>
    </row>
    <row r="76" spans="2:14" x14ac:dyDescent="0.25">
      <c r="D76" s="29" t="s">
        <v>190</v>
      </c>
      <c r="J76" s="82"/>
    </row>
    <row r="77" spans="2:14" x14ac:dyDescent="0.25">
      <c r="D77" s="29" t="s">
        <v>191</v>
      </c>
      <c r="J77" s="82"/>
    </row>
    <row r="78" spans="2:14" x14ac:dyDescent="0.25">
      <c r="D78" s="29" t="s">
        <v>192</v>
      </c>
      <c r="J78" s="82"/>
    </row>
    <row r="79" spans="2:14" x14ac:dyDescent="0.25">
      <c r="D79" s="29" t="s">
        <v>193</v>
      </c>
      <c r="J79" s="82"/>
    </row>
    <row r="80" spans="2:14" x14ac:dyDescent="0.25">
      <c r="D80" s="29" t="s">
        <v>179</v>
      </c>
      <c r="J80" s="82"/>
    </row>
  </sheetData>
  <customSheetViews>
    <customSheetView guid="{D33AC7AF-C8AB-4CE9-94C7-9237011A5FC3}">
      <selection activeCell="A31" sqref="A31"/>
      <pageMargins left="0.7" right="0.7" top="0.75" bottom="0.75" header="0.3" footer="0.3"/>
      <pageSetup orientation="portrait" horizontalDpi="300" verticalDpi="0" r:id="rId1"/>
    </customSheetView>
    <customSheetView guid="{250915DF-0B97-45D7-B29D-7EED4C89C1C1}" topLeftCell="A64">
      <selection activeCell="H21" sqref="H21"/>
      <pageMargins left="0.7" right="0.7" top="0.75" bottom="0.75" header="0.3" footer="0.3"/>
      <pageSetup orientation="portrait" horizontalDpi="300" verticalDpi="0" r:id="rId2"/>
    </customSheetView>
    <customSheetView guid="{3B3E6719-EACB-4D2C-89C1-05FFAB6020FD}">
      <selection activeCell="A44" sqref="A44:XFD44"/>
      <pageMargins left="0.7" right="0.7" top="0.75" bottom="0.75" header="0.3" footer="0.3"/>
      <pageSetup orientation="portrait" horizontalDpi="300" verticalDpi="0" r:id="rId3"/>
    </customSheetView>
    <customSheetView guid="{72A6EB0A-84D5-4B8A-AC51-54CCD061630B}" topLeftCell="A43">
      <selection activeCell="H21" sqref="H21"/>
      <pageMargins left="0.7" right="0.7" top="0.75" bottom="0.75" header="0.3" footer="0.3"/>
      <pageSetup orientation="portrait" horizontalDpi="300" verticalDpi="0" r:id="rId4"/>
    </customSheetView>
    <customSheetView guid="{4E06BDBF-2CED-473B-850B-2A6C7311FF41}" topLeftCell="A106">
      <selection activeCell="D4" sqref="D4"/>
      <pageMargins left="0.7" right="0.7" top="0.75" bottom="0.75" header="0.3" footer="0.3"/>
      <pageSetup orientation="portrait" horizontalDpi="300" verticalDpi="0" r:id="rId5"/>
    </customSheetView>
    <customSheetView guid="{A2C66332-A809-458E-971B-FDB6D62C74C3}">
      <selection activeCell="A31" sqref="A31"/>
      <pageMargins left="0.7" right="0.7" top="0.75" bottom="0.75" header="0.3" footer="0.3"/>
      <pageSetup orientation="portrait" horizontalDpi="300" verticalDpi="0" r:id="rId6"/>
    </customSheetView>
    <customSheetView guid="{336B6883-2145-4B58-921E-CEC7185A847E}">
      <selection activeCell="A31" sqref="A31"/>
      <pageMargins left="0.7" right="0.7" top="0.75" bottom="0.75" header="0.3" footer="0.3"/>
      <pageSetup orientation="portrait" horizontalDpi="300" verticalDpi="0" r:id="rId7"/>
    </customSheetView>
    <customSheetView guid="{7ECC2B8E-6A82-42F5-8AB0-4A51C54EA5EC}" topLeftCell="A4">
      <selection activeCell="O10" sqref="O10"/>
      <pageMargins left="0.7" right="0.7" top="0.75" bottom="0.75" header="0.3" footer="0.3"/>
      <pageSetup orientation="portrait" horizontalDpi="300" verticalDpi="0" r:id="rId8"/>
    </customSheetView>
    <customSheetView guid="{60D2C030-4E31-4E07-8E1C-44D2EE84B177}" topLeftCell="A106">
      <selection activeCell="D4" sqref="D4"/>
      <pageMargins left="0.7" right="0.7" top="0.75" bottom="0.75" header="0.3" footer="0.3"/>
      <pageSetup orientation="portrait" horizontalDpi="300" verticalDpi="0" r:id="rId9"/>
    </customSheetView>
    <customSheetView guid="{7E0EA425-A420-4443-B9E0-CDF0AA9E5D09}" topLeftCell="A106">
      <selection activeCell="A6" sqref="A6:XFD6"/>
      <pageMargins left="0.7" right="0.7" top="0.75" bottom="0.75" header="0.3" footer="0.3"/>
      <pageSetup orientation="portrait" horizontalDpi="300" verticalDpi="0" r:id="rId10"/>
    </customSheetView>
  </customSheetViews>
  <pageMargins left="0.7" right="0.7" top="0.75" bottom="0.75" header="0.3" footer="0.3"/>
  <pageSetup orientation="portrait" horizontalDpi="300" verticalDpi="0" r:id="rId1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Merged_COEM</vt:lpstr>
      <vt:lpstr>Merged_JOEM</vt:lpstr>
      <vt:lpstr>|-&gt;</vt:lpstr>
      <vt:lpstr>Report_For_Each_Project_COEM</vt:lpstr>
      <vt:lpstr>Report_For_Each_Project_JOEM</vt:lpstr>
      <vt:lpstr>Template_Total_Report</vt:lpstr>
      <vt:lpstr>Table</vt:lpstr>
      <vt:lpstr>Check_List</vt:lpstr>
      <vt:lpstr>|--&gt;</vt:lpstr>
      <vt:lpstr>Monthly_20200520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EXTERNAL Nguyen Trung Hieu (Ban Vien, RBVH/EPS45)</dc:creator>
  <cp:lastModifiedBy>EXTERNAL Do Anh Huy (Ban Vien Company, RBVH/EPS45)</cp:lastModifiedBy>
  <dcterms:created xsi:type="dcterms:W3CDTF">2006-09-16T00:00:00Z</dcterms:created>
  <dcterms:modified xsi:type="dcterms:W3CDTF">2020-06-09T07:55:27Z</dcterms:modified>
</cp:coreProperties>
</file>