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bosch.com\dfsRB\DfsVN\LOC\Hc\RBVH\20_EPS\07_External\03_BanVien\BV_EPS45\Monthly_Report\16_Oct_16_Nov\"/>
    </mc:Choice>
  </mc:AlternateContent>
  <bookViews>
    <workbookView xWindow="-120" yWindow="0" windowWidth="2280" windowHeight="0" activeTab="5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|--&gt;" sheetId="8" r:id="rId8"/>
    <sheet name="PLT" sheetId="9" r:id="rId9"/>
  </sheets>
  <definedNames>
    <definedName name="_xlnm._FilterDatabase" localSheetId="0" hidden="1">Merged_COEM!$B$59:$AO$276</definedName>
    <definedName name="_xlnm._FilterDatabase" localSheetId="1" hidden="1">Merged_JOEM!$B$59:$AO$364</definedName>
    <definedName name="Z_0003673B_1432_4EF6_9226_C2A34F0B53B0_.wvu.FilterData" localSheetId="0" hidden="1">Merged_COEM!$A$59:$AN$276</definedName>
    <definedName name="Z_0003673B_1432_4EF6_9226_C2A34F0B53B0_.wvu.FilterData" localSheetId="1" hidden="1">Merged_JOEM!$B$59:$AO$172</definedName>
    <definedName name="Z_004AE50D_49C9_4A96_B731_3C42CAA0B01D_.wvu.FilterData" localSheetId="0" hidden="1">Merged_COEM!$B$59:$AN$59</definedName>
    <definedName name="Z_00627CE1_7120_4788_9772_A991ED868B61_.wvu.FilterData" localSheetId="0" hidden="1">Merged_COEM!$B$59:$AN$276</definedName>
    <definedName name="Z_00627CE1_7120_4788_9772_A991ED868B61_.wvu.FilterData" localSheetId="1" hidden="1">Merged_JOEM!$B$59:$AO$378</definedName>
    <definedName name="Z_006FEADE_C1C8_4623_94EF_0C71C28F2B02_.wvu.FilterData" localSheetId="0" hidden="1">Merged_COEM!$A$59:$AN$276</definedName>
    <definedName name="Z_006FEADE_C1C8_4623_94EF_0C71C28F2B02_.wvu.FilterData" localSheetId="1" hidden="1">Merged_JOEM!$B$59:$AO$378</definedName>
    <definedName name="Z_0115AFB4_4C4E_4468_B6CC_4FCA3D2F432C_.wvu.FilterData" localSheetId="0" hidden="1">Merged_COEM!$A$59:$AN$276</definedName>
    <definedName name="Z_01DDD800_722F_415D_AA66_9ADBFD04888B_.wvu.FilterData" localSheetId="1" hidden="1">Merged_JOEM!$B$59:$AO$59</definedName>
    <definedName name="Z_01E511D8_96F0_4FC8_9F7C_EFD3A637D0BF_.wvu.FilterData" localSheetId="0" hidden="1">Merged_COEM!$A$59:$AN$276</definedName>
    <definedName name="Z_01F48ED4_6F4C_49BB_A369_E61277689C61_.wvu.FilterData" localSheetId="0" hidden="1">Merged_COEM!$B$59:$AN$276</definedName>
    <definedName name="Z_020C750E_7922_417F_810C_F9AA7144B253_.wvu.FilterData" localSheetId="0" hidden="1">Merged_COEM!$B$59:$AN$276</definedName>
    <definedName name="Z_0248A570_AB6C_47B7_BDAA_61963C335799_.wvu.FilterData" localSheetId="0" hidden="1">Merged_COEM!$A$59:$AN$276</definedName>
    <definedName name="Z_0261509A_A639_49AE_AA4A_769861E1FB47_.wvu.FilterData" localSheetId="0" hidden="1">Merged_COEM!$A$59:$AN$276</definedName>
    <definedName name="Z_0261509A_A639_49AE_AA4A_769861E1FB47_.wvu.FilterData" localSheetId="1" hidden="1">Merged_JOEM!$B$59:$AO$378</definedName>
    <definedName name="Z_027DC486_5FD8_4F20_9789_42783C7EA75D_.wvu.FilterData" localSheetId="0" hidden="1">Merged_COEM!$A$59:$AN$276</definedName>
    <definedName name="Z_02D2CB07_3C0A_4EA9_BB2C_BDA10CEE189C_.wvu.FilterData" localSheetId="0" hidden="1">Merged_COEM!$A$59:$AN$276</definedName>
    <definedName name="Z_02D2CB07_3C0A_4EA9_BB2C_BDA10CEE189C_.wvu.FilterData" localSheetId="1" hidden="1">Merged_JOEM!$B$59:$AO$378</definedName>
    <definedName name="Z_02F42AF6_AEB8_4115_B8EB_CDA5FF7AFB22_.wvu.FilterData" localSheetId="0" hidden="1">Merged_COEM!$A$59:$AN$276</definedName>
    <definedName name="Z_02F42AF6_AEB8_4115_B8EB_CDA5FF7AFB22_.wvu.FilterData" localSheetId="1" hidden="1">Merged_JOEM!$B$59:$AO$378</definedName>
    <definedName name="Z_02FB7E96_2799_4990_A37E_4BD93CFC5923_.wvu.FilterData" localSheetId="0" hidden="1">Merged_COEM!$A$59:$AN$276</definedName>
    <definedName name="Z_02FB7E96_2799_4990_A37E_4BD93CFC5923_.wvu.FilterData" localSheetId="1" hidden="1">Merged_JOEM!$B$59:$AO$378</definedName>
    <definedName name="Z_0388D3FB_1807_4982_B5C0_93DD569D4E00_.wvu.FilterData" localSheetId="1" hidden="1">Merged_JOEM!$B$59:$AO$378</definedName>
    <definedName name="Z_03E65C4A_A290_4849_9CED_C61769FF1CC6_.wvu.FilterData" localSheetId="0" hidden="1">Merged_COEM!$B$59:$AN$276</definedName>
    <definedName name="Z_04047478_C0B0_449A_9F08_517CFB2D8E3C_.wvu.FilterData" localSheetId="0" hidden="1">Merged_COEM!$B$59:$AN$276</definedName>
    <definedName name="Z_04047478_C0B0_449A_9F08_517CFB2D8E3C_.wvu.FilterData" localSheetId="1" hidden="1">Merged_JOEM!$B$59:$AO$378</definedName>
    <definedName name="Z_0409106B_F3A5_482C_9A09_541423768DB0_.wvu.FilterData" localSheetId="1" hidden="1">Merged_JOEM!$B$59:$AO$378</definedName>
    <definedName name="Z_040E8B46_CA61_4A56_9419_C22F6B3F774B_.wvu.FilterData" localSheetId="0" hidden="1">Merged_COEM!$B$59:$AN$276</definedName>
    <definedName name="Z_04BE17D5_095C_4E70_B7EF_11149F9E4EB4_.wvu.FilterData" localSheetId="0" hidden="1">Merged_COEM!$B$59:$AN$276</definedName>
    <definedName name="Z_04E2D24B_601F_4F5B_AF88_4D71CC02064C_.wvu.FilterData" localSheetId="0" hidden="1">Merged_COEM!$A$59:$AN$276</definedName>
    <definedName name="Z_05361591_7A29_421F_B4E3_2E109EC18103_.wvu.FilterData" localSheetId="0" hidden="1">Merged_COEM!$B$59:$AN$276</definedName>
    <definedName name="Z_055B52FC_2B7B_42BC_9AD2_87565E082A86_.wvu.FilterData" localSheetId="0" hidden="1">Merged_COEM!$B$59:$AN$276</definedName>
    <definedName name="Z_05B18CA3_DA68_4944_AD63_857EF7223B76_.wvu.FilterData" localSheetId="0" hidden="1">Merged_COEM!$A$59:$AN$276</definedName>
    <definedName name="Z_05B18CA3_DA68_4944_AD63_857EF7223B76_.wvu.FilterData" localSheetId="1" hidden="1">Merged_JOEM!$B$59:$AO$378</definedName>
    <definedName name="Z_05F53C5E_290A_40E2_8923_55EAA631C917_.wvu.FilterData" localSheetId="0" hidden="1">Merged_COEM!$A$59:$AN$276</definedName>
    <definedName name="Z_05F53C5E_290A_40E2_8923_55EAA631C917_.wvu.FilterData" localSheetId="1" hidden="1">Merged_JOEM!$B$59:$AO$378</definedName>
    <definedName name="Z_0600F77B_03E6_457E_8094_42AB3F458D08_.wvu.FilterData" localSheetId="0" hidden="1">Merged_COEM!$B$59:$AN$276</definedName>
    <definedName name="Z_0600F77B_03E6_457E_8094_42AB3F458D08_.wvu.FilterData" localSheetId="1" hidden="1">Merged_JOEM!$B$59:$AO$378</definedName>
    <definedName name="Z_063B0768_12A0_417C_9213_22DD2115979B_.wvu.FilterData" localSheetId="1" hidden="1">Merged_JOEM!$B$59:$AO$378</definedName>
    <definedName name="Z_066A26B3_CA91_4603_90B3_1F7AF8A996B5_.wvu.FilterData" localSheetId="0" hidden="1">Merged_COEM!$B$59:$AN$276</definedName>
    <definedName name="Z_066EDE56_165F_488D_8F40_8FB2A8AF975D_.wvu.FilterData" localSheetId="1" hidden="1">Merged_JOEM!$B$59:$AO$378</definedName>
    <definedName name="Z_069C8E6F_B807_4CFF_804F_569E084B63E0_.wvu.FilterData" localSheetId="0" hidden="1">Merged_COEM!$B$59:$AN$59</definedName>
    <definedName name="Z_069C8E6F_B807_4CFF_804F_569E084B63E0_.wvu.FilterData" localSheetId="1" hidden="1">Merged_JOEM!$B$59:$AO$59</definedName>
    <definedName name="Z_06C7A52C_D0C4_4DA2_9863_62727E2D844E_.wvu.FilterData" localSheetId="1" hidden="1">Merged_JOEM!$B$59:$AO$378</definedName>
    <definedName name="Z_06E2F1FE_B942_412C_AA23_B5BA85E9E0CA_.wvu.FilterData" localSheetId="0" hidden="1">Merged_COEM!$A$59:$AN$276</definedName>
    <definedName name="Z_06E2F1FE_B942_412C_AA23_B5BA85E9E0CA_.wvu.FilterData" localSheetId="1" hidden="1">Merged_JOEM!$B$59:$AO$378</definedName>
    <definedName name="Z_06F3585B_DEF9_4D3E_A982_B08A4935ED38_.wvu.FilterData" localSheetId="0" hidden="1">Merged_COEM!$B$59:$AN$59</definedName>
    <definedName name="Z_06F3585B_DEF9_4D3E_A982_B08A4935ED38_.wvu.FilterData" localSheetId="1" hidden="1">Merged_JOEM!$B$59:$AO$59</definedName>
    <definedName name="Z_06F5C2DD_3678_41A0_A4A8_21F1AE9AF1AE_.wvu.FilterData" localSheetId="1" hidden="1">Merged_JOEM!$B$59:$AO$161</definedName>
    <definedName name="Z_072A26A6_BE55_4F2D_A81B_3D32EF017B86_.wvu.FilterData" localSheetId="0" hidden="1">Merged_COEM!$B$59:$AN$59</definedName>
    <definedName name="Z_072A26A6_BE55_4F2D_A81B_3D32EF017B86_.wvu.FilterData" localSheetId="1" hidden="1">Merged_JOEM!$B$59:$AO$378</definedName>
    <definedName name="Z_07B34DA0_7292_4B42_8B28_B27A13F43E3A_.wvu.FilterData" localSheetId="0" hidden="1">Merged_COEM!$A$59:$AN$276</definedName>
    <definedName name="Z_07B8F38E_4F73_4FAA_ABF9_3C272CB3F7A0_.wvu.FilterData" localSheetId="0" hidden="1">Merged_COEM!$B$59:$AN$276</definedName>
    <definedName name="Z_07B8F38E_4F73_4FAA_ABF9_3C272CB3F7A0_.wvu.FilterData" localSheetId="1" hidden="1">Merged_JOEM!$B$59:$AO$378</definedName>
    <definedName name="Z_07BED3F7_9F4A_4367_A4A9_9F2ABEA22AFC_.wvu.FilterData" localSheetId="1" hidden="1">Merged_JOEM!$B$59:$AO$378</definedName>
    <definedName name="Z_087D3374_38FA_4B40_971D_F10F6EEAF440_.wvu.FilterData" localSheetId="0" hidden="1">Merged_COEM!$A$59:$AN$276</definedName>
    <definedName name="Z_08B0782C_DD55_44FD_9B27_DCF6084A72E7_.wvu.FilterData" localSheetId="0" hidden="1">Merged_COEM!$A$59:$AN$276</definedName>
    <definedName name="Z_08B0782C_DD55_44FD_9B27_DCF6084A72E7_.wvu.FilterData" localSheetId="1" hidden="1">Merged_JOEM!$B$59:$AO$378</definedName>
    <definedName name="Z_08D9EC9E_19A1_44EF_88CC_A93BDAE68A62_.wvu.FilterData" localSheetId="0" hidden="1">Merged_COEM!$B$59:$AN$276</definedName>
    <definedName name="Z_0921E775_DF47_46F9_BB77_A370BDC966C7_.wvu.FilterData" localSheetId="0" hidden="1">Merged_COEM!$A$59:$AN$276</definedName>
    <definedName name="Z_0921E775_DF47_46F9_BB77_A370BDC966C7_.wvu.FilterData" localSheetId="1" hidden="1">Merged_JOEM!$B$59:$AO$378</definedName>
    <definedName name="Z_095FDA14_CE3D_493D_8683_BACDCCE62C0A_.wvu.FilterData" localSheetId="0" hidden="1">Merged_COEM!$A$59:$AN$276</definedName>
    <definedName name="Z_095FDA14_CE3D_493D_8683_BACDCCE62C0A_.wvu.FilterData" localSheetId="1" hidden="1">Merged_JOEM!$B$59:$AO$378</definedName>
    <definedName name="Z_098A3A6D_BE9F_45E5_9A31_50E901908195_.wvu.FilterData" localSheetId="1" hidden="1">Merged_JOEM!$B$59:$AO$378</definedName>
    <definedName name="Z_09D9796A_BBD2_4AF7_BA95_A36C481CA4B7_.wvu.FilterData" localSheetId="0" hidden="1">Merged_COEM!$B$59:$AN$276</definedName>
    <definedName name="Z_0A1D46E9_4E2C_45D3_B076_5C5F856DC4AB_.wvu.FilterData" localSheetId="0" hidden="1">Merged_COEM!$B$59:$AN$276</definedName>
    <definedName name="Z_0A33C66A_D017_4D2E_A979_2C584E7DC975_.wvu.FilterData" localSheetId="0" hidden="1">Merged_COEM!$A$59:$AN$276</definedName>
    <definedName name="Z_0A33C66A_D017_4D2E_A979_2C584E7DC975_.wvu.FilterData" localSheetId="1" hidden="1">Merged_JOEM!$B$59:$AO$378</definedName>
    <definedName name="Z_0A69D571_3018_4FA4_8C32_E2DFB0614496_.wvu.FilterData" localSheetId="0" hidden="1">Merged_COEM!$A$59:$AN$276</definedName>
    <definedName name="Z_0A6D8CFE_6EB2_43B1_B145_8F368E64B301_.wvu.FilterData" localSheetId="0" hidden="1">Merged_COEM!$A$59:$AN$276</definedName>
    <definedName name="Z_0A6D8CFE_6EB2_43B1_B145_8F368E64B301_.wvu.FilterData" localSheetId="1" hidden="1">Merged_JOEM!$B$59:$AO$378</definedName>
    <definedName name="Z_0A72C20A_78E4_45AF_8BCF_DC5B59043341_.wvu.FilterData" localSheetId="0" hidden="1">Merged_COEM!$A$59:$AN$276</definedName>
    <definedName name="Z_0A72C20A_78E4_45AF_8BCF_DC5B59043341_.wvu.FilterData" localSheetId="1" hidden="1">Merged_JOEM!$B$59:$AO$378</definedName>
    <definedName name="Z_0AA08EE5_3EA4_4BCE_AE2C_842AA3D7A4F6_.wvu.FilterData" localSheetId="0" hidden="1">Merged_COEM!$B$59:$AN$276</definedName>
    <definedName name="Z_0AB06E68_8BB9_4144_A84E_3331A1A4681E_.wvu.FilterData" localSheetId="0" hidden="1">Merged_COEM!$A$59:$AN$276</definedName>
    <definedName name="Z_0AD0FE4E_F107_4946_BA5E_31F1AFBB5E1B_.wvu.FilterData" localSheetId="0" hidden="1">Merged_COEM!$P$59:$P$276</definedName>
    <definedName name="Z_0AD0FE4E_F107_4946_BA5E_31F1AFBB5E1B_.wvu.FilterData" localSheetId="1" hidden="1">Merged_JOEM!$B$59:$AO$378</definedName>
    <definedName name="Z_0B484F93_8218_48C7_A465_CFF3723D2DDF_.wvu.FilterData" localSheetId="0" hidden="1">Merged_COEM!$A$59:$AN$276</definedName>
    <definedName name="Z_0B602AB8_E143_43DD_9C26_1C820DD6C80D_.wvu.FilterData" localSheetId="1" hidden="1">Merged_JOEM!$B$59:$AO$359</definedName>
    <definedName name="Z_0B629CCC_DCFA_448F_AD35_5F0586401E6F_.wvu.FilterData" localSheetId="0" hidden="1">Merged_COEM!$A$59:$AN$276</definedName>
    <definedName name="Z_0B629CCC_DCFA_448F_AD35_5F0586401E6F_.wvu.FilterData" localSheetId="1" hidden="1">Merged_JOEM!$B$59:$AO$378</definedName>
    <definedName name="Z_0C00AE2D_74FE_4B0B_8255_1F76D3D1CA7C_.wvu.FilterData" localSheetId="0" hidden="1">Merged_COEM!$A$59:$AN$276</definedName>
    <definedName name="Z_0C00AE2D_74FE_4B0B_8255_1F76D3D1CA7C_.wvu.FilterData" localSheetId="1" hidden="1">Merged_JOEM!$B$59:$AO$361</definedName>
    <definedName name="Z_0C51C781_28DA_413A_A225_F6F32A0F4815_.wvu.FilterData" localSheetId="0" hidden="1">Merged_COEM!$A$59:$AN$276</definedName>
    <definedName name="Z_0C51C781_28DA_413A_A225_F6F32A0F4815_.wvu.FilterData" localSheetId="1" hidden="1">Merged_JOEM!$B$59:$AO$322</definedName>
    <definedName name="Z_0C6B4140_26C8_4A85_B5AF_F9A10600F366_.wvu.FilterData" localSheetId="0" hidden="1">Merged_COEM!$B$59:$AN$276</definedName>
    <definedName name="Z_0C6BE164_6BA3_446D_942F_966AE5EA2F00_.wvu.FilterData" localSheetId="0" hidden="1">Merged_COEM!$A$59:$AN$276</definedName>
    <definedName name="Z_0CDC9502_6639_4EDD_AC50_EFEC6A30BEC1_.wvu.FilterData" localSheetId="0" hidden="1">Merged_COEM!$B$59:$AN$276</definedName>
    <definedName name="Z_0CDC9502_6639_4EDD_AC50_EFEC6A30BEC1_.wvu.FilterData" localSheetId="1" hidden="1">Merged_JOEM!$B$59:$AO$178</definedName>
    <definedName name="Z_0D0A6154_7CBF_4A37_BEA2_AB537B4B2A67_.wvu.FilterData" localSheetId="0" hidden="1">Merged_COEM!$A$59:$AN$276</definedName>
    <definedName name="Z_0D0A6154_7CBF_4A37_BEA2_AB537B4B2A67_.wvu.FilterData" localSheetId="1" hidden="1">Merged_JOEM!$B$59:$AO$378</definedName>
    <definedName name="Z_0D0F2A14_33B7_42C2_A674_4009B28EAE59_.wvu.FilterData" localSheetId="0" hidden="1">Merged_COEM!$B$59:$AN$276</definedName>
    <definedName name="Z_0D1BA331_ECC5_4B76_BF88_3D8E1D7061B4_.wvu.FilterData" localSheetId="0" hidden="1">Merged_COEM!$B$59:$AN$59</definedName>
    <definedName name="Z_0D1BA331_ECC5_4B76_BF88_3D8E1D7061B4_.wvu.FilterData" localSheetId="1" hidden="1">Merged_JOEM!$B$59:$AO$59</definedName>
    <definedName name="Z_0D6ADB20_C78F_4302_822F_99D9D59DFD49_.wvu.FilterData" localSheetId="1" hidden="1">Merged_JOEM!$B$59:$AO$378</definedName>
    <definedName name="Z_0D9E03C2_A32F_450C_B672_A32B6AB5F4CB_.wvu.FilterData" localSheetId="0" hidden="1">Merged_COEM!$A$59:$AN$276</definedName>
    <definedName name="Z_0E0A1A84_274E_4C87_84D6_9771A179FB59_.wvu.FilterData" localSheetId="0" hidden="1">Merged_COEM!$B$59:$AN$276</definedName>
    <definedName name="Z_0E177208_F531_4668_B683_013CB8491591_.wvu.FilterData" localSheetId="1" hidden="1">Merged_JOEM!$B$59:$AO$378</definedName>
    <definedName name="Z_0E7C8AE3_2DA8_47AA_8279_AE37635256F3_.wvu.FilterData" localSheetId="1" hidden="1">Merged_JOEM!$B$59:$AO$378</definedName>
    <definedName name="Z_0EEA61C8_BDF6_4697_A64F_14220225F3CA_.wvu.FilterData" localSheetId="1" hidden="1">Merged_JOEM!$B$59:$AO$378</definedName>
    <definedName name="Z_0EF03E06_FF78_44D3_8575_221339472074_.wvu.FilterData" localSheetId="0" hidden="1">Merged_COEM!$B$59:$AN$59</definedName>
    <definedName name="Z_0F6BA88F_F1C4_4C06_A527_0FB545F1DFFA_.wvu.FilterData" localSheetId="0" hidden="1">Merged_COEM!$B$59:$AN$276</definedName>
    <definedName name="Z_0F860EF4_5649_4931_8506_A849C414452A_.wvu.FilterData" localSheetId="0" hidden="1">Merged_COEM!$B$59:$AN$59</definedName>
    <definedName name="Z_0FE0C546_D282_4F4F_9A5D_4EC84C00DA49_.wvu.FilterData" localSheetId="0" hidden="1">Merged_COEM!$A$59:$AN$276</definedName>
    <definedName name="Z_0FE0C546_D282_4F4F_9A5D_4EC84C00DA49_.wvu.FilterData" localSheetId="1" hidden="1">Merged_JOEM!$B$59:$AO$378</definedName>
    <definedName name="Z_100C8711_49F0_420E_8575_3C1810AF7CC3_.wvu.FilterData" localSheetId="0" hidden="1">Merged_COEM!$B$59:$AN$276</definedName>
    <definedName name="Z_1041A54E_BA3B_4139_9F70_A0421929FFA9_.wvu.FilterData" localSheetId="0" hidden="1">Merged_COEM!$B$59:$AN$276</definedName>
    <definedName name="Z_1041A54E_BA3B_4139_9F70_A0421929FFA9_.wvu.FilterData" localSheetId="1" hidden="1">Merged_JOEM!$B$59:$AO$378</definedName>
    <definedName name="Z_104AE5AC_8222_46F3_AF76_9492CA93E999_.wvu.FilterData" localSheetId="1" hidden="1">Merged_JOEM!$B$59:$AO$378</definedName>
    <definedName name="Z_106E01A2_3463_4675_BE98_7276F6DD7ABE_.wvu.FilterData" localSheetId="0" hidden="1">Merged_COEM!$B$59:$AN$276</definedName>
    <definedName name="Z_109719FC_9F9F_439F_A1A0_CE98C74F9A21_.wvu.FilterData" localSheetId="1" hidden="1">Merged_JOEM!$B$59:$AO$378</definedName>
    <definedName name="Z_109D4996_9949_4FB4_B04D_C5C7F29005EB_.wvu.FilterData" localSheetId="0" hidden="1">Merged_COEM!$A$59:$AN$276</definedName>
    <definedName name="Z_109D4996_9949_4FB4_B04D_C5C7F29005EB_.wvu.FilterData" localSheetId="1" hidden="1">Merged_JOEM!$B$59:$AO$378</definedName>
    <definedName name="Z_10AEEA8C_92E9_4868_801E_16751B8F1C9F_.wvu.FilterData" localSheetId="0" hidden="1">Merged_COEM!$A$59:$AN$276</definedName>
    <definedName name="Z_10AEEA8C_92E9_4868_801E_16751B8F1C9F_.wvu.FilterData" localSheetId="1" hidden="1">Merged_JOEM!$B$59:$AO$378</definedName>
    <definedName name="Z_10B5054A_878E_4E14_88A5_58B709AC46BE_.wvu.FilterData" localSheetId="0" hidden="1">Merged_COEM!$A$59:$AN$276</definedName>
    <definedName name="Z_10B5054A_878E_4E14_88A5_58B709AC46BE_.wvu.FilterData" localSheetId="1" hidden="1">Merged_JOEM!$B$59:$AO$378</definedName>
    <definedName name="Z_10E136EE_B2B1_4355_9FCB_5A0039AE30E2_.wvu.FilterData" localSheetId="0" hidden="1">Merged_COEM!$B$59:$AN$276</definedName>
    <definedName name="Z_10E5D60D_EE42_475F_834F_783FBB7D2415_.wvu.FilterData" localSheetId="0" hidden="1">Merged_COEM!$A$59:$AN$276</definedName>
    <definedName name="Z_11339B11_1F4C_454D_B7AC_2AE6663A7C4F_.wvu.FilterData" localSheetId="1" hidden="1">Merged_JOEM!$B$59:$AO$378</definedName>
    <definedName name="Z_11367D4E_C5EB_41D2_9AC8_81DB66FC75D0_.wvu.FilterData" localSheetId="0" hidden="1">Merged_COEM!$A$59:$AN$276</definedName>
    <definedName name="Z_11367D4E_C5EB_41D2_9AC8_81DB66FC75D0_.wvu.FilterData" localSheetId="1" hidden="1">Merged_JOEM!$B$59:$AO$378</definedName>
    <definedName name="Z_116418F4_56D0_4EC6_8B2B_A553419BA468_.wvu.FilterData" localSheetId="0" hidden="1">Merged_COEM!$A$59:$AN$276</definedName>
    <definedName name="Z_116C406F_56EF_4929_AB69_7B88A04CBA56_.wvu.FilterData" localSheetId="0" hidden="1">Merged_COEM!$B$59:$AN$59</definedName>
    <definedName name="Z_119BB688_51FD_4E28_B976_424CDF204D2F_.wvu.FilterData" localSheetId="0" hidden="1">Merged_COEM!$A$59:$AN$276</definedName>
    <definedName name="Z_119BB688_51FD_4E28_B976_424CDF204D2F_.wvu.FilterData" localSheetId="1" hidden="1">Merged_JOEM!$B$59:$AO$378</definedName>
    <definedName name="Z_11B267B4_CCB5_4FD4_A4ED_6557FC3F3694_.wvu.FilterData" localSheetId="0" hidden="1">Merged_COEM!$A$59:$AN$276</definedName>
    <definedName name="Z_11B27346_2E80_4400_8BF0_9F583CD5AE0C_.wvu.FilterData" localSheetId="1" hidden="1">Merged_JOEM!$A$59:$AO$378</definedName>
    <definedName name="Z_120A6944_24D5_4B4D_A680_95B4E8DC27D1_.wvu.FilterData" localSheetId="0" hidden="1">Merged_COEM!$A$59:$AN$276</definedName>
    <definedName name="Z_120A6944_24D5_4B4D_A680_95B4E8DC27D1_.wvu.FilterData" localSheetId="1" hidden="1">Merged_JOEM!$B$59:$AO$378</definedName>
    <definedName name="Z_125E42F3_18DE_4272_A548_D075330F5284_.wvu.FilterData" localSheetId="0" hidden="1">Merged_COEM!$A$59:$AN$276</definedName>
    <definedName name="Z_125E42F3_18DE_4272_A548_D075330F5284_.wvu.FilterData" localSheetId="1" hidden="1">Merged_JOEM!$B$59:$AO$378</definedName>
    <definedName name="Z_126B9B84_8631_45A2_A779_A57C4FD4919E_.wvu.FilterData" localSheetId="0" hidden="1">Merged_COEM!$A$59:$AN$276</definedName>
    <definedName name="Z_126B9B84_8631_45A2_A779_A57C4FD4919E_.wvu.FilterData" localSheetId="1" hidden="1">Merged_JOEM!$B$59:$AO$378</definedName>
    <definedName name="Z_12E63D18_AE00_4A77_9D9D_5CD4A725408F_.wvu.FilterData" localSheetId="1" hidden="1">Merged_JOEM!$B$59:$AO$378</definedName>
    <definedName name="Z_1316A344_8526_4A5A_91CB_0B6860CD7B09_.wvu.FilterData" localSheetId="0" hidden="1">Merged_COEM!$A$59:$AN$276</definedName>
    <definedName name="Z_132C6898_7BD8_4053_9284_49B13D9C8D59_.wvu.FilterData" localSheetId="0" hidden="1">Merged_COEM!$B$59:$AN$276</definedName>
    <definedName name="Z_132C6898_7BD8_4053_9284_49B13D9C8D59_.wvu.FilterData" localSheetId="1" hidden="1">Merged_JOEM!$B$59:$AO$59</definedName>
    <definedName name="Z_13421632_55CA_4586_B03E_1FC519AC043B_.wvu.FilterData" localSheetId="0" hidden="1">Merged_COEM!$A$59:$AN$276</definedName>
    <definedName name="Z_13421632_55CA_4586_B03E_1FC519AC043B_.wvu.FilterData" localSheetId="1" hidden="1">Merged_JOEM!$B$59:$AO$378</definedName>
    <definedName name="Z_1391603B_6A6E_46FF_B372_B3CCAB0A5C63_.wvu.FilterData" localSheetId="1" hidden="1">Merged_JOEM!$B$59:$AO$361</definedName>
    <definedName name="Z_13D753A3_CE60_40EB_A804_FE15F2D0434D_.wvu.FilterData" localSheetId="0" hidden="1">Merged_COEM!$A$59:$AN$276</definedName>
    <definedName name="Z_13D753A3_CE60_40EB_A804_FE15F2D0434D_.wvu.FilterData" localSheetId="1" hidden="1">Merged_JOEM!$B$59:$AO$378</definedName>
    <definedName name="Z_1423035C_B8AF_4653_8B0C_9092ECDBF18B_.wvu.FilterData" localSheetId="0" hidden="1">Merged_COEM!$A$59:$AN$276</definedName>
    <definedName name="Z_1423035C_B8AF_4653_8B0C_9092ECDBF18B_.wvu.FilterData" localSheetId="1" hidden="1">Merged_JOEM!$B$59:$AO$378</definedName>
    <definedName name="Z_1526C5D1_39A4_476A_A103_8C25B10F88FA_.wvu.FilterData" localSheetId="0" hidden="1">Merged_COEM!$A$59:$AN$276</definedName>
    <definedName name="Z_15371536_E25B_4394_AFEE_8C1471C3F7FA_.wvu.FilterData" localSheetId="0" hidden="1">Merged_COEM!$B$59:$AN$276</definedName>
    <definedName name="Z_1537C3BA_F79C_4FFA_A645_D0CBCE26A11A_.wvu.FilterData" localSheetId="0" hidden="1">Merged_COEM!$A$59:$AN$276</definedName>
    <definedName name="Z_1537C3BA_F79C_4FFA_A645_D0CBCE26A11A_.wvu.FilterData" localSheetId="1" hidden="1">Merged_JOEM!$B$59:$AO$378</definedName>
    <definedName name="Z_156E4056_F49A_414F_A7D8_B7690A0A76E9_.wvu.FilterData" localSheetId="1" hidden="1">Merged_JOEM!$B$59:$AO$378</definedName>
    <definedName name="Z_1594703F_52BA_4A64_97E2_52459A1FCA6A_.wvu.FilterData" localSheetId="0" hidden="1">Merged_COEM!$A$59:$AN$276</definedName>
    <definedName name="Z_15C8F586_C4FB_448A_B0BF_A38D86E677C3_.wvu.FilterData" localSheetId="1" hidden="1">Merged_JOEM!$B$59:$AO$378</definedName>
    <definedName name="Z_16059B22_ECA7_4CF0_A34D_CD415168CA09_.wvu.FilterData" localSheetId="0" hidden="1">Merged_COEM!$A$59:$AN$276</definedName>
    <definedName name="Z_16059B22_ECA7_4CF0_A34D_CD415168CA09_.wvu.FilterData" localSheetId="1" hidden="1">Merged_JOEM!$B$59:$AO$378</definedName>
    <definedName name="Z_16B3EF51_5A18_4A6F_92F4_E9214261E509_.wvu.FilterData" localSheetId="0" hidden="1">Merged_COEM!$B$59:$AN$276</definedName>
    <definedName name="Z_16B45F7C_0861_42E7_9410_12BF8F37DCD7_.wvu.FilterData" localSheetId="0" hidden="1">Merged_COEM!$B$59:$AN$276</definedName>
    <definedName name="Z_16F63D1D_5D08_4984_94E5_2BF0D97B7171_.wvu.FilterData" localSheetId="0" hidden="1">Merged_COEM!$B$59:$AN$276</definedName>
    <definedName name="Z_17183E33_A213_4F3F_9870_F1D7F2A6838A_.wvu.FilterData" localSheetId="0" hidden="1">Merged_COEM!$A$59:$AN$276</definedName>
    <definedName name="Z_174A6792_5EF5_42CE_9B3B_86F53BE71447_.wvu.FilterData" localSheetId="0" hidden="1">Merged_COEM!$B$59:$AN$276</definedName>
    <definedName name="Z_176FC70B_AC0D_4734_B7F2_807063B27563_.wvu.FilterData" localSheetId="0" hidden="1">Merged_COEM!$A$59:$AN$276</definedName>
    <definedName name="Z_176FC70B_AC0D_4734_B7F2_807063B27563_.wvu.FilterData" localSheetId="1" hidden="1">Merged_JOEM!$B$59:$AO$378</definedName>
    <definedName name="Z_177E9F46_91FD_4B8A_A333_529CDC2DA674_.wvu.FilterData" localSheetId="0" hidden="1">Merged_COEM!$A$59:$AN$276</definedName>
    <definedName name="Z_177E9F46_91FD_4B8A_A333_529CDC2DA674_.wvu.FilterData" localSheetId="1" hidden="1">Merged_JOEM!$B$59:$AO$378</definedName>
    <definedName name="Z_17925642_6879_487D_ADC0_372D49287D2A_.wvu.FilterData" localSheetId="0" hidden="1">Merged_COEM!$A$59:$AN$276</definedName>
    <definedName name="Z_17925642_6879_487D_ADC0_372D49287D2A_.wvu.FilterData" localSheetId="1" hidden="1">Merged_JOEM!$B$59:$AO$378</definedName>
    <definedName name="Z_17A5DA2D_485D_40DC_A1E4_8633668BB65B_.wvu.FilterData" localSheetId="0" hidden="1">Merged_COEM!$B$59:$AN$276</definedName>
    <definedName name="Z_17A5DA2D_485D_40DC_A1E4_8633668BB65B_.wvu.FilterData" localSheetId="1" hidden="1">Merged_JOEM!$B$59:$AO$378</definedName>
    <definedName name="Z_17DCD286_A487_41B1_B0C4_275BAC0824F7_.wvu.FilterData" localSheetId="0" hidden="1">Merged_COEM!$B$59:$AN$276</definedName>
    <definedName name="Z_18167987_96B8_43EA_AF4B_66ABD6146BE9_.wvu.FilterData" localSheetId="0" hidden="1">Merged_COEM!$A$59:$AN$276</definedName>
    <definedName name="Z_1838E38E_0617_4284_B70D_EE93F3730ED0_.wvu.FilterData" localSheetId="0" hidden="1">Merged_COEM!$B$59:$AN$276</definedName>
    <definedName name="Z_187FE33E_091F_48F5_82B1_AC56446A11C1_.wvu.FilterData" localSheetId="1" hidden="1">Merged_JOEM!$A$59:$AO$378</definedName>
    <definedName name="Z_18D6C49E_A264_40A0_9D3C_E160CA9C6985_.wvu.FilterData" localSheetId="0" hidden="1">Merged_COEM!$A$59:$AN$276</definedName>
    <definedName name="Z_18DAB64C_A110_440D_BD05_8C8934D438D1_.wvu.FilterData" localSheetId="1" hidden="1">Merged_JOEM!$B$59:$AO$161</definedName>
    <definedName name="Z_19402149_6114_4022_B33D_3C375B841BD8_.wvu.FilterData" localSheetId="0" hidden="1">Merged_COEM!$A$59:$AN$276</definedName>
    <definedName name="Z_196C0D80_4B49_4FD3_AFF6_0329EC11035B_.wvu.FilterData" localSheetId="0" hidden="1">Merged_COEM!$B$59:$AN$276</definedName>
    <definedName name="Z_196C0D80_4B49_4FD3_AFF6_0329EC11035B_.wvu.FilterData" localSheetId="1" hidden="1">Merged_JOEM!$B$59:$AO$178</definedName>
    <definedName name="Z_19C10499_1C82_4658_9ED5_360DC92ADBB8_.wvu.FilterData" localSheetId="0" hidden="1">Merged_COEM!$P$59:$P$276</definedName>
    <definedName name="Z_19C10499_1C82_4658_9ED5_360DC92ADBB8_.wvu.FilterData" localSheetId="1" hidden="1">Merged_JOEM!$B$59:$AO$378</definedName>
    <definedName name="Z_19CD5048_EBFC_47E8_9FD0_E73DC58D3596_.wvu.FilterData" localSheetId="0" hidden="1">Merged_COEM!$A$59:$AN$276</definedName>
    <definedName name="Z_19E70FA6_76EC_4013_BD14_B17194DFAAED_.wvu.FilterData" localSheetId="0" hidden="1">Merged_COEM!$B$59:$AN$276</definedName>
    <definedName name="Z_1A235C55_4FC8_4A85_B5B2_85253D71C4D6_.wvu.FilterData" localSheetId="0" hidden="1">Merged_COEM!$A$59:$AN$276</definedName>
    <definedName name="Z_1A40DE1E_71BB_4C99_BB8D_F9966378505E_.wvu.FilterData" localSheetId="0" hidden="1">Merged_COEM!$B$59:$AN$59</definedName>
    <definedName name="Z_1A5BFD88_E43E_4716_8049_DB20E7CD9B79_.wvu.FilterData" localSheetId="0" hidden="1">Merged_COEM!$A$59:$AN$276</definedName>
    <definedName name="Z_1A5BFD88_E43E_4716_8049_DB20E7CD9B79_.wvu.FilterData" localSheetId="1" hidden="1">Merged_JOEM!$B$59:$AO$359</definedName>
    <definedName name="Z_1AC2B816_4921_47E2_914A_EF005FD281CF_.wvu.FilterData" localSheetId="1" hidden="1">Merged_JOEM!$B$59:$AO$378</definedName>
    <definedName name="Z_1B258722_B399_4C25_91A3_86BCFCE1DDB0_.wvu.FilterData" localSheetId="0" hidden="1">Merged_COEM!$B$59:$AN$276</definedName>
    <definedName name="Z_1B258722_B399_4C25_91A3_86BCFCE1DDB0_.wvu.FilterData" localSheetId="1" hidden="1">Merged_JOEM!$B$59:$AO$378</definedName>
    <definedName name="Z_1B4D24DE_B85A_4A3A_8CD0_1A40E6C2EC53_.wvu.FilterData" localSheetId="0" hidden="1">Merged_COEM!$B$59:$AN$276</definedName>
    <definedName name="Z_1B5A17C9_3A39_47DF_8140_88DA3B3AFAA5_.wvu.FilterData" localSheetId="0" hidden="1">Merged_COEM!$A$59:$AN$276</definedName>
    <definedName name="Z_1B7B88DD_0F8D_4BC2_AA4B_D8D802FE1AA4_.wvu.FilterData" localSheetId="0" hidden="1">Merged_COEM!$A$59:$AN$276</definedName>
    <definedName name="Z_1B7B88DD_0F8D_4BC2_AA4B_D8D802FE1AA4_.wvu.FilterData" localSheetId="1" hidden="1">Merged_JOEM!$B$59:$AO$378</definedName>
    <definedName name="Z_1BB5EA1F_AAE2_4EFE_AB90_D7BAC0E4951F_.wvu.FilterData" localSheetId="1" hidden="1">Merged_JOEM!$B$59:$AO$378</definedName>
    <definedName name="Z_1BFCAE6D_00EB_4CA0_9800_157E5C060610_.wvu.FilterData" localSheetId="0" hidden="1">Merged_COEM!$B$59:$AN$59</definedName>
    <definedName name="Z_1C772275_C5B7_4D48_A14A_229344678FAE_.wvu.FilterData" localSheetId="0" hidden="1">Merged_COEM!$A$59:$AN$276</definedName>
    <definedName name="Z_1C981C37_6033_4BA7_A26F_21A7E6B2A5A7_.wvu.FilterData" localSheetId="1" hidden="1">Merged_JOEM!$B$59:$AO$378</definedName>
    <definedName name="Z_1CB84568_0C36_49EF_BD1E_29708DF91946_.wvu.FilterData" localSheetId="0" hidden="1">Merged_COEM!$B$59:$AN$276</definedName>
    <definedName name="Z_1CD1B0AD_724D_4F54_AF9A_84E1CFD23A6B_.wvu.FilterData" localSheetId="0" hidden="1">Merged_COEM!$A$59:$AN$276</definedName>
    <definedName name="Z_1CD1B0AD_724D_4F54_AF9A_84E1CFD23A6B_.wvu.FilterData" localSheetId="1" hidden="1">Merged_JOEM!$B$59:$AO$378</definedName>
    <definedName name="Z_1D04BE73_4CE1_42DC_8926_88E837CF485C_.wvu.FilterData" localSheetId="0" hidden="1">Merged_COEM!$A$59:$AN$276</definedName>
    <definedName name="Z_1D04BE73_4CE1_42DC_8926_88E837CF485C_.wvu.FilterData" localSheetId="1" hidden="1">Merged_JOEM!$B$59:$AO$361</definedName>
    <definedName name="Z_1DF1AE50_72FB_42B0_A9FE_2F7F55E5FC3D_.wvu.FilterData" localSheetId="0" hidden="1">Merged_COEM!$B$59:$AN$59</definedName>
    <definedName name="Z_1DF1AE50_72FB_42B0_A9FE_2F7F55E5FC3D_.wvu.FilterData" localSheetId="1" hidden="1">Merged_JOEM!$B$59:$AO$378</definedName>
    <definedName name="Z_1DFB8212_3832_498A_B5C3_A4ED391E71DA_.wvu.FilterData" localSheetId="0" hidden="1">Merged_COEM!$A$59:$AN$276</definedName>
    <definedName name="Z_1E307FCD_934B_4070_BDAA_8F2B33379F52_.wvu.FilterData" localSheetId="0" hidden="1">Merged_COEM!$A$59:$AN$276</definedName>
    <definedName name="Z_1E307FCD_934B_4070_BDAA_8F2B33379F52_.wvu.FilterData" localSheetId="1" hidden="1">Merged_JOEM!$B$59:$AO$378</definedName>
    <definedName name="Z_1EB6B3E5_63BD_427C_BC4A_05AE6CD479C9_.wvu.FilterData" localSheetId="1" hidden="1">Merged_JOEM!$B$59:$AO$299</definedName>
    <definedName name="Z_1EB92C00_41B3_44C5_B202_CC3F5BE48EB6_.wvu.FilterData" localSheetId="0" hidden="1">Merged_COEM!$B$59:$AN$276</definedName>
    <definedName name="Z_1F96DBC8_93B4_4D2A_9E79_36D8B29E1FEF_.wvu.FilterData" localSheetId="0" hidden="1">Merged_COEM!$B$59:$AN$276</definedName>
    <definedName name="Z_1FE7120D_DB13_41F0_9DE6_703B2A3D70B8_.wvu.FilterData" localSheetId="0" hidden="1">Merged_COEM!$A$59:$AN$276</definedName>
    <definedName name="Z_1FE7120D_DB13_41F0_9DE6_703B2A3D70B8_.wvu.FilterData" localSheetId="1" hidden="1">Merged_JOEM!$B$59:$AO$378</definedName>
    <definedName name="Z_200B8BBC_3261_4338_B3CF_1D7E97745833_.wvu.FilterData" localSheetId="0" hidden="1">Merged_COEM!$B$59:$AN$276</definedName>
    <definedName name="Z_20D828CF_D8F7_480A_A8C6_95288479E98C_.wvu.FilterData" localSheetId="0" hidden="1">Merged_COEM!$A$59:$AN$276</definedName>
    <definedName name="Z_20D828CF_D8F7_480A_A8C6_95288479E98C_.wvu.FilterData" localSheetId="1" hidden="1">Merged_JOEM!$B$59:$AO$378</definedName>
    <definedName name="Z_20E2792A_EB36_4E05_99BF_3FFC9CA25990_.wvu.FilterData" localSheetId="0" hidden="1">Merged_COEM!$A$59:$AN$276</definedName>
    <definedName name="Z_20E2792A_EB36_4E05_99BF_3FFC9CA25990_.wvu.FilterData" localSheetId="1" hidden="1">Merged_JOEM!$B$59:$AO$378</definedName>
    <definedName name="Z_2145B3D5_48CB_4714_A789_B89CA5325EF4_.wvu.FilterData" localSheetId="0" hidden="1">Merged_COEM!$B$59:$AN$59</definedName>
    <definedName name="Z_215B5F14_46F1_4C1B_ACAE_BF4088490709_.wvu.FilterData" localSheetId="0" hidden="1">Merged_COEM!$B$59:$AN$276</definedName>
    <definedName name="Z_215B5F14_46F1_4C1B_ACAE_BF4088490709_.wvu.FilterData" localSheetId="1" hidden="1">Merged_JOEM!$B$59:$AO$378</definedName>
    <definedName name="Z_217D1578_1343_4C4E_A44B_C4B1AE16B41C_.wvu.FilterData" localSheetId="0" hidden="1">Merged_COEM!$A$59:$AN$276</definedName>
    <definedName name="Z_217D1578_1343_4C4E_A44B_C4B1AE16B41C_.wvu.FilterData" localSheetId="1" hidden="1">Merged_JOEM!$B$59:$AO$378</definedName>
    <definedName name="Z_21BB3E48_D422_446E_8AB6_8B38771A9F18_.wvu.FilterData" localSheetId="0" hidden="1">Merged_COEM!$B$59:$AN$276</definedName>
    <definedName name="Z_21DAA9F9_C215_428C_BF04_E405FED15D7B_.wvu.FilterData" localSheetId="0" hidden="1">Merged_COEM!$A$59:$AN$276</definedName>
    <definedName name="Z_21DFCA27_D299_4221_887B_C75003D16FAE_.wvu.FilterData" localSheetId="0" hidden="1">Merged_COEM!$A$59:$AN$276</definedName>
    <definedName name="Z_22065CC9_37AB_47EC_BC97_06D6658ADC1B_.wvu.FilterData" localSheetId="1" hidden="1">Merged_JOEM!$B$59:$AO$378</definedName>
    <definedName name="Z_2212EBD6_0145_40AC_835B_EE7C1D799984_.wvu.FilterData" localSheetId="0" hidden="1">Merged_COEM!$B$59:$AN$276</definedName>
    <definedName name="Z_2212EBD6_0145_40AC_835B_EE7C1D799984_.wvu.FilterData" localSheetId="1" hidden="1">Merged_JOEM!$B$59:$AO$364</definedName>
    <definedName name="Z_2291E1DD_CCE6_42EC_B123_A0DA080ADB38_.wvu.FilterData" localSheetId="1" hidden="1">Merged_JOEM!$B$59:$AO$378</definedName>
    <definedName name="Z_230AE275_002A_4985_92AF_B9C07BA0C56D_.wvu.FilterData" localSheetId="0" hidden="1">Merged_COEM!$A$59:$AN$276</definedName>
    <definedName name="Z_230AE275_002A_4985_92AF_B9C07BA0C56D_.wvu.FilterData" localSheetId="1" hidden="1">Merged_JOEM!$B$59:$AO$378</definedName>
    <definedName name="Z_232B9C3A_6049_4DD1_AAEB_B730189E6200_.wvu.FilterData" localSheetId="1" hidden="1">Merged_JOEM!$B$59:$AO$378</definedName>
    <definedName name="Z_237F83C6_2F54_4671_B72D_439DC986FA43_.wvu.FilterData" localSheetId="0" hidden="1">Merged_COEM!$A$59:$AN$276</definedName>
    <definedName name="Z_237F83C6_2F54_4671_B72D_439DC986FA43_.wvu.FilterData" localSheetId="1" hidden="1">Merged_JOEM!$B$59:$AO$378</definedName>
    <definedName name="Z_23D245D9_7B35_44A2_94B6_4223E1EC05C6_.wvu.FilterData" localSheetId="0" hidden="1">Merged_COEM!$A$59:$AN$276</definedName>
    <definedName name="Z_23D245D9_7B35_44A2_94B6_4223E1EC05C6_.wvu.FilterData" localSheetId="1" hidden="1">Merged_JOEM!$B$59:$AO$378</definedName>
    <definedName name="Z_23D7C543_4321_4BD5_A266_51B179CE94C1_.wvu.FilterData" localSheetId="0" hidden="1">Merged_COEM!$A$59:$AN$276</definedName>
    <definedName name="Z_23D7C543_4321_4BD5_A266_51B179CE94C1_.wvu.FilterData" localSheetId="1" hidden="1">Merged_JOEM!$B$59:$AO$378</definedName>
    <definedName name="Z_23DC7BD7_9E86_4988_8BA3_3E1FB758EE08_.wvu.FilterData" localSheetId="0" hidden="1">Merged_COEM!$P$59:$P$276</definedName>
    <definedName name="Z_23DC7BD7_9E86_4988_8BA3_3E1FB758EE08_.wvu.FilterData" localSheetId="1" hidden="1">Merged_JOEM!$B$59:$AO$378</definedName>
    <definedName name="Z_243D98C0_AF41_4E98_98EA_8605BD375B77_.wvu.FilterData" localSheetId="0" hidden="1">Merged_COEM!$B$59:$AN$276</definedName>
    <definedName name="Z_248003BD_EA5C_44B1_A093_224389DDBE20_.wvu.FilterData" localSheetId="0" hidden="1">Merged_COEM!$B$59:$AN$276</definedName>
    <definedName name="Z_248CB9C2_2515_4245_B177_E013F7194BE1_.wvu.FilterData" localSheetId="0" hidden="1">Merged_COEM!$B$59:$AN$276</definedName>
    <definedName name="Z_248CB9C2_2515_4245_B177_E013F7194BE1_.wvu.FilterData" localSheetId="1" hidden="1">Merged_JOEM!$B$59:$AO$187</definedName>
    <definedName name="Z_24F938AF_0FF7_4211_AC75_7C89293FE5CE_.wvu.FilterData" localSheetId="0" hidden="1">Merged_COEM!$B$59:$AN$276</definedName>
    <definedName name="Z_2501AD2B_A07A_49BF_BF9A_AD98671EC307_.wvu.FilterData" localSheetId="0" hidden="1">Merged_COEM!$B$59:$AN$276</definedName>
    <definedName name="Z_250915DF_0B97_45D7_B29D_7EED4C89C1C1_.wvu.FilterData" localSheetId="0" hidden="1">Merged_COEM!$B$59:$AN$276</definedName>
    <definedName name="Z_250915DF_0B97_45D7_B29D_7EED4C89C1C1_.wvu.FilterData" localSheetId="1" hidden="1">Merged_JOEM!$B$59:$AO$59</definedName>
    <definedName name="Z_2524EDF4_CFD1_4CF6_8C84_E557B12D463E_.wvu.FilterData" localSheetId="0" hidden="1">Merged_COEM!$B$59:$AN$276</definedName>
    <definedName name="Z_254527B6_AF1D_4BAA_A397_AA4549043C81_.wvu.FilterData" localSheetId="0" hidden="1">Merged_COEM!$B$59:$AN$276</definedName>
    <definedName name="Z_254527B6_AF1D_4BAA_A397_AA4549043C81_.wvu.FilterData" localSheetId="1" hidden="1">Merged_JOEM!$B$59:$AO$378</definedName>
    <definedName name="Z_257F1EDE_1254_452B_B445_8D23BEE7D0B0_.wvu.FilterData" localSheetId="0" hidden="1">Merged_COEM!$A$59:$AN$276</definedName>
    <definedName name="Z_257F1EDE_1254_452B_B445_8D23BEE7D0B0_.wvu.FilterData" localSheetId="1" hidden="1">Merged_JOEM!$B$59:$AO$378</definedName>
    <definedName name="Z_259D5BFF_B9A1_490C_AB12_1421827E23D6_.wvu.FilterData" localSheetId="0" hidden="1">Merged_COEM!$A$59:$AN$276</definedName>
    <definedName name="Z_25B933AF_E355_4338_8073_05504304F531_.wvu.FilterData" localSheetId="0" hidden="1">Merged_COEM!$A$59:$AN$276</definedName>
    <definedName name="Z_25FBC392_575A_46D5_8F77_708EBF5D79D6_.wvu.FilterData" localSheetId="0" hidden="1">Merged_COEM!$B$59:$AN$276</definedName>
    <definedName name="Z_25FBC392_575A_46D5_8F77_708EBF5D79D6_.wvu.FilterData" localSheetId="1" hidden="1">Merged_JOEM!$B$59:$AO$59</definedName>
    <definedName name="Z_26BAC64C_2904_437F_A519_98D5DAB54A97_.wvu.FilterData" localSheetId="0" hidden="1">Merged_COEM!$B$59:$AN$276</definedName>
    <definedName name="Z_26BAC64C_2904_437F_A519_98D5DAB54A97_.wvu.FilterData" localSheetId="1" hidden="1">Merged_JOEM!$B$59:$AO$378</definedName>
    <definedName name="Z_26D1F5A5_96D6_4E71_B7C1_A23D5D0DBEB6_.wvu.FilterData" localSheetId="0" hidden="1">Merged_COEM!$B$59:$AN$276</definedName>
    <definedName name="Z_2707BC00_D1A8_4E5B_87AC_7CA121E79D65_.wvu.FilterData" localSheetId="0" hidden="1">Merged_COEM!$A$59:$AN$276</definedName>
    <definedName name="Z_2707BC00_D1A8_4E5B_87AC_7CA121E79D65_.wvu.FilterData" localSheetId="1" hidden="1">Merged_JOEM!$B$59:$AO$378</definedName>
    <definedName name="Z_278C5F8A_6BC0_4A01_A343_CB5ED23E686C_.wvu.FilterData" localSheetId="0" hidden="1">Merged_COEM!$B$59:$AN$276</definedName>
    <definedName name="Z_27BF967B_F692_410B_AD5A_60DB2DFE90D2_.wvu.FilterData" localSheetId="0" hidden="1">Merged_COEM!$A$59:$AN$276</definedName>
    <definedName name="Z_27E2C868_80E5_41A9_BEB6_03573AC439B1_.wvu.FilterData" localSheetId="0" hidden="1">Merged_COEM!$B$59:$AN$276</definedName>
    <definedName name="Z_28129A8E_4F11_454E_8B08_01465DFCCE16_.wvu.FilterData" localSheetId="0" hidden="1">Merged_COEM!$B$59:$AN$59</definedName>
    <definedName name="Z_28129A8E_4F11_454E_8B08_01465DFCCE16_.wvu.FilterData" localSheetId="1" hidden="1">Merged_JOEM!$B$59:$AO$59</definedName>
    <definedName name="Z_283D4045_5188_4FA2_AA4A_D83AF43FEE1E_.wvu.FilterData" localSheetId="0" hidden="1">Merged_COEM!$A$59:$AN$276</definedName>
    <definedName name="Z_285DD5EF_1CB5_4C35_A533_25F2740DEC08_.wvu.FilterData" localSheetId="0" hidden="1">Merged_COEM!$B$59:$AN$59</definedName>
    <definedName name="Z_28C8BD23_5329_4874_A7AD_73CAB08624FE_.wvu.FilterData" localSheetId="1" hidden="1">Merged_JOEM!$B$59:$AO$378</definedName>
    <definedName name="Z_29839EDF_F2F9_4AC5_A497_0424D917FB56_.wvu.FilterData" localSheetId="0" hidden="1">Merged_COEM!$B$59:$AN$59</definedName>
    <definedName name="Z_29D3FF7C_BAD6_452E_A054_D8327450372D_.wvu.FilterData" localSheetId="0" hidden="1">Merged_COEM!$A$59:$AN$276</definedName>
    <definedName name="Z_29D3FF7C_BAD6_452E_A054_D8327450372D_.wvu.FilterData" localSheetId="1" hidden="1">Merged_JOEM!$B$59:$AO$378</definedName>
    <definedName name="Z_2A7AD122_F9C8_4A2C_A59F_C6EA38D19623_.wvu.FilterData" localSheetId="0" hidden="1">Merged_COEM!$A$59:$AN$276</definedName>
    <definedName name="Z_2A87AEEA_C068_4E8D_B462_71380478F684_.wvu.FilterData" localSheetId="0" hidden="1">Merged_COEM!$A$59:$AN$276</definedName>
    <definedName name="Z_2A87AEEA_C068_4E8D_B462_71380478F684_.wvu.FilterData" localSheetId="1" hidden="1">Merged_JOEM!$B$59:$AO$361</definedName>
    <definedName name="Z_2A9975D9_7C20_4632_A4AA_EE470CC19EE0_.wvu.FilterData" localSheetId="0" hidden="1">Merged_COEM!$B$59:$AN$276</definedName>
    <definedName name="Z_2AB2D19C_A4BA_4574_8CD8_E01DB9CEF44C_.wvu.FilterData" localSheetId="0" hidden="1">Merged_COEM!$A$59:$AN$276</definedName>
    <definedName name="Z_2AB2D19C_A4BA_4574_8CD8_E01DB9CEF44C_.wvu.FilterData" localSheetId="1" hidden="1">Merged_JOEM!$B$59:$AO$378</definedName>
    <definedName name="Z_2BB144EC_5E5F_4D44_AD8D_03EF7D4BC90D_.wvu.FilterData" localSheetId="0" hidden="1">Merged_COEM!$A$59:$AN$276</definedName>
    <definedName name="Z_2BB7C7F9_75AA_4B3F_AF2D_E10396E569D3_.wvu.FilterData" localSheetId="0" hidden="1">Merged_COEM!$A$59:$AN$276</definedName>
    <definedName name="Z_2BB7C7F9_75AA_4B3F_AF2D_E10396E569D3_.wvu.FilterData" localSheetId="1" hidden="1">Merged_JOEM!$B$59:$AO$378</definedName>
    <definedName name="Z_2BC2A590_9684_4447_B38C_65C6FB0CEC4B_.wvu.FilterData" localSheetId="0" hidden="1">Merged_COEM!$A$59:$AN$276</definedName>
    <definedName name="Z_2BC2A590_9684_4447_B38C_65C6FB0CEC4B_.wvu.FilterData" localSheetId="1" hidden="1">Merged_JOEM!$B$59:$AO$378</definedName>
    <definedName name="Z_2C16F201_7F88_4F6B_A036_7E2F987161C5_.wvu.FilterData" localSheetId="0" hidden="1">Merged_COEM!$B$59:$AN$59</definedName>
    <definedName name="Z_2C16F201_7F88_4F6B_A036_7E2F987161C5_.wvu.FilterData" localSheetId="1" hidden="1">Merged_JOEM!$B$59:$AO$378</definedName>
    <definedName name="Z_2C1EB19B_B948_4109_9D26_12E6653E5E5A_.wvu.FilterData" localSheetId="0" hidden="1">Merged_COEM!$A$59:$AN$276</definedName>
    <definedName name="Z_2C1EB19B_B948_4109_9D26_12E6653E5E5A_.wvu.FilterData" localSheetId="1" hidden="1">Merged_JOEM!$B$59:$AO$378</definedName>
    <definedName name="Z_2C27A04D_75A5_4FE3_AE68_5834DFAC52A8_.wvu.FilterData" localSheetId="0" hidden="1">Merged_COEM!$B$59:$AN$276</definedName>
    <definedName name="Z_2C3435F1_E81D_47F6_BD8B_DF1F8AAB8E69_.wvu.FilterData" localSheetId="1" hidden="1">Merged_JOEM!$B$59:$AO$59</definedName>
    <definedName name="Z_2C75BAC8_7BA6_496F_8982_76E32EA3035D_.wvu.FilterData" localSheetId="0" hidden="1">Merged_COEM!$A$59:$AN$276</definedName>
    <definedName name="Z_2C75BAC8_7BA6_496F_8982_76E32EA3035D_.wvu.FilterData" localSheetId="1" hidden="1">Merged_JOEM!$B$59:$AO$378</definedName>
    <definedName name="Z_2C886616_0AF9_404F_A78E_1B98212CF701_.wvu.FilterData" localSheetId="0" hidden="1">Merged_COEM!$A$59:$AN$276</definedName>
    <definedName name="Z_2C886616_0AF9_404F_A78E_1B98212CF701_.wvu.FilterData" localSheetId="1" hidden="1">Merged_JOEM!$B$59:$AO$299</definedName>
    <definedName name="Z_2CCADAE5_91F3_44CC_A6C7_E51C38355C30_.wvu.FilterData" localSheetId="0" hidden="1">Merged_COEM!$B$59:$AN$276</definedName>
    <definedName name="Z_2CDE6A10_25E7_423E_8F6B_59D5BF8F0457_.wvu.FilterData" localSheetId="0" hidden="1">Merged_COEM!$B$59:$AN$276</definedName>
    <definedName name="Z_2D311D13_F455_493F_A4CC_19FFB7B72C04_.wvu.FilterData" localSheetId="1" hidden="1">Merged_JOEM!$B$59:$AO$378</definedName>
    <definedName name="Z_2D809D6B_2E51_47F1_9DCB_0CD6A0D443DD_.wvu.FilterData" localSheetId="0" hidden="1">Merged_COEM!$A$59:$AN$276</definedName>
    <definedName name="Z_2D809D6B_2E51_47F1_9DCB_0CD6A0D443DD_.wvu.FilterData" localSheetId="1" hidden="1">Merged_JOEM!$B$59:$AO$378</definedName>
    <definedName name="Z_2D9C8AE5_DCBC_444F_972E_A405F428F9A1_.wvu.FilterData" localSheetId="0" hidden="1">Merged_COEM!$A$59:$AN$276</definedName>
    <definedName name="Z_2D9C8AE5_DCBC_444F_972E_A405F428F9A1_.wvu.FilterData" localSheetId="1" hidden="1">Merged_JOEM!$B$59:$AO$378</definedName>
    <definedName name="Z_2E090A56_2888_4935_9988_615F66B95039_.wvu.FilterData" localSheetId="0" hidden="1">Merged_COEM!$B$59:$AN$276</definedName>
    <definedName name="Z_2E090A56_2888_4935_9988_615F66B95039_.wvu.FilterData" localSheetId="1" hidden="1">Merged_JOEM!$B$59:$AO$378</definedName>
    <definedName name="Z_2E1DF10E_4379_49C4_9A77_92245BD8B7A4_.wvu.FilterData" localSheetId="0" hidden="1">Merged_COEM!$B$59:$AN$276</definedName>
    <definedName name="Z_2E32B38E_8332_4B76_9525_4C9E4A492B76_.wvu.FilterData" localSheetId="0" hidden="1">Merged_COEM!$A$59:$AN$276</definedName>
    <definedName name="Z_2E32B38E_8332_4B76_9525_4C9E4A492B76_.wvu.FilterData" localSheetId="1" hidden="1">Merged_JOEM!$B$59:$AO$378</definedName>
    <definedName name="Z_2E715778_0FD5_4002_A3DD_663BBC9D2879_.wvu.FilterData" localSheetId="0" hidden="1">Merged_COEM!$B$59:$AN$59</definedName>
    <definedName name="Z_2ECACE1E_D2E3_430C_8EF5_F1F6D824E42A_.wvu.FilterData" localSheetId="0" hidden="1">Merged_COEM!$A$59:$AN$276</definedName>
    <definedName name="Z_2ECACE1E_D2E3_430C_8EF5_F1F6D824E42A_.wvu.FilterData" localSheetId="1" hidden="1">Merged_JOEM!$B$59:$AO$378</definedName>
    <definedName name="Z_2EE4D9DF_B5D6_4F80_B201_455C7DF6B90A_.wvu.FilterData" localSheetId="0" hidden="1">Merged_COEM!$A$59:$AN$276</definedName>
    <definedName name="Z_2F3C6F1C_0905_42C5_A988_784B39582983_.wvu.FilterData" localSheetId="1" hidden="1">Merged_JOEM!$B$59:$AO$161</definedName>
    <definedName name="Z_2F4A13F2_5E21_45ED_9816_32CE9A2BF9E6_.wvu.FilterData" localSheetId="1" hidden="1">Merged_JOEM!$B$59:$AO$378</definedName>
    <definedName name="Z_2F601AC7_90C0_4B91_8424_FA87F0904645_.wvu.FilterData" localSheetId="0" hidden="1">Merged_COEM!$A$59:$AN$276</definedName>
    <definedName name="Z_2F98AE93_1499_4E97_BBE1_A4D77749ECC8_.wvu.FilterData" localSheetId="1" hidden="1">Merged_JOEM!$B$59:$AO$378</definedName>
    <definedName name="Z_2FD7C8F0_78E3_4394_A20B_82E7EACF1033_.wvu.FilterData" localSheetId="1" hidden="1">Merged_JOEM!$B$59:$AO$378</definedName>
    <definedName name="Z_30423F23_C01E_4086_8373_3C7B340DEBD4_.wvu.FilterData" localSheetId="1" hidden="1">Merged_JOEM!$B$59:$AO$378</definedName>
    <definedName name="Z_30448A52_705D_4B87_AE53_EC31210B9026_.wvu.FilterData" localSheetId="0" hidden="1">Merged_COEM!$A$59:$AN$276</definedName>
    <definedName name="Z_30448A52_705D_4B87_AE53_EC31210B9026_.wvu.FilterData" localSheetId="1" hidden="1">Merged_JOEM!$B$59:$AO$378</definedName>
    <definedName name="Z_305A00F3_993A_483E_81F6_40E74F824DFD_.wvu.FilterData" localSheetId="0" hidden="1">Merged_COEM!$A$59:$AN$276</definedName>
    <definedName name="Z_305A00F3_993A_483E_81F6_40E74F824DFD_.wvu.FilterData" localSheetId="1" hidden="1">Merged_JOEM!$B$59:$AO$378</definedName>
    <definedName name="Z_307AA98B_D1DC_46DD_8986_F774A0EA6252_.wvu.FilterData" localSheetId="0" hidden="1">Merged_COEM!$A$59:$AN$276</definedName>
    <definedName name="Z_307AA98B_D1DC_46DD_8986_F774A0EA6252_.wvu.FilterData" localSheetId="1" hidden="1">Merged_JOEM!$A$59:$AO$378</definedName>
    <definedName name="Z_308F0676_A9B9_4C93_A293_C6BBBCA54ABC_.wvu.FilterData" localSheetId="0" hidden="1">Merged_COEM!$A$59:$AN$276</definedName>
    <definedName name="Z_30D2769D_31AE_47C4_90E9_5943152B3935_.wvu.FilterData" localSheetId="1" hidden="1">Merged_JOEM!$B$59:$AO$378</definedName>
    <definedName name="Z_30D9789E_A4FF_40E9_BF67_29ADA8CB1212_.wvu.FilterData" localSheetId="0" hidden="1">Merged_COEM!$B$59:$AN$276</definedName>
    <definedName name="Z_30F8A201_E4CA_4B8D_9C8A_6BF5BBDF1856_.wvu.FilterData" localSheetId="0" hidden="1">Merged_COEM!$A$59:$AN$276</definedName>
    <definedName name="Z_30F8A201_E4CA_4B8D_9C8A_6BF5BBDF1856_.wvu.FilterData" localSheetId="1" hidden="1">Merged_JOEM!$B$59:$AO$378</definedName>
    <definedName name="Z_30F91928_68DC_482E_AABC_DF89AB048D73_.wvu.FilterData" localSheetId="0" hidden="1">Merged_COEM!$A$59:$AN$276</definedName>
    <definedName name="Z_30F91928_68DC_482E_AABC_DF89AB048D73_.wvu.FilterData" localSheetId="1" hidden="1">Merged_JOEM!$B$59:$AO$378</definedName>
    <definedName name="Z_31148D3F_D233_4B5E_92DE_30A4208F1672_.wvu.FilterData" localSheetId="0" hidden="1">Merged_COEM!$A$59:$AN$276</definedName>
    <definedName name="Z_3130D014_973F_4DF5_B95F_39633D93F2F2_.wvu.FilterData" localSheetId="0" hidden="1">Merged_COEM!$A$59:$AN$276</definedName>
    <definedName name="Z_3133462A_D3FA_4FE1_ABD2_61E150F798D3_.wvu.FilterData" localSheetId="1" hidden="1">Merged_JOEM!$B$59:$AO$161</definedName>
    <definedName name="Z_31A40E8B_548E_40B3_85D0_F053A5085308_.wvu.FilterData" localSheetId="0" hidden="1">Merged_COEM!$A$59:$AN$276</definedName>
    <definedName name="Z_31A40E8B_548E_40B3_85D0_F053A5085308_.wvu.FilterData" localSheetId="1" hidden="1">Merged_JOEM!$B$59:$AO$378</definedName>
    <definedName name="Z_31C69DF1_717A_44B4_994F_4E04A34352F1_.wvu.FilterData" localSheetId="0" hidden="1">Merged_COEM!$A$59:$AN$276</definedName>
    <definedName name="Z_31C69DF1_717A_44B4_994F_4E04A34352F1_.wvu.FilterData" localSheetId="1" hidden="1">Merged_JOEM!$B$59:$AO$378</definedName>
    <definedName name="Z_323A885D_1080_4AF5_BB90_51C9DB809B81_.wvu.FilterData" localSheetId="1" hidden="1">Merged_JOEM!$B$59:$AO$378</definedName>
    <definedName name="Z_32729BE2_CE6D_48B4_9FE3_17B76C7F84DA_.wvu.FilterData" localSheetId="0" hidden="1">Merged_COEM!$P$59:$P$276</definedName>
    <definedName name="Z_32729BE2_CE6D_48B4_9FE3_17B76C7F84DA_.wvu.FilterData" localSheetId="1" hidden="1">Merged_JOEM!$B$59:$AO$378</definedName>
    <definedName name="Z_32CF4A84_8FC1_4D38_AC73_2F512DEF9691_.wvu.FilterData" localSheetId="0" hidden="1">Merged_COEM!$A$59:$AN$276</definedName>
    <definedName name="Z_3345BC5A_CC76_4F40_86EC_40755CA3F9AE_.wvu.FilterData" localSheetId="1" hidden="1">Merged_JOEM!$B$59:$AO$178</definedName>
    <definedName name="Z_33669B64_3C97_4D43_8C65_7CA6DCADE2DE_.wvu.FilterData" localSheetId="0" hidden="1">Merged_COEM!$A$59:$AN$276</definedName>
    <definedName name="Z_33669B64_3C97_4D43_8C65_7CA6DCADE2DE_.wvu.FilterData" localSheetId="1" hidden="1">Merged_JOEM!$B$59:$AO$378</definedName>
    <definedName name="Z_336B6883_2145_4B58_921E_CEC7185A847E_.wvu.Cols" localSheetId="1" hidden="1">Merged_JOEM!$AK:$AL</definedName>
    <definedName name="Z_336B6883_2145_4B58_921E_CEC7185A847E_.wvu.FilterData" localSheetId="0" hidden="1">Merged_COEM!$A$59:$AO$276</definedName>
    <definedName name="Z_336B6883_2145_4B58_921E_CEC7185A847E_.wvu.FilterData" localSheetId="1" hidden="1">Merged_JOEM!$A$59:$AP$364</definedName>
    <definedName name="Z_3379F5D4_5E76_428C_9353_FFA4709A8F67_.wvu.FilterData" localSheetId="0" hidden="1">Merged_COEM!$A$59:$AN$276</definedName>
    <definedName name="Z_3379F5D4_5E76_428C_9353_FFA4709A8F67_.wvu.FilterData" localSheetId="1" hidden="1">Merged_JOEM!$B$59:$AO$378</definedName>
    <definedName name="Z_340679E5_EE95_46DD_AAED_AB4132625FC4_.wvu.FilterData" localSheetId="0" hidden="1">Merged_COEM!$A$59:$AN$276</definedName>
    <definedName name="Z_340679E5_EE95_46DD_AAED_AB4132625FC4_.wvu.FilterData" localSheetId="1" hidden="1">Merged_JOEM!$B$59:$AO$378</definedName>
    <definedName name="Z_344EEA56_6BC2_4C08_A66E_76ACD5FD97D2_.wvu.FilterData" localSheetId="0" hidden="1">Merged_COEM!$B$59:$AN$276</definedName>
    <definedName name="Z_344EEA56_6BC2_4C08_A66E_76ACD5FD97D2_.wvu.FilterData" localSheetId="1" hidden="1">Merged_JOEM!$B$59:$AO$187</definedName>
    <definedName name="Z_3454A632_76A6_484A_8638_335735B463D0_.wvu.FilterData" localSheetId="0" hidden="1">Merged_COEM!$A$59:$AN$276</definedName>
    <definedName name="Z_3454A632_76A6_484A_8638_335735B463D0_.wvu.FilterData" localSheetId="1" hidden="1">Merged_JOEM!$B$59:$AO$378</definedName>
    <definedName name="Z_35056E6E_D60B_468D_9B77_E32CA6AEE68F_.wvu.FilterData" localSheetId="0" hidden="1">Merged_COEM!$B$59:$AN$59</definedName>
    <definedName name="Z_35056E6E_D60B_468D_9B77_E32CA6AEE68F_.wvu.FilterData" localSheetId="1" hidden="1">Merged_JOEM!$B$59:$AO$378</definedName>
    <definedName name="Z_35093431_C8B3_4696_9544_35055295CB21_.wvu.FilterData" localSheetId="0" hidden="1">Merged_COEM!$A$59:$AN$276</definedName>
    <definedName name="Z_352F7979_7891_4C3B_A1C2_F092716CECF2_.wvu.FilterData" localSheetId="0" hidden="1">Merged_COEM!$A$59:$AN$276</definedName>
    <definedName name="Z_35786AA9_2E48_405B_9347_0ADA1F299865_.wvu.FilterData" localSheetId="1" hidden="1">Merged_JOEM!$B$59:$AO$378</definedName>
    <definedName name="Z_36540C60_265F_4498_B23A_15E0886B2552_.wvu.FilterData" localSheetId="0" hidden="1">Merged_COEM!$A$59:$AN$276</definedName>
    <definedName name="Z_36599628_2389_4803_851A_D6E5004D8A4F_.wvu.FilterData" localSheetId="0" hidden="1">Merged_COEM!$A$59:$AN$276</definedName>
    <definedName name="Z_36623BD2_CACF_4A31_9FDE_180BE1FBD22D_.wvu.FilterData" localSheetId="0" hidden="1">Merged_COEM!$A$59:$AN$276</definedName>
    <definedName name="Z_36B89FCF_06F8_420B_B5B7_D30030E7DBE9_.wvu.FilterData" localSheetId="0" hidden="1">Merged_COEM!$B$59:$AN$276</definedName>
    <definedName name="Z_37D52611_97BF_4663_B0C9_452BE2CC99A7_.wvu.FilterData" localSheetId="0" hidden="1">Merged_COEM!$A$59:$AN$276</definedName>
    <definedName name="Z_37D52611_97BF_4663_B0C9_452BE2CC99A7_.wvu.FilterData" localSheetId="1" hidden="1">Merged_JOEM!$B$59:$AO$378</definedName>
    <definedName name="Z_3874996D_2C2B_4338_B6B4_F3173CC1B067_.wvu.FilterData" localSheetId="0" hidden="1">Merged_COEM!$B$59:$AN$276</definedName>
    <definedName name="Z_389C76C2_C502_4EAE_BD4B_6D7DAF4A1938_.wvu.FilterData" localSheetId="0" hidden="1">Merged_COEM!$A$59:$AN$276</definedName>
    <definedName name="Z_39427D5B_F473_4CF7_84AB_A752B113723A_.wvu.FilterData" localSheetId="1" hidden="1">Merged_JOEM!$B$59:$AO$378</definedName>
    <definedName name="Z_399A2B8F_620D_4119_8345_C1BC98E6FDED_.wvu.FilterData" localSheetId="0" hidden="1">Merged_COEM!$A$59:$AN$276</definedName>
    <definedName name="Z_399C486A_9592_41E4_A1C6_7F42CC0D6B08_.wvu.FilterData" localSheetId="0" hidden="1">Merged_COEM!$A$59:$AN$276</definedName>
    <definedName name="Z_399C486A_9592_41E4_A1C6_7F42CC0D6B08_.wvu.FilterData" localSheetId="1" hidden="1">Merged_JOEM!$B$59:$AO$378</definedName>
    <definedName name="Z_39E4AC89_7841_4E5A_8620_536EED1E7344_.wvu.FilterData" localSheetId="0" hidden="1">Merged_COEM!$A$59:$AN$276</definedName>
    <definedName name="Z_39E4AC89_7841_4E5A_8620_536EED1E7344_.wvu.FilterData" localSheetId="1" hidden="1">Merged_JOEM!$B$59:$AO$378</definedName>
    <definedName name="Z_3A3DB99F_F462_44E1_B1E7_E76CEAEEA419_.wvu.FilterData" localSheetId="0" hidden="1">Merged_COEM!$A$59:$AN$276</definedName>
    <definedName name="Z_3A3DB99F_F462_44E1_B1E7_E76CEAEEA419_.wvu.FilterData" localSheetId="1" hidden="1">Merged_JOEM!$B$59:$AO$378</definedName>
    <definedName name="Z_3A801556_43C5_4BD3_9032_2EEFBEA893C0_.wvu.FilterData" localSheetId="1" hidden="1">Merged_JOEM!$B$59:$AO$378</definedName>
    <definedName name="Z_3B3E6719_EACB_4D2C_89C1_05FFAB6020FD_.wvu.FilterData" localSheetId="0" hidden="1">Merged_COEM!$A$59:$AN$276</definedName>
    <definedName name="Z_3B3E6719_EACB_4D2C_89C1_05FFAB6020FD_.wvu.FilterData" localSheetId="1" hidden="1">Merged_JOEM!$B$59:$AO$378</definedName>
    <definedName name="Z_3B45C606_206A_455F_B529_DFEB684DA3EB_.wvu.FilterData" localSheetId="1" hidden="1">Merged_JOEM!$B$59:$AO$378</definedName>
    <definedName name="Z_3B4E6437_AA27_4825_92C4_EE0CE894630B_.wvu.FilterData" localSheetId="1" hidden="1">Merged_JOEM!$B$59:$AO$378</definedName>
    <definedName name="Z_3B954526_77A2_415B_8A44_A388EFC846B3_.wvu.FilterData" localSheetId="0" hidden="1">Merged_COEM!$A$59:$AN$276</definedName>
    <definedName name="Z_3C3D8148_CC77_4F21_831C_F88D10B59C24_.wvu.FilterData" localSheetId="1" hidden="1">Merged_JOEM!$B$59:$AO$378</definedName>
    <definedName name="Z_3C5C5F0C_A99F_4360_9E8D_ACCAA835E36C_.wvu.FilterData" localSheetId="1" hidden="1">Merged_JOEM!$B$59:$AO$378</definedName>
    <definedName name="Z_3C655203_AF54_4D78_9B49_97A7CD4D8215_.wvu.FilterData" localSheetId="0" hidden="1">Merged_COEM!$A$59:$AN$276</definedName>
    <definedName name="Z_3C655203_AF54_4D78_9B49_97A7CD4D8215_.wvu.FilterData" localSheetId="1" hidden="1">Merged_JOEM!$B$59:$AO$322</definedName>
    <definedName name="Z_3D319F24_B362_48C8_A252_D52A4F030729_.wvu.FilterData" localSheetId="0" hidden="1">Merged_COEM!$A$59:$AN$276</definedName>
    <definedName name="Z_3D319F24_B362_48C8_A252_D52A4F030729_.wvu.FilterData" localSheetId="1" hidden="1">Merged_JOEM!$B$59:$AO$299</definedName>
    <definedName name="Z_3D4CD47C_226B_4FF1_88AF_593F8969A0FD_.wvu.FilterData" localSheetId="0" hidden="1">Merged_COEM!$A$59:$AN$276</definedName>
    <definedName name="Z_3D54CD23_2FEE_40F8_A8B7_09F41792F775_.wvu.FilterData" localSheetId="0" hidden="1">Merged_COEM!$A$59:$AN$276</definedName>
    <definedName name="Z_3D54CD23_2FEE_40F8_A8B7_09F41792F775_.wvu.FilterData" localSheetId="1" hidden="1">Merged_JOEM!$B$59:$AO$378</definedName>
    <definedName name="Z_3D7BABCB_AA37_444A_92D9_A68030303D60_.wvu.FilterData" localSheetId="0" hidden="1">Merged_COEM!$A$59:$AN$276</definedName>
    <definedName name="Z_3D7BABCB_AA37_444A_92D9_A68030303D60_.wvu.FilterData" localSheetId="1" hidden="1">Merged_JOEM!$B$59:$AO$359</definedName>
    <definedName name="Z_3D91D09F_6D0C_4255_BA2B_6BD947E2FF0E_.wvu.FilterData" localSheetId="0" hidden="1">Merged_COEM!$B$59:$AN$276</definedName>
    <definedName name="Z_3DA6A480_37AA_4361_B359_67BDC8170173_.wvu.FilterData" localSheetId="0" hidden="1">Merged_COEM!$B$59:$AN$276</definedName>
    <definedName name="Z_3DE9B179_E2E6_467A_9DD7_0F3E3A90D04B_.wvu.FilterData" localSheetId="0" hidden="1">Merged_COEM!$A$59:$AN$276</definedName>
    <definedName name="Z_3DF09920_EE81_4793_85ED_952B91BC0FF9_.wvu.FilterData" localSheetId="0" hidden="1">Merged_COEM!$A$59:$AN$276</definedName>
    <definedName name="Z_3DF09920_EE81_4793_85ED_952B91BC0FF9_.wvu.FilterData" localSheetId="1" hidden="1">Merged_JOEM!$B$59:$AO$378</definedName>
    <definedName name="Z_3E3EE777_FBC3_4BBA_B1D6_0E928DBEDF6C_.wvu.FilterData" localSheetId="0" hidden="1">Merged_COEM!$A$59:$AN$276</definedName>
    <definedName name="Z_3E3EE777_FBC3_4BBA_B1D6_0E928DBEDF6C_.wvu.FilterData" localSheetId="1" hidden="1">Merged_JOEM!$B$59:$AO$378</definedName>
    <definedName name="Z_3E3F0822_A017_450A_AAE1_67E212084D3A_.wvu.FilterData" localSheetId="0" hidden="1">Merged_COEM!$A$59:$AN$276</definedName>
    <definedName name="Z_3E3F0822_A017_450A_AAE1_67E212084D3A_.wvu.FilterData" localSheetId="1" hidden="1">Merged_JOEM!$B$59:$AO$378</definedName>
    <definedName name="Z_3E512D20_8B7B_452F_8EE9_28F7DEAB8451_.wvu.FilterData" localSheetId="1" hidden="1">Merged_JOEM!$B$59:$AO$378</definedName>
    <definedName name="Z_3E8FBB19_A64D_448B_81AB_04038F2F5450_.wvu.FilterData" localSheetId="0" hidden="1">Merged_COEM!$A$59:$AN$276</definedName>
    <definedName name="Z_3E996AB7_9F11_4FF7_8D4A_AB69CCF7F453_.wvu.FilterData" localSheetId="0" hidden="1">Merged_COEM!$B$59:$AN$59</definedName>
    <definedName name="Z_3E996AB7_9F11_4FF7_8D4A_AB69CCF7F453_.wvu.FilterData" localSheetId="1" hidden="1">Merged_JOEM!$B$59:$AO$378</definedName>
    <definedName name="Z_3EA4C9FF_8C78_4D45_BDC9_FDE42D0A7F9D_.wvu.FilterData" localSheetId="0" hidden="1">Merged_COEM!$A$59:$AN$276</definedName>
    <definedName name="Z_3EA4C9FF_8C78_4D45_BDC9_FDE42D0A7F9D_.wvu.FilterData" localSheetId="1" hidden="1">Merged_JOEM!$B$59:$AO$378</definedName>
    <definedName name="Z_3F2D718E_A8F5_4195_B9AD_DD90158865D0_.wvu.FilterData" localSheetId="0" hidden="1">Merged_COEM!$A$59:$AN$276</definedName>
    <definedName name="Z_3F2D718E_A8F5_4195_B9AD_DD90158865D0_.wvu.FilterData" localSheetId="1" hidden="1">Merged_JOEM!$B$59:$AO$378</definedName>
    <definedName name="Z_3F3C2FF1_7DE3_44CF_ADEA_69A591BC0518_.wvu.FilterData" localSheetId="0" hidden="1">Merged_COEM!$A$59:$AN$276</definedName>
    <definedName name="Z_3F7EF641_556C_46DE_86B1_8FD08FA7AADD_.wvu.FilterData" localSheetId="1" hidden="1">Merged_JOEM!$B$59:$AO$59</definedName>
    <definedName name="Z_3FCC7E8B_A199_4337_8FE6_AB9A81257F4D_.wvu.FilterData" localSheetId="0" hidden="1">Merged_COEM!$A$59:$AN$276</definedName>
    <definedName name="Z_3FCC7E8B_A199_4337_8FE6_AB9A81257F4D_.wvu.FilterData" localSheetId="1" hidden="1">Merged_JOEM!$B$59:$AO$320</definedName>
    <definedName name="Z_3FE10495_1B6C_4959_94D5_3F24189E452B_.wvu.FilterData" localSheetId="0" hidden="1">Merged_COEM!$A$59:$AN$276</definedName>
    <definedName name="Z_3FE10495_1B6C_4959_94D5_3F24189E452B_.wvu.FilterData" localSheetId="1" hidden="1">Merged_JOEM!$B$59:$AO$378</definedName>
    <definedName name="Z_401E0DCE_A68E_49A9_8102_9884577193E5_.wvu.FilterData" localSheetId="1" hidden="1">Merged_JOEM!$B$59:$AO$378</definedName>
    <definedName name="Z_408759B1_D365_4EF3_9F0A_80849F89D5A9_.wvu.FilterData" localSheetId="0" hidden="1">Merged_COEM!$P$59:$P$276</definedName>
    <definedName name="Z_408759B1_D365_4EF3_9F0A_80849F89D5A9_.wvu.FilterData" localSheetId="1" hidden="1">Merged_JOEM!$B$59:$AO$378</definedName>
    <definedName name="Z_40A964FB_C92A_49B8_9AA3_FE8F219A42A3_.wvu.FilterData" localSheetId="0" hidden="1">Merged_COEM!$B$59:$AN$276</definedName>
    <definedName name="Z_40AE48D6_0DFD_41A8_99EF_9FBE2147282A_.wvu.FilterData" localSheetId="0" hidden="1">Merged_COEM!$A$59:$AN$276</definedName>
    <definedName name="Z_40AFA8E2_F3FF_4F39_A32A_25459D277AE0_.wvu.FilterData" localSheetId="0" hidden="1">Merged_COEM!$A$59:$AN$276</definedName>
    <definedName name="Z_40AFA8E2_F3FF_4F39_A32A_25459D277AE0_.wvu.FilterData" localSheetId="1" hidden="1">Merged_JOEM!$B$59:$AO$361</definedName>
    <definedName name="Z_40BF1B3F_D7A7_44A5_9E76_F1A7A515BB20_.wvu.FilterData" localSheetId="0" hidden="1">Merged_COEM!$B$59:$AN$276</definedName>
    <definedName name="Z_40BF1B3F_D7A7_44A5_9E76_F1A7A515BB20_.wvu.FilterData" localSheetId="1" hidden="1">Merged_JOEM!$B$59:$AO$378</definedName>
    <definedName name="Z_40C743C9_3664_462E_B51F_3B307B7B07CE_.wvu.FilterData" localSheetId="0" hidden="1">Merged_COEM!$B$59:$AN$276</definedName>
    <definedName name="Z_410A5739_65A6_4083_AD75_810DFD50385D_.wvu.FilterData" localSheetId="0" hidden="1">Merged_COEM!$B$59:$AN$276</definedName>
    <definedName name="Z_410A5739_65A6_4083_AD75_810DFD50385D_.wvu.FilterData" localSheetId="1" hidden="1">Merged_JOEM!$B$59:$AO$378</definedName>
    <definedName name="Z_4113A7E6_6C3F_4D64_B0E0_3D21B9E2D7FB_.wvu.FilterData" localSheetId="0" hidden="1">Merged_COEM!$A$59:$AN$276</definedName>
    <definedName name="Z_4113A7E6_6C3F_4D64_B0E0_3D21B9E2D7FB_.wvu.FilterData" localSheetId="1" hidden="1">Merged_JOEM!$B$59:$AO$378</definedName>
    <definedName name="Z_4120AF2A_44CA_4A8D_B613_88148DD0BDC2_.wvu.FilterData" localSheetId="0" hidden="1">Merged_COEM!$A$59:$AN$276</definedName>
    <definedName name="Z_4159EBD5_3F29_43BF_9091_937341109825_.wvu.FilterData" localSheetId="1" hidden="1">Merged_JOEM!$B$59:$AO$378</definedName>
    <definedName name="Z_418BE608_8E05_425D_ADF5_C98828D3118E_.wvu.FilterData" localSheetId="0" hidden="1">Merged_COEM!$A$59:$AN$276</definedName>
    <definedName name="Z_418BE608_8E05_425D_ADF5_C98828D3118E_.wvu.FilterData" localSheetId="1" hidden="1">Merged_JOEM!$B$59:$AO$378</definedName>
    <definedName name="Z_418FE5D8_ED33_487E_935B_D5A73A0239F7_.wvu.FilterData" localSheetId="0" hidden="1">Merged_COEM!$B$59:$AN$276</definedName>
    <definedName name="Z_41B3B5E7_01C8_41FF_922A_4593EFAB73DD_.wvu.FilterData" localSheetId="0" hidden="1">Merged_COEM!$A$59:$AN$276</definedName>
    <definedName name="Z_41B3B5E7_01C8_41FF_922A_4593EFAB73DD_.wvu.FilterData" localSheetId="1" hidden="1">Merged_JOEM!$B$59:$AO$378</definedName>
    <definedName name="Z_41B7224C_354F_4B88_9B98_43627917A540_.wvu.FilterData" localSheetId="0" hidden="1">Merged_COEM!$A$59:$AN$276</definedName>
    <definedName name="Z_41DCA6EC_5692_4454_B626_EEE78EA80FBF_.wvu.FilterData" localSheetId="1" hidden="1">Merged_JOEM!$B$59:$AO$378</definedName>
    <definedName name="Z_41E28B46_16FD_473E_AED2_27DFD35D1D37_.wvu.FilterData" localSheetId="0" hidden="1">Merged_COEM!$B$59:$AN$276</definedName>
    <definedName name="Z_41E28B46_16FD_473E_AED2_27DFD35D1D37_.wvu.FilterData" localSheetId="1" hidden="1">Merged_JOEM!$B$59:$AO$378</definedName>
    <definedName name="Z_41E605F5_B28F_4BC6_9DF2_D2AF66B5F685_.wvu.FilterData" localSheetId="0" hidden="1">Merged_COEM!$B$59:$AN$276</definedName>
    <definedName name="Z_41E7CAB0_2A4B_4958_880B_BCC01CA8D9B0_.wvu.FilterData" localSheetId="0" hidden="1">Merged_COEM!$A$59:$AN$276</definedName>
    <definedName name="Z_41E7CAB0_2A4B_4958_880B_BCC01CA8D9B0_.wvu.FilterData" localSheetId="1" hidden="1">Merged_JOEM!$B$59:$AO$378</definedName>
    <definedName name="Z_42AC1B0D_F791_4C63_92EF_E01CFF03908D_.wvu.FilterData" localSheetId="0" hidden="1">Merged_COEM!$B$59:$AN$276</definedName>
    <definedName name="Z_42AC1B0D_F791_4C63_92EF_E01CFF03908D_.wvu.FilterData" localSheetId="1" hidden="1">Merged_JOEM!$B$59:$AO$378</definedName>
    <definedName name="Z_42AD34C9_C124_4891_A108_88C3C0237529_.wvu.FilterData" localSheetId="0" hidden="1">Merged_COEM!$B$59:$AN$276</definedName>
    <definedName name="Z_42B4B22B_3661_4B4F_B6F8_C22BE5CABCC0_.wvu.FilterData" localSheetId="0" hidden="1">Merged_COEM!$A$59:$AN$276</definedName>
    <definedName name="Z_42E40103_7615_46A1_B31B_E7FFA4654119_.wvu.FilterData" localSheetId="1" hidden="1">Merged_JOEM!$S$60:$S$378</definedName>
    <definedName name="Z_430E0251_170F_469C_9C43_B836F1B76A84_.wvu.FilterData" localSheetId="0" hidden="1">Merged_COEM!$A$59:$AN$276</definedName>
    <definedName name="Z_43221D7F_83B9_4958_933E_95F0B169F14B_.wvu.FilterData" localSheetId="0" hidden="1">Merged_COEM!$A$59:$AN$276</definedName>
    <definedName name="Z_43337ABF_C1F2_4A60_B522_79A00E6352AF_.wvu.FilterData" localSheetId="0" hidden="1">Merged_COEM!$A$59:$AN$276</definedName>
    <definedName name="Z_43337ABF_C1F2_4A60_B522_79A00E6352AF_.wvu.FilterData" localSheetId="1" hidden="1">Merged_JOEM!$B$59:$AO$378</definedName>
    <definedName name="Z_43349B58_238D_424F_9B38_B9A02D36598B_.wvu.FilterData" localSheetId="0" hidden="1">Merged_COEM!$B$59:$AN$276</definedName>
    <definedName name="Z_4363CAFB_03FC_4F1F_A0DE_EC53309C77B7_.wvu.FilterData" localSheetId="0" hidden="1">Merged_COEM!$A$59:$AN$276</definedName>
    <definedName name="Z_4392F3EF_F9F6_4504_ACF1_4C5CCB12EF49_.wvu.FilterData" localSheetId="0" hidden="1">Merged_COEM!$A$59:$AN$276</definedName>
    <definedName name="Z_4392F3EF_F9F6_4504_ACF1_4C5CCB12EF49_.wvu.FilterData" localSheetId="1" hidden="1">Merged_JOEM!$B$59:$AO$378</definedName>
    <definedName name="Z_43B967EC_0D7C_46DF_9BEA_C0266BCF49B2_.wvu.FilterData" localSheetId="0" hidden="1">Merged_COEM!$B$59:$AN$276</definedName>
    <definedName name="Z_43E80A62_8D08_466E_8E62_48690870616A_.wvu.FilterData" localSheetId="0" hidden="1">Merged_COEM!$B$59:$AN$276</definedName>
    <definedName name="Z_43E80A62_8D08_466E_8E62_48690870616A_.wvu.FilterData" localSheetId="1" hidden="1">Merged_JOEM!$B$59:$AO$378</definedName>
    <definedName name="Z_4416DC42_C500_4E08_B795_23B2AC6564A1_.wvu.FilterData" localSheetId="0" hidden="1">Merged_COEM!$A$59:$AN$276</definedName>
    <definedName name="Z_4416DC42_C500_4E08_B795_23B2AC6564A1_.wvu.FilterData" localSheetId="1" hidden="1">Merged_JOEM!$B$59:$AO$378</definedName>
    <definedName name="Z_4479E6A0_D194_4022_B804_FA52621A4975_.wvu.FilterData" localSheetId="1" hidden="1">Merged_JOEM!$B$59:$AO$178</definedName>
    <definedName name="Z_44BEF170_9AEA_4F90_9A56_B8F048D8ECC7_.wvu.FilterData" localSheetId="0" hidden="1">Merged_COEM!$A$59:$AN$276</definedName>
    <definedName name="Z_44F07CD8_75F8_4EF5_81A0_4E20874952AF_.wvu.FilterData" localSheetId="0" hidden="1">Merged_COEM!$A$59:$AN$276</definedName>
    <definedName name="Z_44F07CD8_75F8_4EF5_81A0_4E20874952AF_.wvu.FilterData" localSheetId="1" hidden="1">Merged_JOEM!$B$59:$AO$378</definedName>
    <definedName name="Z_45340776_D766_4A0B_93F4_B7378860A599_.wvu.FilterData" localSheetId="1" hidden="1">Merged_JOEM!$B$59:$AO$378</definedName>
    <definedName name="Z_45376FFC_9D48_4BF3_8A6A_30CD587F744C_.wvu.FilterData" localSheetId="0" hidden="1">Merged_COEM!$B$59:$AN$276</definedName>
    <definedName name="Z_453DB4AF_052D_446A_8428_A6593341AA72_.wvu.FilterData" localSheetId="0" hidden="1">Merged_COEM!$B$59:$AN$276</definedName>
    <definedName name="Z_45558626_06A1_4016_90E1_EC693EB777BB_.wvu.FilterData" localSheetId="0" hidden="1">Merged_COEM!$B$59:$AN$59</definedName>
    <definedName name="Z_45777512_E635_47E9_9A85_10736A9D3BF7_.wvu.FilterData" localSheetId="1" hidden="1">Merged_JOEM!$B$59:$AO$378</definedName>
    <definedName name="Z_45979D4F_AD59_474D_8932_09AE1A11767A_.wvu.FilterData" localSheetId="0" hidden="1">Merged_COEM!$A$59:$AN$276</definedName>
    <definedName name="Z_45979D4F_AD59_474D_8932_09AE1A11767A_.wvu.FilterData" localSheetId="1" hidden="1">Merged_JOEM!$B$59:$AO$378</definedName>
    <definedName name="Z_45C8166A_6143_4988_8C13_277BC5450552_.wvu.FilterData" localSheetId="0" hidden="1">Merged_COEM!$A$59:$AN$276</definedName>
    <definedName name="Z_45C8166A_6143_4988_8C13_277BC5450552_.wvu.FilterData" localSheetId="1" hidden="1">Merged_JOEM!$B$59:$AO$378</definedName>
    <definedName name="Z_4631CDC9_3CB0_46A0_A411_DA030B1C25C6_.wvu.FilterData" localSheetId="0" hidden="1">Merged_COEM!$B$59:$AN$276</definedName>
    <definedName name="Z_4631CDC9_3CB0_46A0_A411_DA030B1C25C6_.wvu.FilterData" localSheetId="1" hidden="1">Merged_JOEM!$B$59:$AO$59</definedName>
    <definedName name="Z_471F4494_0449_4884_B80A_27DCFF4E79A7_.wvu.FilterData" localSheetId="0" hidden="1">Merged_COEM!$P$59:$P$276</definedName>
    <definedName name="Z_477E9EF0_903F_4BAC_9606_C3B8A1714DA7_.wvu.FilterData" localSheetId="1" hidden="1">Merged_JOEM!$B$59:$AO$187</definedName>
    <definedName name="Z_481381C8_936B_4AC6_87F5_3AC9921D1BE8_.wvu.FilterData" localSheetId="0" hidden="1">Merged_COEM!$B$59:$AN$276</definedName>
    <definedName name="Z_481381C8_936B_4AC6_87F5_3AC9921D1BE8_.wvu.FilterData" localSheetId="1" hidden="1">Merged_JOEM!$B$59:$AO$378</definedName>
    <definedName name="Z_48643A0F_C15E_40EF_BF3D_B5AE220C8DDD_.wvu.FilterData" localSheetId="0" hidden="1">Merged_COEM!$A$59:$AN$276</definedName>
    <definedName name="Z_48A1C157_EB42_4B01_A611_12202E451DA5_.wvu.FilterData" localSheetId="0" hidden="1">Merged_COEM!$A$59:$AN$276</definedName>
    <definedName name="Z_48EBC9BD_BBD3_4C6E_B628_D0EABB67588C_.wvu.FilterData" localSheetId="0" hidden="1">Merged_COEM!$B$59:$AN$276</definedName>
    <definedName name="Z_4916034A_5147_448D_A93B_2E7C4DDC5B96_.wvu.FilterData" localSheetId="0" hidden="1">Merged_COEM!$B$59:$AN$276</definedName>
    <definedName name="Z_4929AAAB_623A_4957_9BCF_CFFD4DE8ED0F_.wvu.FilterData" localSheetId="0" hidden="1">Merged_COEM!$B$59:$AN$276</definedName>
    <definedName name="Z_493108DE_9603_4365_BFD2_C55BE96A33AB_.wvu.FilterData" localSheetId="1" hidden="1">Merged_JOEM!$B$59:$AO$378</definedName>
    <definedName name="Z_4970BA83_E618_4BB7_83E7_4E7F87DEC79C_.wvu.FilterData" localSheetId="0" hidden="1">Merged_COEM!$A$59:$AN$276</definedName>
    <definedName name="Z_4970BA83_E618_4BB7_83E7_4E7F87DEC79C_.wvu.FilterData" localSheetId="1" hidden="1">Merged_JOEM!$B$59:$AO$378</definedName>
    <definedName name="Z_499CBB20_2A9B_44FA_B2E9_2EE640A5E612_.wvu.FilterData" localSheetId="1" hidden="1">Merged_JOEM!$B$59:$AO$378</definedName>
    <definedName name="Z_49C41633_B7C8_4854_8F3B_012C131B8151_.wvu.FilterData" localSheetId="0" hidden="1">Merged_COEM!$B$59:$AN$276</definedName>
    <definedName name="Z_49D02DDA_0D46_45A3_9B78_079EE3DF44A6_.wvu.FilterData" localSheetId="0" hidden="1">Merged_COEM!$A$59:$AN$276</definedName>
    <definedName name="Z_49D02DDA_0D46_45A3_9B78_079EE3DF44A6_.wvu.FilterData" localSheetId="1" hidden="1">Merged_JOEM!$B$59:$AO$378</definedName>
    <definedName name="Z_49D2DFC2_E45E_4ACF_943D_E49E761F553F_.wvu.FilterData" localSheetId="0" hidden="1">Merged_COEM!$A$59:$AN$276</definedName>
    <definedName name="Z_49D2DFC2_E45E_4ACF_943D_E49E761F553F_.wvu.FilterData" localSheetId="1" hidden="1">Merged_JOEM!$B$59:$AO$378</definedName>
    <definedName name="Z_4AC7CF20_9D78_47F0_AF1F_29F122739E1A_.wvu.FilterData" localSheetId="0" hidden="1">Merged_COEM!$A$59:$AN$276</definedName>
    <definedName name="Z_4AC7CF20_9D78_47F0_AF1F_29F122739E1A_.wvu.FilterData" localSheetId="1" hidden="1">Merged_JOEM!$B$59:$AO$378</definedName>
    <definedName name="Z_4AD25AEE_EA55_4BCE_BBD5_EAAA3C478C5C_.wvu.FilterData" localSheetId="0" hidden="1">Merged_COEM!$A$59:$AN$276</definedName>
    <definedName name="Z_4AD25AEE_EA55_4BCE_BBD5_EAAA3C478C5C_.wvu.FilterData" localSheetId="1" hidden="1">Merged_JOEM!$B$59:$AO$378</definedName>
    <definedName name="Z_4AD92DE0_78C5_42B7_8A4F_CCEDC4E9C3B1_.wvu.FilterData" localSheetId="0" hidden="1">Merged_COEM!$A$59:$AN$276</definedName>
    <definedName name="Z_4B0EF13B_3811_45B4_8ADD_DBF7FB5B90B4_.wvu.FilterData" localSheetId="0" hidden="1">Merged_COEM!$A$59:$AN$276</definedName>
    <definedName name="Z_4B0EF13B_3811_45B4_8ADD_DBF7FB5B90B4_.wvu.FilterData" localSheetId="1" hidden="1">Merged_JOEM!$B$59:$AO$378</definedName>
    <definedName name="Z_4B15AE1E_61F1_4DFF_8DFB_922F992A1C65_.wvu.FilterData" localSheetId="0" hidden="1">Merged_COEM!$A$59:$AN$276</definedName>
    <definedName name="Z_4B15AE1E_61F1_4DFF_8DFB_922F992A1C65_.wvu.FilterData" localSheetId="1" hidden="1">Merged_JOEM!$B$59:$AO$378</definedName>
    <definedName name="Z_4B3AD98F_FC31_4192_812D_58B676113428_.wvu.FilterData" localSheetId="0" hidden="1">Merged_COEM!$A$59:$AN$276</definedName>
    <definedName name="Z_4B3AD98F_FC31_4192_812D_58B676113428_.wvu.FilterData" localSheetId="1" hidden="1">Merged_JOEM!$B$59:$AO$378</definedName>
    <definedName name="Z_4BA3C47F_108C_4FA7_93CE_5DFE3C857851_.wvu.FilterData" localSheetId="1" hidden="1">Merged_JOEM!$B$59:$AO$378</definedName>
    <definedName name="Z_4BD2ACEA_A439_4C8F_8E8D_CF8FB1E22C05_.wvu.FilterData" localSheetId="1" hidden="1">Merged_JOEM!$B$59:$AO$181</definedName>
    <definedName name="Z_4C7058D9_79D5_4933_B9FF_70E893F9B385_.wvu.FilterData" localSheetId="0" hidden="1">Merged_COEM!$A$59:$AN$276</definedName>
    <definedName name="Z_4C7058D9_79D5_4933_B9FF_70E893F9B385_.wvu.FilterData" localSheetId="1" hidden="1">Merged_JOEM!$B$59:$AO$378</definedName>
    <definedName name="Z_4C7A60E9_BD9A_4B6D_BD23_2E62A9641CB5_.wvu.FilterData" localSheetId="0" hidden="1">Merged_COEM!$B$59:$AN$276</definedName>
    <definedName name="Z_4C7A60E9_BD9A_4B6D_BD23_2E62A9641CB5_.wvu.FilterData" localSheetId="1" hidden="1">Merged_JOEM!$B$59:$AO$378</definedName>
    <definedName name="Z_4C89BABC_41A3_4FF5_BD95_5F2DE66DC0C2_.wvu.FilterData" localSheetId="1" hidden="1">Merged_JOEM!$B$59:$AO$378</definedName>
    <definedName name="Z_4D18CEA0_D888_4F4D_AE86_1305F839E5A9_.wvu.FilterData" localSheetId="0" hidden="1">Merged_COEM!$B$59:$AN$276</definedName>
    <definedName name="Z_4D2F8744_31F2_4DED_9554_0177B13B9AFB_.wvu.FilterData" localSheetId="1" hidden="1">Merged_JOEM!$B$59:$AO$378</definedName>
    <definedName name="Z_4D50E9AA_F5AC_4EBB_8F94_366E2D6857EC_.wvu.FilterData" localSheetId="0" hidden="1">Merged_COEM!$A$59:$AN$276</definedName>
    <definedName name="Z_4D53ABA8_FAED_4282_ABB2_5536ED9D3561_.wvu.FilterData" localSheetId="1" hidden="1">Merged_JOEM!$B$59:$AO$252</definedName>
    <definedName name="Z_4D74C45C_721C_468D_B7CA_077CBC33B37C_.wvu.FilterData" localSheetId="0" hidden="1">Merged_COEM!$A$59:$AN$276</definedName>
    <definedName name="Z_4D79686D_D785_4C50_A86D_E4842F383245_.wvu.FilterData" localSheetId="0" hidden="1">Merged_COEM!$A$59:$AN$276</definedName>
    <definedName name="Z_4D83BD60_2C2A_4A79_B397_3302C0566BA0_.wvu.FilterData" localSheetId="0" hidden="1">Merged_COEM!$P$59:$P$276</definedName>
    <definedName name="Z_4D83BD60_2C2A_4A79_B397_3302C0566BA0_.wvu.FilterData" localSheetId="1" hidden="1">Merged_JOEM!$B$59:$AO$378</definedName>
    <definedName name="Z_4DB9989C_4464_43E8_8078_E808BE505BAA_.wvu.FilterData" localSheetId="0" hidden="1">Merged_COEM!$A$59:$AN$276</definedName>
    <definedName name="Z_4DB9989C_4464_43E8_8078_E808BE505BAA_.wvu.FilterData" localSheetId="1" hidden="1">Merged_JOEM!$B$59:$AO$378</definedName>
    <definedName name="Z_4DC21B34_0602_481E_94FE_0BD7F968F358_.wvu.FilterData" localSheetId="0" hidden="1">Merged_COEM!$B$59:$AN$276</definedName>
    <definedName name="Z_4DC27000_A69C_4DC6_9CFF_103008543473_.wvu.FilterData" localSheetId="0" hidden="1">Merged_COEM!$A$59:$AN$276</definedName>
    <definedName name="Z_4DD7506C_2047_4768_AFAB_87822174D939_.wvu.FilterData" localSheetId="1" hidden="1">Merged_JOEM!$B$59:$AO$378</definedName>
    <definedName name="Z_4DDFB3D2_CD93_416E_9EB7_7228A4AF2504_.wvu.FilterData" localSheetId="0" hidden="1">Merged_COEM!$A$59:$AN$276</definedName>
    <definedName name="Z_4DDFB3D2_CD93_416E_9EB7_7228A4AF2504_.wvu.FilterData" localSheetId="1" hidden="1">Merged_JOEM!$B$59:$AO$378</definedName>
    <definedName name="Z_4E063B21_08E6_44C4_B8F4_79AF495C514C_.wvu.FilterData" localSheetId="0" hidden="1">Merged_COEM!$B$59:$AN$276</definedName>
    <definedName name="Z_4E06BDBF_2CED_473B_850B_2A6C7311FF41_.wvu.FilterData" localSheetId="0" hidden="1">Merged_COEM!$A$59:$AN$276</definedName>
    <definedName name="Z_4E06BDBF_2CED_473B_850B_2A6C7311FF41_.wvu.FilterData" localSheetId="1" hidden="1">Merged_JOEM!$A$59:$AO$378</definedName>
    <definedName name="Z_4E13FC82_B7E6_42BB_A36D_2CAF4FD1B4C8_.wvu.FilterData" localSheetId="1" hidden="1">Merged_JOEM!$B$59:$AO$378</definedName>
    <definedName name="Z_4E1BCFF1_2E22_4885_BC36_95C4F52214F5_.wvu.FilterData" localSheetId="0" hidden="1">Merged_COEM!$B$59:$AN$276</definedName>
    <definedName name="Z_4E1BCFF1_2E22_4885_BC36_95C4F52214F5_.wvu.FilterData" localSheetId="1" hidden="1">Merged_JOEM!$B$59:$AO$378</definedName>
    <definedName name="Z_4E3C0829_ED1C_4CAD_8FC1_6F6B5266F4E1_.wvu.FilterData" localSheetId="0" hidden="1">Merged_COEM!$A$59:$AN$276</definedName>
    <definedName name="Z_4E3C0829_ED1C_4CAD_8FC1_6F6B5266F4E1_.wvu.FilterData" localSheetId="1" hidden="1">Merged_JOEM!$B$59:$AO$378</definedName>
    <definedName name="Z_4E40C96A_1DEC_426A_8589_DE34E4915A35_.wvu.FilterData" localSheetId="0" hidden="1">Merged_COEM!$B$59:$AN$276</definedName>
    <definedName name="Z_4E40C96A_1DEC_426A_8589_DE34E4915A35_.wvu.FilterData" localSheetId="1" hidden="1">Merged_JOEM!$B$59:$AO$59</definedName>
    <definedName name="Z_4F06BBAE_E91E_44B6_8F57_972D5EE0D29B_.wvu.FilterData" localSheetId="0" hidden="1">Merged_COEM!$B$59:$AN$59</definedName>
    <definedName name="Z_4F729C5C_B2A1_43F7_9582_A5B50BC46423_.wvu.FilterData" localSheetId="0" hidden="1">Merged_COEM!$B$59:$AN$59</definedName>
    <definedName name="Z_4FB35E73_34FB_4120_9ADC_FE2337D8BECC_.wvu.FilterData" localSheetId="0" hidden="1">Merged_COEM!$B$59:$AN$59</definedName>
    <definedName name="Z_4FED5175_DCDA_44CD_A82D_FF4D7FE13304_.wvu.FilterData" localSheetId="0" hidden="1">Merged_COEM!$B$59:$AN$276</definedName>
    <definedName name="Z_4FED5175_DCDA_44CD_A82D_FF4D7FE13304_.wvu.FilterData" localSheetId="1" hidden="1">Merged_JOEM!$B$59:$AO$378</definedName>
    <definedName name="Z_504E1C4A_D647_4CC2_8F3B_BA66C77AE20F_.wvu.FilterData" localSheetId="0" hidden="1">Merged_COEM!$B$59:$AN$276</definedName>
    <definedName name="Z_50DCF7A5_2981_4D29_A1B0_FCC718EF1C57_.wvu.FilterData" localSheetId="0" hidden="1">Merged_COEM!$A$59:$AN$276</definedName>
    <definedName name="Z_50E2A8D1_2809_4820_8B7E_63A4529C2A79_.wvu.FilterData" localSheetId="1" hidden="1">Merged_JOEM!$B$59:$AO$160</definedName>
    <definedName name="Z_511B2FEC_26B8_45E1_90DB_175DA6F1DCC9_.wvu.FilterData" localSheetId="1" hidden="1">Merged_JOEM!$B$59:$AO$378</definedName>
    <definedName name="Z_514F237C_375F_464E_B009_1C9457CCD9C9_.wvu.FilterData" localSheetId="0" hidden="1">Merged_COEM!$B$59:$AN$276</definedName>
    <definedName name="Z_518E22BC_9170_498A_974E_D3A2DED14DF6_.wvu.FilterData" localSheetId="0" hidden="1">Merged_COEM!$P$59:$P$276</definedName>
    <definedName name="Z_518E22BC_9170_498A_974E_D3A2DED14DF6_.wvu.FilterData" localSheetId="1" hidden="1">Merged_JOEM!$B$59:$AO$378</definedName>
    <definedName name="Z_52019DA7_9246_4B08_9F51_34B8F5416A98_.wvu.FilterData" localSheetId="0" hidden="1">Merged_COEM!$B$59:$AN$276</definedName>
    <definedName name="Z_527E5812_60B3_4C72_8DDD_70C617549374_.wvu.FilterData" localSheetId="0" hidden="1">Merged_COEM!$B$59:$AN$276</definedName>
    <definedName name="Z_529BE7BC_5C54_4BE6_8F7A_FAB0CA2C2AA8_.wvu.FilterData" localSheetId="0" hidden="1">Merged_COEM!$B$59:$AN$276</definedName>
    <definedName name="Z_529BE7BC_5C54_4BE6_8F7A_FAB0CA2C2AA8_.wvu.FilterData" localSheetId="1" hidden="1">Merged_JOEM!$B$59:$AO$378</definedName>
    <definedName name="Z_52A57B55_91F1_44CE_A92C_27384918E1DD_.wvu.FilterData" localSheetId="0" hidden="1">Merged_COEM!$A$59:$AN$276</definedName>
    <definedName name="Z_52A57B55_91F1_44CE_A92C_27384918E1DD_.wvu.FilterData" localSheetId="1" hidden="1">Merged_JOEM!$B$59:$AO$378</definedName>
    <definedName name="Z_52E5463D_8C23_4C5E_9563_8FAC384914C2_.wvu.FilterData" localSheetId="0" hidden="1">Merged_COEM!$A$59:$AN$276</definedName>
    <definedName name="Z_52E5463D_8C23_4C5E_9563_8FAC384914C2_.wvu.FilterData" localSheetId="1" hidden="1">Merged_JOEM!$B$59:$AO$378</definedName>
    <definedName name="Z_531A60D9_F723_438A_88CF_A7EC35AE5C5D_.wvu.FilterData" localSheetId="0" hidden="1">Merged_COEM!$A$59:$AN$276</definedName>
    <definedName name="Z_531A60D9_F723_438A_88CF_A7EC35AE5C5D_.wvu.FilterData" localSheetId="1" hidden="1">Merged_JOEM!$B$59:$AO$378</definedName>
    <definedName name="Z_53933DC9_8D3E_405A_98A9_80740AC0B9CF_.wvu.FilterData" localSheetId="0" hidden="1">Merged_COEM!$A$59:$AN$276</definedName>
    <definedName name="Z_53933DC9_8D3E_405A_98A9_80740AC0B9CF_.wvu.FilterData" localSheetId="1" hidden="1">Merged_JOEM!$B$59:$AO$378</definedName>
    <definedName name="Z_53960E84_9A7D_4331_9650_AACA0AA51867_.wvu.FilterData" localSheetId="0" hidden="1">Merged_COEM!$B$59:$AN$276</definedName>
    <definedName name="Z_53960E84_9A7D_4331_9650_AACA0AA51867_.wvu.FilterData" localSheetId="1" hidden="1">Merged_JOEM!$B$59:$AO$178</definedName>
    <definedName name="Z_540ED67E_48A4_42C9_8933_01DBB70F9FC6_.wvu.FilterData" localSheetId="0" hidden="1">Merged_COEM!$A$59:$AN$276</definedName>
    <definedName name="Z_540ED67E_48A4_42C9_8933_01DBB70F9FC6_.wvu.FilterData" localSheetId="1" hidden="1">Merged_JOEM!$B$59:$AO$378</definedName>
    <definedName name="Z_541E82AB_44C9_481A_AEBC_2B2BB3B58A09_.wvu.FilterData" localSheetId="0" hidden="1">Merged_COEM!$A$59:$AN$276</definedName>
    <definedName name="Z_542EBC9D_64B9_4ABA_A324_302A387E309D_.wvu.FilterData" localSheetId="0" hidden="1">Merged_COEM!$B$59:$AN$276</definedName>
    <definedName name="Z_5449D300_34C1_4154_9209_BD3BED708BF5_.wvu.FilterData" localSheetId="0" hidden="1">Merged_COEM!$B$59:$AN$276</definedName>
    <definedName name="Z_5449D300_34C1_4154_9209_BD3BED708BF5_.wvu.FilterData" localSheetId="1" hidden="1">Merged_JOEM!$B$59:$AO$378</definedName>
    <definedName name="Z_545FC012_5B3D_4A86_9767_7B63B7C38A3D_.wvu.FilterData" localSheetId="0" hidden="1">Merged_COEM!$B$59:$AN$276</definedName>
    <definedName name="Z_547B5818_C68D_42A6_96EB_2ED559F44C37_.wvu.FilterData" localSheetId="1" hidden="1">Merged_JOEM!$B$59:$AO$378</definedName>
    <definedName name="Z_5498894E_BF4D_431D_84F2_F519DD548AE5_.wvu.FilterData" localSheetId="0" hidden="1">Merged_COEM!$B$59:$AN$276</definedName>
    <definedName name="Z_5498894E_BF4D_431D_84F2_F519DD548AE5_.wvu.FilterData" localSheetId="1" hidden="1">Merged_JOEM!$B$59:$AO$378</definedName>
    <definedName name="Z_54DB054C_01F1_461C_86D7_4B8791E643D6_.wvu.FilterData" localSheetId="0" hidden="1">Merged_COEM!$A$59:$AN$276</definedName>
    <definedName name="Z_54E7C880_04F6_41E4_9B97_98DF683D10E9_.wvu.FilterData" localSheetId="1" hidden="1">Merged_JOEM!$B$59:$AO$378</definedName>
    <definedName name="Z_552FCC10_8D10_416D_A078_293D8F62BD42_.wvu.FilterData" localSheetId="0" hidden="1">Merged_COEM!$A$59:$AN$276</definedName>
    <definedName name="Z_55512613_14D7_4168_A76D_6593BA530EA5_.wvu.FilterData" localSheetId="0" hidden="1">Merged_COEM!$B$59:$AN$59</definedName>
    <definedName name="Z_55512613_14D7_4168_A76D_6593BA530EA5_.wvu.FilterData" localSheetId="1" hidden="1">Merged_JOEM!$B$59:$AO$59</definedName>
    <definedName name="Z_5553E008_EEE0_4329_8CF1_15813238B1ED_.wvu.FilterData" localSheetId="0" hidden="1">Merged_COEM!$A$59:$AN$276</definedName>
    <definedName name="Z_5553E008_EEE0_4329_8CF1_15813238B1ED_.wvu.FilterData" localSheetId="1" hidden="1">Merged_JOEM!$B$59:$AO$378</definedName>
    <definedName name="Z_555F3FCB_2741_40F9_A2E8_4947D8EA1113_.wvu.FilterData" localSheetId="0" hidden="1">Merged_COEM!$B$59:$AN$59</definedName>
    <definedName name="Z_556962E9_62D3_4D2A_A89A_15CA2D7496E9_.wvu.FilterData" localSheetId="0" hidden="1">Merged_COEM!$A$59:$AN$276</definedName>
    <definedName name="Z_55790037_EAD1_40F5_887F_73B493A90A1E_.wvu.FilterData" localSheetId="0" hidden="1">Merged_COEM!$B$59:$AN$276</definedName>
    <definedName name="Z_55790037_EAD1_40F5_887F_73B493A90A1E_.wvu.FilterData" localSheetId="1" hidden="1">Merged_JOEM!$B$59:$AO$378</definedName>
    <definedName name="Z_55A9D4C0_8482_4959_B827_6AC69AD7F2F0_.wvu.FilterData" localSheetId="0" hidden="1">Merged_COEM!$A$59:$AN$276</definedName>
    <definedName name="Z_55A9D4C0_8482_4959_B827_6AC69AD7F2F0_.wvu.FilterData" localSheetId="1" hidden="1">Merged_JOEM!$B$59:$AO$378</definedName>
    <definedName name="Z_55B30DB6_8312_48D0_8EBC_C09666C0024F_.wvu.FilterData" localSheetId="0" hidden="1">Merged_COEM!$A$59:$AN$276</definedName>
    <definedName name="Z_55DD069B_3978_4FE9_9C83_8FBEED3226A1_.wvu.FilterData" localSheetId="1" hidden="1">Merged_JOEM!$B$59:$AO$59</definedName>
    <definedName name="Z_55F8BB1C_0694_4A3C_AADD_0641A8857E7C_.wvu.FilterData" localSheetId="1" hidden="1">Merged_JOEM!$B$59:$AO$187</definedName>
    <definedName name="Z_563F0E48_4880_4BA0_8B51_589CD49BC542_.wvu.FilterData" localSheetId="0" hidden="1">Merged_COEM!$B$59:$AN$276</definedName>
    <definedName name="Z_563F0E48_4880_4BA0_8B51_589CD49BC542_.wvu.FilterData" localSheetId="1" hidden="1">Merged_JOEM!$B$59:$AO$378</definedName>
    <definedName name="Z_56811EEF_FE6B_419A_9D63_F8571928A5FA_.wvu.FilterData" localSheetId="0" hidden="1">Merged_COEM!$B$59:$AN$276</definedName>
    <definedName name="Z_56B00734_E97D_491D_B7E8_8DF046882DDD_.wvu.FilterData" localSheetId="0" hidden="1">Merged_COEM!$A$59:$AN$276</definedName>
    <definedName name="Z_56B00734_E97D_491D_B7E8_8DF046882DDD_.wvu.FilterData" localSheetId="1" hidden="1">Merged_JOEM!$B$59:$AO$361</definedName>
    <definedName name="Z_56C8A785_3BEE_4F3D_AFD6_E0C7B70F5E59_.wvu.FilterData" localSheetId="0" hidden="1">Merged_COEM!$B$59:$AN$276</definedName>
    <definedName name="Z_56EF2257_F8BF_4AD9_8AEB_55C432255099_.wvu.FilterData" localSheetId="0" hidden="1">Merged_COEM!$B$59:$AN$59</definedName>
    <definedName name="Z_56EF2257_F8BF_4AD9_8AEB_55C432255099_.wvu.FilterData" localSheetId="1" hidden="1">Merged_JOEM!$B$59:$AO$59</definedName>
    <definedName name="Z_56F44712_B9CC_40AE_B1AA_8C2DC8115DFF_.wvu.FilterData" localSheetId="0" hidden="1">Merged_COEM!$B$59:$AN$276</definedName>
    <definedName name="Z_56F44712_B9CC_40AE_B1AA_8C2DC8115DFF_.wvu.FilterData" localSheetId="1" hidden="1">Merged_JOEM!$B$59:$AO$378</definedName>
    <definedName name="Z_56FF2E97_6713_4D66_AB3B_06DDEFFC4B32_.wvu.FilterData" localSheetId="1" hidden="1">Merged_JOEM!$B$59:$AO$160</definedName>
    <definedName name="Z_5726533A_9898_44CF_98FC_C69A068BE61C_.wvu.FilterData" localSheetId="0" hidden="1">Merged_COEM!$A$59:$AN$276</definedName>
    <definedName name="Z_5726533A_9898_44CF_98FC_C69A068BE61C_.wvu.FilterData" localSheetId="1" hidden="1">Merged_JOEM!$B$59:$AO$378</definedName>
    <definedName name="Z_57644934_8CCE_41B8_87B3_E9115C11614C_.wvu.FilterData" localSheetId="0" hidden="1">Merged_COEM!$A$59:$AN$276</definedName>
    <definedName name="Z_57E56D14_1944_4903_97E4_26AB37944736_.wvu.FilterData" localSheetId="0" hidden="1">Merged_COEM!$B$59:$AN$276</definedName>
    <definedName name="Z_57E56D14_1944_4903_97E4_26AB37944736_.wvu.FilterData" localSheetId="1" hidden="1">Merged_JOEM!$B$59:$AO$378</definedName>
    <definedName name="Z_584FB3CE_102E_4394_9BBE_155B20E57E5A_.wvu.FilterData" localSheetId="0" hidden="1">Merged_COEM!$B$59:$AN$59</definedName>
    <definedName name="Z_587E78D9_8F50_4AC3_9E1F_581BE3551E64_.wvu.FilterData" localSheetId="0" hidden="1">Merged_COEM!$A$59:$AN$276</definedName>
    <definedName name="Z_587E78D9_8F50_4AC3_9E1F_581BE3551E64_.wvu.FilterData" localSheetId="1" hidden="1">Merged_JOEM!$B$59:$AO$378</definedName>
    <definedName name="Z_587FB410_5482_4AFE_8500_563AD5F77249_.wvu.FilterData" localSheetId="1" hidden="1">Merged_JOEM!$B$59:$AO$378</definedName>
    <definedName name="Z_58850641_8130_4339_8D8C_DDA9502A83CD_.wvu.FilterData" localSheetId="0" hidden="1">Merged_COEM!$A$59:$AN$276</definedName>
    <definedName name="Z_58850641_8130_4339_8D8C_DDA9502A83CD_.wvu.FilterData" localSheetId="1" hidden="1">Merged_JOEM!$B$59:$AO$378</definedName>
    <definedName name="Z_58A45CD9_9B51_42B5_821F_97CA517887AC_.wvu.FilterData" localSheetId="0" hidden="1">Merged_COEM!$B$59:$AN$276</definedName>
    <definedName name="Z_58A45CD9_9B51_42B5_821F_97CA517887AC_.wvu.FilterData" localSheetId="1" hidden="1">Merged_JOEM!$B$59:$AO$187</definedName>
    <definedName name="Z_58D30403_2624_4FD6_AD18_B9DAF25B96BB_.wvu.FilterData" localSheetId="0" hidden="1">Merged_COEM!$A$59:$AN$276</definedName>
    <definedName name="Z_58D30403_2624_4FD6_AD18_B9DAF25B96BB_.wvu.FilterData" localSheetId="1" hidden="1">Merged_JOEM!$B$59:$AO$378</definedName>
    <definedName name="Z_58D40A44_576F_41CB_9DD9_8C279F01EB73_.wvu.FilterData" localSheetId="0" hidden="1">Merged_COEM!$A$59:$AN$276</definedName>
    <definedName name="Z_590C7751_D2AD_44DD_9E2C_6A20FF74A475_.wvu.FilterData" localSheetId="0" hidden="1">Merged_COEM!$B$59:$AN$276</definedName>
    <definedName name="Z_590C7751_D2AD_44DD_9E2C_6A20FF74A475_.wvu.FilterData" localSheetId="1" hidden="1">Merged_JOEM!$B$59:$AO$378</definedName>
    <definedName name="Z_5987616E_1448_448E_9F5B_7BE6DE6A8035_.wvu.FilterData" localSheetId="0" hidden="1">Merged_COEM!$A$59:$AN$276</definedName>
    <definedName name="Z_5A91B927_4525_4C8D_9FBA_8E2DC3DC31E9_.wvu.FilterData" localSheetId="0" hidden="1">Merged_COEM!$A$59:$AN$276</definedName>
    <definedName name="Z_5B270487_FF54_4EB4_BA68_186D6BFA38D5_.wvu.FilterData" localSheetId="0" hidden="1">Merged_COEM!$B$59:$AN$276</definedName>
    <definedName name="Z_5B6DC8B2_B67A_40E4_8DD7_7813D2ABA00A_.wvu.FilterData" localSheetId="0" hidden="1">Merged_COEM!$A$59:$AN$276</definedName>
    <definedName name="Z_5BB3BEFD_1A62_45A9_98B1_873AA0E36F1C_.wvu.FilterData" localSheetId="0" hidden="1">Merged_COEM!$A$59:$AN$276</definedName>
    <definedName name="Z_5BB3BEFD_1A62_45A9_98B1_873AA0E36F1C_.wvu.FilterData" localSheetId="1" hidden="1">Merged_JOEM!$B$59:$AO$378</definedName>
    <definedName name="Z_5BF3CBF8_AF67_4888_9C50_863FE1C874BA_.wvu.FilterData" localSheetId="1" hidden="1">Merged_JOEM!$B$59:$AO$378</definedName>
    <definedName name="Z_5C061582_E8C7_451A_A09E_2BA7EDAE3D0D_.wvu.FilterData" localSheetId="0" hidden="1">Merged_COEM!$A$59:$AN$276</definedName>
    <definedName name="Z_5C323005_0324_4396_AFBB_5399A875FAF5_.wvu.FilterData" localSheetId="1" hidden="1">Merged_JOEM!$B$59:$AO$179</definedName>
    <definedName name="Z_5C3799C0_C642_426B_89BE_BE1EE5249DB4_.wvu.FilterData" localSheetId="0" hidden="1">Merged_COEM!$P$59:$P$276</definedName>
    <definedName name="Z_5C3799C0_C642_426B_89BE_BE1EE5249DB4_.wvu.FilterData" localSheetId="1" hidden="1">Merged_JOEM!$B$59:$AO$59</definedName>
    <definedName name="Z_5C4A574E_1376_4305_B673_0BFEAD2A7E3B_.wvu.FilterData" localSheetId="1" hidden="1">Merged_JOEM!$B$59:$AO$378</definedName>
    <definedName name="Z_5CFC70B4_1A78_4D4E_9FE4_E799626D57F8_.wvu.FilterData" localSheetId="0" hidden="1">Merged_COEM!$B$59:$AN$59</definedName>
    <definedName name="Z_5CFC70B4_1A78_4D4E_9FE4_E799626D57F8_.wvu.FilterData" localSheetId="1" hidden="1">Merged_JOEM!$B$59:$AO$59</definedName>
    <definedName name="Z_5D3F990D_A922_4ED1_95AE_64CAB3AF267D_.wvu.FilterData" localSheetId="0" hidden="1">Merged_COEM!$A$59:$AN$276</definedName>
    <definedName name="Z_5DA88502_EE01_4790_8D73_BA293A53CF17_.wvu.FilterData" localSheetId="0" hidden="1">Merged_COEM!$B$59:$AN$276</definedName>
    <definedName name="Z_5DCBBFA3_E697_4757_A8D7_18F65F308C13_.wvu.FilterData" localSheetId="0" hidden="1">Merged_COEM!$B$59:$AN$276</definedName>
    <definedName name="Z_5DCBBFA3_E697_4757_A8D7_18F65F308C13_.wvu.FilterData" localSheetId="1" hidden="1">Merged_JOEM!$B$59:$AO$378</definedName>
    <definedName name="Z_5E97057D_04B6_4A37_BD04_0994460E991C_.wvu.FilterData" localSheetId="0" hidden="1">Merged_COEM!$B$59:$AN$59</definedName>
    <definedName name="Z_5E97057D_04B6_4A37_BD04_0994460E991C_.wvu.FilterData" localSheetId="1" hidden="1">Merged_JOEM!$B$59:$AO$378</definedName>
    <definedName name="Z_5EDC2EA2_DC97_444B_84E3_463258DE9175_.wvu.FilterData" localSheetId="1" hidden="1">Merged_JOEM!$B$59:$AO$378</definedName>
    <definedName name="Z_5EDC2EFF_5E79_4466_BF9D_79C6A5B40ED9_.wvu.FilterData" localSheetId="0" hidden="1">Merged_COEM!$B$59:$AN$276</definedName>
    <definedName name="Z_5F293130_E18A_40E4_98F9_B70CE78B7503_.wvu.FilterData" localSheetId="0" hidden="1">Merged_COEM!$A$59:$AN$276</definedName>
    <definedName name="Z_5F2EDD9B_33DF_446F_974C_DFF68A7A8896_.wvu.FilterData" localSheetId="1" hidden="1">Merged_JOEM!$B$59:$AO$187</definedName>
    <definedName name="Z_5F3177B4_B689_4E12_8B01_B6230235E1C9_.wvu.FilterData" localSheetId="1" hidden="1">Merged_JOEM!$B$59:$AO$378</definedName>
    <definedName name="Z_5F4C5D0B_AAFB_45D3_9977_5762875B45D9_.wvu.FilterData" localSheetId="0" hidden="1">Merged_COEM!$A$59:$AN$276</definedName>
    <definedName name="Z_5F4C5D0B_AAFB_45D3_9977_5762875B45D9_.wvu.FilterData" localSheetId="1" hidden="1">Merged_JOEM!$B$59:$AO$378</definedName>
    <definedName name="Z_5FB124BF_7101_4D12_899A_5D83D3002B21_.wvu.FilterData" localSheetId="0" hidden="1">Merged_COEM!$A$59:$AN$276</definedName>
    <definedName name="Z_5FB124BF_7101_4D12_899A_5D83D3002B21_.wvu.FilterData" localSheetId="1" hidden="1">Merged_JOEM!$A$59:$AO$378</definedName>
    <definedName name="Z_5FC5E40E_975A_469E_B5A6_71E52B4B79CD_.wvu.FilterData" localSheetId="0" hidden="1">Merged_COEM!$A$59:$AN$276</definedName>
    <definedName name="Z_6064FCA4_1299_45BD_A7FB_A6A1EA1CED0D_.wvu.FilterData" localSheetId="0" hidden="1">Merged_COEM!$A$59:$AN$276</definedName>
    <definedName name="Z_6092DC54_C197_474D_96BB_93CE1F6EC59D_.wvu.FilterData" localSheetId="1" hidden="1">Merged_JOEM!$B$59:$AO$378</definedName>
    <definedName name="Z_60AC2527_814D_446F_96A2_688DF4B3FB31_.wvu.FilterData" localSheetId="0" hidden="1">Merged_COEM!$B$59:$AN$276</definedName>
    <definedName name="Z_60D2C030_4E31_4E07_8E1C_44D2EE84B177_.wvu.FilterData" localSheetId="0" hidden="1">Merged_COEM!$A$59:$AN$276</definedName>
    <definedName name="Z_60D2C030_4E31_4E07_8E1C_44D2EE84B177_.wvu.FilterData" localSheetId="1" hidden="1">Merged_JOEM!$B$59:$AO$363</definedName>
    <definedName name="Z_60E293DD_DB59_440C_AEAD_50B774C74F4F_.wvu.FilterData" localSheetId="0" hidden="1">Merged_COEM!$A$59:$AN$276</definedName>
    <definedName name="Z_60E293DD_DB59_440C_AEAD_50B774C74F4F_.wvu.FilterData" localSheetId="1" hidden="1">Merged_JOEM!$B$59:$AO$299</definedName>
    <definedName name="Z_615E8902_4EDA_4AC3_B52E_00FEECA0D554_.wvu.FilterData" localSheetId="1" hidden="1">Merged_JOEM!$B$59:$AO$378</definedName>
    <definedName name="Z_6166AABF_F592_4D7E_B5EF_66FB3E755D22_.wvu.FilterData" localSheetId="0" hidden="1">Merged_COEM!$A$59:$AN$276</definedName>
    <definedName name="Z_6166AABF_F592_4D7E_B5EF_66FB3E755D22_.wvu.FilterData" localSheetId="1" hidden="1">Merged_JOEM!$B$59:$AO$378</definedName>
    <definedName name="Z_61B8E132_3892_4F93_B401_96B2CE19D429_.wvu.FilterData" localSheetId="0" hidden="1">Merged_COEM!$B$59:$AN$276</definedName>
    <definedName name="Z_61CDA96D_05D5_4048_BE36_A749ACF0BF16_.wvu.FilterData" localSheetId="0" hidden="1">Merged_COEM!$A$59:$AN$276</definedName>
    <definedName name="Z_61CDA96D_05D5_4048_BE36_A749ACF0BF16_.wvu.FilterData" localSheetId="1" hidden="1">Merged_JOEM!$B$59:$AO$378</definedName>
    <definedName name="Z_62270D43_5F06_4AB2_97F6_DA4F40E8441E_.wvu.FilterData" localSheetId="0" hidden="1">Merged_COEM!$A$59:$AN$276</definedName>
    <definedName name="Z_62270D43_5F06_4AB2_97F6_DA4F40E8441E_.wvu.FilterData" localSheetId="1" hidden="1">Merged_JOEM!$B$59:$AO$361</definedName>
    <definedName name="Z_623A98C8_E8B5_4DB6_BA06_3E6890ED960F_.wvu.FilterData" localSheetId="0" hidden="1">Merged_COEM!$B$59:$AN$276</definedName>
    <definedName name="Z_623A98C8_E8B5_4DB6_BA06_3E6890ED960F_.wvu.FilterData" localSheetId="1" hidden="1">Merged_JOEM!$B$59:$AO$160</definedName>
    <definedName name="Z_62EC14CE_F036_4E8A_A5A0_3DE64EBDF3EF_.wvu.FilterData" localSheetId="0" hidden="1">Merged_COEM!$A$59:$AN$276</definedName>
    <definedName name="Z_63337695_5DA8_4EAA_8A57_B229D6DAA2E2_.wvu.FilterData" localSheetId="1" hidden="1">Merged_JOEM!$B$59:$AO$378</definedName>
    <definedName name="Z_634F6C8E_7D1D_4721_88C4_2B2FC469DD17_.wvu.FilterData" localSheetId="1" hidden="1">Merged_JOEM!$B$59:$AO$378</definedName>
    <definedName name="Z_636AF546_865A_4746_B0C4_E25D46F459D4_.wvu.FilterData" localSheetId="0" hidden="1">Merged_COEM!$B$59:$AN$276</definedName>
    <definedName name="Z_6376E30F_EA7D_4EDE_9A8B_EC85FD3DE64F_.wvu.FilterData" localSheetId="1" hidden="1">Merged_JOEM!$B$59:$AO$378</definedName>
    <definedName name="Z_63A7928D_6930_4841_969C_FCD344601064_.wvu.FilterData" localSheetId="1" hidden="1">Merged_JOEM!$B$59:$AO$378</definedName>
    <definedName name="Z_6475398D_C0E6_4A72_84CF_E09B428346CF_.wvu.FilterData" localSheetId="0" hidden="1">Merged_COEM!$A$59:$AN$276</definedName>
    <definedName name="Z_6475398D_C0E6_4A72_84CF_E09B428346CF_.wvu.FilterData" localSheetId="1" hidden="1">Merged_JOEM!$B$59:$AO$378</definedName>
    <definedName name="Z_64A2AB02_D456_417B_891E_F6D0030057BB_.wvu.FilterData" localSheetId="0" hidden="1">Merged_COEM!$A$59:$AN$276</definedName>
    <definedName name="Z_64D01CE5_FE18_455E_9C99_8DEE681E7DA8_.wvu.FilterData" localSheetId="0" hidden="1">Merged_COEM!$B$59:$AN$59</definedName>
    <definedName name="Z_6524659D_F59D_4D26_BD79_7F44936CB32A_.wvu.FilterData" localSheetId="0" hidden="1">Merged_COEM!$B$59:$AN$276</definedName>
    <definedName name="Z_6524659D_F59D_4D26_BD79_7F44936CB32A_.wvu.FilterData" localSheetId="1" hidden="1">Merged_JOEM!$B$59:$AO$179</definedName>
    <definedName name="Z_654DEE07_DF95_4D03_A781_4519E9F80CCE_.wvu.FilterData" localSheetId="0" hidden="1">Merged_COEM!$B$59:$AN$276</definedName>
    <definedName name="Z_656025FA_CC5B_4D55_9B87_DB7CD14FDC3E_.wvu.FilterData" localSheetId="0" hidden="1">Merged_COEM!$B$59:$AN$59</definedName>
    <definedName name="Z_65686B32_37BD_44F7_B695_53701EF4E121_.wvu.FilterData" localSheetId="0" hidden="1">Merged_COEM!$A$59:$AN$276</definedName>
    <definedName name="Z_65686B32_37BD_44F7_B695_53701EF4E121_.wvu.FilterData" localSheetId="1" hidden="1">Merged_JOEM!$B$59:$AO$361</definedName>
    <definedName name="Z_6607199E_6F59_49CF_9E27_CD16D2C15F5A_.wvu.FilterData" localSheetId="0" hidden="1">Merged_COEM!$B$59:$AN$276</definedName>
    <definedName name="Z_6607199E_6F59_49CF_9E27_CD16D2C15F5A_.wvu.FilterData" localSheetId="1" hidden="1">Merged_JOEM!$B$59:$AO$59</definedName>
    <definedName name="Z_66371693_7808_439E_B063_70A4978B65CE_.wvu.FilterData" localSheetId="0" hidden="1">Merged_COEM!$B$59:$AN$276</definedName>
    <definedName name="Z_66371693_7808_439E_B063_70A4978B65CE_.wvu.FilterData" localSheetId="1" hidden="1">Merged_JOEM!$B$59:$AO$378</definedName>
    <definedName name="Z_663D92E1_2F0A_4236_AFC6_1C6DF6871513_.wvu.FilterData" localSheetId="0" hidden="1">Merged_COEM!$A$59:$AN$276</definedName>
    <definedName name="Z_663D92E1_2F0A_4236_AFC6_1C6DF6871513_.wvu.FilterData" localSheetId="1" hidden="1">Merged_JOEM!$B$59:$AO$378</definedName>
    <definedName name="Z_66460AA3_6767_49B9_840C_3736B013E3C1_.wvu.FilterData" localSheetId="0" hidden="1">Merged_COEM!$A$59:$AN$276</definedName>
    <definedName name="Z_66460AA3_6767_49B9_840C_3736B013E3C1_.wvu.FilterData" localSheetId="1" hidden="1">Merged_JOEM!$B$59:$AO$378</definedName>
    <definedName name="Z_664CD8C0_0984_4BD5_8EB8_F8FEEF844627_.wvu.FilterData" localSheetId="0" hidden="1">Merged_COEM!$A$59:$AN$276</definedName>
    <definedName name="Z_668D2601_6D28_4914_B978_99DC33EE7E47_.wvu.FilterData" localSheetId="0" hidden="1">Merged_COEM!$B$59:$AN$276</definedName>
    <definedName name="Z_668FC5B4_A974_4B0C_A190_6FBF948C282E_.wvu.FilterData" localSheetId="0" hidden="1">Merged_COEM!$B$59:$AN$276</definedName>
    <definedName name="Z_668FC5B4_A974_4B0C_A190_6FBF948C282E_.wvu.FilterData" localSheetId="1" hidden="1">Merged_JOEM!$B$59:$AO$59</definedName>
    <definedName name="Z_6696990D_763D_4F00_B09E_0F50C060141A_.wvu.FilterData" localSheetId="1" hidden="1">Merged_JOEM!$B$59:$AO$378</definedName>
    <definedName name="Z_6736C5CB_0AEC_483D_8A39_E03147ACCC66_.wvu.FilterData" localSheetId="1" hidden="1">Merged_JOEM!$B$59:$AO$378</definedName>
    <definedName name="Z_676ED31B_26A9_422B_B32B_D771CE6CFCB7_.wvu.FilterData" localSheetId="0" hidden="1">Merged_COEM!$A$59:$AN$276</definedName>
    <definedName name="Z_676ED31B_26A9_422B_B32B_D771CE6CFCB7_.wvu.FilterData" localSheetId="1" hidden="1">Merged_JOEM!$B$59:$AO$378</definedName>
    <definedName name="Z_67ABB675_2C62_49AF_8540_021B914E058D_.wvu.FilterData" localSheetId="0" hidden="1">Merged_COEM!$A$59:$AN$276</definedName>
    <definedName name="Z_67ABB675_2C62_49AF_8540_021B914E058D_.wvu.FilterData" localSheetId="1" hidden="1">Merged_JOEM!$B$59:$AO$378</definedName>
    <definedName name="Z_67B95EDC_AC2A_44C2_8FB8_E957261DFF9D_.wvu.FilterData" localSheetId="0" hidden="1">Merged_COEM!$B$59:$AN$59</definedName>
    <definedName name="Z_67E57B50_D86F_49C3_A1F4_A2F9D15BD239_.wvu.FilterData" localSheetId="1" hidden="1">Merged_JOEM!$B$59:$AO$378</definedName>
    <definedName name="Z_68457E58_8D60_49D4_98D6_8AC191F4962E_.wvu.FilterData" localSheetId="0" hidden="1">Merged_COEM!$B$59:$AN$276</definedName>
    <definedName name="Z_68457E58_8D60_49D4_98D6_8AC191F4962E_.wvu.FilterData" localSheetId="1" hidden="1">Merged_JOEM!$B$59:$AO$378</definedName>
    <definedName name="Z_686C29B7_8607_4292_9041_CB1F6097339C_.wvu.FilterData" localSheetId="0" hidden="1">Merged_COEM!$B$59:$AN$59</definedName>
    <definedName name="Z_6871C5F2_5138_4F9F_8D4F_300AF0D33A28_.wvu.FilterData" localSheetId="0" hidden="1">Merged_COEM!$A$59:$AN$276</definedName>
    <definedName name="Z_6871C5F2_5138_4F9F_8D4F_300AF0D33A28_.wvu.FilterData" localSheetId="1" hidden="1">Merged_JOEM!$B$59:$AO$244</definedName>
    <definedName name="Z_6897B548_3C41_42CA_B63B_C5E92D05FB97_.wvu.FilterData" localSheetId="1" hidden="1">Merged_JOEM!$B$59:$AO$378</definedName>
    <definedName name="Z_68A8DFB2_121C_4691_9D2A_B69DC01BC1C7_.wvu.FilterData" localSheetId="0" hidden="1">Merged_COEM!$B$59:$AN$276</definedName>
    <definedName name="Z_692EEB33_DCD1_458F_9C5E_4B229B986D68_.wvu.FilterData" localSheetId="0" hidden="1">Merged_COEM!$A$59:$AN$276</definedName>
    <definedName name="Z_692EEB33_DCD1_458F_9C5E_4B229B986D68_.wvu.FilterData" localSheetId="1" hidden="1">Merged_JOEM!$B$59:$AO$378</definedName>
    <definedName name="Z_694FC4C3_FBCE_498B_8ED0_AB849868809E_.wvu.FilterData" localSheetId="0" hidden="1">Merged_COEM!$B$59:$AN$276</definedName>
    <definedName name="Z_694FC4C3_FBCE_498B_8ED0_AB849868809E_.wvu.FilterData" localSheetId="1" hidden="1">Merged_JOEM!$B$59:$AO$378</definedName>
    <definedName name="Z_69947992_ADC2_4805_8334_684F67AC0AD0_.wvu.FilterData" localSheetId="0" hidden="1">Merged_COEM!$A$59:$AN$276</definedName>
    <definedName name="Z_69947992_ADC2_4805_8334_684F67AC0AD0_.wvu.FilterData" localSheetId="1" hidden="1">Merged_JOEM!$B$59:$AO$378</definedName>
    <definedName name="Z_69A90271_D13B_4CCF_8FCA_9323261EF376_.wvu.FilterData" localSheetId="0" hidden="1">Merged_COEM!$A$59:$AN$276</definedName>
    <definedName name="Z_69D96A59_A112_4111_95F1_42A34D2FE5D3_.wvu.FilterData" localSheetId="0" hidden="1">Merged_COEM!$B$59:$AN$59</definedName>
    <definedName name="Z_69D96A59_A112_4111_95F1_42A34D2FE5D3_.wvu.FilterData" localSheetId="1" hidden="1">Merged_JOEM!$B$59:$AO$378</definedName>
    <definedName name="Z_6A5804B2_391C_4C29_93A5_DA8848A9C0A9_.wvu.FilterData" localSheetId="0" hidden="1">Merged_COEM!$B$59:$AN$276</definedName>
    <definedName name="Z_6A855722_E967_422C_9F7F_90F4AE7434F6_.wvu.FilterData" localSheetId="0" hidden="1">Merged_COEM!$A$59:$AN$276</definedName>
    <definedName name="Z_6ABF4929_1E19_4B07_9876_68664A935E9C_.wvu.FilterData" localSheetId="1" hidden="1">Merged_JOEM!$A$59:$AO$378</definedName>
    <definedName name="Z_6AC12BBF_4FCF_454B_8B71_C95696419151_.wvu.FilterData" localSheetId="0" hidden="1">Merged_COEM!$A$59:$AN$276</definedName>
    <definedName name="Z_6AC12BBF_4FCF_454B_8B71_C95696419151_.wvu.FilterData" localSheetId="1" hidden="1">Merged_JOEM!$B$59:$AO$378</definedName>
    <definedName name="Z_6B1C0053_0046_4D67_BA8B_616B43777C0C_.wvu.FilterData" localSheetId="0" hidden="1">Merged_COEM!$A$59:$AN$276</definedName>
    <definedName name="Z_6B1C0053_0046_4D67_BA8B_616B43777C0C_.wvu.FilterData" localSheetId="1" hidden="1">Merged_JOEM!$B$59:$AO$378</definedName>
    <definedName name="Z_6B2C80F9_6F9D_47F9_AEEB_BF3F5B6ECC4D_.wvu.FilterData" localSheetId="0" hidden="1">Merged_COEM!$B$59:$AN$276</definedName>
    <definedName name="Z_6B2C80F9_6F9D_47F9_AEEB_BF3F5B6ECC4D_.wvu.FilterData" localSheetId="1" hidden="1">Merged_JOEM!$B$59:$AO$160</definedName>
    <definedName name="Z_6B374A4D_249C_4C23_AA17_86959F27F346_.wvu.FilterData" localSheetId="0" hidden="1">Merged_COEM!$B$59:$AN$276</definedName>
    <definedName name="Z_6B374A4D_249C_4C23_AA17_86959F27F346_.wvu.FilterData" localSheetId="1" hidden="1">Merged_JOEM!$B$59:$AO$59</definedName>
    <definedName name="Z_6B638F14_A9F5_4448_A254_1C4B412009F0_.wvu.FilterData" localSheetId="0" hidden="1">Merged_COEM!$B$59:$AN$59</definedName>
    <definedName name="Z_6B638F14_A9F5_4448_A254_1C4B412009F0_.wvu.FilterData" localSheetId="1" hidden="1">Merged_JOEM!$B$59:$AO$59</definedName>
    <definedName name="Z_6B713E76_ED25_4678_A716_879278BE9607_.wvu.FilterData" localSheetId="1" hidden="1">Merged_JOEM!$B$59:$AO$59</definedName>
    <definedName name="Z_6B90BF30_0A57_4D16_887F_3557F09ECFBE_.wvu.FilterData" localSheetId="1" hidden="1">Merged_JOEM!$B$59:$AO$361</definedName>
    <definedName name="Z_6BAEB746_6A64_4AC5_8303_BAD8776C6375_.wvu.FilterData" localSheetId="0" hidden="1">Merged_COEM!$A$59:$AN$276</definedName>
    <definedName name="Z_6BAEB746_6A64_4AC5_8303_BAD8776C6375_.wvu.FilterData" localSheetId="1" hidden="1">Merged_JOEM!$B$59:$AO$378</definedName>
    <definedName name="Z_6BE441EC_C2B3_484F_8D66_B1F935DB9228_.wvu.FilterData" localSheetId="0" hidden="1">Merged_COEM!$A$59:$AN$276</definedName>
    <definedName name="Z_6BE441EC_C2B3_484F_8D66_B1F935DB9228_.wvu.FilterData" localSheetId="1" hidden="1">Merged_JOEM!$B$59:$AO$378</definedName>
    <definedName name="Z_6C33A3EC_A973_4E70_B09E_73BDA74B0561_.wvu.FilterData" localSheetId="1" hidden="1">Merged_JOEM!$B$59:$AO$378</definedName>
    <definedName name="Z_6CABF124_200E_4AC7_9AB1_549B637A0FFC_.wvu.FilterData" localSheetId="0" hidden="1">Merged_COEM!$B$59:$AN$59</definedName>
    <definedName name="Z_6CDC68E0_8BBA_4F62_B4E1_F840303D63ED_.wvu.FilterData" localSheetId="0" hidden="1">Merged_COEM!$A$59:$AN$276</definedName>
    <definedName name="Z_6CDC68E0_8BBA_4F62_B4E1_F840303D63ED_.wvu.FilterData" localSheetId="1" hidden="1">Merged_JOEM!$B$59:$AO$378</definedName>
    <definedName name="Z_6D2D7777_D86E_4AC5_A18E_02C5E07CB22A_.wvu.FilterData" localSheetId="1" hidden="1">Merged_JOEM!$B$59:$AO$378</definedName>
    <definedName name="Z_6D5437E7_0F6A_474A_A969_679C02E613D2_.wvu.FilterData" localSheetId="0" hidden="1">Merged_COEM!$B$59:$AN$276</definedName>
    <definedName name="Z_6D9B17D1_971C_4073_86BB_ED56854123E5_.wvu.FilterData" localSheetId="0" hidden="1">Merged_COEM!$A$59:$AN$276</definedName>
    <definedName name="Z_6D9B17D1_971C_4073_86BB_ED56854123E5_.wvu.FilterData" localSheetId="1" hidden="1">Merged_JOEM!$B$59:$AO$59</definedName>
    <definedName name="Z_6DE17C78_E65F_476D_9F32_90CC12C01E83_.wvu.FilterData" localSheetId="0" hidden="1">Merged_COEM!$A$59:$AN$276</definedName>
    <definedName name="Z_6DF3B6BB_7DA7_4DA4_8504_6BC8B28CC34E_.wvu.FilterData" localSheetId="1" hidden="1">Merged_JOEM!$B$59:$AO$378</definedName>
    <definedName name="Z_6E1799E6_49A9_4A8E_AC1B_E18712DD61BF_.wvu.FilterData" localSheetId="0" hidden="1">Merged_COEM!$A$59:$AN$276</definedName>
    <definedName name="Z_6E1799E6_49A9_4A8E_AC1B_E18712DD61BF_.wvu.FilterData" localSheetId="1" hidden="1">Merged_JOEM!$B$59:$AO$378</definedName>
    <definedName name="Z_6E8AA934_EB6D_4491_A0A9_8DA44DF905C9_.wvu.FilterData" localSheetId="0" hidden="1">Merged_COEM!$A$59:$AN$276</definedName>
    <definedName name="Z_6E8AA934_EB6D_4491_A0A9_8DA44DF905C9_.wvu.FilterData" localSheetId="1" hidden="1">Merged_JOEM!$B$59:$AO$378</definedName>
    <definedName name="Z_6F138582_DA2E_48FF_8C71_FD324AC976C1_.wvu.FilterData" localSheetId="0" hidden="1">Merged_COEM!$B$59:$AN$276</definedName>
    <definedName name="Z_6F144052_1690_4609_B145_94EAC52CA5F6_.wvu.FilterData" localSheetId="0" hidden="1">Merged_COEM!$A$59:$AN$276</definedName>
    <definedName name="Z_6F144052_1690_4609_B145_94EAC52CA5F6_.wvu.FilterData" localSheetId="1" hidden="1">Merged_JOEM!$B$59:$AO$378</definedName>
    <definedName name="Z_6F608A92_1A7E_4304_82C6_73A0B7183D4A_.wvu.FilterData" localSheetId="0" hidden="1">Merged_COEM!$A$59:$AN$276</definedName>
    <definedName name="Z_6F608A92_1A7E_4304_82C6_73A0B7183D4A_.wvu.FilterData" localSheetId="1" hidden="1">Merged_JOEM!$B$59:$AO$361</definedName>
    <definedName name="Z_6FCAA524_7D77_4BB4_8962_4E73EBC6BB43_.wvu.FilterData" localSheetId="0" hidden="1">Merged_COEM!$B$59:$AN$59</definedName>
    <definedName name="Z_6FDA3908_33D8_4257_8E81_8918028CEF1C_.wvu.FilterData" localSheetId="0" hidden="1">Merged_COEM!$A$59:$AN$276</definedName>
    <definedName name="Z_6FDA3908_33D8_4257_8E81_8918028CEF1C_.wvu.FilterData" localSheetId="1" hidden="1">Merged_JOEM!$B$59:$AO$378</definedName>
    <definedName name="Z_7007375C_B801_4F7C_AD2F_596B93A71EC0_.wvu.FilterData" localSheetId="0" hidden="1">Merged_COEM!$B$59:$AN$59</definedName>
    <definedName name="Z_7007375C_B801_4F7C_AD2F_596B93A71EC0_.wvu.FilterData" localSheetId="1" hidden="1">Merged_JOEM!$B$59:$AO$378</definedName>
    <definedName name="Z_705DC135_428A_4950_A2C7_342AB4CA334B_.wvu.FilterData" localSheetId="0" hidden="1">Merged_COEM!$A$59:$AN$276</definedName>
    <definedName name="Z_707C7C0B_3564_439F_A2E9_21F383DF0CBB_.wvu.FilterData" localSheetId="1" hidden="1">Merged_JOEM!$B$59:$AO$378</definedName>
    <definedName name="Z_70990595_124F_498D_BF4D_D7019536FF16_.wvu.FilterData" localSheetId="1" hidden="1">Merged_JOEM!$B$59:$AO$378</definedName>
    <definedName name="Z_70DDEEC0_45AF_4451_8DAA_CB6E764E900C_.wvu.FilterData" localSheetId="0" hidden="1">Merged_COEM!$B$59:$AN$276</definedName>
    <definedName name="Z_715BFEE4_32CD_4B7E_A647_03CCF4A790F0_.wvu.FilterData" localSheetId="0" hidden="1">Merged_COEM!$A$59:$AN$276</definedName>
    <definedName name="Z_71FB7BD1_E9E9_4316_AB57_FA637A29F9E5_.wvu.FilterData" localSheetId="0" hidden="1">Merged_COEM!$B$59:$AN$59</definedName>
    <definedName name="Z_71FB7BD1_E9E9_4316_AB57_FA637A29F9E5_.wvu.FilterData" localSheetId="1" hidden="1">Merged_JOEM!$B$59:$AO$378</definedName>
    <definedName name="Z_723721FD_668E_4996_BC8A_7458598F007D_.wvu.FilterData" localSheetId="0" hidden="1">Merged_COEM!$A$59:$AN$276</definedName>
    <definedName name="Z_723721FD_668E_4996_BC8A_7458598F007D_.wvu.FilterData" localSheetId="1" hidden="1">Merged_JOEM!$B$59:$AO$361</definedName>
    <definedName name="Z_725BEA76_0B85_4A75_A741_5CDDEA2ADA81_.wvu.FilterData" localSheetId="0" hidden="1">Merged_COEM!$B$59:$AN$276</definedName>
    <definedName name="Z_725BEA76_0B85_4A75_A741_5CDDEA2ADA81_.wvu.FilterData" localSheetId="1" hidden="1">Merged_JOEM!$B$59:$AO$378</definedName>
    <definedName name="Z_725F10E2_6D46_4E78_9742_427FC4863674_.wvu.FilterData" localSheetId="1" hidden="1">Merged_JOEM!$B$59:$AO$378</definedName>
    <definedName name="Z_7261821D_1D33_4FAC_B604_2D03A21B59EC_.wvu.FilterData" localSheetId="0" hidden="1">Merged_COEM!$A$59:$AN$276</definedName>
    <definedName name="Z_72A6EB0A_84D5_4B8A_AC51_54CCD061630B_.wvu.FilterData" localSheetId="0" hidden="1">Merged_COEM!$B$59:$AN$276</definedName>
    <definedName name="Z_72A6EB0A_84D5_4B8A_AC51_54CCD061630B_.wvu.FilterData" localSheetId="1" hidden="1">Merged_JOEM!$B$59:$AO$59</definedName>
    <definedName name="Z_72B3F568_6EC5_48A5_9A41_473348E2FBC6_.wvu.FilterData" localSheetId="0" hidden="1">Merged_COEM!$A$59:$AN$276</definedName>
    <definedName name="Z_72D648CE_924C_46FA_A890_E31171A4436D_.wvu.FilterData" localSheetId="0" hidden="1">Merged_COEM!$A$59:$AN$276</definedName>
    <definedName name="Z_72D648CE_924C_46FA_A890_E31171A4436D_.wvu.FilterData" localSheetId="1" hidden="1">Merged_JOEM!$B$59:$AO$378</definedName>
    <definedName name="Z_730E331C_10E7_4E98_BC37_6021A4A49A07_.wvu.FilterData" localSheetId="0" hidden="1">Merged_COEM!$A$59:$AN$276</definedName>
    <definedName name="Z_730E331C_10E7_4E98_BC37_6021A4A49A07_.wvu.FilterData" localSheetId="1" hidden="1">Merged_JOEM!$B$59:$AO$378</definedName>
    <definedName name="Z_730EFCB3_2402_4578_8B7C_79704658095C_.wvu.FilterData" localSheetId="1" hidden="1">Merged_JOEM!$B$59:$AO$59</definedName>
    <definedName name="Z_73375288_6B6E_4B64_B8CA_8A2D17E4EE8E_.wvu.FilterData" localSheetId="0" hidden="1">Merged_COEM!$B$59:$AN$276</definedName>
    <definedName name="Z_7339CFDD_5D7C_41FE_8AD1_208FBEAD7A1C_.wvu.FilterData" localSheetId="0" hidden="1">Merged_COEM!$A$59:$AN$276</definedName>
    <definedName name="Z_7339CFDD_5D7C_41FE_8AD1_208FBEAD7A1C_.wvu.FilterData" localSheetId="1" hidden="1">Merged_JOEM!$B$59:$AO$378</definedName>
    <definedName name="Z_7353763A_A80D_4A0D_ABFA_E5EDD6EA4E4E_.wvu.FilterData" localSheetId="0" hidden="1">Merged_COEM!$A$59:$AN$276</definedName>
    <definedName name="Z_7353763A_A80D_4A0D_ABFA_E5EDD6EA4E4E_.wvu.FilterData" localSheetId="1" hidden="1">Merged_JOEM!$B$59:$AO$378</definedName>
    <definedName name="Z_73A1FDF2_EC98_4041_B436_5B3698619454_.wvu.FilterData" localSheetId="0" hidden="1">Merged_COEM!$A$59:$AN$276</definedName>
    <definedName name="Z_741C657B_5761_48ED_8FB8_A62E920FA431_.wvu.FilterData" localSheetId="0" hidden="1">Merged_COEM!$A$59:$AN$276</definedName>
    <definedName name="Z_741C657B_5761_48ED_8FB8_A62E920FA431_.wvu.FilterData" localSheetId="1" hidden="1">Merged_JOEM!$B$59:$AO$378</definedName>
    <definedName name="Z_7465B452_5612_4C23_A96E_B75527B9E08B_.wvu.FilterData" localSheetId="0" hidden="1">Merged_COEM!$A$59:$AN$276</definedName>
    <definedName name="Z_7465B452_5612_4C23_A96E_B75527B9E08B_.wvu.FilterData" localSheetId="1" hidden="1">Merged_JOEM!$B$59:$AO$359</definedName>
    <definedName name="Z_74760A90_7CE0_4BEE_A0AE_9FC34DF498F8_.wvu.FilterData" localSheetId="1" hidden="1">Merged_JOEM!$B$59:$AO$299</definedName>
    <definedName name="Z_74A7D6FD_C8F2_49AC_8524_F492B90EB1F5_.wvu.FilterData" localSheetId="0" hidden="1">Merged_COEM!$B$59:$AN$276</definedName>
    <definedName name="Z_74F104B0_C4E5_41FD_9F43_0DFCE277A292_.wvu.FilterData" localSheetId="0" hidden="1">Merged_COEM!$B$59:$AN$276</definedName>
    <definedName name="Z_7559AD3C_156F_45C7_936A_55D8B4CF8FD3_.wvu.FilterData" localSheetId="0" hidden="1">Merged_COEM!$A$59:$AN$276</definedName>
    <definedName name="Z_7559AD3C_156F_45C7_936A_55D8B4CF8FD3_.wvu.FilterData" localSheetId="1" hidden="1">Merged_JOEM!$B$59:$AO$378</definedName>
    <definedName name="Z_7566CE72_E581_4C0C_848E_BF5BF80A467E_.wvu.FilterData" localSheetId="0" hidden="1">Merged_COEM!$A$59:$AN$276</definedName>
    <definedName name="Z_75A4D877_FE20_4425_A218_8034F59191DE_.wvu.FilterData" localSheetId="0" hidden="1">Merged_COEM!$B$59:$AN$59</definedName>
    <definedName name="Z_75A4D877_FE20_4425_A218_8034F59191DE_.wvu.FilterData" localSheetId="1" hidden="1">Merged_JOEM!$B$59:$AO$378</definedName>
    <definedName name="Z_75ACA920_8B81_4268_B8AB_2A53A1F1C632_.wvu.FilterData" localSheetId="1" hidden="1">Merged_JOEM!$B$59:$AO$378</definedName>
    <definedName name="Z_761438AF_5268_4044_83AA_D9E1D1132012_.wvu.FilterData" localSheetId="1" hidden="1">Merged_JOEM!$B$59:$AO$187</definedName>
    <definedName name="Z_7631F57F_2776_4521_B9A4_E50DF3C50E08_.wvu.FilterData" localSheetId="0" hidden="1">Merged_COEM!$A$59:$AN$276</definedName>
    <definedName name="Z_7631F57F_2776_4521_B9A4_E50DF3C50E08_.wvu.FilterData" localSheetId="1" hidden="1">Merged_JOEM!$B$59:$AO$378</definedName>
    <definedName name="Z_76551960_825E_460F_979A_E5C4C2C41114_.wvu.FilterData" localSheetId="0" hidden="1">Merged_COEM!$B$59:$AN$276</definedName>
    <definedName name="Z_76551960_825E_460F_979A_E5C4C2C41114_.wvu.FilterData" localSheetId="1" hidden="1">Merged_JOEM!$B$59:$AO$59</definedName>
    <definedName name="Z_7670F964_2211_41BB_B261_6E87AFB6DF09_.wvu.FilterData" localSheetId="0" hidden="1">Merged_COEM!$A$59:$AN$276</definedName>
    <definedName name="Z_7670F964_2211_41BB_B261_6E87AFB6DF09_.wvu.FilterData" localSheetId="1" hidden="1">Merged_JOEM!$B$59:$AO$378</definedName>
    <definedName name="Z_76769627_11CE_4A9C_8027_8CA0878DEAC5_.wvu.FilterData" localSheetId="0" hidden="1">Merged_COEM!$A$59:$AN$276</definedName>
    <definedName name="Z_76769627_11CE_4A9C_8027_8CA0878DEAC5_.wvu.FilterData" localSheetId="1" hidden="1">Merged_JOEM!$B$59:$AO$378</definedName>
    <definedName name="Z_7684DE88_CD79_4EF5_9C9B_B69951F70D93_.wvu.FilterData" localSheetId="1" hidden="1">Merged_JOEM!$B$59:$AO$378</definedName>
    <definedName name="Z_77281D62_D3A8_4635_85D7_3281CF93ABF8_.wvu.FilterData" localSheetId="0" hidden="1">Merged_COEM!$A$59:$AN$276</definedName>
    <definedName name="Z_7747FA4E_759E_44F6_BA3F_BCA6126954F3_.wvu.FilterData" localSheetId="0" hidden="1">Merged_COEM!$A$59:$AN$276</definedName>
    <definedName name="Z_775F6381_EE6B_4BE5_9118_9ACDCBEBC90F_.wvu.FilterData" localSheetId="0" hidden="1">Merged_COEM!$A$59:$AN$276</definedName>
    <definedName name="Z_7766F98E_4A78_4ADA_937E_526F26631568_.wvu.FilterData" localSheetId="0" hidden="1">Merged_COEM!$A$59:$AN$276</definedName>
    <definedName name="Z_7766F98E_4A78_4ADA_937E_526F26631568_.wvu.FilterData" localSheetId="1" hidden="1">Merged_JOEM!$B$59:$AO$378</definedName>
    <definedName name="Z_7777A75B_07B0_495F_A799_12C6A93E0748_.wvu.FilterData" localSheetId="0" hidden="1">Merged_COEM!$B$59:$AN$276</definedName>
    <definedName name="Z_7817676C_B178_4996_A1C5_3C76C20F9B73_.wvu.FilterData" localSheetId="1" hidden="1">Merged_JOEM!$B$59:$AO$378</definedName>
    <definedName name="Z_783349D3_16E7_48CE_AED8_C9DC07B646DB_.wvu.FilterData" localSheetId="0" hidden="1">Merged_COEM!$A$59:$AN$276</definedName>
    <definedName name="Z_783349D3_16E7_48CE_AED8_C9DC07B646DB_.wvu.FilterData" localSheetId="1" hidden="1">Merged_JOEM!$B$59:$AO$378</definedName>
    <definedName name="Z_785BB79A_C865_438C_8AE3_345123C4E11D_.wvu.FilterData" localSheetId="1" hidden="1">Merged_JOEM!$B$59:$AO$187</definedName>
    <definedName name="Z_7885491C_0B1A_4D1A_8345_F3435E1F1B8C_.wvu.FilterData" localSheetId="0" hidden="1">Merged_COEM!$B$59:$AN$276</definedName>
    <definedName name="Z_7885491C_0B1A_4D1A_8345_F3435E1F1B8C_.wvu.FilterData" localSheetId="1" hidden="1">Merged_JOEM!$B$59:$AO$378</definedName>
    <definedName name="Z_78BE4FE7_C9A4_4279_A646_606FC8C1A5D2_.wvu.FilterData" localSheetId="1" hidden="1">Merged_JOEM!$B$59:$AO$378</definedName>
    <definedName name="Z_79294D82_6CB7_4E0E_AB42_B1669FD73308_.wvu.FilterData" localSheetId="1" hidden="1">Merged_JOEM!$B$59:$AO$378</definedName>
    <definedName name="Z_7944494E_8CD1_491C_B632_1E18754DE671_.wvu.FilterData" localSheetId="1" hidden="1">Merged_JOEM!$B$59:$AO$378</definedName>
    <definedName name="Z_79BDC2B7_FDF9_43C1_A0EC_E2074B3F7BC8_.wvu.FilterData" localSheetId="1" hidden="1">Merged_JOEM!$B$59:$AO$378</definedName>
    <definedName name="Z_79C11DCF_1E87_4D92_9874_E8CDE749621A_.wvu.FilterData" localSheetId="0" hidden="1">Merged_COEM!$A$59:$AN$276</definedName>
    <definedName name="Z_79C11DCF_1E87_4D92_9874_E8CDE749621A_.wvu.FilterData" localSheetId="1" hidden="1">Merged_JOEM!$B$59:$AO$378</definedName>
    <definedName name="Z_7A71BEF5_1E4A_4C73_B92F_2B1E3389560A_.wvu.FilterData" localSheetId="0" hidden="1">Merged_COEM!$A$59:$AN$276</definedName>
    <definedName name="Z_7A71BEF5_1E4A_4C73_B92F_2B1E3389560A_.wvu.FilterData" localSheetId="1" hidden="1">Merged_JOEM!$B$59:$AO$378</definedName>
    <definedName name="Z_7A8CB8A9_61C4_4CF1_BA54_B291C6A5550F_.wvu.FilterData" localSheetId="0" hidden="1">Merged_COEM!$B$59:$AN$276</definedName>
    <definedName name="Z_7B0A1F40_3CEE_4045_9C99_7D8C42864803_.wvu.FilterData" localSheetId="1" hidden="1">Merged_JOEM!$B$59:$AO$378</definedName>
    <definedName name="Z_7B16DD34_82E4_450A_919E_74C19BA1E00B_.wvu.FilterData" localSheetId="0" hidden="1">Merged_COEM!$B$59:$AN$276</definedName>
    <definedName name="Z_7B16DD34_82E4_450A_919E_74C19BA1E00B_.wvu.FilterData" localSheetId="1" hidden="1">Merged_JOEM!$B$59:$AO$160</definedName>
    <definedName name="Z_7B50F370_16AB_4336_99D1_E1D8D400F7C2_.wvu.FilterData" localSheetId="0" hidden="1">Merged_COEM!$B$59:$AN$276</definedName>
    <definedName name="Z_7B50F370_16AB_4336_99D1_E1D8D400F7C2_.wvu.FilterData" localSheetId="1" hidden="1">Merged_JOEM!$B$59:$AO$161</definedName>
    <definedName name="Z_7B73230E_69E0_43F5_B0B0_DBE5465075A3_.wvu.FilterData" localSheetId="0" hidden="1">Merged_COEM!$A$59:$AN$276</definedName>
    <definedName name="Z_7B73230E_69E0_43F5_B0B0_DBE5465075A3_.wvu.FilterData" localSheetId="1" hidden="1">Merged_JOEM!$B$59:$AO$378</definedName>
    <definedName name="Z_7B889AAC_31FF_4187_BC9A_97347D0C1404_.wvu.FilterData" localSheetId="0" hidden="1">Merged_COEM!$A$59:$AN$276</definedName>
    <definedName name="Z_7B889AAC_31FF_4187_BC9A_97347D0C1404_.wvu.FilterData" localSheetId="1" hidden="1">Merged_JOEM!$B$59:$AO$378</definedName>
    <definedName name="Z_7BCF790B_B0C0_4842_8AD7_5E2098ABB76A_.wvu.FilterData" localSheetId="0" hidden="1">Merged_COEM!$B$59:$AN$276</definedName>
    <definedName name="Z_7BFB5FB4_A8B0_4F63_A181_1734FD1FFF81_.wvu.FilterData" localSheetId="1" hidden="1">Merged_JOEM!$B$59:$AO$378</definedName>
    <definedName name="Z_7C4AC733_71DF_4C4D_85AA_F169CF3BF8D0_.wvu.FilterData" localSheetId="0" hidden="1">Merged_COEM!$A$59:$AN$276</definedName>
    <definedName name="Z_7C54DD60_2343_494A_9B25_2EE5F2700F94_.wvu.FilterData" localSheetId="0" hidden="1">Merged_COEM!$A$59:$AN$276</definedName>
    <definedName name="Z_7C54DD60_2343_494A_9B25_2EE5F2700F94_.wvu.FilterData" localSheetId="1" hidden="1">Merged_JOEM!$B$59:$AO$378</definedName>
    <definedName name="Z_7CFE9172_C0BA_4835_AC09_77680F071012_.wvu.FilterData" localSheetId="0" hidden="1">Merged_COEM!$A$59:$AN$276</definedName>
    <definedName name="Z_7D2C77B3_6E46_4DCE_877B_745D1A81F317_.wvu.FilterData" localSheetId="1" hidden="1">Merged_JOEM!$B$59:$AO$378</definedName>
    <definedName name="Z_7D7B6956_6DB9_4B66_98B8_6F396B19BC96_.wvu.FilterData" localSheetId="1" hidden="1">Merged_JOEM!$B$59:$AO$378</definedName>
    <definedName name="Z_7E0EA425_A420_4443_B9E0_CDF0AA9E5D09_.wvu.FilterData" localSheetId="0" hidden="1">Merged_COEM!$B$59:$AO$276</definedName>
    <definedName name="Z_7E0EA425_A420_4443_B9E0_CDF0AA9E5D09_.wvu.FilterData" localSheetId="1" hidden="1">Merged_JOEM!$B$59:$AO$364</definedName>
    <definedName name="Z_7E197F63_9137_49A9_B42F_FE0233AD596E_.wvu.FilterData" localSheetId="0" hidden="1">Merged_COEM!$B$59:$AN$276</definedName>
    <definedName name="Z_7E197F63_9137_49A9_B42F_FE0233AD596E_.wvu.FilterData" localSheetId="1" hidden="1">Merged_JOEM!$B$59:$AO$378</definedName>
    <definedName name="Z_7E28528F_E20C_4D62_AACF_5045EC0851EC_.wvu.FilterData" localSheetId="0" hidden="1">Merged_COEM!$A$59:$AN$276</definedName>
    <definedName name="Z_7E28528F_E20C_4D62_AACF_5045EC0851EC_.wvu.FilterData" localSheetId="1" hidden="1">Merged_JOEM!$B$59:$AO$378</definedName>
    <definedName name="Z_7E41D8F9_C530_4D02_A777_CE192E071F4C_.wvu.FilterData" localSheetId="0" hidden="1">Merged_COEM!$B$59:$AN$276</definedName>
    <definedName name="Z_7E41D8F9_C530_4D02_A777_CE192E071F4C_.wvu.FilterData" localSheetId="1" hidden="1">Merged_JOEM!$B$59:$AO$378</definedName>
    <definedName name="Z_7E60AD22_29CE_4DD6_AAAE_4421B58B02C1_.wvu.FilterData" localSheetId="0" hidden="1">Merged_COEM!$A$59:$AN$276</definedName>
    <definedName name="Z_7E60AD22_29CE_4DD6_AAAE_4421B58B02C1_.wvu.FilterData" localSheetId="1" hidden="1">Merged_JOEM!$B$59:$AO$378</definedName>
    <definedName name="Z_7E62BDEA_A146_4AAB_BD01_DEE0B742A4FB_.wvu.FilterData" localSheetId="1" hidden="1">Merged_JOEM!$B$59:$AO$378</definedName>
    <definedName name="Z_7E9E86EE_4E86_464D_A02D_88BA33E6F7E1_.wvu.FilterData" localSheetId="0" hidden="1">Merged_COEM!$B$59:$AN$276</definedName>
    <definedName name="Z_7ECA1D62_ABBC_43E6_9937_2E03B35496B2_.wvu.FilterData" localSheetId="0" hidden="1">Merged_COEM!$B$59:$AN$276</definedName>
    <definedName name="Z_7ECA1D62_ABBC_43E6_9937_2E03B35496B2_.wvu.FilterData" localSheetId="1" hidden="1">Merged_JOEM!$B$59:$AO$378</definedName>
    <definedName name="Z_7ECC2B8E_6A82_42F5_8AB0_4A51C54EA5EC_.wvu.FilterData" localSheetId="0" hidden="1">Merged_COEM!$A$59:$AN$276</definedName>
    <definedName name="Z_7ECC2B8E_6A82_42F5_8AB0_4A51C54EA5EC_.wvu.FilterData" localSheetId="1" hidden="1">Merged_JOEM!$B$59:$AO$364</definedName>
    <definedName name="Z_7F67A8AD_9567_4C1F_9FE0_3A1B039478FD_.wvu.FilterData" localSheetId="0" hidden="1">Merged_COEM!$A$59:$AN$276</definedName>
    <definedName name="Z_7FB20ABB_D8A4_4965_8E88_80AC614DF5A9_.wvu.FilterData" localSheetId="0" hidden="1">Merged_COEM!$A$59:$AN$276</definedName>
    <definedName name="Z_7FC062FF_43CE_406D_9670_5D1AA49208CC_.wvu.FilterData" localSheetId="0" hidden="1">Merged_COEM!$B$59:$AN$276</definedName>
    <definedName name="Z_7FEB5690_7B38_49CE_A727_CCA7747AA9AE_.wvu.FilterData" localSheetId="0" hidden="1">Merged_COEM!$B$59:$AN$276</definedName>
    <definedName name="Z_7FEB5690_7B38_49CE_A727_CCA7747AA9AE_.wvu.FilterData" localSheetId="1" hidden="1">Merged_JOEM!$B$59:$AO$378</definedName>
    <definedName name="Z_800716EA_F7AD_445F_A82C_AD7029120035_.wvu.FilterData" localSheetId="1" hidden="1">Merged_JOEM!$B$59:$AO$378</definedName>
    <definedName name="Z_803CD872_D993_4AEC_ABDC_098E41A41D56_.wvu.FilterData" localSheetId="0" hidden="1">Merged_COEM!$B$59:$AN$276</definedName>
    <definedName name="Z_808E2667_81A3_4C6A_BBA2_19DD06DD6803_.wvu.FilterData" localSheetId="0" hidden="1">Merged_COEM!$A$59:$AN$276</definedName>
    <definedName name="Z_808E2667_81A3_4C6A_BBA2_19DD06DD6803_.wvu.FilterData" localSheetId="1" hidden="1">Merged_JOEM!$B$59:$AO$378</definedName>
    <definedName name="Z_80A9C0A7_1F8F_4F5D_89FB_FDBAF1B1628C_.wvu.FilterData" localSheetId="0" hidden="1">Merged_COEM!$A$59:$AN$276</definedName>
    <definedName name="Z_80A9C0A7_1F8F_4F5D_89FB_FDBAF1B1628C_.wvu.FilterData" localSheetId="1" hidden="1">Merged_JOEM!$B$59:$AO$378</definedName>
    <definedName name="Z_80EC4C9F_965A_4936_9CC4_4D5A1693C9E8_.wvu.FilterData" localSheetId="1" hidden="1">Merged_JOEM!$B$59:$AO$361</definedName>
    <definedName name="Z_80F8FDC8_35A1_4A6F_8D05_3B18E2A22C27_.wvu.FilterData" localSheetId="0" hidden="1">Merged_COEM!$B$59:$AN$276</definedName>
    <definedName name="Z_813A7912_0731_46B9_B4CC_33DA5DAC5D0E_.wvu.FilterData" localSheetId="0" hidden="1">Merged_COEM!$A$59:$AN$276</definedName>
    <definedName name="Z_813A7912_0731_46B9_B4CC_33DA5DAC5D0E_.wvu.FilterData" localSheetId="1" hidden="1">Merged_JOEM!$B$59:$AO$378</definedName>
    <definedName name="Z_8196DF26_FED6_4AD5_81BB_407D7FD9D469_.wvu.FilterData" localSheetId="0" hidden="1">Merged_COEM!$B$59:$AN$276</definedName>
    <definedName name="Z_81FA0B0F_EF1A_4AD6_89BA_3A6395222780_.wvu.FilterData" localSheetId="1" hidden="1">Merged_JOEM!$B$59:$AO$378</definedName>
    <definedName name="Z_8272A3A2_9E6D_45E6_9C0F_2BEE73EF2A02_.wvu.FilterData" localSheetId="0" hidden="1">Merged_COEM!$B$59:$AN$276</definedName>
    <definedName name="Z_828817CB_45DB_43B1_A8C1_37C75E296BB3_.wvu.FilterData" localSheetId="0" hidden="1">Merged_COEM!$A$59:$AN$276</definedName>
    <definedName name="Z_828817CB_45DB_43B1_A8C1_37C75E296BB3_.wvu.FilterData" localSheetId="1" hidden="1">Merged_JOEM!$B$59:$AO$378</definedName>
    <definedName name="Z_829A4E16_046C_44CF_A5AA_B2E034E6EB70_.wvu.FilterData" localSheetId="0" hidden="1">Merged_COEM!$A$59:$AN$276</definedName>
    <definedName name="Z_829A4E16_046C_44CF_A5AA_B2E034E6EB70_.wvu.FilterData" localSheetId="1" hidden="1">Merged_JOEM!$B$59:$AO$378</definedName>
    <definedName name="Z_82F86D7D_3385_4B75_809D_D3618C8BE580_.wvu.FilterData" localSheetId="1" hidden="1">Merged_JOEM!$B$59:$AO$178</definedName>
    <definedName name="Z_83DCD566_267F_4C53_8236_CFDD1B3CAECE_.wvu.FilterData" localSheetId="0" hidden="1">Merged_COEM!$A$59:$AN$276</definedName>
    <definedName name="Z_83DCD566_267F_4C53_8236_CFDD1B3CAECE_.wvu.FilterData" localSheetId="1" hidden="1">Merged_JOEM!$B$59:$AO$378</definedName>
    <definedName name="Z_83FFA778_AFF7_4A11_945D_7F2F22134079_.wvu.FilterData" localSheetId="1" hidden="1">Merged_JOEM!$B$59:$AO$378</definedName>
    <definedName name="Z_84084098_BF61_4F5A_82A0_5A4F9E46CE37_.wvu.FilterData" localSheetId="0" hidden="1">Merged_COEM!$A$59:$AN$276</definedName>
    <definedName name="Z_84084098_BF61_4F5A_82A0_5A4F9E46CE37_.wvu.FilterData" localSheetId="1" hidden="1">Merged_JOEM!$B$59:$AO$378</definedName>
    <definedName name="Z_8411BEB1_2171_43CE_A328_22A286B02862_.wvu.FilterData" localSheetId="0" hidden="1">Merged_COEM!$A$59:$AN$276</definedName>
    <definedName name="Z_843FA270_5B9E_4F77_AB09_31412142C11C_.wvu.FilterData" localSheetId="1" hidden="1">Merged_JOEM!$B$59:$AO$378</definedName>
    <definedName name="Z_8467614B_AC17_44BB_8A84_30F28E73CEFC_.wvu.FilterData" localSheetId="0" hidden="1">Merged_COEM!$A$59:$AN$276</definedName>
    <definedName name="Z_8467614B_AC17_44BB_8A84_30F28E73CEFC_.wvu.FilterData" localSheetId="1" hidden="1">Merged_JOEM!$B$59:$AO$378</definedName>
    <definedName name="Z_85045786_B7D1_41CF_8C70_1888B8E5320F_.wvu.FilterData" localSheetId="1" hidden="1">Merged_JOEM!$B$59:$AO$378</definedName>
    <definedName name="Z_85544FC7_0132_4BB3_805E_FD5D3F8DB61A_.wvu.FilterData" localSheetId="0" hidden="1">Merged_COEM!$A$59:$AN$276</definedName>
    <definedName name="Z_85544FC7_0132_4BB3_805E_FD5D3F8DB61A_.wvu.FilterData" localSheetId="1" hidden="1">Merged_JOEM!$B$59:$AO$359</definedName>
    <definedName name="Z_8564195F_79F7_4586_A5CB_C7FA434EC3B6_.wvu.FilterData" localSheetId="0" hidden="1">Merged_COEM!$B$59:$AN$276</definedName>
    <definedName name="Z_85A0930F_259C_45E1_BAE2_0EEDD0B3722A_.wvu.FilterData" localSheetId="0" hidden="1">Merged_COEM!$B$59:$AN$276</definedName>
    <definedName name="Z_85B583AD_569E_4B7F_9D51_4BB9B8A24986_.wvu.FilterData" localSheetId="0" hidden="1">Merged_COEM!$A$59:$AN$276</definedName>
    <definedName name="Z_85B583AD_569E_4B7F_9D51_4BB9B8A24986_.wvu.FilterData" localSheetId="1" hidden="1">Merged_JOEM!$B$59:$AO$378</definedName>
    <definedName name="Z_85DF30EA_73FF_4BF2_92F2_FCC9BE054F50_.wvu.FilterData" localSheetId="0" hidden="1">Merged_COEM!$A$59:$AN$276</definedName>
    <definedName name="Z_85DF30EA_73FF_4BF2_92F2_FCC9BE054F50_.wvu.FilterData" localSheetId="1" hidden="1">Merged_JOEM!$B$59:$AO$378</definedName>
    <definedName name="Z_85F21440_623B_4CFA_9A37_76A4ABF33C3B_.wvu.FilterData" localSheetId="0" hidden="1">Merged_COEM!$A$59:$AN$276</definedName>
    <definedName name="Z_860D614A_8721_43EB_B83C_D17744C7F854_.wvu.FilterData" localSheetId="1" hidden="1">Merged_JOEM!$S$60:$S$378</definedName>
    <definedName name="Z_8653925C_A99B_4048_B5B5_D7E2559BEF9D_.wvu.FilterData" localSheetId="0" hidden="1">Merged_COEM!$B$59:$AN$276</definedName>
    <definedName name="Z_869AD8AD_0081_4D03_ACA5_136F0F9F4D7C_.wvu.FilterData" localSheetId="0" hidden="1">Merged_COEM!$A$59:$AN$276</definedName>
    <definedName name="Z_869AD8AD_0081_4D03_ACA5_136F0F9F4D7C_.wvu.FilterData" localSheetId="1" hidden="1">Merged_JOEM!$B$59:$AO$259</definedName>
    <definedName name="Z_86DAF2A7_1716_40A4_A48C_C8E7EF2E3819_.wvu.FilterData" localSheetId="0" hidden="1">Merged_COEM!$A$59:$AN$276</definedName>
    <definedName name="Z_86DAF2A7_1716_40A4_A48C_C8E7EF2E3819_.wvu.FilterData" localSheetId="1" hidden="1">Merged_JOEM!$B$59:$AO$378</definedName>
    <definedName name="Z_86DC6F30_C367_4A3B_8A06_DA397A8B8A9A_.wvu.FilterData" localSheetId="0" hidden="1">Merged_COEM!$A$59:$AN$276</definedName>
    <definedName name="Z_86DC6F30_C367_4A3B_8A06_DA397A8B8A9A_.wvu.FilterData" localSheetId="1" hidden="1">Merged_JOEM!$B$59:$AO$378</definedName>
    <definedName name="Z_86E5F65F_C98C_4A54_9810_7E43573D3363_.wvu.FilterData" localSheetId="0" hidden="1">Merged_COEM!$A$59:$AN$276</definedName>
    <definedName name="Z_8766447F_1722_4AC0_B084_82BED859C4BC_.wvu.FilterData" localSheetId="0" hidden="1">Merged_COEM!$A$59:$AN$276</definedName>
    <definedName name="Z_8766447F_1722_4AC0_B084_82BED859C4BC_.wvu.FilterData" localSheetId="1" hidden="1">Merged_JOEM!$A$59:$AO$378</definedName>
    <definedName name="Z_87B9B6D0_FCFD_415C_BDD0_A69B81D9BDE2_.wvu.FilterData" localSheetId="0" hidden="1">Merged_COEM!$B$59:$AN$276</definedName>
    <definedName name="Z_87C02C8D_1187_4522_9431_7F1D33D7A49B_.wvu.FilterData" localSheetId="0" hidden="1">Merged_COEM!$B$59:$AO$276</definedName>
    <definedName name="Z_884B0F10_5A34_444B_B198_846ACF3EE5A6_.wvu.FilterData" localSheetId="0" hidden="1">Merged_COEM!$B$59:$AN$276</definedName>
    <definedName name="Z_886D625D_2ADA_4DAD_881C_2B47490740E7_.wvu.FilterData" localSheetId="0" hidden="1">Merged_COEM!$A$59:$AN$276</definedName>
    <definedName name="Z_886D625D_2ADA_4DAD_881C_2B47490740E7_.wvu.FilterData" localSheetId="1" hidden="1">Merged_JOEM!$B$59:$AO$172</definedName>
    <definedName name="Z_88C3AE38_3595_4545_BCE2_5DDA0058F4E5_.wvu.FilterData" localSheetId="0" hidden="1">Merged_COEM!$B$59:$AN$276</definedName>
    <definedName name="Z_88C3AE38_3595_4545_BCE2_5DDA0058F4E5_.wvu.FilterData" localSheetId="1" hidden="1">Merged_JOEM!$B$59:$AO$178</definedName>
    <definedName name="Z_88CE456E_359B_447D_B7A0_CC4E1465B4B3_.wvu.FilterData" localSheetId="0" hidden="1">Merged_COEM!$A$59:$AN$276</definedName>
    <definedName name="Z_88CE456E_359B_447D_B7A0_CC4E1465B4B3_.wvu.FilterData" localSheetId="1" hidden="1">Merged_JOEM!$B$59:$AO$378</definedName>
    <definedName name="Z_88E33156_B4B4_46C5_9DEC_A8C1A71097F0_.wvu.FilterData" localSheetId="0" hidden="1">Merged_COEM!$B$59:$AN$276</definedName>
    <definedName name="Z_88EC7E9E_4CA5_4115_8116_60A420A5CA1D_.wvu.FilterData" localSheetId="0" hidden="1">Merged_COEM!$A$59:$AN$276</definedName>
    <definedName name="Z_88EC7E9E_4CA5_4115_8116_60A420A5CA1D_.wvu.FilterData" localSheetId="1" hidden="1">Merged_JOEM!$B$59:$AO$378</definedName>
    <definedName name="Z_890925D0_B636_4D3A_B874_B6C1F5A51B55_.wvu.FilterData" localSheetId="0" hidden="1">Merged_COEM!$A$59:$AN$276</definedName>
    <definedName name="Z_893CD852_24B0_46B7_AEB7_74E4BB8E0F04_.wvu.FilterData" localSheetId="0" hidden="1">Merged_COEM!$A$59:$AN$276</definedName>
    <definedName name="Z_8942B1CC_5ED6_4D53_BE89_A1BBEB439C56_.wvu.FilterData" localSheetId="0" hidden="1">Merged_COEM!$B$59:$AN$276</definedName>
    <definedName name="Z_8942B1CC_5ED6_4D53_BE89_A1BBEB439C56_.wvu.FilterData" localSheetId="1" hidden="1">Merged_JOEM!$B$59:$AO$378</definedName>
    <definedName name="Z_897F2672_D884_45B1_9880_B9C71B54DAEB_.wvu.FilterData" localSheetId="0" hidden="1">Merged_COEM!$A$1:$H$18</definedName>
    <definedName name="Z_898B4F00_6DC3_4313_8F93_016808D06DF4_.wvu.FilterData" localSheetId="0" hidden="1">Merged_COEM!$A$59:$AN$276</definedName>
    <definedName name="Z_898B4F00_6DC3_4313_8F93_016808D06DF4_.wvu.FilterData" localSheetId="1" hidden="1">Merged_JOEM!$B$59:$AO$378</definedName>
    <definedName name="Z_89C03E1E_B6A8_49A1_B29C_5DC4FAB2FBC6_.wvu.FilterData" localSheetId="0" hidden="1">Merged_COEM!$B$59:$AN$276</definedName>
    <definedName name="Z_89C03E1E_B6A8_49A1_B29C_5DC4FAB2FBC6_.wvu.FilterData" localSheetId="1" hidden="1">Merged_JOEM!$B$59:$AO$364</definedName>
    <definedName name="Z_89EF91BE_BBBD_431F_B03F_CF3C9226C9BA_.wvu.FilterData" localSheetId="0" hidden="1">Merged_COEM!$B$59:$AN$276</definedName>
    <definedName name="Z_89EF91BE_BBBD_431F_B03F_CF3C9226C9BA_.wvu.FilterData" localSheetId="1" hidden="1">Merged_JOEM!$B$59:$AO$378</definedName>
    <definedName name="Z_8A074D7F_61BE_4190_AD6E_E4340FEEE17E_.wvu.FilterData" localSheetId="0" hidden="1">Merged_COEM!$B$59:$AN$276</definedName>
    <definedName name="Z_8A074D7F_61BE_4190_AD6E_E4340FEEE17E_.wvu.FilterData" localSheetId="1" hidden="1">Merged_JOEM!$B$59:$AO$378</definedName>
    <definedName name="Z_8A29A023_DD0C_4369_8B7A_60DF7E6E2F5F_.wvu.FilterData" localSheetId="0" hidden="1">Merged_COEM!$A$59:$AN$276</definedName>
    <definedName name="Z_8A559C65_BAAA_408F_ABFA_06D6FAF3240A_.wvu.FilterData" localSheetId="0" hidden="1">Merged_COEM!$A$59:$AN$276</definedName>
    <definedName name="Z_8A559C65_BAAA_408F_ABFA_06D6FAF3240A_.wvu.FilterData" localSheetId="1" hidden="1">Merged_JOEM!$B$59:$AO$361</definedName>
    <definedName name="Z_8A90ED66_C0CA_4CDC_814E_E3743B9B480A_.wvu.FilterData" localSheetId="0" hidden="1">Merged_COEM!$A$59:$AN$276</definedName>
    <definedName name="Z_8A90ED66_C0CA_4CDC_814E_E3743B9B480A_.wvu.FilterData" localSheetId="1" hidden="1">Merged_JOEM!$B$59:$AO$322</definedName>
    <definedName name="Z_8A9E848C_2F92_4247_A828_CFD46DB0543C_.wvu.FilterData" localSheetId="0" hidden="1">Merged_COEM!$A$59:$AN$276</definedName>
    <definedName name="Z_8ABCA77C_ED6A_4A79_A946_D01E9B0DAE02_.wvu.FilterData" localSheetId="0" hidden="1">Merged_COEM!$B$59:$AN$276</definedName>
    <definedName name="Z_8ABCA77C_ED6A_4A79_A946_D01E9B0DAE02_.wvu.FilterData" localSheetId="1" hidden="1">Merged_JOEM!$B$59:$AO$378</definedName>
    <definedName name="Z_8AF3B40C_4A62_4CCD_B7A0_B85E971B5DE3_.wvu.FilterData" localSheetId="0" hidden="1">Merged_COEM!$B$59:$AN$276</definedName>
    <definedName name="Z_8B172390_B31C_4527_B9E9_212E62C70A74_.wvu.FilterData" localSheetId="0" hidden="1">Merged_COEM!$A$59:$AN$276</definedName>
    <definedName name="Z_8B172390_B31C_4527_B9E9_212E62C70A74_.wvu.FilterData" localSheetId="1" hidden="1">Merged_JOEM!$B$59:$AO$378</definedName>
    <definedName name="Z_8C1DFF45_60A9_4BE5_8753_4CD2C65F4B45_.wvu.FilterData" localSheetId="0" hidden="1">Merged_COEM!$A$59:$AN$276</definedName>
    <definedName name="Z_8C375C63_D467_4856_867E_0D376340DFF8_.wvu.FilterData" localSheetId="0" hidden="1">Merged_COEM!$A$59:$AN$276</definedName>
    <definedName name="Z_8C375C63_D467_4856_867E_0D376340DFF8_.wvu.FilterData" localSheetId="1" hidden="1">Merged_JOEM!$B$59:$AO$378</definedName>
    <definedName name="Z_8C6BD411_EFDB_4C54_B599_56D33F3F9604_.wvu.FilterData" localSheetId="0" hidden="1">Merged_COEM!$A$59:$AN$276</definedName>
    <definedName name="Z_8C93A640_930B_411B_8D78_081C9283D060_.wvu.FilterData" localSheetId="0" hidden="1">Merged_COEM!$B$59:$AN$276</definedName>
    <definedName name="Z_8C93A640_930B_411B_8D78_081C9283D060_.wvu.FilterData" localSheetId="1" hidden="1">Merged_JOEM!$B$59:$AO$59</definedName>
    <definedName name="Z_8CB29A5E_F3E2_44D5_BE30_104BB26C7D9C_.wvu.FilterData" localSheetId="0" hidden="1">Merged_COEM!$A$59:$AN$276</definedName>
    <definedName name="Z_8CB29A5E_F3E2_44D5_BE30_104BB26C7D9C_.wvu.FilterData" localSheetId="1" hidden="1">Merged_JOEM!$B$59:$AO$378</definedName>
    <definedName name="Z_8CE25A02_9662_4692_BF21_8A7D906B422B_.wvu.FilterData" localSheetId="0" hidden="1">Merged_COEM!$A$59:$AN$276</definedName>
    <definedName name="Z_8CE25A02_9662_4692_BF21_8A7D906B422B_.wvu.FilterData" localSheetId="1" hidden="1">Merged_JOEM!$B$59:$AO$378</definedName>
    <definedName name="Z_8CE8B7C2_A72F_4E17_8707_E89EA28FE14C_.wvu.FilterData" localSheetId="0" hidden="1">Merged_COEM!$B$59:$AN$276</definedName>
    <definedName name="Z_8CF9B453_4899_464D_85BD_71E4DD56D47A_.wvu.FilterData" localSheetId="0" hidden="1">Merged_COEM!$B$59:$AN$276</definedName>
    <definedName name="Z_8CF9B453_4899_464D_85BD_71E4DD56D47A_.wvu.FilterData" localSheetId="1" hidden="1">Merged_JOEM!$B$59:$AO$378</definedName>
    <definedName name="Z_8CFDC2B1_A931_463F_B4B3_66F2BDFB2938_.wvu.FilterData" localSheetId="0" hidden="1">Merged_COEM!$B$59:$AN$59</definedName>
    <definedName name="Z_8CFDC2B1_A931_463F_B4B3_66F2BDFB2938_.wvu.FilterData" localSheetId="1" hidden="1">Merged_JOEM!$B$59:$AO$59</definedName>
    <definedName name="Z_8DDDD18D_E14B_46EA_A1C5_9CA812456655_.wvu.FilterData" localSheetId="0" hidden="1">Merged_COEM!$B$59:$AN$276</definedName>
    <definedName name="Z_8EE6330F_7335_462A_9FAF_1E7423CBB72C_.wvu.FilterData" localSheetId="0" hidden="1">Merged_COEM!$A$59:$AN$276</definedName>
    <definedName name="Z_8EE6330F_7335_462A_9FAF_1E7423CBB72C_.wvu.FilterData" localSheetId="1" hidden="1">Merged_JOEM!$B$59:$AO$378</definedName>
    <definedName name="Z_8FCF9FED_56C4_4D1B_95E3_283C65014199_.wvu.FilterData" localSheetId="0" hidden="1">Merged_COEM!$A$59:$AN$276</definedName>
    <definedName name="Z_8FEAAFE6_8C67_486F_AC34_94D895687376_.wvu.FilterData" localSheetId="0" hidden="1">Merged_COEM!$A$59:$AN$276</definedName>
    <definedName name="Z_8FF3FE7E_FCD7_4A07_94F4_A5B067FD6D36_.wvu.FilterData" localSheetId="0" hidden="1">Merged_COEM!$B$59:$AN$276</definedName>
    <definedName name="Z_8FF3FE7E_FCD7_4A07_94F4_A5B067FD6D36_.wvu.FilterData" localSheetId="1" hidden="1">Merged_JOEM!$B$59:$AO$187</definedName>
    <definedName name="Z_8FF55C3E_23CF_4BF4_901B_E8B7878200C0_.wvu.FilterData" localSheetId="0" hidden="1">Merged_COEM!$B$59:$AN$276</definedName>
    <definedName name="Z_8FF55C3E_23CF_4BF4_901B_E8B7878200C0_.wvu.FilterData" localSheetId="1" hidden="1">Merged_JOEM!$B$59:$AO$378</definedName>
    <definedName name="Z_90215879_D202_47D7_95B0_308EB9360CBB_.wvu.FilterData" localSheetId="0" hidden="1">Merged_COEM!$B$59:$AN$59</definedName>
    <definedName name="Z_90494C03_06F7_4356_89CC_B3784BF69957_.wvu.FilterData" localSheetId="0" hidden="1">Merged_COEM!$A$59:$AN$276</definedName>
    <definedName name="Z_90718E1C_4543_4EB8_A035_B9486B98BB64_.wvu.FilterData" localSheetId="0" hidden="1">Merged_COEM!$A$59:$AN$276</definedName>
    <definedName name="Z_90815266_CBB3_4FCC_8625_ACA5F166A734_.wvu.FilterData" localSheetId="0" hidden="1">Merged_COEM!$A$59:$AN$276</definedName>
    <definedName name="Z_90815266_CBB3_4FCC_8625_ACA5F166A734_.wvu.FilterData" localSheetId="1" hidden="1">Merged_JOEM!$B$59:$AO$378</definedName>
    <definedName name="Z_912CDED3_0F70_453E_9C4C_2D4665430928_.wvu.FilterData" localSheetId="0" hidden="1">Merged_COEM!$B$59:$AN$276</definedName>
    <definedName name="Z_912CDED3_0F70_453E_9C4C_2D4665430928_.wvu.FilterData" localSheetId="1" hidden="1">Merged_JOEM!$B$59:$AO$378</definedName>
    <definedName name="Z_9146F3B6_58AC_4C9F_BE4E_6A6CB5FCC5D8_.wvu.FilterData" localSheetId="0" hidden="1">Merged_COEM!$A$59:$AN$276</definedName>
    <definedName name="Z_9146F3B6_58AC_4C9F_BE4E_6A6CB5FCC5D8_.wvu.FilterData" localSheetId="1" hidden="1">Merged_JOEM!$B$59:$AO$244</definedName>
    <definedName name="Z_9172FC8D_E851_4BB8_9BB1_CD04A2EC2118_.wvu.FilterData" localSheetId="0" hidden="1">Merged_COEM!$B$59:$AN$276</definedName>
    <definedName name="Z_91BDEB6F_C778_42A4_8A0F_2902410FBEB0_.wvu.FilterData" localSheetId="0" hidden="1">Merged_COEM!$A$59:$AN$276</definedName>
    <definedName name="Z_920416C7_02D2_43E7_B7F9_16480D8B26C1_.wvu.FilterData" localSheetId="0" hidden="1">Merged_COEM!$B$59:$AN$276</definedName>
    <definedName name="Z_920C0394_B43C_4B62_8011_4E163017BD41_.wvu.FilterData" localSheetId="0" hidden="1">Merged_COEM!$A$59:$AN$276</definedName>
    <definedName name="Z_920C0394_B43C_4B62_8011_4E163017BD41_.wvu.FilterData" localSheetId="1" hidden="1">Merged_JOEM!$B$59:$AO$378</definedName>
    <definedName name="Z_92142F03_965D_4EC5_9147_0A5F19A88128_.wvu.FilterData" localSheetId="0" hidden="1">Merged_COEM!$B$59:$AN$276</definedName>
    <definedName name="Z_92BD6F69_2CA2_4DC8_8181_9BDB7F443D55_.wvu.FilterData" localSheetId="1" hidden="1">Merged_JOEM!$B$59:$AO$378</definedName>
    <definedName name="Z_92C3B6E0_E822_4BCF_8785_C7C14B2ADD22_.wvu.FilterData" localSheetId="0" hidden="1">Merged_COEM!$B$59:$AN$276</definedName>
    <definedName name="Z_92FAA571_4EE9_4E92_81D4_D00E18D043F4_.wvu.FilterData" localSheetId="1" hidden="1">Merged_JOEM!$B$59:$AO$172</definedName>
    <definedName name="Z_9391541D_DC16_4915_B9C6_B98DC2E3A7C7_.wvu.FilterData" localSheetId="0" hidden="1">Merged_COEM!$A$59:$AO$276</definedName>
    <definedName name="Z_93D0B8F8_66DE_4024_9FE7_38B77AEA12C8_.wvu.FilterData" localSheetId="1" hidden="1">Merged_JOEM!$B$59:$AO$378</definedName>
    <definedName name="Z_940971B5_2E26_49C2_9C9D_7FA3845F9AF2_.wvu.FilterData" localSheetId="0" hidden="1">Merged_COEM!$A$59:$AN$276</definedName>
    <definedName name="Z_941532EF_D4AE_4427_AF5E_4AA3CE92CC4B_.wvu.FilterData" localSheetId="1" hidden="1">Merged_JOEM!$B$59:$AO$378</definedName>
    <definedName name="Z_941EC5C4_AFCD_4317_A8EF_E30831CE28E0_.wvu.FilterData" localSheetId="0" hidden="1">Merged_COEM!$A$59:$AN$276</definedName>
    <definedName name="Z_947974DE_783E_47CF_93A3_70615FD27EB8_.wvu.FilterData" localSheetId="1" hidden="1">Merged_JOEM!$B$59:$AO$378</definedName>
    <definedName name="Z_948AAA3E_FDC6_47E8_9FD0_C830D95AC493_.wvu.FilterData" localSheetId="0" hidden="1">Merged_COEM!$A$59:$AN$276</definedName>
    <definedName name="Z_948AAA3E_FDC6_47E8_9FD0_C830D95AC493_.wvu.FilterData" localSheetId="1" hidden="1">Merged_JOEM!$B$59:$AO$378</definedName>
    <definedName name="Z_94E26A26_506C_4689_88B6_25E21271D599_.wvu.FilterData" localSheetId="0" hidden="1">Merged_COEM!$A$59:$AN$276</definedName>
    <definedName name="Z_951F84BC_6E0F_48A5_9328_00C512BF8879_.wvu.FilterData" localSheetId="0" hidden="1">Merged_COEM!$B$59:$AN$276</definedName>
    <definedName name="Z_951F84BC_6E0F_48A5_9328_00C512BF8879_.wvu.FilterData" localSheetId="1" hidden="1">Merged_JOEM!$B$59:$AO$378</definedName>
    <definedName name="Z_9542F406_0759_4CD3_8001_BDABC575044B_.wvu.FilterData" localSheetId="0" hidden="1">Merged_COEM!$A$59:$AN$276</definedName>
    <definedName name="Z_9562D2D0_0C41_4023_A1EA_BD1C74059448_.wvu.FilterData" localSheetId="0" hidden="1">Merged_COEM!$B$59:$AN$276</definedName>
    <definedName name="Z_95924D04_DEAC_4AC9_B742_E78D23F2DA9C_.wvu.FilterData" localSheetId="0" hidden="1">Merged_COEM!$A$59:$AN$276</definedName>
    <definedName name="Z_95924D04_DEAC_4AC9_B742_E78D23F2DA9C_.wvu.FilterData" localSheetId="1" hidden="1">Merged_JOEM!$B$59:$AO$378</definedName>
    <definedName name="Z_95D890FD_D22B_47CA_BBB1_9ADB62429D3C_.wvu.FilterData" localSheetId="0" hidden="1">Merged_COEM!$B$59:$AN$59</definedName>
    <definedName name="Z_9635C34F_B71D_4633_8639_5738D8CA0CF1_.wvu.FilterData" localSheetId="0" hidden="1">Merged_COEM!$B$59:$AN$276</definedName>
    <definedName name="Z_965F36C5_93F9_4A82_9F85_D6B45F35669B_.wvu.FilterData" localSheetId="0" hidden="1">Merged_COEM!$A$59:$AN$276</definedName>
    <definedName name="Z_965F36C5_93F9_4A82_9F85_D6B45F35669B_.wvu.FilterData" localSheetId="1" hidden="1">Merged_JOEM!$B$59:$AO$378</definedName>
    <definedName name="Z_96F5AD9E_A448_4455_911A_A97097FE4C59_.wvu.FilterData" localSheetId="0" hidden="1">Merged_COEM!$A$59:$AN$276</definedName>
    <definedName name="Z_96F5AD9E_A448_4455_911A_A97097FE4C59_.wvu.FilterData" localSheetId="1" hidden="1">Merged_JOEM!$B$59:$AO$378</definedName>
    <definedName name="Z_970EE037_F5E5_47AF_896A_0F6222879EBC_.wvu.FilterData" localSheetId="0" hidden="1">Merged_COEM!$A$59:$AN$276</definedName>
    <definedName name="Z_970EE037_F5E5_47AF_896A_0F6222879EBC_.wvu.FilterData" localSheetId="1" hidden="1">Merged_JOEM!$B$59:$AO$378</definedName>
    <definedName name="Z_97218D6F_FBE0_4BB8_82A5_9A2B9CDAE672_.wvu.FilterData" localSheetId="0" hidden="1">Merged_COEM!$B$59:$AN$276</definedName>
    <definedName name="Z_9750A76A_9AC2_4661_A077_1F37F1CA2D63_.wvu.FilterData" localSheetId="0" hidden="1">Merged_COEM!$A$59:$AN$276</definedName>
    <definedName name="Z_9750A76A_9AC2_4661_A077_1F37F1CA2D63_.wvu.FilterData" localSheetId="1" hidden="1">Merged_JOEM!$B$59:$AO$378</definedName>
    <definedName name="Z_97A2B133_1685_4C96_95C9_2F1214860361_.wvu.FilterData" localSheetId="1" hidden="1">Merged_JOEM!$B$59:$AO$179</definedName>
    <definedName name="Z_97A9DF88_B70E_4292_BE2C_86AD0A2D47DE_.wvu.FilterData" localSheetId="0" hidden="1">Merged_COEM!$B$59:$AN$276</definedName>
    <definedName name="Z_97AAF0FB_833F_410F_98E6_7D7318D10BAE_.wvu.FilterData" localSheetId="1" hidden="1">Merged_JOEM!$B$59:$AO$378</definedName>
    <definedName name="Z_97EF7E7D_823B_4724_B450_423F574FDE0D_.wvu.FilterData" localSheetId="1" hidden="1">Merged_JOEM!$B$59:$AO$378</definedName>
    <definedName name="Z_983C141A_8D59_4E1D_97B7_B88EFFF46736_.wvu.FilterData" localSheetId="1" hidden="1">Merged_JOEM!$A$59:$AO$378</definedName>
    <definedName name="Z_984B2F44_EE13_4F2D_BD1D_5920AACED939_.wvu.FilterData" localSheetId="0" hidden="1">Merged_COEM!$A$59:$AN$276</definedName>
    <definedName name="Z_984B2F44_EE13_4F2D_BD1D_5920AACED939_.wvu.FilterData" localSheetId="1" hidden="1">Merged_JOEM!$B$59:$AO$378</definedName>
    <definedName name="Z_98A00DCA_BF5A_4F56_82AD_F0FA90642632_.wvu.FilterData" localSheetId="0" hidden="1">Merged_COEM!$A$59:$AN$276</definedName>
    <definedName name="Z_98A00DCA_BF5A_4F56_82AD_F0FA90642632_.wvu.FilterData" localSheetId="1" hidden="1">Merged_JOEM!$B$59:$AO$378</definedName>
    <definedName name="Z_98E10795_C447_4B06_B349_C5F68B8A73A2_.wvu.FilterData" localSheetId="0" hidden="1">Merged_COEM!$A$59:$AN$276</definedName>
    <definedName name="Z_98E10795_C447_4B06_B349_C5F68B8A73A2_.wvu.FilterData" localSheetId="1" hidden="1">Merged_JOEM!$B$59:$AO$361</definedName>
    <definedName name="Z_98EA7F36_1FA4_4437_B9F4_7AF5AA18D42D_.wvu.FilterData" localSheetId="0" hidden="1">Merged_COEM!$A$59:$AN$276</definedName>
    <definedName name="Z_990FD16A_9FF3_4588_AE9A_2DC9132A731F_.wvu.FilterData" localSheetId="1" hidden="1">Merged_JOEM!$B$59:$AO$378</definedName>
    <definedName name="Z_99193316_C55A_4185_B53F_2ACB69CFB515_.wvu.FilterData" localSheetId="0" hidden="1">Merged_COEM!$A$59:$AN$276</definedName>
    <definedName name="Z_99193316_C55A_4185_B53F_2ACB69CFB515_.wvu.FilterData" localSheetId="1" hidden="1">Merged_JOEM!$B$59:$AO$378</definedName>
    <definedName name="Z_99BC1C51_34DC_4BF2_906C_1E31B6171D71_.wvu.FilterData" localSheetId="0" hidden="1">Merged_COEM!$A$59:$AN$276</definedName>
    <definedName name="Z_99BC1C51_34DC_4BF2_906C_1E31B6171D71_.wvu.FilterData" localSheetId="1" hidden="1">Merged_JOEM!$B$59:$AO$364</definedName>
    <definedName name="Z_99D8ACC7_6571_46A2_80A8_E3B7AB2D8AA6_.wvu.FilterData" localSheetId="0" hidden="1">Merged_COEM!$A$59:$AN$276</definedName>
    <definedName name="Z_99D8ACC7_6571_46A2_80A8_E3B7AB2D8AA6_.wvu.FilterData" localSheetId="1" hidden="1">Merged_JOEM!$B$59:$AO$378</definedName>
    <definedName name="Z_99E5354C_71C6_436F_9EE1_C848EB01C814_.wvu.FilterData" localSheetId="0" hidden="1">Merged_COEM!$B$59:$AN$59</definedName>
    <definedName name="Z_99E5354C_71C6_436F_9EE1_C848EB01C814_.wvu.FilterData" localSheetId="1" hidden="1">Merged_JOEM!$B$59:$AO$59</definedName>
    <definedName name="Z_99FDBB24_EA52_46E4_B003_A82D9A2A6731_.wvu.FilterData" localSheetId="0" hidden="1">Merged_COEM!$A$59:$AN$276</definedName>
    <definedName name="Z_9A68BBA7_0694_444B_93DF_5F3F7892E8AF_.wvu.FilterData" localSheetId="0" hidden="1">Merged_COEM!$A$59:$AN$276</definedName>
    <definedName name="Z_9A68BBA7_0694_444B_93DF_5F3F7892E8AF_.wvu.FilterData" localSheetId="1" hidden="1">Merged_JOEM!$B$59:$AO$359</definedName>
    <definedName name="Z_9A86CE79_1851_42BA_9B14_0E6B800902B9_.wvu.FilterData" localSheetId="1" hidden="1">Merged_JOEM!$B$59:$AO$378</definedName>
    <definedName name="Z_9A94E313_7C58_420B_8F18_83A994E32531_.wvu.FilterData" localSheetId="0" hidden="1">Merged_COEM!$A$59:$AN$276</definedName>
    <definedName name="Z_9A94E313_7C58_420B_8F18_83A994E32531_.wvu.FilterData" localSheetId="1" hidden="1">Merged_JOEM!$B$59:$AO$378</definedName>
    <definedName name="Z_9AD1B165_0807_4FC0_AD7A_19295CA7995A_.wvu.FilterData" localSheetId="0" hidden="1">Merged_COEM!$B$59:$AN$59</definedName>
    <definedName name="Z_9AD1B165_0807_4FC0_AD7A_19295CA7995A_.wvu.FilterData" localSheetId="1" hidden="1">Merged_JOEM!$B$59:$AO$59</definedName>
    <definedName name="Z_9AE67D59_D31A_4CF8_AE24_885EF532100A_.wvu.FilterData" localSheetId="0" hidden="1">Merged_COEM!$B$59:$AN$276</definedName>
    <definedName name="Z_9B284A23_0F1B_4C7D_B2C2_B10F6E505930_.wvu.FilterData" localSheetId="0" hidden="1">Merged_COEM!$B$59:$AN$276</definedName>
    <definedName name="Z_9B28BEB2_9C79_461B_8D15_CF8CBF59F957_.wvu.FilterData" localSheetId="0" hidden="1">Merged_COEM!$A$59:$AN$276</definedName>
    <definedName name="Z_9B28BEB2_9C79_461B_8D15_CF8CBF59F957_.wvu.FilterData" localSheetId="1" hidden="1">Merged_JOEM!$B$59:$AO$259</definedName>
    <definedName name="Z_9B908383_707F_47D3_9642_C5167E466EE6_.wvu.FilterData" localSheetId="0" hidden="1">Merged_COEM!$A$59:$AN$276</definedName>
    <definedName name="Z_9BC0BD38_C2C1_49B2_9120_CD2B9E68C14D_.wvu.FilterData" localSheetId="0" hidden="1">Merged_COEM!$A$59:$AN$276</definedName>
    <definedName name="Z_9BC0BD38_C2C1_49B2_9120_CD2B9E68C14D_.wvu.FilterData" localSheetId="1" hidden="1">Merged_JOEM!$B$59:$AO$378</definedName>
    <definedName name="Z_9BF84FDF_20F5_4C19_83EE_38413C8541E5_.wvu.FilterData" localSheetId="0" hidden="1">Merged_COEM!$B$59:$AN$276</definedName>
    <definedName name="Z_9BF84FDF_20F5_4C19_83EE_38413C8541E5_.wvu.FilterData" localSheetId="1" hidden="1">Merged_JOEM!$B$59:$AO$378</definedName>
    <definedName name="Z_9BFBDFBB_2B19_4AA7_AE31_6ACFC5F32A4D_.wvu.FilterData" localSheetId="0" hidden="1">Merged_COEM!$A$59:$AN$276</definedName>
    <definedName name="Z_9C0C9303_7C24_481C_8401_8D1080677194_.wvu.FilterData" localSheetId="0" hidden="1">Merged_COEM!$B$59:$AN$276</definedName>
    <definedName name="Z_9CA1852C_BC60_4122_B1B1_AAC3844B918D_.wvu.FilterData" localSheetId="0" hidden="1">Merged_COEM!$A$59:$AN$276</definedName>
    <definedName name="Z_9D643C42_FAF4_47A0_BAD7_0FF6AEF29241_.wvu.FilterData" localSheetId="0" hidden="1">Merged_COEM!$B$59:$AN$276</definedName>
    <definedName name="Z_9D643C42_FAF4_47A0_BAD7_0FF6AEF29241_.wvu.FilterData" localSheetId="1" hidden="1">Merged_JOEM!$B$59:$AO$160</definedName>
    <definedName name="Z_9D714EDB_35D2_4BA7_9AE2_8FA7614FCB4C_.wvu.FilterData" localSheetId="0" hidden="1">Merged_COEM!$A$59:$AN$276</definedName>
    <definedName name="Z_9D714EDB_35D2_4BA7_9AE2_8FA7614FCB4C_.wvu.FilterData" localSheetId="1" hidden="1">Merged_JOEM!$B$59:$AO$378</definedName>
    <definedName name="Z_9D8AFE7E_9E2B_4CC2_8DD9_1F54F32F36DE_.wvu.FilterData" localSheetId="0" hidden="1">Merged_COEM!$A$59:$AN$276</definedName>
    <definedName name="Z_9DA22320_E202_4AF4_A4F8_412387725E48_.wvu.FilterData" localSheetId="0" hidden="1">Merged_COEM!$A$59:$AN$276</definedName>
    <definedName name="Z_9DE5D1E3_34D1_41A1_AF9A_7D2454A346C3_.wvu.FilterData" localSheetId="0" hidden="1">Merged_COEM!$A$59:$AN$276</definedName>
    <definedName name="Z_9DFE89D2_7319_4A78_B4E8_1C3E54A467C5_.wvu.FilterData" localSheetId="1" hidden="1">Merged_JOEM!$B$59:$AO$378</definedName>
    <definedName name="Z_9E145E8C_2B31_4DB8_B4B0_C616F5D01119_.wvu.FilterData" localSheetId="0" hidden="1">Merged_COEM!$B$59:$AN$59</definedName>
    <definedName name="Z_9E1FCF63_3525_44B6_A38E_98FF028DC557_.wvu.FilterData" localSheetId="0" hidden="1">Merged_COEM!$B$59:$AN$276</definedName>
    <definedName name="Z_9E58552E_A9C9_4FDD_9351_27222DB502AD_.wvu.FilterData" localSheetId="0" hidden="1">Merged_COEM!$A$59:$AN$276</definedName>
    <definedName name="Z_9E58552E_A9C9_4FDD_9351_27222DB502AD_.wvu.FilterData" localSheetId="1" hidden="1">Merged_JOEM!$B$59:$AO$378</definedName>
    <definedName name="Z_9E6AE962_F07B_4C40_B592_DBD11FC02228_.wvu.FilterData" localSheetId="1" hidden="1">Merged_JOEM!$B$59:$AO$187</definedName>
    <definedName name="Z_9F383BB2_41F8_4ACC_A61E_62CBF1598938_.wvu.FilterData" localSheetId="0" hidden="1">Merged_COEM!$A$59:$AN$276</definedName>
    <definedName name="Z_9F383BB2_41F8_4ACC_A61E_62CBF1598938_.wvu.FilterData" localSheetId="1" hidden="1">Merged_JOEM!$B$59:$AO$259</definedName>
    <definedName name="Z_9F45223C_9767_4C33_8ED0_77D77C44DDED_.wvu.FilterData" localSheetId="1" hidden="1">Merged_JOEM!$B$59:$AO$378</definedName>
    <definedName name="Z_9FCD0F21_6588_4820_B156_FD9CAB29A8E1_.wvu.FilterData" localSheetId="0" hidden="1">Merged_COEM!$B$59:$AN$276</definedName>
    <definedName name="Z_9FCD0F21_6588_4820_B156_FD9CAB29A8E1_.wvu.FilterData" localSheetId="1" hidden="1">Merged_JOEM!$B$59:$AO$378</definedName>
    <definedName name="Z_9FEC5F16_0415_467C_9D43_55FB7EEA0794_.wvu.FilterData" localSheetId="1" hidden="1">Merged_JOEM!$B$59:$AO$378</definedName>
    <definedName name="Z_A01D47D5_089B_449D_8A98_708E8387C72E_.wvu.FilterData" localSheetId="0" hidden="1">Merged_COEM!$A$59:$AN$276</definedName>
    <definedName name="Z_A01D47D5_089B_449D_8A98_708E8387C72E_.wvu.FilterData" localSheetId="1" hidden="1">Merged_JOEM!$B$59:$AO$378</definedName>
    <definedName name="Z_A034AF35_0539_43FE_93FD_F48E2D38E00C_.wvu.FilterData" localSheetId="0" hidden="1">Merged_COEM!$B$59:$AN$276</definedName>
    <definedName name="Z_A034AF35_0539_43FE_93FD_F48E2D38E00C_.wvu.FilterData" localSheetId="1" hidden="1">Merged_JOEM!$B$59:$AO$378</definedName>
    <definedName name="Z_A0775B09_FAB0_4DE7_9AE6_1D4E50E30721_.wvu.FilterData" localSheetId="1" hidden="1">Merged_JOEM!$B$59:$AO$378</definedName>
    <definedName name="Z_A0C8FF3D_B76B_442F_975B_965579239FA1_.wvu.FilterData" localSheetId="0" hidden="1">Merged_COEM!$B$59:$AN$276</definedName>
    <definedName name="Z_A0C8FF3D_B76B_442F_975B_965579239FA1_.wvu.FilterData" localSheetId="1" hidden="1">Merged_JOEM!$B$59:$AO$378</definedName>
    <definedName name="Z_A13FB3CB_6392_4AB9_9BB3_3AC24AFC7B13_.wvu.FilterData" localSheetId="1" hidden="1">Merged_JOEM!$B$59:$AO$378</definedName>
    <definedName name="Z_A15A9366_E30F_41B7_BA75_6474B00ABCD6_.wvu.FilterData" localSheetId="0" hidden="1">Merged_COEM!$B$59:$AN$276</definedName>
    <definedName name="Z_A250327B_29D1_494C_9436_0B51910F3323_.wvu.FilterData" localSheetId="0" hidden="1">Merged_COEM!$B$59:$AN$276</definedName>
    <definedName name="Z_A2A917F4_F661_4683_88C9_57D64E10A4C2_.wvu.FilterData" localSheetId="0" hidden="1">Merged_COEM!$B$59:$AN$276</definedName>
    <definedName name="Z_A2C66332_A809_458E_971B_FDB6D62C74C3_.wvu.FilterData" localSheetId="0" hidden="1">Merged_COEM!$A$59:$AN$276</definedName>
    <definedName name="Z_A2C66332_A809_458E_971B_FDB6D62C74C3_.wvu.FilterData" localSheetId="1" hidden="1">Merged_JOEM!$B$59:$AO$378</definedName>
    <definedName name="Z_A2CC88AA_7E29_4710_888F_96118C75C671_.wvu.FilterData" localSheetId="1" hidden="1">Merged_JOEM!$B$59:$AO$160</definedName>
    <definedName name="Z_A2E8CE38_D15E_4374_89B2_69D9421C4465_.wvu.FilterData" localSheetId="0" hidden="1">Merged_COEM!$B$59:$AN$276</definedName>
    <definedName name="Z_A2E8CE38_D15E_4374_89B2_69D9421C4465_.wvu.FilterData" localSheetId="1" hidden="1">Merged_JOEM!$B$59:$AO$364</definedName>
    <definedName name="Z_A2ED90D5_0AE2_4182_9A3F_E75804CB6440_.wvu.FilterData" localSheetId="0" hidden="1">Merged_COEM!$B$59:$AN$276</definedName>
    <definedName name="Z_A300B6DE_398D_4A94_9BE4_0BBDC72433EA_.wvu.FilterData" localSheetId="1" hidden="1">Merged_JOEM!$B$59:$AO$378</definedName>
    <definedName name="Z_A301D847_2FFF_4123_8B9E_71D3C55C5D57_.wvu.FilterData" localSheetId="1" hidden="1">Merged_JOEM!$B$59:$AO$378</definedName>
    <definedName name="Z_A3997E62_95A5_441B_BCD1_F36DF1F56B38_.wvu.FilterData" localSheetId="1" hidden="1">Merged_JOEM!$B$59:$AO$378</definedName>
    <definedName name="Z_A3F6F405_A8BB_41EE_B64B_0C0A5F47BBB9_.wvu.FilterData" localSheetId="0" hidden="1">Merged_COEM!$A$59:$AN$276</definedName>
    <definedName name="Z_A3F6F405_A8BB_41EE_B64B_0C0A5F47BBB9_.wvu.FilterData" localSheetId="1" hidden="1">Merged_JOEM!$B$59:$AO$378</definedName>
    <definedName name="Z_A41FDE28_6FFB_43B6_B43B_9101088A5207_.wvu.FilterData" localSheetId="0" hidden="1">Merged_COEM!$B$59:$AN$59</definedName>
    <definedName name="Z_A4227727_9F71_47E1_8C2E_042438D3D073_.wvu.FilterData" localSheetId="0" hidden="1">Merged_COEM!$B$59:$AN$59</definedName>
    <definedName name="Z_A4AC998F_B47D_4593_AD3D_5D0D406EC46D_.wvu.FilterData" localSheetId="0" hidden="1">Merged_COEM!$A$59:$AN$276</definedName>
    <definedName name="Z_A4AC998F_B47D_4593_AD3D_5D0D406EC46D_.wvu.FilterData" localSheetId="1" hidden="1">Merged_JOEM!$B$59:$AO$252</definedName>
    <definedName name="Z_A4C099B1_5E5F_4C56_A24C_DD6003681108_.wvu.FilterData" localSheetId="0" hidden="1">Merged_COEM!$A$59:$AN$276</definedName>
    <definedName name="Z_A50E4143_AF12_4C63_895C_11E0B566FC9F_.wvu.FilterData" localSheetId="0" hidden="1">Merged_COEM!$A$59:$AN$276</definedName>
    <definedName name="Z_A50E4143_AF12_4C63_895C_11E0B566FC9F_.wvu.FilterData" localSheetId="1" hidden="1">Merged_JOEM!$B$59:$AO$378</definedName>
    <definedName name="Z_A52B4186_3590_4AD1_9624_DC2A103B03AD_.wvu.FilterData" localSheetId="0" hidden="1">Merged_COEM!$A$59:$AN$276</definedName>
    <definedName name="Z_A530D591_A56D_49B0_89DC_9DC0A415D13A_.wvu.FilterData" localSheetId="0" hidden="1">Merged_COEM!$B$59:$AN$276</definedName>
    <definedName name="Z_A546423F_1F1A_4C80_A6E5_B1F632CC0E97_.wvu.FilterData" localSheetId="0" hidden="1">Merged_COEM!$A$59:$AN$276</definedName>
    <definedName name="Z_A660862E_E137_45E6_9126_F71C85FD8B0C_.wvu.FilterData" localSheetId="0" hidden="1">Merged_COEM!$B$59:$AN$59</definedName>
    <definedName name="Z_A663A7DA_D86D_4DEF_9BFD_5DB8AD74E021_.wvu.FilterData" localSheetId="0" hidden="1">Merged_COEM!$B$59:$AN$276</definedName>
    <definedName name="Z_A67A4D58_1A1A_44E8_AB84_A6E9A574DCFC_.wvu.FilterData" localSheetId="0" hidden="1">Merged_COEM!$B$59:$AN$276</definedName>
    <definedName name="Z_A67A4D58_1A1A_44E8_AB84_A6E9A574DCFC_.wvu.FilterData" localSheetId="1" hidden="1">Merged_JOEM!$B$59:$AO$378</definedName>
    <definedName name="Z_A68F3DEC_AD2A_41A3_A953_EFD5615046CE_.wvu.FilterData" localSheetId="0" hidden="1">Merged_COEM!$B$59:$AN$276</definedName>
    <definedName name="Z_A69D5879_F20E_424D_BE9A_D2AC0F4120BC_.wvu.FilterData" localSheetId="0" hidden="1">Merged_COEM!$A$59:$AN$276</definedName>
    <definedName name="Z_A69D5879_F20E_424D_BE9A_D2AC0F4120BC_.wvu.FilterData" localSheetId="1" hidden="1">Merged_JOEM!$B$59:$AO$378</definedName>
    <definedName name="Z_A6A46D6D_F867_4FA0_8E53_62A7F47A4E88_.wvu.FilterData" localSheetId="0" hidden="1">Merged_COEM!$P$59:$P$276</definedName>
    <definedName name="Z_A6B4BABA_9A83_450F_9E9D_56563B528D17_.wvu.FilterData" localSheetId="1" hidden="1">Merged_JOEM!$A$59:$AO$378</definedName>
    <definedName name="Z_A6C1839C_5AA3_4EEF_9781_C3BE07499C25_.wvu.FilterData" localSheetId="0" hidden="1">Merged_COEM!$A$59:$AN$276</definedName>
    <definedName name="Z_A6C7A271_E1DF_4488_8E1B_DFCBA4C5AB3E_.wvu.FilterData" localSheetId="0" hidden="1">Merged_COEM!$B$59:$AN$276</definedName>
    <definedName name="Z_A6C7A271_E1DF_4488_8E1B_DFCBA4C5AB3E_.wvu.FilterData" localSheetId="1" hidden="1">Merged_JOEM!$B$59:$AO$178</definedName>
    <definedName name="Z_A744FF6C_D2CD_4F7F_AB46_8716E1600217_.wvu.FilterData" localSheetId="0" hidden="1">Merged_COEM!$B$59:$AN$59</definedName>
    <definedName name="Z_A75936FB_AE5A_4AEA_AAC1_E38428CBC06B_.wvu.FilterData" localSheetId="0" hidden="1">Merged_COEM!$B$59:$AN$276</definedName>
    <definedName name="Z_A75936FB_AE5A_4AEA_AAC1_E38428CBC06B_.wvu.FilterData" localSheetId="1" hidden="1">Merged_JOEM!$B$59:$AO$187</definedName>
    <definedName name="Z_A7BC9D07_5A2B_4623_A292_6D396D25E1B2_.wvu.FilterData" localSheetId="0" hidden="1">Merged_COEM!$A$59:$AN$276</definedName>
    <definedName name="Z_A7D380F0_390E_41B2_8D7C_8A5C5BADE80E_.wvu.FilterData" localSheetId="0" hidden="1">Merged_COEM!$A$59:$AN$276</definedName>
    <definedName name="Z_A7D380F0_390E_41B2_8D7C_8A5C5BADE80E_.wvu.FilterData" localSheetId="1" hidden="1">Merged_JOEM!$B$59:$AO$378</definedName>
    <definedName name="Z_A836B445_4F59_4535_9297_85C0D2ED9ECD_.wvu.FilterData" localSheetId="0" hidden="1">Merged_COEM!$A$59:$AN$276</definedName>
    <definedName name="Z_A872A925_F97A_4BCF_ADA0_5A890430B25E_.wvu.FilterData" localSheetId="0" hidden="1">Merged_COEM!$A$59:$AN$276</definedName>
    <definedName name="Z_A872A925_F97A_4BCF_ADA0_5A890430B25E_.wvu.FilterData" localSheetId="1" hidden="1">Merged_JOEM!$B$59:$AO$378</definedName>
    <definedName name="Z_A87FFE3F_77FF_433C_8CA8_6171BAB76800_.wvu.FilterData" localSheetId="0" hidden="1">Merged_COEM!$A$59:$AN$276</definedName>
    <definedName name="Z_A87FFE3F_77FF_433C_8CA8_6171BAB76800_.wvu.FilterData" localSheetId="1" hidden="1">Merged_JOEM!$B$59:$AO$378</definedName>
    <definedName name="Z_A89B4CB1_6EB2_4FE2_B166_4DB5F4690674_.wvu.FilterData" localSheetId="0" hidden="1">Merged_COEM!$A$59:$AN$276</definedName>
    <definedName name="Z_A9044116_3E03_430C_A15B_D9F866E62660_.wvu.FilterData" localSheetId="1" hidden="1">Merged_JOEM!$B$59:$AO$378</definedName>
    <definedName name="Z_A93E953F_27EC_4E0F_9AF0_C32DACBD628F_.wvu.FilterData" localSheetId="1" hidden="1">Merged_JOEM!$B$59:$AO$378</definedName>
    <definedName name="Z_A97F1F0F_D4DA_4DCF_90A4_C17A9941DAFC_.wvu.FilterData" localSheetId="0" hidden="1">Merged_COEM!$B$59:$AN$276</definedName>
    <definedName name="Z_AA08188C_4214_4528_ACD9_C2614CA84F28_.wvu.FilterData" localSheetId="0" hidden="1">Merged_COEM!$B$59:$AN$276</definedName>
    <definedName name="Z_AA2F8367_1B5B_4D9C_8945_F8CC35C014A1_.wvu.FilterData" localSheetId="0" hidden="1">Merged_COEM!$A$59:$AN$276</definedName>
    <definedName name="Z_AA3A2856_F934_43FD_A71B_100B2ECD9F4A_.wvu.FilterData" localSheetId="0" hidden="1">Merged_COEM!$B$59:$AN$59</definedName>
    <definedName name="Z_AA52655D_1440_4FF9_AC9F_99FB39E037A9_.wvu.FilterData" localSheetId="0" hidden="1">Merged_COEM!$A$59:$AN$276</definedName>
    <definedName name="Z_AA52655D_1440_4FF9_AC9F_99FB39E037A9_.wvu.FilterData" localSheetId="1" hidden="1">Merged_JOEM!$B$59:$AO$259</definedName>
    <definedName name="Z_AA663744_F859_43D9_A54D_2B5EE93430E9_.wvu.FilterData" localSheetId="1" hidden="1">Merged_JOEM!$B$59:$AO$378</definedName>
    <definedName name="Z_AA85FADB_94FF_41A1_80F2_8EF99C6BD443_.wvu.FilterData" localSheetId="0" hidden="1">Merged_COEM!$B$59:$AN$59</definedName>
    <definedName name="Z_AA8C2556_A8CA_4B08_BB29_340946A085B5_.wvu.FilterData" localSheetId="1" hidden="1">Merged_JOEM!$B$59:$AO$378</definedName>
    <definedName name="Z_AB5B9EA7_3D5B_4C61_9D01_380D7E46D55A_.wvu.FilterData" localSheetId="0" hidden="1">Merged_COEM!$A$59:$AN$59</definedName>
    <definedName name="Z_AB78C5FB_6356_408C_9238_D78A35790773_.wvu.FilterData" localSheetId="0" hidden="1">Merged_COEM!$B$59:$AN$276</definedName>
    <definedName name="Z_AB7D86C9_C203_4EF2_8324_CB778B276752_.wvu.FilterData" localSheetId="0" hidden="1">Merged_COEM!$A$59:$AN$276</definedName>
    <definedName name="Z_AB7D86C9_C203_4EF2_8324_CB778B276752_.wvu.FilterData" localSheetId="1" hidden="1">Merged_JOEM!$B$59:$AO$259</definedName>
    <definedName name="Z_AB8A5668_D9AB_4435_929C_EC5CD32EE891_.wvu.FilterData" localSheetId="0" hidden="1">Merged_COEM!$B$59:$AN$276</definedName>
    <definedName name="Z_ABE1B979_D75D_42A3_AB3C_1BC48A1ABE90_.wvu.FilterData" localSheetId="0" hidden="1">Merged_COEM!$B$59:$AN$276</definedName>
    <definedName name="Z_ABE55103_FF5C_42FF_AFC6_3D572B40F6DA_.wvu.FilterData" localSheetId="1" hidden="1">Merged_JOEM!$B$59:$AO$378</definedName>
    <definedName name="Z_ABF2DD7F_B65A_4CC6_B74A_38052D2B8E59_.wvu.FilterData" localSheetId="1" hidden="1">Merged_JOEM!$B$59:$AO$378</definedName>
    <definedName name="Z_AC8C72C0_BF05_466A_9B57_221E13D8718D_.wvu.FilterData" localSheetId="1" hidden="1">Merged_JOEM!$B$59:$AO$378</definedName>
    <definedName name="Z_AC999F38_EF0E_452F_99C6_511671044A11_.wvu.FilterData" localSheetId="0" hidden="1">Merged_COEM!$B$59:$AN$276</definedName>
    <definedName name="Z_AC999F38_EF0E_452F_99C6_511671044A11_.wvu.FilterData" localSheetId="1" hidden="1">Merged_JOEM!$B$59:$AO$59</definedName>
    <definedName name="Z_ACA428D2_5B29_452D_A17C_77314C283041_.wvu.FilterData" localSheetId="0" hidden="1">Merged_COEM!$B$59:$AN$276</definedName>
    <definedName name="Z_AD0FF98A_2F3B_40F7_861D_434AA89A29DD_.wvu.FilterData" localSheetId="0" hidden="1">Merged_COEM!$A$59:$AN$276</definedName>
    <definedName name="Z_AD14E8B8_0FE3_4B3A_BB57_D701B4483B73_.wvu.FilterData" localSheetId="1" hidden="1">Merged_JOEM!$B$59:$AO$378</definedName>
    <definedName name="Z_AD27B5B3_C4F2_4AB4_889A_203E2C0A7B22_.wvu.FilterData" localSheetId="0" hidden="1">Merged_COEM!$A$59:$AN$276</definedName>
    <definedName name="Z_AD31D473_ABF1_4543_84A5_D817CF174F0C_.wvu.FilterData" localSheetId="0" hidden="1">Merged_COEM!$B$59:$AN$276</definedName>
    <definedName name="Z_AD410EFD_3C48_4974_8190_54E997645D2E_.wvu.FilterData" localSheetId="1" hidden="1">Merged_JOEM!$B$59:$AO$378</definedName>
    <definedName name="Z_AD8B49E8_87DC_4177_B177_5FFC62AFABB7_.wvu.FilterData" localSheetId="0" hidden="1">Merged_COEM!$A$59:$AN$276</definedName>
    <definedName name="Z_AD8B49E8_87DC_4177_B177_5FFC62AFABB7_.wvu.FilterData" localSheetId="1" hidden="1">Merged_JOEM!$B$59:$AO$378</definedName>
    <definedName name="Z_ADAA3B81_1A27_4812_A625_9DAC9F788255_.wvu.FilterData" localSheetId="1" hidden="1">Merged_JOEM!$B$59:$AO$378</definedName>
    <definedName name="Z_ADD46B79_F7F7_46DE_9772_2E93369E66DE_.wvu.FilterData" localSheetId="0" hidden="1">Merged_COEM!$B$59:$AN$276</definedName>
    <definedName name="Z_ADD81405_E6B7_41C3_A379_D812EDE6C6DE_.wvu.FilterData" localSheetId="0" hidden="1">Merged_COEM!$A$59:$AN$276</definedName>
    <definedName name="Z_AEA1E269_51AD_49F9_AF94_73DA4275CBCE_.wvu.FilterData" localSheetId="1" hidden="1">Merged_JOEM!$B$59:$AO$378</definedName>
    <definedName name="Z_AEE31DEF_6354_4D0B_A102_CB9D77D60F31_.wvu.FilterData" localSheetId="0" hidden="1">Merged_COEM!$A$59:$AN$276</definedName>
    <definedName name="Z_AEE31DEF_6354_4D0B_A102_CB9D77D60F31_.wvu.FilterData" localSheetId="1" hidden="1">Merged_JOEM!$B$59:$AO$378</definedName>
    <definedName name="Z_AF189699_1222_40FF_ACE8_2099FF14FAC9_.wvu.FilterData" localSheetId="0" hidden="1">Merged_COEM!$A$59:$AN$276</definedName>
    <definedName name="Z_AF189699_1222_40FF_ACE8_2099FF14FAC9_.wvu.FilterData" localSheetId="1" hidden="1">Merged_JOEM!$B$59:$AO$378</definedName>
    <definedName name="Z_AF2C09E3_1A45_4560_8BFB_57F00F3CF600_.wvu.FilterData" localSheetId="0" hidden="1">Merged_COEM!$A$59:$AN$276</definedName>
    <definedName name="Z_AF60E8FC_E99A_4BA9_AE63_B01E44AC58AC_.wvu.FilterData" localSheetId="0" hidden="1">Merged_COEM!$B$59:$AN$276</definedName>
    <definedName name="Z_AF60E8FC_E99A_4BA9_AE63_B01E44AC58AC_.wvu.FilterData" localSheetId="1" hidden="1">Merged_JOEM!$B$59:$AO$378</definedName>
    <definedName name="Z_AF7454D1_A4E3_4B0F_983D_A39068D44D6C_.wvu.FilterData" localSheetId="0" hidden="1">Merged_COEM!$B$59:$AN$59</definedName>
    <definedName name="Z_AF7454D1_A4E3_4B0F_983D_A39068D44D6C_.wvu.FilterData" localSheetId="1" hidden="1">Merged_JOEM!$B$59:$AO$378</definedName>
    <definedName name="Z_AF9F7688_81A2_4B02_A8EB_BF911C86CCD5_.wvu.FilterData" localSheetId="0" hidden="1">Merged_COEM!$B$59:$AN$276</definedName>
    <definedName name="Z_AF9F7688_81A2_4B02_A8EB_BF911C86CCD5_.wvu.FilterData" localSheetId="1" hidden="1">Merged_JOEM!$B$59:$AO$378</definedName>
    <definedName name="Z_AFC1A459_0CFD_449E_852E_780E257CA969_.wvu.FilterData" localSheetId="0" hidden="1">Merged_COEM!$A$59:$AN$276</definedName>
    <definedName name="Z_AFC1A459_0CFD_449E_852E_780E257CA969_.wvu.FilterData" localSheetId="1" hidden="1">Merged_JOEM!$B$59:$AO$378</definedName>
    <definedName name="Z_AFFDAC2E_AA36_440A_92AD_D39007548BA0_.wvu.FilterData" localSheetId="1" hidden="1">Merged_JOEM!$B$59:$AO$378</definedName>
    <definedName name="Z_B047BE5B_FE60_48F0_9260_C39693686782_.wvu.FilterData" localSheetId="0" hidden="1">Merged_COEM!$A$59:$AN$276</definedName>
    <definedName name="Z_B047BE5B_FE60_48F0_9260_C39693686782_.wvu.FilterData" localSheetId="1" hidden="1">Merged_JOEM!$B$59:$AO$378</definedName>
    <definedName name="Z_B06D242B_D21C_41E5_82AB_BA350B34DB54_.wvu.FilterData" localSheetId="0" hidden="1">Merged_COEM!$A$59:$AN$276</definedName>
    <definedName name="Z_B0831EBD_6FA3_4B64_B2C6_6C4102041E04_.wvu.FilterData" localSheetId="0" hidden="1">Merged_COEM!$B$59:$AN$276</definedName>
    <definedName name="Z_B0D4B0A9_441A_40CA_8004_F6D98B3003DF_.wvu.FilterData" localSheetId="0" hidden="1">Merged_COEM!$B$59:$AN$276</definedName>
    <definedName name="Z_B1055908_6224_4011_925E_7C2E1172AE70_.wvu.FilterData" localSheetId="0" hidden="1">Merged_COEM!$A$59:$AN$276</definedName>
    <definedName name="Z_B1055908_6224_4011_925E_7C2E1172AE70_.wvu.FilterData" localSheetId="1" hidden="1">Merged_JOEM!$B$59:$AO$378</definedName>
    <definedName name="Z_B11A962E_2A67_42C2_BEEE_79C17A6F4042_.wvu.FilterData" localSheetId="0" hidden="1">Merged_COEM!$A$59:$AN$276</definedName>
    <definedName name="Z_B11A962E_2A67_42C2_BEEE_79C17A6F4042_.wvu.FilterData" localSheetId="1" hidden="1">Merged_JOEM!$B$59:$AO$378</definedName>
    <definedName name="Z_B1A7D44B_1D35_46A7_B424_032D67AC6CBA_.wvu.FilterData" localSheetId="0" hidden="1">Merged_COEM!$A$59:$AN$276</definedName>
    <definedName name="Z_B1BAE94B_9F00_4EF3_A8CE_FFF8D917D97C_.wvu.FilterData" localSheetId="0" hidden="1">Merged_COEM!$B$59:$AN$276</definedName>
    <definedName name="Z_B21B93A4_DB8C_447E_A2B3_6FDA5FBC137D_.wvu.FilterData" localSheetId="0" hidden="1">Merged_COEM!$A$59:$AN$276</definedName>
    <definedName name="Z_B21B93A4_DB8C_447E_A2B3_6FDA5FBC137D_.wvu.FilterData" localSheetId="1" hidden="1">Merged_JOEM!$B$59:$AO$378</definedName>
    <definedName name="Z_B2714BA8_459F_40A1_BA80_112C2233A107_.wvu.FilterData" localSheetId="0" hidden="1">Merged_COEM!$B$59:$AN$59</definedName>
    <definedName name="Z_B2714BA8_459F_40A1_BA80_112C2233A107_.wvu.FilterData" localSheetId="1" hidden="1">Merged_JOEM!$B$59:$AO$378</definedName>
    <definedName name="Z_B28487AD_1FF3_420C_9816_908EA83E5D3C_.wvu.FilterData" localSheetId="0" hidden="1">Merged_COEM!$A$59:$AN$276</definedName>
    <definedName name="Z_B28487AD_1FF3_420C_9816_908EA83E5D3C_.wvu.FilterData" localSheetId="1" hidden="1">Merged_JOEM!$B$59:$AO$59</definedName>
    <definedName name="Z_B28746A6_3784_4E4C_9E3E_05917653FE5F_.wvu.FilterData" localSheetId="0" hidden="1">Merged_COEM!$B$59:$AN$276</definedName>
    <definedName name="Z_B2B49155_1267_4021_BC6F_E67E1BC6CD18_.wvu.FilterData" localSheetId="1" hidden="1">Merged_JOEM!$B$59:$AO$178</definedName>
    <definedName name="Z_B2C38213_55F0_472A_9AC5_17E55E58FE85_.wvu.FilterData" localSheetId="0" hidden="1">Merged_COEM!$A$59:$AN$276</definedName>
    <definedName name="Z_B2C38213_55F0_472A_9AC5_17E55E58FE85_.wvu.FilterData" localSheetId="1" hidden="1">Merged_JOEM!$B$59:$AO$378</definedName>
    <definedName name="Z_B2C470A8_EA38_4E8A_AFC7_3088AC1C6257_.wvu.FilterData" localSheetId="0" hidden="1">Merged_COEM!$B$59:$AN$276</definedName>
    <definedName name="Z_B2CC577C_7E50_4591_A218_1E193573C562_.wvu.FilterData" localSheetId="0" hidden="1">Merged_COEM!$B$59:$AN$276</definedName>
    <definedName name="Z_B2D33A68_247F_4ACD_8DCC_EB9940A500F8_.wvu.FilterData" localSheetId="0" hidden="1">Merged_COEM!$A$59:$AN$276</definedName>
    <definedName name="Z_B2EC619E_F51B_483E_9AAF_517D4B41291A_.wvu.FilterData" localSheetId="0" hidden="1">Merged_COEM!$A$59:$AN$276</definedName>
    <definedName name="Z_B386F4D0_99CB_473C_A930_D441BD49F02F_.wvu.FilterData" localSheetId="0" hidden="1">Merged_COEM!$A$59:$AN$276</definedName>
    <definedName name="Z_B3AB6DAA_41F0_4EE2_8B00_F7180AC3BF7E_.wvu.FilterData" localSheetId="1" hidden="1">Merged_JOEM!$B$59:$AO$378</definedName>
    <definedName name="Z_B3C086B7_C71E_4A43_AC71_93C9CD26D0B5_.wvu.FilterData" localSheetId="0" hidden="1">Merged_COEM!$B$59:$AN$59</definedName>
    <definedName name="Z_B3C086B7_C71E_4A43_AC71_93C9CD26D0B5_.wvu.FilterData" localSheetId="1" hidden="1">Merged_JOEM!$B$59:$AO$378</definedName>
    <definedName name="Z_B3C63703_90C0_415A_9B74_0BAEBA645E35_.wvu.FilterData" localSheetId="0" hidden="1">Merged_COEM!$A$59:$AN$276</definedName>
    <definedName name="Z_B3C63703_90C0_415A_9B74_0BAEBA645E35_.wvu.FilterData" localSheetId="1" hidden="1">Merged_JOEM!$B$59:$AO$59</definedName>
    <definedName name="Z_B3C93DCF_C4E8_4C21_BCCE_BB48EBC95319_.wvu.FilterData" localSheetId="0" hidden="1">Merged_COEM!$A$59:$AN$276</definedName>
    <definedName name="Z_B3C93DCF_C4E8_4C21_BCCE_BB48EBC95319_.wvu.FilterData" localSheetId="1" hidden="1">Merged_JOEM!$B$59:$AO$378</definedName>
    <definedName name="Z_B3CBA697_396C_49AA_95DB_637C81CB8DF9_.wvu.FilterData" localSheetId="0" hidden="1">Merged_COEM!$B$59:$AN$276</definedName>
    <definedName name="Z_B3D249B3_F897_444B_A67E_E6939251C5B3_.wvu.FilterData" localSheetId="1" hidden="1">Merged_JOEM!$B$59:$AO$378</definedName>
    <definedName name="Z_B3DA6B2C_7515_499C_A69C_561EABB24A97_.wvu.FilterData" localSheetId="0" hidden="1">Merged_COEM!$B$59:$AN$276</definedName>
    <definedName name="Z_B3DA6B2C_7515_499C_A69C_561EABB24A97_.wvu.FilterData" localSheetId="1" hidden="1">Merged_JOEM!$B$59:$AO$378</definedName>
    <definedName name="Z_B41DE496_6FF3_42CF_8E73_7B8783FB04C0_.wvu.FilterData" localSheetId="0" hidden="1">Merged_COEM!$B$59:$AN$276</definedName>
    <definedName name="Z_B41DE496_6FF3_42CF_8E73_7B8783FB04C0_.wvu.FilterData" localSheetId="1" hidden="1">Merged_JOEM!$B$59:$AO$378</definedName>
    <definedName name="Z_B4601849_6CE0_4B24_B972_5640A5762B98_.wvu.FilterData" localSheetId="1" hidden="1">Merged_JOEM!$B$59:$AO$378</definedName>
    <definedName name="Z_B499B82B_96ED_4CBF_BFE1_5CA7DAD3BC0F_.wvu.FilterData" localSheetId="0" hidden="1">Merged_COEM!$B$59:$AN$276</definedName>
    <definedName name="Z_B4A86492_91CA_4B88_905A_7180E7C62EB2_.wvu.FilterData" localSheetId="0" hidden="1">Merged_COEM!$A$59:$AN$276</definedName>
    <definedName name="Z_B4ADF9AA_9115_497B_B149_D9D9C69649CA_.wvu.FilterData" localSheetId="0" hidden="1">Merged_COEM!$B$59:$AN$276</definedName>
    <definedName name="Z_B4ADF9AA_9115_497B_B149_D9D9C69649CA_.wvu.FilterData" localSheetId="1" hidden="1">Merged_JOEM!$B$59:$AO$378</definedName>
    <definedName name="Z_B532AA05_9EB4_46DE_A45A_E34C29A069AA_.wvu.FilterData" localSheetId="0" hidden="1">Merged_COEM!$B$59:$AN$276</definedName>
    <definedName name="Z_B54D8A4B_BE39_481D_84D7_4F280C2EA516_.wvu.FilterData" localSheetId="0" hidden="1">Merged_COEM!$A$59:$AN$276</definedName>
    <definedName name="Z_B54D8A4B_BE39_481D_84D7_4F280C2EA516_.wvu.FilterData" localSheetId="1" hidden="1">Merged_JOEM!$B$59:$AO$378</definedName>
    <definedName name="Z_B562E70C_2A1E_48DF_BB71_B13898DA0A62_.wvu.FilterData" localSheetId="0" hidden="1">Merged_COEM!$B$59:$AN$59</definedName>
    <definedName name="Z_B5BFFC65_D8AA_4F24_A457_30C4D3425FDB_.wvu.FilterData" localSheetId="0" hidden="1">Merged_COEM!$A$59:$AN$276</definedName>
    <definedName name="Z_B5BFFC65_D8AA_4F24_A457_30C4D3425FDB_.wvu.FilterData" localSheetId="1" hidden="1">Merged_JOEM!$B$59:$AO$378</definedName>
    <definedName name="Z_B63DD65C_9EF8_4E01_9252_9D7B6691A477_.wvu.FilterData" localSheetId="0" hidden="1">Merged_COEM!$B$59:$AN$59</definedName>
    <definedName name="Z_B69AB685_323E_430F_818F_4B86FC52CD5B_.wvu.FilterData" localSheetId="0" hidden="1">Merged_COEM!$B$59:$AN$276</definedName>
    <definedName name="Z_B69D5D5A_EDF4_438E_9F3E_469D15CDC311_.wvu.FilterData" localSheetId="1" hidden="1">Merged_JOEM!$B$59:$AO$378</definedName>
    <definedName name="Z_B6B30A94_A4FB_42AF_BB3D_564C0E1E2210_.wvu.FilterData" localSheetId="0" hidden="1">Merged_COEM!$B$59:$AN$59</definedName>
    <definedName name="Z_B6B30A94_A4FB_42AF_BB3D_564C0E1E2210_.wvu.FilterData" localSheetId="1" hidden="1">Merged_JOEM!$B$59:$AO$59</definedName>
    <definedName name="Z_B6CF8014_7444_4DB2_81FA_9A988CE0E725_.wvu.FilterData" localSheetId="0" hidden="1">Merged_COEM!$A$59:$AN$276</definedName>
    <definedName name="Z_B6CF8014_7444_4DB2_81FA_9A988CE0E725_.wvu.FilterData" localSheetId="1" hidden="1">Merged_JOEM!$B$59:$AO$378</definedName>
    <definedName name="Z_B6E0A596_FEEC_43ED_BE9D_795F6CC2C20C_.wvu.FilterData" localSheetId="1" hidden="1">Merged_JOEM!$B$59:$AO$378</definedName>
    <definedName name="Z_B6ED238C_0DE9_471E_909B_1EAB15BEA059_.wvu.FilterData" localSheetId="0" hidden="1">Merged_COEM!$P$59:$P$276</definedName>
    <definedName name="Z_B703749A_6F20_44E3_9889_2D4D66BE4590_.wvu.FilterData" localSheetId="1" hidden="1">Merged_JOEM!$B$59:$AO$378</definedName>
    <definedName name="Z_B72E275A_6F24_41A1_9C6B_D2DDECD287BC_.wvu.FilterData" localSheetId="0" hidden="1">Merged_COEM!$A$59:$AN$276</definedName>
    <definedName name="Z_B72E275A_6F24_41A1_9C6B_D2DDECD287BC_.wvu.FilterData" localSheetId="1" hidden="1">Merged_JOEM!$B$59:$AO$378</definedName>
    <definedName name="Z_B74AD96C_E5E8_4D30_8527_5E9CD4AFA591_.wvu.FilterData" localSheetId="1" hidden="1">Merged_JOEM!$B$59:$AO$378</definedName>
    <definedName name="Z_B765EB56_FE5D_42F0_8849_389B423DADAB_.wvu.FilterData" localSheetId="1" hidden="1">Merged_JOEM!$B$59:$AO$378</definedName>
    <definedName name="Z_B79C9779_79E7_4967_9F57_FA2282BD4D08_.wvu.FilterData" localSheetId="0" hidden="1">Merged_COEM!$A$59:$AN$276</definedName>
    <definedName name="Z_B79C9779_79E7_4967_9F57_FA2282BD4D08_.wvu.FilterData" localSheetId="1" hidden="1">Merged_JOEM!$B$59:$AO$378</definedName>
    <definedName name="Z_B7ED0ABA_475A_4D6B_AE56_F61E6109732F_.wvu.FilterData" localSheetId="0" hidden="1">Merged_COEM!$B$59:$AN$276</definedName>
    <definedName name="Z_B82A2657_0220_4B0F_9DBB_FE1041FAE52C_.wvu.FilterData" localSheetId="1" hidden="1">Merged_JOEM!$B$59:$AO$378</definedName>
    <definedName name="Z_B8607FD4_A4DE_40FF_BB53_3768BD6DAF26_.wvu.FilterData" localSheetId="0" hidden="1">Merged_COEM!$A$59:$AN$276</definedName>
    <definedName name="Z_B8607FD4_A4DE_40FF_BB53_3768BD6DAF26_.wvu.FilterData" localSheetId="1" hidden="1">Merged_JOEM!$B$59:$AO$378</definedName>
    <definedName name="Z_B886343F_58EE_433D_9E29_4981F56BFB44_.wvu.FilterData" localSheetId="0" hidden="1">Merged_COEM!$B$59:$AN$276</definedName>
    <definedName name="Z_B886343F_58EE_433D_9E29_4981F56BFB44_.wvu.FilterData" localSheetId="1" hidden="1">Merged_JOEM!$B$59:$AO$178</definedName>
    <definedName name="Z_B8A226AA_4E0E_4D2F_B0B1_CAC5B7F3C8A1_.wvu.FilterData" localSheetId="0" hidden="1">Merged_COEM!$A$59:$AN$276</definedName>
    <definedName name="Z_B91F8F80_1E41_4E6C_9709_D19696E1443D_.wvu.FilterData" localSheetId="0" hidden="1">Merged_COEM!$A$59:$AN$276</definedName>
    <definedName name="Z_B9D18D6F_3111_4201_BF95_A0AB40AF5AC5_.wvu.FilterData" localSheetId="0" hidden="1">Merged_COEM!$A$59:$AN$276</definedName>
    <definedName name="Z_B9EFE5C6_68FB_4933_972C_7F8BD5F2D994_.wvu.FilterData" localSheetId="1" hidden="1">Merged_JOEM!$S$60:$S$378</definedName>
    <definedName name="Z_BA4855AA_40FB_418D_84E2_7F88F123D064_.wvu.FilterData" localSheetId="1" hidden="1">Merged_JOEM!$B$59:$AO$378</definedName>
    <definedName name="Z_BA8AB1D4_534F_4F8C_8EFD_F4916436D0AB_.wvu.FilterData" localSheetId="1" hidden="1">Merged_JOEM!$B$59:$AO$378</definedName>
    <definedName name="Z_BAA03A74_DBB5_4360_8A5A_7F67B14FB70B_.wvu.FilterData" localSheetId="0" hidden="1">Merged_COEM!$B$59:$AN$276</definedName>
    <definedName name="Z_BAA03A74_DBB5_4360_8A5A_7F67B14FB70B_.wvu.FilterData" localSheetId="1" hidden="1">Merged_JOEM!$B$59:$AO$378</definedName>
    <definedName name="Z_BB12725D_D4C9_4332_BEC8_410DFFD126D2_.wvu.FilterData" localSheetId="0" hidden="1">Merged_COEM!$B$59:$AN$276</definedName>
    <definedName name="Z_BB12725D_D4C9_4332_BEC8_410DFFD126D2_.wvu.FilterData" localSheetId="1" hidden="1">Merged_JOEM!$B$59:$AO$378</definedName>
    <definedName name="Z_BBC7D6DD_B6A1_4D47_AAF3_8D6E57949EA9_.wvu.FilterData" localSheetId="0" hidden="1">Merged_COEM!$P$59:$P$276</definedName>
    <definedName name="Z_BBC7D6DD_B6A1_4D47_AAF3_8D6E57949EA9_.wvu.FilterData" localSheetId="1" hidden="1">Merged_JOEM!$B$59:$AO$378</definedName>
    <definedName name="Z_BBF1917C_086C_4375_B9C9_44D06983F7F5_.wvu.FilterData" localSheetId="0" hidden="1">Merged_COEM!$B$59:$AN$276</definedName>
    <definedName name="Z_BC0ABD15_012F_43E9_B656_1AF96E1EC960_.wvu.FilterData" localSheetId="0" hidden="1">Merged_COEM!$A$59:$AN$276</definedName>
    <definedName name="Z_BC173873_A7A3_429A_A2F2_06B8E17D4E2D_.wvu.FilterData" localSheetId="0" hidden="1">Merged_COEM!$P$59:$P$276</definedName>
    <definedName name="Z_BC173873_A7A3_429A_A2F2_06B8E17D4E2D_.wvu.FilterData" localSheetId="1" hidden="1">Merged_JOEM!$B$59:$AO$59</definedName>
    <definedName name="Z_BC77103E_6668_461E_8526_37390D7907E9_.wvu.FilterData" localSheetId="0" hidden="1">Merged_COEM!$B$59:$AN$276</definedName>
    <definedName name="Z_BC9E3217_B55A_4318_BC37_B4A44F3EFD84_.wvu.FilterData" localSheetId="0" hidden="1">Merged_COEM!$B$59:$AN$276</definedName>
    <definedName name="Z_BCA8DD9F_034E_4FA8_9E78_7C48E88504CC_.wvu.FilterData" localSheetId="0" hidden="1">Merged_COEM!$B$59:$AN$59</definedName>
    <definedName name="Z_BCE93B8C_C7A9_4EA3_9D8F_A38689784C4F_.wvu.FilterData" localSheetId="1" hidden="1">Merged_JOEM!$B$59:$AO$378</definedName>
    <definedName name="Z_BCE99E97_CE8F_4575_BF43_E13B513D810F_.wvu.FilterData" localSheetId="0" hidden="1">Merged_COEM!$B$59:$AN$276</definedName>
    <definedName name="Z_BD8FF058_B31E_4C72_A923_312AF439B99F_.wvu.FilterData" localSheetId="0" hidden="1">Merged_COEM!$A$59:$AN$276</definedName>
    <definedName name="Z_BD8FF058_B31E_4C72_A923_312AF439B99F_.wvu.FilterData" localSheetId="1" hidden="1">Merged_JOEM!$B$59:$AO$378</definedName>
    <definedName name="Z_BDB40059_4248_41EF_B3FC_8DCB8FB6E621_.wvu.FilterData" localSheetId="1" hidden="1">Merged_JOEM!$B$59:$AO$378</definedName>
    <definedName name="Z_BDB7F577_AD1D_4527_B4B3_1BDA43ED5ABB_.wvu.FilterData" localSheetId="0" hidden="1">Merged_COEM!$A$59:$AN$276</definedName>
    <definedName name="Z_BDB7F577_AD1D_4527_B4B3_1BDA43ED5ABB_.wvu.FilterData" localSheetId="1" hidden="1">Merged_JOEM!$B$59:$AO$378</definedName>
    <definedName name="Z_BDE1555A_96A9_4ACC_A4E5_304887666D22_.wvu.FilterData" localSheetId="1" hidden="1">Merged_JOEM!$B$59:$AO$378</definedName>
    <definedName name="Z_BE2C4139_45FB_4F61_B94D_DB5662A7B828_.wvu.FilterData" localSheetId="0" hidden="1">Merged_COEM!$A$59:$AN$276</definedName>
    <definedName name="Z_BE2C4139_45FB_4F61_B94D_DB5662A7B828_.wvu.FilterData" localSheetId="1" hidden="1">Merged_JOEM!$B$59:$AO$378</definedName>
    <definedName name="Z_BE6AACB7_9605_4639_A1C4_901E48E2EC48_.wvu.FilterData" localSheetId="0" hidden="1">Merged_COEM!$A$59:$AN$276</definedName>
    <definedName name="Z_BE7BA0FA_2892_4827_BA29_74B6E16E353B_.wvu.FilterData" localSheetId="0" hidden="1">Merged_COEM!$A$59:$AN$276</definedName>
    <definedName name="Z_BECCF56E_D016_4416_89DC_61E6A6FE3DA2_.wvu.FilterData" localSheetId="0" hidden="1">Merged_COEM!$B$59:$AN$59</definedName>
    <definedName name="Z_BECCF56E_D016_4416_89DC_61E6A6FE3DA2_.wvu.FilterData" localSheetId="1" hidden="1">Merged_JOEM!$B$59:$AO$378</definedName>
    <definedName name="Z_BEDDEF76_28AB_4A0B_BC4B_8B6473A05FB8_.wvu.FilterData" localSheetId="0" hidden="1">Merged_COEM!$A$59:$AN$276</definedName>
    <definedName name="Z_BEDDEF76_28AB_4A0B_BC4B_8B6473A05FB8_.wvu.FilterData" localSheetId="1" hidden="1">Merged_JOEM!$B$59:$AO$378</definedName>
    <definedName name="Z_BEE26344_5F89_46BE_ADCC_85D6BF33A053_.wvu.FilterData" localSheetId="0" hidden="1">Merged_COEM!$A$59:$AN$276</definedName>
    <definedName name="Z_BEE26344_5F89_46BE_ADCC_85D6BF33A053_.wvu.FilterData" localSheetId="1" hidden="1">Merged_JOEM!$B$59:$AO$378</definedName>
    <definedName name="Z_BEEF2F45_0C55_4CE8_9EFB_543C69F3213D_.wvu.FilterData" localSheetId="0" hidden="1">Merged_COEM!$A$59:$AN$276</definedName>
    <definedName name="Z_BF1F7491_F461_4810_B06E_8AF629E4946B_.wvu.FilterData" localSheetId="0" hidden="1">Merged_COEM!$B$59:$AN$276</definedName>
    <definedName name="Z_BF52B18B_F9A5_4F9E_8A83_0B8804B283D0_.wvu.FilterData" localSheetId="1" hidden="1">Merged_JOEM!$B$59:$AO$378</definedName>
    <definedName name="Z_BF7A1F8F_74AD_4DDA_B23C_B5C3DB65C08A_.wvu.FilterData" localSheetId="1" hidden="1">Merged_JOEM!$B$59:$AO$378</definedName>
    <definedName name="Z_BF8A59F3_8F18_4B86_BC75_81913D647D5D_.wvu.FilterData" localSheetId="0" hidden="1">Merged_COEM!$B$59:$AN$59</definedName>
    <definedName name="Z_BF8A59F3_8F18_4B86_BC75_81913D647D5D_.wvu.FilterData" localSheetId="1" hidden="1">Merged_JOEM!$B$59:$AO$378</definedName>
    <definedName name="Z_BFA91855_D249_42DF_9643_A4925F317283_.wvu.FilterData" localSheetId="0" hidden="1">Merged_COEM!$A$59:$AN$276</definedName>
    <definedName name="Z_BFA91855_D249_42DF_9643_A4925F317283_.wvu.FilterData" localSheetId="1" hidden="1">Merged_JOEM!$B$59:$AO$378</definedName>
    <definedName name="Z_BFD55FAF_43A4_480D_9185_A855D1C1DB84_.wvu.FilterData" localSheetId="1" hidden="1">Merged_JOEM!$B$59:$AO$378</definedName>
    <definedName name="Z_BFE28FD3_FC05_47D2_B394_F3516A4D0AB3_.wvu.FilterData" localSheetId="0" hidden="1">Merged_COEM!$B$59:$AN$59</definedName>
    <definedName name="Z_C02B6C15_1401_4977_AAEF_2780A330BFA3_.wvu.FilterData" localSheetId="0" hidden="1">Merged_COEM!$B$59:$AN$276</definedName>
    <definedName name="Z_C02B6C15_1401_4977_AAEF_2780A330BFA3_.wvu.FilterData" localSheetId="1" hidden="1">Merged_JOEM!$B$59:$AO$252</definedName>
    <definedName name="Z_C03B8DCE_3EA2_4E96_B92B_C883C76C1EC5_.wvu.FilterData" localSheetId="0" hidden="1">Merged_COEM!$B$59:$AN$276</definedName>
    <definedName name="Z_C03B8DCE_3EA2_4E96_B92B_C883C76C1EC5_.wvu.FilterData" localSheetId="1" hidden="1">Merged_JOEM!$B$59:$AO$378</definedName>
    <definedName name="Z_C040E5A8_52D5_4EAD_AE14_E299EEBFA450_.wvu.FilterData" localSheetId="0" hidden="1">Merged_COEM!$A$59:$AN$276</definedName>
    <definedName name="Z_C040E5A8_52D5_4EAD_AE14_E299EEBFA450_.wvu.FilterData" localSheetId="1" hidden="1">Merged_JOEM!$B$59:$AO$378</definedName>
    <definedName name="Z_C067C736_CE11_433B_A9A2_C3341C50D7F4_.wvu.FilterData" localSheetId="1" hidden="1">Merged_JOEM!$A$59:$AO$378</definedName>
    <definedName name="Z_C0D25A36_133E_41E7_BA1A_C9B69239140C_.wvu.FilterData" localSheetId="1" hidden="1">Merged_JOEM!$B$59:$AO$359</definedName>
    <definedName name="Z_C0E51FCA_4F01_4943_98A0_011C2CAE2D2E_.wvu.FilterData" localSheetId="0" hidden="1">Merged_COEM!$B$59:$AN$59</definedName>
    <definedName name="Z_C0F8B497_FB1A_45EA_9D03_2183FFE54A49_.wvu.FilterData" localSheetId="1" hidden="1">Merged_JOEM!$B$59:$AO$378</definedName>
    <definedName name="Z_C1337DB0_8B04_4406_8923_236FDF621140_.wvu.FilterData" localSheetId="1" hidden="1">Merged_JOEM!$B$59:$AO$378</definedName>
    <definedName name="Z_C1B26FA4_C046_4E6A_8D46_D8521EF2DE32_.wvu.FilterData" localSheetId="0" hidden="1">Merged_COEM!$B$59:$AN$276</definedName>
    <definedName name="Z_C1FF6141_5619_4E0A_B661_25917EBD3F7D_.wvu.FilterData" localSheetId="1" hidden="1">Merged_JOEM!$B$59:$AO$378</definedName>
    <definedName name="Z_C2303EBD_E6D7_4FF7_845D_A3B248E6EFF5_.wvu.FilterData" localSheetId="1" hidden="1">Merged_JOEM!$B$59:$AO$378</definedName>
    <definedName name="Z_C23B4670_A03E_4935_A5AE_6ADF7F3ACA1F_.wvu.FilterData" localSheetId="0" hidden="1">Merged_COEM!$A$59:$AN$276</definedName>
    <definedName name="Z_C2A22E62_E5B5_4AA5_9FD8_B8581BDC363E_.wvu.FilterData" localSheetId="0" hidden="1">Merged_COEM!$B$59:$AN$276</definedName>
    <definedName name="Z_C2A22E62_E5B5_4AA5_9FD8_B8581BDC363E_.wvu.FilterData" localSheetId="1" hidden="1">Merged_JOEM!$B$59:$AO$378</definedName>
    <definedName name="Z_C2BC807A_4231_4D9F_A0E3_91083B1E2121_.wvu.FilterData" localSheetId="0" hidden="1">Merged_COEM!$B$59:$AN$276</definedName>
    <definedName name="Z_C2BC807A_4231_4D9F_A0E3_91083B1E2121_.wvu.FilterData" localSheetId="1" hidden="1">Merged_JOEM!$B$59:$AO$59</definedName>
    <definedName name="Z_C2CCA076_8851_43CC_9A1E_2FD22C7E2390_.wvu.FilterData" localSheetId="0" hidden="1">Merged_COEM!$A$59:$AN$276</definedName>
    <definedName name="Z_C2CCA076_8851_43CC_9A1E_2FD22C7E2390_.wvu.FilterData" localSheetId="1" hidden="1">Merged_JOEM!$B$59:$AO$378</definedName>
    <definedName name="Z_C2E07036_503C_47A6_8849_1E5951B99899_.wvu.FilterData" localSheetId="0" hidden="1">Merged_COEM!$A$59:$AN$276</definedName>
    <definedName name="Z_C2E07036_503C_47A6_8849_1E5951B99899_.wvu.FilterData" localSheetId="1" hidden="1">Merged_JOEM!$B$59:$AO$378</definedName>
    <definedName name="Z_C2E9C00B_F768_442F_8B2A_04CB795F6615_.wvu.FilterData" localSheetId="1" hidden="1">Merged_JOEM!$B$59:$AO$378</definedName>
    <definedName name="Z_C31CBFDE_4B9A_4243_AB09_06D8453E2EF8_.wvu.FilterData" localSheetId="1" hidden="1">Merged_JOEM!$B$59:$AO$361</definedName>
    <definedName name="Z_C36428D0_4662_4A3F_8269_04B9F62FB882_.wvu.FilterData" localSheetId="0" hidden="1">Merged_COEM!$B$59:$AN$276</definedName>
    <definedName name="Z_C39A1255_439D_4B5C_97C6_DEC6C0FDD34B_.wvu.FilterData" localSheetId="1" hidden="1">Merged_JOEM!$B$59:$AO$378</definedName>
    <definedName name="Z_C3AF598E_C6CA_49E7_949E_5CFC6B5DAC8E_.wvu.FilterData" localSheetId="0" hidden="1">Merged_COEM!$A$59:$AN$276</definedName>
    <definedName name="Z_C3AF598E_C6CA_49E7_949E_5CFC6B5DAC8E_.wvu.FilterData" localSheetId="1" hidden="1">Merged_JOEM!$B$59:$AO$378</definedName>
    <definedName name="Z_C3B26110_BB96_4041_9E86_8FB1D3595EC3_.wvu.FilterData" localSheetId="0" hidden="1">Merged_COEM!$P$59:$P$276</definedName>
    <definedName name="Z_C3B4C962_046C_447F_94C1_3E742479F259_.wvu.FilterData" localSheetId="0" hidden="1">Merged_COEM!$A$59:$AN$276</definedName>
    <definedName name="Z_C3B4C962_046C_447F_94C1_3E742479F259_.wvu.FilterData" localSheetId="1" hidden="1">Merged_JOEM!$A$59:$AO$378</definedName>
    <definedName name="Z_C477A7B9_FAF8_4542_B07F_F4099E2D59B5_.wvu.FilterData" localSheetId="0" hidden="1">Merged_COEM!$A$59:$AN$276</definedName>
    <definedName name="Z_C477A7B9_FAF8_4542_B07F_F4099E2D59B5_.wvu.FilterData" localSheetId="1" hidden="1">Merged_JOEM!$B$59:$AO$378</definedName>
    <definedName name="Z_C4F0B9FE_524E_4995_B6B5_8BFA17BD6D07_.wvu.FilterData" localSheetId="1" hidden="1">Merged_JOEM!$B$59:$AO$378</definedName>
    <definedName name="Z_C50D12DF_6C69_4124_8F27_C26236140C8D_.wvu.FilterData" localSheetId="0" hidden="1">Merged_COEM!$B$59:$AN$276</definedName>
    <definedName name="Z_C50D12DF_6C69_4124_8F27_C26236140C8D_.wvu.FilterData" localSheetId="1" hidden="1">Merged_JOEM!$B$59:$AO$378</definedName>
    <definedName name="Z_C6808480_AE96_4EC8_9FFF_C630CA0624C1_.wvu.FilterData" localSheetId="0" hidden="1">Merged_COEM!$A$59:$AN$276</definedName>
    <definedName name="Z_C6808480_AE96_4EC8_9FFF_C630CA0624C1_.wvu.FilterData" localSheetId="1" hidden="1">Merged_JOEM!$B$59:$AO$378</definedName>
    <definedName name="Z_C6889E15_1A62_4F54_A8B7_B3679CC028D9_.wvu.FilterData" localSheetId="0" hidden="1">Merged_COEM!$A$59:$AN$276</definedName>
    <definedName name="Z_C6889E15_1A62_4F54_A8B7_B3679CC028D9_.wvu.FilterData" localSheetId="1" hidden="1">Merged_JOEM!$B$59:$AO$378</definedName>
    <definedName name="Z_C6A281C6_2BF4_4CB8_A530_128B89970377_.wvu.FilterData" localSheetId="1" hidden="1">Merged_JOEM!$B$59:$AO$378</definedName>
    <definedName name="Z_C6CFDDC5_0F54_4433_B8E8_20F961A1694A_.wvu.FilterData" localSheetId="1" hidden="1">Merged_JOEM!$B$59:$AO$187</definedName>
    <definedName name="Z_C7919792_63E9_4C0F_ADAC_F0FA0F1E04D0_.wvu.FilterData" localSheetId="0" hidden="1">Merged_COEM!$A$59:$AN$276</definedName>
    <definedName name="Z_C8463C01_4C71_4AAE_9636_D50D5810B660_.wvu.FilterData" localSheetId="0" hidden="1">Merged_COEM!$A$59:$AN$276</definedName>
    <definedName name="Z_C8463C01_4C71_4AAE_9636_D50D5810B660_.wvu.FilterData" localSheetId="1" hidden="1">Merged_JOEM!$B$59:$AO$252</definedName>
    <definedName name="Z_C8B61EDD_5A60_4C62_8989_AECEEE62FD4F_.wvu.FilterData" localSheetId="0" hidden="1">Merged_COEM!$A$59:$AN$276</definedName>
    <definedName name="Z_C8B61EDD_5A60_4C62_8989_AECEEE62FD4F_.wvu.FilterData" localSheetId="1" hidden="1">Merged_JOEM!$B$59:$AO$361</definedName>
    <definedName name="Z_C94451EF_7A3E_4D72_B5A4_3D1B193192CC_.wvu.FilterData" localSheetId="0" hidden="1">Merged_COEM!$B$59:$AN$276</definedName>
    <definedName name="Z_C94451EF_7A3E_4D72_B5A4_3D1B193192CC_.wvu.FilterData" localSheetId="1" hidden="1">Merged_JOEM!$B$59:$AO$364</definedName>
    <definedName name="Z_C994653C_BDA0_4559_9402_FC0E5CB19FE6_.wvu.FilterData" localSheetId="0" hidden="1">Merged_COEM!$A$59:$AN$276</definedName>
    <definedName name="Z_C994653C_BDA0_4559_9402_FC0E5CB19FE6_.wvu.FilterData" localSheetId="1" hidden="1">Merged_JOEM!$B$59:$AO$378</definedName>
    <definedName name="Z_C9BE082E_D4BE_400C_B8DB_01B3AA4813B4_.wvu.FilterData" localSheetId="0" hidden="1">Merged_COEM!$A$59:$AN$276</definedName>
    <definedName name="Z_C9E42B05_B52A_4A11_A52C_322A33FD04AC_.wvu.FilterData" localSheetId="1" hidden="1">Merged_JOEM!$B$59:$AO$378</definedName>
    <definedName name="Z_CA3FE1E3_9530_4F0E_ACAD_0C4BB98D7A6C_.wvu.FilterData" localSheetId="0" hidden="1">Merged_COEM!$B$59:$AN$59</definedName>
    <definedName name="Z_CA3FE1E3_9530_4F0E_ACAD_0C4BB98D7A6C_.wvu.FilterData" localSheetId="1" hidden="1">Merged_JOEM!$B$59:$AO$378</definedName>
    <definedName name="Z_CA610046_2946_4C6D_A575_B33B2261CDA0_.wvu.FilterData" localSheetId="0" hidden="1">Merged_COEM!$A$59:$AN$276</definedName>
    <definedName name="Z_CA610046_2946_4C6D_A575_B33B2261CDA0_.wvu.FilterData" localSheetId="1" hidden="1">Merged_JOEM!$B$59:$AO$378</definedName>
    <definedName name="Z_CB12F71B_3B72_425C_9B0A_652E24317BD2_.wvu.FilterData" localSheetId="0" hidden="1">Merged_COEM!$B$59:$AN$276</definedName>
    <definedName name="Z_CB2D8F44_72B6_4784_85C6_8C82D3B41596_.wvu.FilterData" localSheetId="0" hidden="1">Merged_COEM!$A$59:$AN$276</definedName>
    <definedName name="Z_CB878EEF_D456_4AC2_A47A_33FB11DA205A_.wvu.FilterData" localSheetId="0" hidden="1">Merged_COEM!$A$59:$AN$276</definedName>
    <definedName name="Z_CBE694F4_AFF7_4B30_B81C_0F9DE6FC6AF2_.wvu.FilterData" localSheetId="0" hidden="1">Merged_COEM!$A$59:$AN$276</definedName>
    <definedName name="Z_CBE694F4_AFF7_4B30_B81C_0F9DE6FC6AF2_.wvu.FilterData" localSheetId="1" hidden="1">Merged_JOEM!$B$59:$AO$359</definedName>
    <definedName name="Z_CC2DF4BC_7040_4A69_824A_12E4A2243AB0_.wvu.FilterData" localSheetId="1" hidden="1">Merged_JOEM!$B$59:$AO$378</definedName>
    <definedName name="Z_CC3F580C_15C7_4259_B4F0_2E2F4C5CDBDE_.wvu.FilterData" localSheetId="0" hidden="1">Merged_COEM!$A$59:$AN$276</definedName>
    <definedName name="Z_CC3F580C_15C7_4259_B4F0_2E2F4C5CDBDE_.wvu.FilterData" localSheetId="1" hidden="1">Merged_JOEM!$B$59:$AO$378</definedName>
    <definedName name="Z_CC487568_3956_4F08_A6E4_B2BC54D2ECDB_.wvu.FilterData" localSheetId="0" hidden="1">Merged_COEM!$A$59:$AN$276</definedName>
    <definedName name="Z_CC9D5815_2FCF_44A6_A8CC_DCF7D59BCBBB_.wvu.FilterData" localSheetId="1" hidden="1">Merged_JOEM!$B$59:$AO$187</definedName>
    <definedName name="Z_CCA7F1FF_379C_4C65_89F0_CACBCCEE7ECD_.wvu.FilterData" localSheetId="1" hidden="1">Merged_JOEM!$B$59:$AO$378</definedName>
    <definedName name="Z_CCD00BDA_4316_4755_846B_9F44DA3B82B2_.wvu.FilterData" localSheetId="1" hidden="1">Merged_JOEM!$B$59:$AO$378</definedName>
    <definedName name="Z_CCDFBF79_6FDD_4C1F_AB4A_4290ECEF9616_.wvu.FilterData" localSheetId="0" hidden="1">Merged_COEM!$A$59:$AN$276</definedName>
    <definedName name="Z_CCDFBF79_6FDD_4C1F_AB4A_4290ECEF9616_.wvu.FilterData" localSheetId="1" hidden="1">Merged_JOEM!$B$59:$AO$378</definedName>
    <definedName name="Z_CCF61B3D_8C0C_49D1_86D5_25AF34E23F89_.wvu.FilterData" localSheetId="0" hidden="1">Merged_COEM!$A$59:$AN$276</definedName>
    <definedName name="Z_CCF61B3D_8C0C_49D1_86D5_25AF34E23F89_.wvu.FilterData" localSheetId="1" hidden="1">Merged_JOEM!$B$59:$AO$378</definedName>
    <definedName name="Z_CD229BC3_8D0F_4B2B_8518_AFFA02D46771_.wvu.FilterData" localSheetId="0" hidden="1">Merged_COEM!$B$59:$AN$59</definedName>
    <definedName name="Z_CD229BC3_8D0F_4B2B_8518_AFFA02D46771_.wvu.FilterData" localSheetId="1" hidden="1">Merged_JOEM!$B$59:$AO$378</definedName>
    <definedName name="Z_CD235416_A5FA_481B_8E55_C60A832823B9_.wvu.FilterData" localSheetId="0" hidden="1">Merged_COEM!$B$59:$AN$276</definedName>
    <definedName name="Z_CD27DB33_53E8_44D2_9D7B_46C7E0D8406D_.wvu.FilterData" localSheetId="1" hidden="1">Merged_JOEM!$B$59:$AO$59</definedName>
    <definedName name="Z_CD8071F6_CC78_4F59_9D6B_4643D9AFD4AA_.wvu.FilterData" localSheetId="0" hidden="1">Merged_COEM!$A$59:$AN$276</definedName>
    <definedName name="Z_CD8071F6_CC78_4F59_9D6B_4643D9AFD4AA_.wvu.FilterData" localSheetId="1" hidden="1">Merged_JOEM!$B$59:$AO$378</definedName>
    <definedName name="Z_CD89173D_C8E0_491B_A194_7D867462FE5A_.wvu.FilterData" localSheetId="0" hidden="1">Merged_COEM!$B$59:$AN$276</definedName>
    <definedName name="Z_CDA0C6D7_3A34_4603_A386_6EC3B3F2C1A3_.wvu.FilterData" localSheetId="0" hidden="1">Merged_COEM!$B$59:$AN$59</definedName>
    <definedName name="Z_CDBB1A2A_231D_4FFC_9270_4805D06A351E_.wvu.FilterData" localSheetId="0" hidden="1">Merged_COEM!$A$59:$AN$276</definedName>
    <definedName name="Z_CDBB1A2A_231D_4FFC_9270_4805D06A351E_.wvu.FilterData" localSheetId="1" hidden="1">Merged_JOEM!$B$59:$AO$378</definedName>
    <definedName name="Z_CDC7ACBF_254D_4A76_93CF_497958E2EE6E_.wvu.FilterData" localSheetId="0" hidden="1">Merged_COEM!$A$59:$AN$276</definedName>
    <definedName name="Z_CDC7ACBF_254D_4A76_93CF_497958E2EE6E_.wvu.FilterData" localSheetId="1" hidden="1">Merged_JOEM!$B$59:$AO$378</definedName>
    <definedName name="Z_CDDA9E63_0ED3_4A09_8299_4B3B6E425C6A_.wvu.FilterData" localSheetId="1" hidden="1">Merged_JOEM!$A$59:$AO$378</definedName>
    <definedName name="Z_CDDB73FF_BA79_4055_9DF2_59D856F9CE75_.wvu.FilterData" localSheetId="0" hidden="1">Merged_COEM!$A$59:$AN$276</definedName>
    <definedName name="Z_CDF410FC_A9B8_4825_8C51_CB863DAD9EB0_.wvu.FilterData" localSheetId="0" hidden="1">Merged_COEM!$A$59:$AN$276</definedName>
    <definedName name="Z_CE1AD879_4E3E_419F_98AE_AEB21B971F2A_.wvu.FilterData" localSheetId="0" hidden="1">Merged_COEM!$A$59:$AN$276</definedName>
    <definedName name="Z_CE1AD879_4E3E_419F_98AE_AEB21B971F2A_.wvu.FilterData" localSheetId="1" hidden="1">Merged_JOEM!$B$59:$AO$378</definedName>
    <definedName name="Z_CE2EDACD_AA27_49A1_A4CC_4160D8E5B192_.wvu.FilterData" localSheetId="0" hidden="1">Merged_COEM!$A$59:$AN$276</definedName>
    <definedName name="Z_CE53B601_5089_4DCD_884E_E31984E57AA7_.wvu.FilterData" localSheetId="0" hidden="1">Merged_COEM!$A$59:$AN$276</definedName>
    <definedName name="Z_CE6E4FDD_C5AA_420F_AF49_516E16308BAD_.wvu.FilterData" localSheetId="0" hidden="1">Merged_COEM!$A$59:$AN$276</definedName>
    <definedName name="Z_CE6E4FDD_C5AA_420F_AF49_516E16308BAD_.wvu.FilterData" localSheetId="1" hidden="1">Merged_JOEM!$B$59:$AO$378</definedName>
    <definedName name="Z_CEA010CE_4499_4072_B3D6_4AE9AD81ECB0_.wvu.FilterData" localSheetId="0" hidden="1">Merged_COEM!$A$59:$AN$276</definedName>
    <definedName name="Z_CEBE8AC3_188B_4F97_A24F_371A11C4421A_.wvu.FilterData" localSheetId="0" hidden="1">Merged_COEM!$B$59:$AN$59</definedName>
    <definedName name="Z_CEF5B96F_2009_4B95_B046_8EF92D34D1B5_.wvu.FilterData" localSheetId="0" hidden="1">Merged_COEM!$A$59:$AN$276</definedName>
    <definedName name="Z_CEF5B96F_2009_4B95_B046_8EF92D34D1B5_.wvu.FilterData" localSheetId="1" hidden="1">Merged_JOEM!$B$59:$AO$378</definedName>
    <definedName name="Z_CF191CDA_59C7_49C3_BC89_1051D296C6BE_.wvu.FilterData" localSheetId="0" hidden="1">Merged_COEM!$B$59:$AN$59</definedName>
    <definedName name="Z_CF191CDA_59C7_49C3_BC89_1051D296C6BE_.wvu.FilterData" localSheetId="1" hidden="1">Merged_JOEM!$A$59:$AO$378</definedName>
    <definedName name="Z_CF1D8F03_CC7A_41AC_BA77_166210383B5E_.wvu.FilterData" localSheetId="0" hidden="1">Merged_COEM!$A$59:$AN$276</definedName>
    <definedName name="Z_CF1D8F03_CC7A_41AC_BA77_166210383B5E_.wvu.FilterData" localSheetId="1" hidden="1">Merged_JOEM!$A$59:$AO$378</definedName>
    <definedName name="Z_CF789F89_E944_4123_99BC_A68BDCD5854E_.wvu.FilterData" localSheetId="0" hidden="1">Merged_COEM!$A$59:$AN$276</definedName>
    <definedName name="Z_CF84BCBE_BE22_4A6D_8717_6A7CF544566C_.wvu.FilterData" localSheetId="1" hidden="1">Merged_JOEM!$S$60:$S$378</definedName>
    <definedName name="Z_CF96DFEB_8781_47AC_8CB4_D87914283008_.wvu.FilterData" localSheetId="1" hidden="1">Merged_JOEM!$B$59:$AO$378</definedName>
    <definedName name="Z_CFABF19D_46C3_4F13_A4CA_B725B7531F6C_.wvu.FilterData" localSheetId="0" hidden="1">Merged_COEM!$A$59:$AN$276</definedName>
    <definedName name="Z_CFDF51A4_31D6_4E09_9872_4D69918FBCA4_.wvu.FilterData" localSheetId="0" hidden="1">Merged_COEM!$B$59:$AN$276</definedName>
    <definedName name="Z_D02104D3_51B8_4533_A2F3_8DEEA8EA85DE_.wvu.FilterData" localSheetId="0" hidden="1">Merged_COEM!$B$59:$AN$276</definedName>
    <definedName name="Z_D02B55C3_8D4F_4683_9388_DFC09F3E814B_.wvu.FilterData" localSheetId="0" hidden="1">Merged_COEM!$B$59:$AN$276</definedName>
    <definedName name="Z_D02B55C3_8D4F_4683_9388_DFC09F3E814B_.wvu.FilterData" localSheetId="1" hidden="1">Merged_JOEM!$B$59:$AO$378</definedName>
    <definedName name="Z_D05573DF_C746_48BC_8D00_84FB0DE2757B_.wvu.FilterData" localSheetId="1" hidden="1">Merged_JOEM!$B$59:$AO$378</definedName>
    <definedName name="Z_D086E2C8_DBDB_447C_AEAF_4D570D675B0D_.wvu.FilterData" localSheetId="0" hidden="1">Merged_COEM!$B$59:$AN$276</definedName>
    <definedName name="Z_D08F91D2_5A1B_4929_94DC_02D76B8BFF2E_.wvu.FilterData" localSheetId="1" hidden="1">Merged_JOEM!$B$59:$AO$378</definedName>
    <definedName name="Z_D0BBBE92_33F4_4BF1_BF4D_DDE53C97BA89_.wvu.FilterData" localSheetId="1" hidden="1">Merged_JOEM!$B$59:$AO$378</definedName>
    <definedName name="Z_D118D28E_7F46_4D74_8DB6_77DA9E1E650B_.wvu.FilterData" localSheetId="0" hidden="1">Merged_COEM!$A$59:$AN$276</definedName>
    <definedName name="Z_D118D28E_7F46_4D74_8DB6_77DA9E1E650B_.wvu.FilterData" localSheetId="1" hidden="1">Merged_JOEM!$B$59:$AO$378</definedName>
    <definedName name="Z_D11A8AEF_1A0D_48F8_8F86_A9C0B8906E44_.wvu.FilterData" localSheetId="1" hidden="1">Merged_JOEM!$B$59:$AO$378</definedName>
    <definedName name="Z_D15FC6DE_9D87_4831_81DE_4BABFC901C15_.wvu.FilterData" localSheetId="0" hidden="1">Merged_COEM!$A$59:$AN$276</definedName>
    <definedName name="Z_D15FC6DE_9D87_4831_81DE_4BABFC901C15_.wvu.FilterData" localSheetId="1" hidden="1">Merged_JOEM!$B$59:$AO$378</definedName>
    <definedName name="Z_D27A9719_CA1F_4F10_B026_6793A25D97CF_.wvu.FilterData" localSheetId="0" hidden="1">Merged_COEM!$B$59:$AN$59</definedName>
    <definedName name="Z_D27A9719_CA1F_4F10_B026_6793A25D97CF_.wvu.FilterData" localSheetId="1" hidden="1">Merged_JOEM!$B$59:$AO$59</definedName>
    <definedName name="Z_D2C2B472_7F3F_4296_8659_57FFE58045BE_.wvu.FilterData" localSheetId="0" hidden="1">Merged_COEM!$B$59:$AN$276</definedName>
    <definedName name="Z_D2C2B472_7F3F_4296_8659_57FFE58045BE_.wvu.FilterData" localSheetId="1" hidden="1">Merged_JOEM!$B$59:$AO$378</definedName>
    <definedName name="Z_D2D6ED81_7AE6_43BD_A723_27C9E276BA56_.wvu.FilterData" localSheetId="0" hidden="1">Merged_COEM!$B$59:$AN$276</definedName>
    <definedName name="Z_D2D6ED81_7AE6_43BD_A723_27C9E276BA56_.wvu.FilterData" localSheetId="1" hidden="1">Merged_JOEM!$B$59:$AO$378</definedName>
    <definedName name="Z_D33AC7AF_C8AB_4CE9_94C7_9237011A5FC3_.wvu.FilterData" localSheetId="0" hidden="1">Merged_COEM!$A$59:$AO$276</definedName>
    <definedName name="Z_D33AC7AF_C8AB_4CE9_94C7_9237011A5FC3_.wvu.FilterData" localSheetId="1" hidden="1">Merged_JOEM!$B$59:$AO$361</definedName>
    <definedName name="Z_D3595C5C_56A9_410F_8F72_8E1394678BAD_.wvu.FilterData" localSheetId="1" hidden="1">Merged_JOEM!$B$59:$AO$161</definedName>
    <definedName name="Z_D3768440_23CD_4BDD_84C8_BCAA56955537_.wvu.FilterData" localSheetId="0" hidden="1">Merged_COEM!$B$59:$AN$276</definedName>
    <definedName name="Z_D3768440_23CD_4BDD_84C8_BCAA56955537_.wvu.FilterData" localSheetId="1" hidden="1">Merged_JOEM!$B$59:$AO$378</definedName>
    <definedName name="Z_D38342FB_44F2_4C40_B39A_DFD93C1F7369_.wvu.FilterData" localSheetId="0" hidden="1">Merged_COEM!$A$59:$AN$276</definedName>
    <definedName name="Z_D38B9924_E9FE_492F_BFF8_4E8A7E2D1925_.wvu.FilterData" localSheetId="1" hidden="1">Merged_JOEM!$B$59:$AO$160</definedName>
    <definedName name="Z_D411CC21_8E67_4113_90CE_A190C4057F23_.wvu.FilterData" localSheetId="1" hidden="1">Merged_JOEM!$B$59:$AO$259</definedName>
    <definedName name="Z_D41295E5_0507_4FFC_9DE6_9C52285F0275_.wvu.FilterData" localSheetId="0" hidden="1">Merged_COEM!$B$59:$AN$276</definedName>
    <definedName name="Z_D48A7008_0664_41CA_847E_E3D860D8CAB6_.wvu.FilterData" localSheetId="0" hidden="1">Merged_COEM!$B$59:$AN$276</definedName>
    <definedName name="Z_D4D31799_D309_49FE_A753_935575949FDF_.wvu.FilterData" localSheetId="0" hidden="1">Merged_COEM!$B$59:$AN$276</definedName>
    <definedName name="Z_D4D31799_D309_49FE_A753_935575949FDF_.wvu.FilterData" localSheetId="1" hidden="1">Merged_JOEM!$B$59:$AO$59</definedName>
    <definedName name="Z_D51A5667_5F84_4600_90D6_6E29813D4C84_.wvu.FilterData" localSheetId="0" hidden="1">Merged_COEM!$A$59:$AN$276</definedName>
    <definedName name="Z_D5425434_BCD2_4ECE_BDD0_DBAD5BE810BB_.wvu.FilterData" localSheetId="0" hidden="1">Merged_COEM!$A$59:$AN$276</definedName>
    <definedName name="Z_D5495B41_8856_434C_AE51_6C7F28A4892B_.wvu.FilterData" localSheetId="0" hidden="1">Merged_COEM!$A$59:$AN$276</definedName>
    <definedName name="Z_D5495B41_8856_434C_AE51_6C7F28A4892B_.wvu.FilterData" localSheetId="1" hidden="1">Merged_JOEM!$B$59:$AO$378</definedName>
    <definedName name="Z_D5ACA420_0704_4A7B_8271_EFB400689CE3_.wvu.FilterData" localSheetId="0" hidden="1">Merged_COEM!$B$59:$AN$59</definedName>
    <definedName name="Z_D5ACA420_0704_4A7B_8271_EFB400689CE3_.wvu.FilterData" localSheetId="1" hidden="1">Merged_JOEM!$B$59:$AO$59</definedName>
    <definedName name="Z_D5DA6DDF_3700_45A0_A688_A8C6200B4E00_.wvu.FilterData" localSheetId="0" hidden="1">Merged_COEM!$A$59:$AN$276</definedName>
    <definedName name="Z_D5DA6DDF_3700_45A0_A688_A8C6200B4E00_.wvu.FilterData" localSheetId="1" hidden="1">Merged_JOEM!$B$59:$AO$378</definedName>
    <definedName name="Z_D6832C49_66A5_40BB_A73B_0C25E4D9B698_.wvu.FilterData" localSheetId="0" hidden="1">Merged_COEM!$B$59:$AN$59</definedName>
    <definedName name="Z_D68AA120_23E6_4E33_B593_B08CB8C9A9E2_.wvu.FilterData" localSheetId="0" hidden="1">Merged_COEM!$A$59:$AN$276</definedName>
    <definedName name="Z_D6B6CCCC_9FFF_4FFF_98B0_4EA5B228ED4B_.wvu.FilterData" localSheetId="0" hidden="1">Merged_COEM!$A$59:$AN$276</definedName>
    <definedName name="Z_D6D5D4A0_EDE2_446E_BA1C_410355A487AD_.wvu.FilterData" localSheetId="0" hidden="1">Merged_COEM!$B$59:$AN$276</definedName>
    <definedName name="Z_D6D5D4A0_EDE2_446E_BA1C_410355A487AD_.wvu.FilterData" localSheetId="1" hidden="1">Merged_JOEM!$B$59:$AO$378</definedName>
    <definedName name="Z_D77CCEF1_8D3A_4E1F_984B_678440D6A2B2_.wvu.FilterData" localSheetId="0" hidden="1">Merged_COEM!$A$59:$AN$276</definedName>
    <definedName name="Z_D77D42D4_806B_4CB1_A5B6_310D2AD130D5_.wvu.FilterData" localSheetId="0" hidden="1">Merged_COEM!$B$59:$AN$276</definedName>
    <definedName name="Z_D77D42D4_806B_4CB1_A5B6_310D2AD130D5_.wvu.FilterData" localSheetId="1" hidden="1">Merged_JOEM!$B$59:$AO$378</definedName>
    <definedName name="Z_D80106D8_F2B0_49E2_80B4_235625F67E43_.wvu.FilterData" localSheetId="0" hidden="1">Merged_COEM!$B$59:$AN$276</definedName>
    <definedName name="Z_D872AF61_C529_4DF8_A0AD_23C1DBB7ABFF_.wvu.FilterData" localSheetId="0" hidden="1">Merged_COEM!$B$59:$AN$276</definedName>
    <definedName name="Z_D8A0E6ED_4E4E_405B_A933_3768BCB9F040_.wvu.FilterData" localSheetId="0" hidden="1">Merged_COEM!$B$59:$AN$276</definedName>
    <definedName name="Z_D8E7EF35_2B7B_427A_B135_45048A030061_.wvu.FilterData" localSheetId="0" hidden="1">Merged_COEM!$P$59:$P$276</definedName>
    <definedName name="Z_D8E7EF35_2B7B_427A_B135_45048A030061_.wvu.FilterData" localSheetId="1" hidden="1">Merged_JOEM!$B$59:$AO$378</definedName>
    <definedName name="Z_D90D2267_F777_4CED_950B_481B7C37B26F_.wvu.FilterData" localSheetId="0" hidden="1">Merged_COEM!$A$59:$AN$276</definedName>
    <definedName name="Z_D90D2267_F777_4CED_950B_481B7C37B26F_.wvu.FilterData" localSheetId="1" hidden="1">Merged_JOEM!$B$59:$AO$259</definedName>
    <definedName name="Z_D9459293_FE21_4C9D_A591_5FA333B2FF58_.wvu.FilterData" localSheetId="0" hidden="1">Merged_COEM!$B$59:$AN$276</definedName>
    <definedName name="Z_D9459293_FE21_4C9D_A591_5FA333B2FF58_.wvu.FilterData" localSheetId="1" hidden="1">Merged_JOEM!$B$59:$AO$378</definedName>
    <definedName name="Z_D96D1389_4C8F_47A3_9E16_746F53899CC4_.wvu.FilterData" localSheetId="0" hidden="1">Merged_COEM!$A$59:$AN$276</definedName>
    <definedName name="Z_D9FBC216_2016_4058_8B49_FABCA0D9F73F_.wvu.FilterData" localSheetId="0" hidden="1">Merged_COEM!$A$59:$AN$276</definedName>
    <definedName name="Z_D9FBC216_2016_4058_8B49_FABCA0D9F73F_.wvu.FilterData" localSheetId="1" hidden="1">Merged_JOEM!$B$59:$AO$378</definedName>
    <definedName name="Z_DA60DB17_D662_44C5_A44E_0215B156F1CB_.wvu.FilterData" localSheetId="0" hidden="1">Merged_COEM!$B$59:$AN$276</definedName>
    <definedName name="Z_DA60DB17_D662_44C5_A44E_0215B156F1CB_.wvu.FilterData" localSheetId="1" hidden="1">Merged_JOEM!$B$59:$AO$59</definedName>
    <definedName name="Z_DA781726_B906_42BF_9F10_92770707708D_.wvu.FilterData" localSheetId="0" hidden="1">Merged_COEM!$B$59:$AN$59</definedName>
    <definedName name="Z_DA7942D6_CB98_4540_885F_D4B3DDB4C3BC_.wvu.FilterData" localSheetId="0" hidden="1">Merged_COEM!$A$59:$AN$276</definedName>
    <definedName name="Z_DAA8F091_E546_42D7_9E34_AA0C266FAE9C_.wvu.FilterData" localSheetId="1" hidden="1">Merged_JOEM!$B$59:$AO$378</definedName>
    <definedName name="Z_DAB66990_CCDC_4B90_8618_64C8B41261FA_.wvu.FilterData" localSheetId="0" hidden="1">Merged_COEM!$A$59:$AN$276</definedName>
    <definedName name="Z_DAB66990_CCDC_4B90_8618_64C8B41261FA_.wvu.FilterData" localSheetId="1" hidden="1">Merged_JOEM!$B$59:$AO$378</definedName>
    <definedName name="Z_DB3D53BC_032F_471F_94FC_E9876370C211_.wvu.FilterData" localSheetId="0" hidden="1">Merged_COEM!$B$59:$AN$276</definedName>
    <definedName name="Z_DC42CAE3_D7B6_4BE4_B211_23E4A31BF09A_.wvu.FilterData" localSheetId="0" hidden="1">Merged_COEM!$B$59:$AN$276</definedName>
    <definedName name="Z_DC4D966A_D575_4FFA_BF4C_783625F98964_.wvu.FilterData" localSheetId="0" hidden="1">Merged_COEM!$B$59:$AN$276</definedName>
    <definedName name="Z_DC560E7F_64E6_44DC_9186_A6C31A1E5E5E_.wvu.FilterData" localSheetId="0" hidden="1">Merged_COEM!$B$59:$AN$276</definedName>
    <definedName name="Z_DC6E80D5_FC1C_48D4_9EEC_4A56E99BF637_.wvu.FilterData" localSheetId="1" hidden="1">Merged_JOEM!$B$59:$AO$359</definedName>
    <definedName name="Z_DC77A36D_5AB9_4758_BCC0_586F7FCC8B7D_.wvu.FilterData" localSheetId="0" hidden="1">Merged_COEM!$A$59:$AN$276</definedName>
    <definedName name="Z_DC77A36D_5AB9_4758_BCC0_586F7FCC8B7D_.wvu.FilterData" localSheetId="1" hidden="1">Merged_JOEM!$B$59:$AO$378</definedName>
    <definedName name="Z_DCB49D15_4EC2_40E2_99C4_E04CD61EACEB_.wvu.FilterData" localSheetId="0" hidden="1">Merged_COEM!$A$59:$AN$276</definedName>
    <definedName name="Z_DD23F90F_CEE1_43F8_AB16_7B380A3332D3_.wvu.FilterData" localSheetId="1" hidden="1">Merged_JOEM!$B$59:$AO$160</definedName>
    <definedName name="Z_DD7874F4_0FF5_44BA_964A_C42129BE7A52_.wvu.FilterData" localSheetId="0" hidden="1">Merged_COEM!$B$59:$AN$276</definedName>
    <definedName name="Z_DD7874F4_0FF5_44BA_964A_C42129BE7A52_.wvu.FilterData" localSheetId="1" hidden="1">Merged_JOEM!$B$59:$AO$378</definedName>
    <definedName name="Z_DD788658_D329_4BC9_A4CF_42A7BA14B6A8_.wvu.FilterData" localSheetId="0" hidden="1">Merged_COEM!$A$59:$AN$276</definedName>
    <definedName name="Z_DD788658_D329_4BC9_A4CF_42A7BA14B6A8_.wvu.FilterData" localSheetId="1" hidden="1">Merged_JOEM!$B$59:$AO$378</definedName>
    <definedName name="Z_DDB52F07_9CA6_4C4D_B256_178082EC8245_.wvu.FilterData" localSheetId="0" hidden="1">Merged_COEM!$B$59:$AN$276</definedName>
    <definedName name="Z_DDB52F07_9CA6_4C4D_B256_178082EC8245_.wvu.FilterData" localSheetId="1" hidden="1">Merged_JOEM!$B$59:$AO$59</definedName>
    <definedName name="Z_DDBABB7C_6211_439A_BDB8_C61FDD88DACC_.wvu.FilterData" localSheetId="0" hidden="1">Merged_COEM!$A$59:$AN$276</definedName>
    <definedName name="Z_DDBABB7C_6211_439A_BDB8_C61FDD88DACC_.wvu.FilterData" localSheetId="1" hidden="1">Merged_JOEM!$B$59:$AO$299</definedName>
    <definedName name="Z_DDD25747_6E53_4811_A4EC_62319CA84D83_.wvu.FilterData" localSheetId="0" hidden="1">Merged_COEM!$A$59:$AN$276</definedName>
    <definedName name="Z_DDDADFC2_892F_4575_9FB5_7FE71276432C_.wvu.FilterData" localSheetId="0" hidden="1">Merged_COEM!$A$59:$AN$276</definedName>
    <definedName name="Z_DDDADFC2_892F_4575_9FB5_7FE71276432C_.wvu.FilterData" localSheetId="1" hidden="1">Merged_JOEM!$B$59:$AO$378</definedName>
    <definedName name="Z_DE7792AA_5050_4583_A5BB_E5DDC52489C5_.wvu.FilterData" localSheetId="0" hidden="1">Merged_COEM!$B$59:$AN$276</definedName>
    <definedName name="Z_DE7792AA_5050_4583_A5BB_E5DDC52489C5_.wvu.FilterData" localSheetId="1" hidden="1">Merged_JOEM!$B$59:$AO$59</definedName>
    <definedName name="Z_DE9A72B3_86E4_4CA9_9E38_9AB1D0ED3F99_.wvu.FilterData" localSheetId="1" hidden="1">Merged_JOEM!$B$59:$AO$378</definedName>
    <definedName name="Z_DF988CF1_FD31_448D_A2C9_E8188E54B2EB_.wvu.FilterData" localSheetId="0" hidden="1">Merged_COEM!$A$59:$AN$276</definedName>
    <definedName name="Z_DF988CF1_FD31_448D_A2C9_E8188E54B2EB_.wvu.FilterData" localSheetId="1" hidden="1">Merged_JOEM!$B$59:$AO$378</definedName>
    <definedName name="Z_DFD986E7_AAC3_43E9_B4BE_C5FE92B23FBE_.wvu.FilterData" localSheetId="0" hidden="1">Merged_COEM!$A$59:$AN$276</definedName>
    <definedName name="Z_DFF66777_B33A_42ED_AC7D_943490F5AECA_.wvu.FilterData" localSheetId="1" hidden="1">Merged_JOEM!$B$59:$AO$378</definedName>
    <definedName name="Z_E00A38E8_FC2F_43F8_AE31_79E0D2D16894_.wvu.FilterData" localSheetId="0" hidden="1">Merged_COEM!$A$59:$AN$276</definedName>
    <definedName name="Z_E00A38E8_FC2F_43F8_AE31_79E0D2D16894_.wvu.FilterData" localSheetId="1" hidden="1">Merged_JOEM!$B$59:$AO$378</definedName>
    <definedName name="Z_E058DDBE_ED0A_4CA8_8C04_26D1B7AA285A_.wvu.FilterData" localSheetId="0" hidden="1">Merged_COEM!$A$59:$AN$276</definedName>
    <definedName name="Z_E058DDBE_ED0A_4CA8_8C04_26D1B7AA285A_.wvu.FilterData" localSheetId="1" hidden="1">Merged_JOEM!$B$59:$AO$378</definedName>
    <definedName name="Z_E05C2F43_CE08_45DC_B1B4_839ACC60C017_.wvu.FilterData" localSheetId="0" hidden="1">Merged_COEM!$A$59:$AN$276</definedName>
    <definedName name="Z_E05C2F43_CE08_45DC_B1B4_839ACC60C017_.wvu.FilterData" localSheetId="1" hidden="1">Merged_JOEM!$B$59:$AO$378</definedName>
    <definedName name="Z_E06730C8_417E_4BF4_B51A_53DDC930E9E9_.wvu.FilterData" localSheetId="0" hidden="1">Merged_COEM!$A$59:$AN$276</definedName>
    <definedName name="Z_E0DA618F_5168_4BDA_B90D_1071596CF2FC_.wvu.FilterData" localSheetId="0" hidden="1">Merged_COEM!$B$59:$AN$59</definedName>
    <definedName name="Z_E0F05845_7B3E_4BDE_9641_919043CF8853_.wvu.FilterData" localSheetId="0" hidden="1">Merged_COEM!$B$59:$AN$276</definedName>
    <definedName name="Z_E11762FF_53FC_47CD_8FED_E01CCAF12BA9_.wvu.FilterData" localSheetId="0" hidden="1">Merged_COEM!$A$59:$AN$276</definedName>
    <definedName name="Z_E11D25D0_2BF3_48B3_9FBC_3B6D0D0AF949_.wvu.FilterData" localSheetId="0" hidden="1">Merged_COEM!$A$59:$AN$276</definedName>
    <definedName name="Z_E11D25D0_2BF3_48B3_9FBC_3B6D0D0AF949_.wvu.FilterData" localSheetId="1" hidden="1">Merged_JOEM!$B$59:$AO$378</definedName>
    <definedName name="Z_E12EC836_80E0_45EE_A6D0_34069B8708A0_.wvu.FilterData" localSheetId="0" hidden="1">Merged_COEM!$A$59:$AN$276</definedName>
    <definedName name="Z_E12EC836_80E0_45EE_A6D0_34069B8708A0_.wvu.FilterData" localSheetId="1" hidden="1">Merged_JOEM!$B$59:$AO$378</definedName>
    <definedName name="Z_E1509FB5_A8FC_442E_B3FE_9BE4AF721946_.wvu.FilterData" localSheetId="1" hidden="1">Merged_JOEM!$B$59:$AO$378</definedName>
    <definedName name="Z_E1600B48_4BC4_43DD_8FC3_BD994B47B660_.wvu.FilterData" localSheetId="1" hidden="1">Merged_JOEM!$B$59:$AO$378</definedName>
    <definedName name="Z_E169ACCC_5904_447E_A318_1E8EC1939B18_.wvu.FilterData" localSheetId="0" hidden="1">Merged_COEM!$A$59:$AN$276</definedName>
    <definedName name="Z_E169ACCC_5904_447E_A318_1E8EC1939B18_.wvu.FilterData" localSheetId="1" hidden="1">Merged_JOEM!$B$59:$AO$378</definedName>
    <definedName name="Z_E192B253_945E_4077_9A12_AF22774AAC09_.wvu.FilterData" localSheetId="0" hidden="1">Merged_COEM!$B$59:$AN$276</definedName>
    <definedName name="Z_E192B253_945E_4077_9A12_AF22774AAC09_.wvu.FilterData" localSheetId="1" hidden="1">Merged_JOEM!$B$59:$AO$378</definedName>
    <definedName name="Z_E1E0EE3F_5A13_466E_BCF7_B3BBB0189703_.wvu.FilterData" localSheetId="0" hidden="1">Merged_COEM!$A$59:$AN$276</definedName>
    <definedName name="Z_E1E1CED1_D24D_4201_B5A3_BFA1AB2FD0D5_.wvu.FilterData" localSheetId="0" hidden="1">Merged_COEM!$A$59:$AN$276</definedName>
    <definedName name="Z_E21F497B_C8B3_425D_9564_DAB73C9822BB_.wvu.FilterData" localSheetId="0" hidden="1">Merged_COEM!$A$59:$AN$276</definedName>
    <definedName name="Z_E21F497B_C8B3_425D_9564_DAB73C9822BB_.wvu.FilterData" localSheetId="1" hidden="1">Merged_JOEM!$B$59:$AO$378</definedName>
    <definedName name="Z_E22C7180_8318_4063_B51E_CCE57C69952C_.wvu.FilterData" localSheetId="1" hidden="1">Merged_JOEM!$B$59:$AO$378</definedName>
    <definedName name="Z_E2480007_FB45_4613_9F8A_26BBBEB60716_.wvu.FilterData" localSheetId="0" hidden="1">Merged_COEM!$B$59:$AN$276</definedName>
    <definedName name="Z_E2C64739_C513_4539_8424_B5257ACE258A_.wvu.FilterData" localSheetId="1" hidden="1">Merged_JOEM!$B$59:$AO$378</definedName>
    <definedName name="Z_E2CCE2BB_55E8_477A_B457_5F732212A481_.wvu.FilterData" localSheetId="0" hidden="1">Merged_COEM!$A$59:$AN$276</definedName>
    <definedName name="Z_E2CCE2BB_55E8_477A_B457_5F732212A481_.wvu.FilterData" localSheetId="1" hidden="1">Merged_JOEM!$B$59:$AO$378</definedName>
    <definedName name="Z_E2F01DF1_5235_4931_B0AA_790594455BB6_.wvu.FilterData" localSheetId="0" hidden="1">Merged_COEM!$A$59:$AN$276</definedName>
    <definedName name="Z_E2F43DAF_2663_428C_81A4_640BF7825CAD_.wvu.FilterData" localSheetId="1" hidden="1">Merged_JOEM!$B$59:$AO$378</definedName>
    <definedName name="Z_E34943D9_A148_4F4E_923C_EC99AE2A89E0_.wvu.FilterData" localSheetId="0" hidden="1">Merged_COEM!$B$59:$AN$276</definedName>
    <definedName name="Z_E36B2453_F811_41EA_9FD1_7FA18414D43B_.wvu.FilterData" localSheetId="1" hidden="1">Merged_JOEM!$B$59:$AO$378</definedName>
    <definedName name="Z_E3E05231_41EB_42F2_BE17_0917C84ED42A_.wvu.FilterData" localSheetId="1" hidden="1">Merged_JOEM!$B$59:$AO$378</definedName>
    <definedName name="Z_E3F2280E_1D3C_4E79_A985_E7052E1E3570_.wvu.FilterData" localSheetId="0" hidden="1">Merged_COEM!$B$59:$AN$276</definedName>
    <definedName name="Z_E3F2280E_1D3C_4E79_A985_E7052E1E3570_.wvu.FilterData" localSheetId="1" hidden="1">Merged_JOEM!$B$59:$AO$178</definedName>
    <definedName name="Z_E42CC2D7_E706_469E_8006_588FEEFCA5C0_.wvu.FilterData" localSheetId="0" hidden="1">Merged_COEM!$A$59:$AN$276</definedName>
    <definedName name="Z_E42CC2D7_E706_469E_8006_588FEEFCA5C0_.wvu.FilterData" localSheetId="1" hidden="1">Merged_JOEM!$B$59:$AO$378</definedName>
    <definedName name="Z_E51951AC_4BE1_43BB_9EF9_3A103CBA1EDF_.wvu.FilterData" localSheetId="1" hidden="1">Merged_JOEM!$B$59:$AO$378</definedName>
    <definedName name="Z_E5202C0A_B6B2_4FF6_B6B1_F4924BC1A20D_.wvu.FilterData" localSheetId="1" hidden="1">Merged_JOEM!$B$59:$AO$160</definedName>
    <definedName name="Z_E5B6C117_544A_4A15_9506_72CFAF8D0D1D_.wvu.FilterData" localSheetId="0" hidden="1">Merged_COEM!$A$59:$AN$276</definedName>
    <definedName name="Z_E6141633_D7E6_4C6C_8705_4DA7F2940436_.wvu.FilterData" localSheetId="0" hidden="1">Merged_COEM!$A$59:$AN$276</definedName>
    <definedName name="Z_E6180E73_1E02_47C0_826F_065429E1DBB3_.wvu.FilterData" localSheetId="0" hidden="1">Merged_COEM!$B$59:$AN$59</definedName>
    <definedName name="Z_E6524446_224D_4FFA_90B8_AD7A4BB8C105_.wvu.FilterData" localSheetId="0" hidden="1">Merged_COEM!$B$59:$AN$276</definedName>
    <definedName name="Z_E6524446_224D_4FFA_90B8_AD7A4BB8C105_.wvu.FilterData" localSheetId="1" hidden="1">Merged_JOEM!$B$59:$AO$378</definedName>
    <definedName name="Z_E6637879_26CD_45BB_85B9_AB81FCEF6B80_.wvu.FilterData" localSheetId="0" hidden="1">Merged_COEM!$B$59:$AN$276</definedName>
    <definedName name="Z_E673B4DF_81B7_434A_93DB_BA0164F62BE9_.wvu.FilterData" localSheetId="0" hidden="1">Merged_COEM!$A$59:$AN$276</definedName>
    <definedName name="Z_E6F4F2EA_EEB8_40E2_9829_3CEC1CA17805_.wvu.FilterData" localSheetId="1" hidden="1">Merged_JOEM!$B$59:$AO$378</definedName>
    <definedName name="Z_E6FA8B06_6F53_4E75_AECF_656515E042B9_.wvu.FilterData" localSheetId="0" hidden="1">Merged_COEM!$B$59:$AN$276</definedName>
    <definedName name="Z_E6FA8B06_6F53_4E75_AECF_656515E042B9_.wvu.FilterData" localSheetId="1" hidden="1">Merged_JOEM!$B$59:$AO$378</definedName>
    <definedName name="Z_E6FDFB7C_A7B9_48D5_BBD6_68140ADA35BB_.wvu.FilterData" localSheetId="0" hidden="1">Merged_COEM!$B$59:$AN$276</definedName>
    <definedName name="Z_E72CA2CF_6FE7_4387_B8FB_A8EC0BD159B1_.wvu.FilterData" localSheetId="0" hidden="1">Merged_COEM!$B$59:$AN$276</definedName>
    <definedName name="Z_E73B0B7F_6007_4682_BC1D_F46CD41654E9_.wvu.FilterData" localSheetId="0" hidden="1">Merged_COEM!$B$59:$AN$276</definedName>
    <definedName name="Z_E745E283_742B_4CAE_943B_7CC6E673F217_.wvu.FilterData" localSheetId="0" hidden="1">Merged_COEM!$B$59:$AN$276</definedName>
    <definedName name="Z_E7DE7DFD_495D_4CF8_AF7D_8C05256ED2DA_.wvu.FilterData" localSheetId="0" hidden="1">Merged_COEM!$A$59:$AN$276</definedName>
    <definedName name="Z_E7DE7DFD_495D_4CF8_AF7D_8C05256ED2DA_.wvu.FilterData" localSheetId="1" hidden="1">Merged_JOEM!$B$59:$AO$378</definedName>
    <definedName name="Z_E81DFD84_60D1_494F_8139_E061DD85D79D_.wvu.FilterData" localSheetId="0" hidden="1">Merged_COEM!$B$59:$AN$276</definedName>
    <definedName name="Z_E81DFD84_60D1_494F_8139_E061DD85D79D_.wvu.FilterData" localSheetId="1" hidden="1">Merged_JOEM!$B$59:$AO$161</definedName>
    <definedName name="Z_E88DC3CB_0C36_4621_A78A_EADE25323E65_.wvu.FilterData" localSheetId="0" hidden="1">Merged_COEM!$B$59:$AN$276</definedName>
    <definedName name="Z_E88DC3CB_0C36_4621_A78A_EADE25323E65_.wvu.FilterData" localSheetId="1" hidden="1">Merged_JOEM!$B$59:$AO$378</definedName>
    <definedName name="Z_E8A82E4B_5EC1_4EEF_95D3_AAA319FE965B_.wvu.FilterData" localSheetId="0" hidden="1">Merged_COEM!$A$59:$AN$276</definedName>
    <definedName name="Z_E92DE111_DF59_4BAC_923C_88C7BF153DF1_.wvu.FilterData" localSheetId="0" hidden="1">Merged_COEM!$A$59:$AN$276</definedName>
    <definedName name="Z_E92DE111_DF59_4BAC_923C_88C7BF153DF1_.wvu.FilterData" localSheetId="1" hidden="1">Merged_JOEM!$B$59:$AO$378</definedName>
    <definedName name="Z_E95678FD_7412_485F_BAEB_BBDA8CD69D5C_.wvu.FilterData" localSheetId="0" hidden="1">Merged_COEM!$A$59:$AN$276</definedName>
    <definedName name="Z_E95678FD_7412_485F_BAEB_BBDA8CD69D5C_.wvu.FilterData" localSheetId="1" hidden="1">Merged_JOEM!$B$59:$AO$378</definedName>
    <definedName name="Z_E99E86A9_5819_46B6_9894_23114CB6A4F6_.wvu.FilterData" localSheetId="1" hidden="1">Merged_JOEM!$B$59:$AO$378</definedName>
    <definedName name="Z_E9C46D2D_AC50_41B7_AD7A_CD2E0E2420E5_.wvu.FilterData" localSheetId="0" hidden="1">Merged_COEM!$A$59:$AN$276</definedName>
    <definedName name="Z_E9C46D2D_AC50_41B7_AD7A_CD2E0E2420E5_.wvu.FilterData" localSheetId="1" hidden="1">Merged_JOEM!$B$59:$AO$359</definedName>
    <definedName name="Z_E9FCF652_54D7_41CD_A215_E2EB7B47E5E7_.wvu.FilterData" localSheetId="1" hidden="1">Merged_JOEM!$B$59:$AO$378</definedName>
    <definedName name="Z_EA3387DF_EA53_4463_9FC4_D1C96792473C_.wvu.FilterData" localSheetId="1" hidden="1">Merged_JOEM!$B$59:$AO$378</definedName>
    <definedName name="Z_EA615293_38E7_4916_A5E8_C227C7F1B733_.wvu.FilterData" localSheetId="0" hidden="1">Merged_COEM!$A$59:$AN$276</definedName>
    <definedName name="Z_EAF4E43D_B79D_48B8_94E1_DDDE812B18CC_.wvu.FilterData" localSheetId="0" hidden="1">Merged_COEM!$B$59:$AN$59</definedName>
    <definedName name="Z_EAF7C7AB_B9C1_40BD_B2F4_11BC8B7E9DD4_.wvu.FilterData" localSheetId="0" hidden="1">Merged_COEM!$A$59:$AN$276</definedName>
    <definedName name="Z_EAF7C7AB_B9C1_40BD_B2F4_11BC8B7E9DD4_.wvu.FilterData" localSheetId="1" hidden="1">Merged_JOEM!$A$59:$AO$378</definedName>
    <definedName name="Z_EB30279F_71BB_4BBD_A7EE_691D83FBCC50_.wvu.FilterData" localSheetId="0" hidden="1">Merged_COEM!$B$59:$AN$59</definedName>
    <definedName name="Z_EB354AEF_2F6F_4850_8B31_D02F1AF5CE4B_.wvu.FilterData" localSheetId="0" hidden="1">Merged_COEM!$B$59:$AN$59</definedName>
    <definedName name="Z_EB89ED75_78F3_4DB3_AB01_005E945623A5_.wvu.FilterData" localSheetId="0" hidden="1">Merged_COEM!$A$59:$AN$276</definedName>
    <definedName name="Z_EB89ED75_78F3_4DB3_AB01_005E945623A5_.wvu.FilterData" localSheetId="1" hidden="1">Merged_JOEM!$B$59:$AO$299</definedName>
    <definedName name="Z_EBFE2CA4_AFB4_45DF_B165_8BD4F8BC19DB_.wvu.FilterData" localSheetId="0" hidden="1">Merged_COEM!$A$59:$AN$276</definedName>
    <definedName name="Z_EBFFEBE0_546B_462A_9BC2_2449B908527C_.wvu.FilterData" localSheetId="0" hidden="1">Merged_COEM!$A$59:$AN$276</definedName>
    <definedName name="Z_EBFFEBE0_546B_462A_9BC2_2449B908527C_.wvu.FilterData" localSheetId="1" hidden="1">Merged_JOEM!$B$59:$AO$378</definedName>
    <definedName name="Z_EC49E9F2_8B73_419A_8639_1D12E499590C_.wvu.FilterData" localSheetId="0" hidden="1">Merged_COEM!$A$59:$AN$276</definedName>
    <definedName name="Z_EC5ACE61_8110_4FBC_9E8A_7BBE23E9EAD9_.wvu.FilterData" localSheetId="1" hidden="1">Merged_JOEM!$B$59:$AO$378</definedName>
    <definedName name="Z_ED74FC3D_A36C_4FBD_AAB4_A4D80F730ECF_.wvu.FilterData" localSheetId="0" hidden="1">Merged_COEM!$A$59:$AN$276</definedName>
    <definedName name="Z_ED9B2654_EB5E_4DE3_810D_CA5EF07E8CD7_.wvu.FilterData" localSheetId="1" hidden="1">Merged_JOEM!$B$59:$AO$378</definedName>
    <definedName name="Z_EE4EAA5E_7193_4D08_A647_5D3ADE41A878_.wvu.FilterData" localSheetId="1" hidden="1">Merged_JOEM!$B$59:$AO$178</definedName>
    <definedName name="Z_EE6F7925_9E91_4005_BDD3_583BBDEEB8BE_.wvu.FilterData" localSheetId="0" hidden="1">Merged_COEM!$A$59:$AN$276</definedName>
    <definedName name="Z_EE6F7925_9E91_4005_BDD3_583BBDEEB8BE_.wvu.FilterData" localSheetId="1" hidden="1">Merged_JOEM!$B$59:$AO$378</definedName>
    <definedName name="Z_EE73AC1D_D830_44B7_9DC4_1CCC2AC80F1D_.wvu.FilterData" localSheetId="0" hidden="1">Merged_COEM!$A$59:$AN$276</definedName>
    <definedName name="Z_EE73AC1D_D830_44B7_9DC4_1CCC2AC80F1D_.wvu.FilterData" localSheetId="1" hidden="1">Merged_JOEM!$B$59:$AO$378</definedName>
    <definedName name="Z_EE9CE713_F640_4CFA_97FC_988E2CCA5AEF_.wvu.FilterData" localSheetId="0" hidden="1">Merged_COEM!$B$59:$AN$276</definedName>
    <definedName name="Z_EF5FC0F0_39A0_4C13_9A0F_73AE2D5FA66A_.wvu.FilterData" localSheetId="1" hidden="1">Merged_JOEM!$B$59:$AO$378</definedName>
    <definedName name="Z_EF66253A_CDE3_48E2_949D_1C6BA70286CF_.wvu.FilterData" localSheetId="0" hidden="1">Merged_COEM!$A$59:$AN$276</definedName>
    <definedName name="Z_EF90BF9B_5BE8_4CFE_9F81_7A870501C042_.wvu.FilterData" localSheetId="0" hidden="1">Merged_COEM!$A$59:$AN$276</definedName>
    <definedName name="Z_EF90BF9B_5BE8_4CFE_9F81_7A870501C042_.wvu.FilterData" localSheetId="1" hidden="1">Merged_JOEM!$B$59:$AO$378</definedName>
    <definedName name="Z_F0006A86_C039_4924_8102_45A8CA93F9C7_.wvu.FilterData" localSheetId="0" hidden="1">Merged_COEM!$B$59:$AN$276</definedName>
    <definedName name="Z_F0006A86_C039_4924_8102_45A8CA93F9C7_.wvu.FilterData" localSheetId="1" hidden="1">Merged_JOEM!$B$59:$AO$160</definedName>
    <definedName name="Z_F016B340_FE6D_4BAD_976F_F39A9933D2F9_.wvu.FilterData" localSheetId="1" hidden="1">Merged_JOEM!$B$59:$AO$378</definedName>
    <definedName name="Z_F0318A11_9829_46D4_A2D5_F7914B75E91C_.wvu.FilterData" localSheetId="0" hidden="1">Merged_COEM!$B$59:$AN$276</definedName>
    <definedName name="Z_F050E9E1_F25B_4095_9E95_D7089EDC2226_.wvu.FilterData" localSheetId="0" hidden="1">Merged_COEM!$A$59:$AN$276</definedName>
    <definedName name="Z_F08D5D77_C018_4AC0_A7B0_353960629AE6_.wvu.FilterData" localSheetId="0" hidden="1">Merged_COEM!$B$59:$AN$276</definedName>
    <definedName name="Z_F0C44ECA_0D2B_4805_B4D2_E17DE61DEB71_.wvu.FilterData" localSheetId="1" hidden="1">Merged_JOEM!$B$59:$AO$378</definedName>
    <definedName name="Z_F122E590_D349_4CFE_99C9_483D745A9468_.wvu.FilterData" localSheetId="0" hidden="1">Merged_COEM!$A$59:$AN$276</definedName>
    <definedName name="Z_F156840B_A87F_4F21_ACF9_03F56312743A_.wvu.FilterData" localSheetId="0" hidden="1">Merged_COEM!$A$59:$AN$276</definedName>
    <definedName name="Z_F162DB86_5C1E_4516_A70C_427D9A3C0E58_.wvu.FilterData" localSheetId="0" hidden="1">Merged_COEM!$A$59:$AN$276</definedName>
    <definedName name="Z_F162DB86_5C1E_4516_A70C_427D9A3C0E58_.wvu.FilterData" localSheetId="1" hidden="1">Merged_JOEM!$B$59:$AO$378</definedName>
    <definedName name="Z_F1981530_BDE0_4914_88C5_BD224E76B734_.wvu.FilterData" localSheetId="1" hidden="1">Merged_JOEM!$B$59:$AO$378</definedName>
    <definedName name="Z_F1B27521_51AA_4D2F_9DCA_92AD8077D93B_.wvu.FilterData" localSheetId="0" hidden="1">Merged_COEM!$B$59:$AN$276</definedName>
    <definedName name="Z_F1B27521_51AA_4D2F_9DCA_92AD8077D93B_.wvu.FilterData" localSheetId="1" hidden="1">Merged_JOEM!$B$59:$AO$378</definedName>
    <definedName name="Z_F1C911CD_E0C7_461F_9E04_E405F4747A84_.wvu.FilterData" localSheetId="0" hidden="1">Merged_COEM!$A$59:$AN$276</definedName>
    <definedName name="Z_F1C911CD_E0C7_461F_9E04_E405F4747A84_.wvu.FilterData" localSheetId="1" hidden="1">Merged_JOEM!$B$59:$AO$378</definedName>
    <definedName name="Z_F1E271E1_2EAD_4B28_BCCB_3B98196E2C50_.wvu.FilterData" localSheetId="0" hidden="1">Merged_COEM!$A$59:$AN$276</definedName>
    <definedName name="Z_F1E271E1_2EAD_4B28_BCCB_3B98196E2C50_.wvu.FilterData" localSheetId="1" hidden="1">Merged_JOEM!$B$59:$AO$359</definedName>
    <definedName name="Z_F1F37EDD_6A2B_4E56_B1F4_D71DAD8C88B9_.wvu.FilterData" localSheetId="0" hidden="1">Merged_COEM!$A$59:$AN$276</definedName>
    <definedName name="Z_F1F37EDD_6A2B_4E56_B1F4_D71DAD8C88B9_.wvu.FilterData" localSheetId="1" hidden="1">Merged_JOEM!$B$59:$AO$378</definedName>
    <definedName name="Z_F1F64108_9986_4C76_85A0_39EC93519757_.wvu.FilterData" localSheetId="1" hidden="1">Merged_JOEM!$B$59:$AO$378</definedName>
    <definedName name="Z_F26F8321_F47E_4E3F_9C5A_2A6A174303A1_.wvu.FilterData" localSheetId="0" hidden="1">Merged_COEM!$A$59:$AN$276</definedName>
    <definedName name="Z_F26F8321_F47E_4E3F_9C5A_2A6A174303A1_.wvu.FilterData" localSheetId="1" hidden="1">Merged_JOEM!$B$59:$AO$378</definedName>
    <definedName name="Z_F2DB9820_C740_4D1D_ABF1_28D09B5BB3C0_.wvu.FilterData" localSheetId="0" hidden="1">Merged_COEM!$B$59:$AN$276</definedName>
    <definedName name="Z_F2DB9820_C740_4D1D_ABF1_28D09B5BB3C0_.wvu.FilterData" localSheetId="1" hidden="1">Merged_JOEM!$B$59:$AO$179</definedName>
    <definedName name="Z_F2EDCD89_57F9_44FE_9CDE_762B73C7B7F3_.wvu.FilterData" localSheetId="0" hidden="1">Merged_COEM!$B$59:$AN$276</definedName>
    <definedName name="Z_F2EDCD89_57F9_44FE_9CDE_762B73C7B7F3_.wvu.FilterData" localSheetId="1" hidden="1">Merged_JOEM!$B$59:$AO$378</definedName>
    <definedName name="Z_F2F80064_51A8_4D52_A123_C0058F84AA1A_.wvu.FilterData" localSheetId="0" hidden="1">Merged_COEM!$B$59:$AN$276</definedName>
    <definedName name="Z_F3532C7A_7113_46B3_ADCA_11F1836BD68A_.wvu.FilterData" localSheetId="0" hidden="1">Merged_COEM!$A$59:$AN$276</definedName>
    <definedName name="Z_F3576CD0_5355_439B_B618_26A976A8AD4D_.wvu.FilterData" localSheetId="0" hidden="1">Merged_COEM!$B$59:$AN$276</definedName>
    <definedName name="Z_F3576CD0_5355_439B_B618_26A976A8AD4D_.wvu.FilterData" localSheetId="1" hidden="1">Merged_JOEM!$B$59:$AO$59</definedName>
    <definedName name="Z_F3713CD1_8D17_4063_88F6_371EA81CCE08_.wvu.FilterData" localSheetId="0" hidden="1">Merged_COEM!$A$59:$AN$276</definedName>
    <definedName name="Z_F3713CD1_8D17_4063_88F6_371EA81CCE08_.wvu.FilterData" localSheetId="1" hidden="1">Merged_JOEM!$B$59:$AO$359</definedName>
    <definedName name="Z_F379E926_A7D0_4173_BEC7_BDD92726F12F_.wvu.FilterData" localSheetId="0" hidden="1">Merged_COEM!$A$59:$AN$276</definedName>
    <definedName name="Z_F379E926_A7D0_4173_BEC7_BDD92726F12F_.wvu.FilterData" localSheetId="1" hidden="1">Merged_JOEM!$B$59:$AO$378</definedName>
    <definedName name="Z_F38A8B63_2595_4015_9369_5A1D2288C1A7_.wvu.FilterData" localSheetId="1" hidden="1">Merged_JOEM!$B$59:$AO$378</definedName>
    <definedName name="Z_F3C62E6E_7BB8_439B_825E_263944F8EEFB_.wvu.FilterData" localSheetId="0" hidden="1">Merged_COEM!$B$59:$AN$276</definedName>
    <definedName name="Z_F4009E2D_0500_444F_9349_FCACAEB553D5_.wvu.FilterData" localSheetId="0" hidden="1">Merged_COEM!$A$59:$AN$276</definedName>
    <definedName name="Z_F4009E2D_0500_444F_9349_FCACAEB553D5_.wvu.FilterData" localSheetId="1" hidden="1">Merged_JOEM!$B$59:$AO$378</definedName>
    <definedName name="Z_F422237B_D2F8_42B1_8FCD_9E1FCCEE63E3_.wvu.FilterData" localSheetId="0" hidden="1">Merged_COEM!$B$59:$AN$59</definedName>
    <definedName name="Z_F42B3598_EC4C_4CA4_96A7_EB7E4FD7B31F_.wvu.FilterData" localSheetId="0" hidden="1">Merged_COEM!$B$59:$AN$59</definedName>
    <definedName name="Z_F4392C89_FF1A_483A_847A_11EFDD89C2F6_.wvu.FilterData" localSheetId="0" hidden="1">Merged_COEM!$A$59:$AN$276</definedName>
    <definedName name="Z_F4392C89_FF1A_483A_847A_11EFDD89C2F6_.wvu.FilterData" localSheetId="1" hidden="1">Merged_JOEM!$B$59:$AO$378</definedName>
    <definedName name="Z_F4BB21C5_FA9E_401D_974B_19FFB0836A27_.wvu.FilterData" localSheetId="0" hidden="1">Merged_COEM!$B$59:$AN$59</definedName>
    <definedName name="Z_F5189931_E130_4E42_B4D4_9E1B4FBEE9C3_.wvu.FilterData" localSheetId="0" hidden="1">Merged_COEM!$A$59:$AN$276</definedName>
    <definedName name="Z_F57A2141_4D4E_40BD_9ADE_B86750218987_.wvu.FilterData" localSheetId="0" hidden="1">Merged_COEM!$A$59:$AN$276</definedName>
    <definedName name="Z_F57A2141_4D4E_40BD_9ADE_B86750218987_.wvu.FilterData" localSheetId="1" hidden="1">Merged_JOEM!$B$59:$AO$361</definedName>
    <definedName name="Z_F5CB03B4_3484_43D5_A43F_CBF3ECE6533D_.wvu.FilterData" localSheetId="1" hidden="1">Merged_JOEM!$B$59:$AO$378</definedName>
    <definedName name="Z_F5FF9161_942F_490F_862D_BEFC6052C3CE_.wvu.FilterData" localSheetId="0" hidden="1">Merged_COEM!$P$59:$P$276</definedName>
    <definedName name="Z_F5FF9161_942F_490F_862D_BEFC6052C3CE_.wvu.FilterData" localSheetId="1" hidden="1">Merged_JOEM!$B$59:$AO$378</definedName>
    <definedName name="Z_F63151A6_9691_41F1_BAC1_9048FED00384_.wvu.FilterData" localSheetId="1" hidden="1">Merged_JOEM!$B$59:$AO$378</definedName>
    <definedName name="Z_F65CA394_2D53_4A27_B5CE_F1C1F49299F6_.wvu.FilterData" localSheetId="1" hidden="1">Merged_JOEM!$B$59:$AO$178</definedName>
    <definedName name="Z_F687CD9E_1B76_4957_9426_4ECD58D5D7D3_.wvu.FilterData" localSheetId="0" hidden="1">Merged_COEM!$B$59:$AN$59</definedName>
    <definedName name="Z_F696EBBA_65A4_4CDB_858C_218687A8E6FE_.wvu.FilterData" localSheetId="0" hidden="1">Merged_COEM!$A$59:$AN$276</definedName>
    <definedName name="Z_F696EBBA_65A4_4CDB_858C_218687A8E6FE_.wvu.FilterData" localSheetId="1" hidden="1">Merged_JOEM!$B$59:$AO$378</definedName>
    <definedName name="Z_F6C70AF2_E9CC_4AB8_AEDF_BD6B4340BBF0_.wvu.FilterData" localSheetId="0" hidden="1">Merged_COEM!$A$59:$AN$276</definedName>
    <definedName name="Z_F6C98E0B_57D0_437D_BA92_34B319AECDE5_.wvu.FilterData" localSheetId="0" hidden="1">Merged_COEM!$B$59:$AN$59</definedName>
    <definedName name="Z_F6F5D31C_2CBD_4A84_9BD3_5212ED91B020_.wvu.FilterData" localSheetId="1" hidden="1">Merged_JOEM!$B$59:$AO$378</definedName>
    <definedName name="Z_F72C2D2D_04A3_487C_B8F2_0426A0993EBD_.wvu.FilterData" localSheetId="1" hidden="1">Merged_JOEM!$B$59:$AO$378</definedName>
    <definedName name="Z_F7D0EF95_307E_4948_ACC2_0B81F27172C1_.wvu.FilterData" localSheetId="0" hidden="1">Merged_COEM!$A$59:$AN$276</definedName>
    <definedName name="Z_F7D0EF95_307E_4948_ACC2_0B81F27172C1_.wvu.FilterData" localSheetId="1" hidden="1">Merged_JOEM!$B$59:$AO$378</definedName>
    <definedName name="Z_F7E33AA4_20B3_43EB_9BA5_36014C40D96F_.wvu.FilterData" localSheetId="0" hidden="1">Merged_COEM!$B$59:$AN$276</definedName>
    <definedName name="Z_F8123D76_55B1_4B53_A000_EE110DA11BDA_.wvu.FilterData" localSheetId="0" hidden="1">Merged_COEM!$A$59:$AN$276</definedName>
    <definedName name="Z_F8123D76_55B1_4B53_A000_EE110DA11BDA_.wvu.FilterData" localSheetId="1" hidden="1">Merged_JOEM!$B$59:$AO$378</definedName>
    <definedName name="Z_F81FA1AD_6EE0_4370_AEBF_E6F8CADAEBF0_.wvu.FilterData" localSheetId="0" hidden="1">Merged_COEM!$A$59:$AN$276</definedName>
    <definedName name="Z_F8AC11C7_F745_4F90_B8BD_A7477CAEDBF6_.wvu.FilterData" localSheetId="1" hidden="1">Merged_JOEM!$B$59:$AO$378</definedName>
    <definedName name="Z_F8CE8691_220F_445B_B47A_FBA80FD44D07_.wvu.FilterData" localSheetId="0" hidden="1">Merged_COEM!$A$59:$AN$276</definedName>
    <definedName name="Z_F8DEA099_8757_4B5F_BBB9_98FA1CFA0073_.wvu.FilterData" localSheetId="0" hidden="1">Merged_COEM!$A$59:$AN$276</definedName>
    <definedName name="Z_F8F1EBB8_CC50_4AFD_A9AF_D19A39A103F0_.wvu.FilterData" localSheetId="1" hidden="1">Merged_JOEM!$B$59:$AO$378</definedName>
    <definedName name="Z_F93D09B4_E318_4FDA_8C28_995A74531ED9_.wvu.FilterData" localSheetId="0" hidden="1">Merged_COEM!$A$59:$AN$276</definedName>
    <definedName name="Z_F93D09B4_E318_4FDA_8C28_995A74531ED9_.wvu.FilterData" localSheetId="1" hidden="1">Merged_JOEM!$B$59:$AO$378</definedName>
    <definedName name="Z_F96FC7D9_4F89_4FE0_8D00_C0083DEB0472_.wvu.FilterData" localSheetId="0" hidden="1">Merged_COEM!$A$59:$AN$276</definedName>
    <definedName name="Z_F96FC7D9_4F89_4FE0_8D00_C0083DEB0472_.wvu.FilterData" localSheetId="1" hidden="1">Merged_JOEM!$B$59:$AO$378</definedName>
    <definedName name="Z_F9C9B13C_720B_4A04_B3A2_069AB8597591_.wvu.FilterData" localSheetId="0" hidden="1">Merged_COEM!$A$59:$AN$276</definedName>
    <definedName name="Z_FA49D185_9763_42B6_B470_BBE968FE9492_.wvu.FilterData" localSheetId="0" hidden="1">Merged_COEM!$A$59:$AN$276</definedName>
    <definedName name="Z_FA4F3274_F675_4328_9CDF_E84ACE53542D_.wvu.FilterData" localSheetId="0" hidden="1">Merged_COEM!$B$59:$AN$276</definedName>
    <definedName name="Z_FA8AB22D_D94B_417B_A7C8_6B116DEF37B0_.wvu.FilterData" localSheetId="0" hidden="1">Merged_COEM!$B$59:$AN$276</definedName>
    <definedName name="Z_FA8AB22D_D94B_417B_A7C8_6B116DEF37B0_.wvu.FilterData" localSheetId="1" hidden="1">Merged_JOEM!$B$59:$AO$378</definedName>
    <definedName name="Z_FAB023CB_E0CF_40FE_B81B_D8D0A8C66F4A_.wvu.FilterData" localSheetId="0" hidden="1">Merged_COEM!$A$59:$AN$276</definedName>
    <definedName name="Z_FAB023CB_E0CF_40FE_B81B_D8D0A8C66F4A_.wvu.FilterData" localSheetId="1" hidden="1">Merged_JOEM!$B$59:$AO$378</definedName>
    <definedName name="Z_FAE8A80C_C4BC_48D8_BD9C_49CF101A2744_.wvu.FilterData" localSheetId="0" hidden="1">Merged_COEM!$B$59:$AN$276</definedName>
    <definedName name="Z_FB4ABC6B_6C18_424F_A635_017DF96F5889_.wvu.FilterData" localSheetId="1" hidden="1">Merged_JOEM!$B$59:$AO$378</definedName>
    <definedName name="Z_FBB7FF55_CC73_4838_B42C_1ACAC3EF5632_.wvu.FilterData" localSheetId="1" hidden="1">Merged_JOEM!$B$59:$AO$378</definedName>
    <definedName name="Z_FC09BD29_3A27_47CD_9C0D_87A1D9938CFF_.wvu.FilterData" localSheetId="0" hidden="1">Merged_COEM!$B$59:$AN$276</definedName>
    <definedName name="Z_FC2911C6_0600_44A7_AF61_1351B56A8D6C_.wvu.FilterData" localSheetId="0" hidden="1">Merged_COEM!$B$59:$AN$276</definedName>
    <definedName name="Z_FC2911C6_0600_44A7_AF61_1351B56A8D6C_.wvu.FilterData" localSheetId="1" hidden="1">Merged_JOEM!$B$59:$AO$378</definedName>
    <definedName name="Z_FCBA969A_5620_43C9_8851_24D48C83982B_.wvu.FilterData" localSheetId="0" hidden="1">Merged_COEM!$A$59:$AN$276</definedName>
    <definedName name="Z_FCE21000_0736_466E_98A9_00BE42E52D8B_.wvu.FilterData" localSheetId="0" hidden="1">Merged_COEM!$A$59:$AN$276</definedName>
    <definedName name="Z_FCE21000_0736_466E_98A9_00BE42E52D8B_.wvu.FilterData" localSheetId="1" hidden="1">Merged_JOEM!$B$59:$AO$378</definedName>
    <definedName name="Z_FD1D0D7B_7524_4858_9DDA_ED871B923AF9_.wvu.FilterData" localSheetId="0" hidden="1">Merged_COEM!$B$59:$AN$276</definedName>
    <definedName name="Z_FD1D0D7B_7524_4858_9DDA_ED871B923AF9_.wvu.FilterData" localSheetId="1" hidden="1">Merged_JOEM!$B$59:$AO$378</definedName>
    <definedName name="Z_FD1F90DC_77AC_49C2_AE8D_305C4AFC55E0_.wvu.FilterData" localSheetId="1" hidden="1">Merged_JOEM!$B$59:$AO$378</definedName>
    <definedName name="Z_FD253E6C_9D84_41B1_8B73_4FFC0A94179A_.wvu.FilterData" localSheetId="0" hidden="1">Merged_COEM!$A$59:$AN$276</definedName>
    <definedName name="Z_FD253E6C_9D84_41B1_8B73_4FFC0A94179A_.wvu.FilterData" localSheetId="1" hidden="1">Merged_JOEM!$B$59:$AO$378</definedName>
    <definedName name="Z_FD5701A0_F913_48E2_A575_F6B195E6B25B_.wvu.FilterData" localSheetId="0" hidden="1">Merged_COEM!$B$59:$AN$276</definedName>
    <definedName name="Z_FDE8A456_2902_4702_9870_2C22C744688E_.wvu.FilterData" localSheetId="1" hidden="1">Merged_JOEM!$B$59:$AO$378</definedName>
    <definedName name="Z_FDF8FFD6_749D_4772_99C1_B3E079EA1F04_.wvu.FilterData" localSheetId="0" hidden="1">Merged_COEM!$B$59:$AN$276</definedName>
    <definedName name="Z_FE2C839D_CFC1_49B1_AC2C_8A6402AB94F3_.wvu.FilterData" localSheetId="0" hidden="1">Merged_COEM!$A$59:$AN$276</definedName>
    <definedName name="Z_FE2C839D_CFC1_49B1_AC2C_8A6402AB94F3_.wvu.FilterData" localSheetId="1" hidden="1">Merged_JOEM!$B$59:$AO$378</definedName>
    <definedName name="Z_FE2E7FF7_4365_4B97_A1BB_BFF7237A3CA9_.wvu.FilterData" localSheetId="0" hidden="1">Merged_COEM!$B$59:$AN$276</definedName>
    <definedName name="Z_FE2E7FF7_4365_4B97_A1BB_BFF7237A3CA9_.wvu.FilterData" localSheetId="1" hidden="1">Merged_JOEM!$B$59:$AO$378</definedName>
    <definedName name="Z_FE47AD71_8CD2_4893_9C49_6254ECC2E440_.wvu.FilterData" localSheetId="0" hidden="1">Merged_COEM!$A$59:$AN$276</definedName>
    <definedName name="Z_FECB4C41_27E8_4A22_AFB3_4F54CDD4960E_.wvu.FilterData" localSheetId="0" hidden="1">Merged_COEM!$B$59:$AO$276</definedName>
    <definedName name="Z_FECB4C41_27E8_4A22_AFB3_4F54CDD4960E_.wvu.FilterData" localSheetId="1" hidden="1">Merged_JOEM!$B$59:$AO$364</definedName>
    <definedName name="Z_FF038A42_899B_4F04_83C3_FF87697D2BC3_.wvu.FilterData" localSheetId="1" hidden="1">Merged_JOEM!$B$59:$AO$378</definedName>
    <definedName name="Z_FF1BF787_1CF3_4849_AB6B_6847F0D0B44C_.wvu.FilterData" localSheetId="0" hidden="1">Merged_COEM!$A$59:$AN$276</definedName>
    <definedName name="Z_FF1BF787_1CF3_4849_AB6B_6847F0D0B44C_.wvu.FilterData" localSheetId="1" hidden="1">Merged_JOEM!$B$59:$AO$378</definedName>
    <definedName name="Z_FF4D0A88_8E58_4B2D_ADD4_8B798800E789_.wvu.FilterData" localSheetId="0" hidden="1">Merged_COEM!$A$59:$AN$276</definedName>
    <definedName name="Z_FF4D0A88_8E58_4B2D_ADD4_8B798800E789_.wvu.FilterData" localSheetId="1" hidden="1">Merged_JOEM!$B$59:$AO$378</definedName>
    <definedName name="Z_FF8C4B39_B2F5_497E_BC38_7C8656C296DA_.wvu.FilterData" localSheetId="0" hidden="1">Merged_COEM!$B$59:$AN$59</definedName>
  </definedNames>
  <calcPr calcId="162913"/>
  <customWorkbookViews>
    <customWorkbookView name="EXTERNAL Nguyen Tuan Duong (Ban Vien, RBVH/EPS45) - Personal View" guid="{7E0EA425-A420-4443-B9E0-CDF0AA9E5D09}" mergeInterval="0" personalView="1" maximized="1" xWindow="-8" yWindow="-8" windowWidth="1936" windowHeight="1176" activeSheetId="1"/>
    <customWorkbookView name="EXTERNAL Do Phu Loc (Ban Vien, RBVH/EPS45) - Personal View" guid="{C94451EF-7A3E-4D72-B5A4-3D1B193192CC}" mergeInterval="0" personalView="1" maximized="1" xWindow="-8" yWindow="-8" windowWidth="1936" windowHeight="1176" activeSheetId="1"/>
    <customWorkbookView name="EXTERNAL Nguyen Tai Hau (Ban Vien, RBVH/EPS45) - Personal View" guid="{7ECC2B8E-6A82-42F5-8AB0-4A51C54EA5EC}" mergeInterval="0" personalView="1" maximized="1" xWindow="-8" yWindow="-8" windowWidth="1936" windowHeight="1176" activeSheetId="2"/>
    <customWorkbookView name="EXTERNAL Nguyen Kim Thanh (Ban Vien, RBVH/EPS45) - Personal View" guid="{4E06BDBF-2CED-473B-850B-2A6C7311FF41}" mergeInterval="0" personalView="1" maximized="1" xWindow="-8" yWindow="-8" windowWidth="1936" windowHeight="1176" tabRatio="612" activeSheetId="1"/>
    <customWorkbookView name="EXTERNAL Nguyen Trung Hieu (Ban Vien, RBVH/EPS45) - Personal View" guid="{970EE037-F5E5-47AF-896A-0F6222879EBC}" mergeInterval="0" personalView="1" maximized="1" xWindow="-8" yWindow="-8" windowWidth="1936" windowHeight="1176" activeSheetId="1"/>
    <customWorkbookView name="EXTERNAL Le Hong Phuc (Ban Vien Company, RBVH/EPS45) - Personal View" guid="{F96FC7D9-4F89-4FE0-8D00-C0083DEB0472}" mergeInterval="0" personalView="1" maximized="1" xWindow="-8" yWindow="-8" windowWidth="1936" windowHeight="1176" activeSheetId="2"/>
    <customWorkbookView name="EXTERNAL Nguyen Duy Bang (Ban Vien, RBVH/EPS45) - Personal View" guid="{A2C66332-A809-458E-971B-FDB6D62C74C3}" mergeInterval="0" personalView="1" windowWidth="960" windowHeight="1160" tabRatio="584" activeSheetId="2"/>
    <customWorkbookView name="gup7hc - Personal View" guid="{3B3E6719-EACB-4D2C-89C1-05FFAB6020FD}" mergeInterval="0" personalView="1" maximized="1" xWindow="-8" yWindow="-8" windowWidth="1936" windowHeight="1186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2"/>
    <customWorkbookView name="EXTERNAL Ly Chung (Ban Vien, RBVH/EPS45) - Personal View" guid="{60D2C030-4E31-4E07-8E1C-44D2EE84B177}" mergeInterval="0" personalView="1" maximized="1" xWindow="-8" yWindow="-8" windowWidth="1936" windowHeight="1176" tabRatio="645" activeSheetId="2"/>
    <customWorkbookView name="duo81hc - Personal View" guid="{A2E8CE38-D15E-4374-89B2-69D9421C4465}" mergeInterval="0" personalView="1" maximized="1" xWindow="-8" yWindow="-8" windowWidth="1936" windowHeight="1176" activeSheetId="2"/>
    <customWorkbookView name="EXTERNAL Luu Cong Dac (Ban Vien, RBVH/EPS45) - Personal View" guid="{336B6883-2145-4B58-921E-CEC7185A847E}" mergeInterval="0" personalView="1" xWindow="-474" yWindow="6" windowWidth="1642" windowHeight="1062" tabRatio="884" activeSheetId="2"/>
    <customWorkbookView name="EXTERNAL Phan The Nam (Ban Vien Company, RBVH/EPS45) - Personal View" guid="{89C03E1E-B6A8-49A1-B29C-5DC4FAB2FBC6}" mergeInterval="0" personalView="1" maximized="1" xWindow="-8" yWindow="-8" windowWidth="1936" windowHeight="1176" activeSheetId="1"/>
    <customWorkbookView name="NCH7HC - Personal View" guid="{FECB4C41-27E8-4A22-AFB3-4F54CDD4960E}" mergeInterval="0" personalView="1" maximized="1" xWindow="-8" yWindow="-8" windowWidth="1936" windowHeight="1186" tabRatio="636" activeSheetId="1"/>
    <customWorkbookView name="HGY7HC - Personal View" guid="{99BC1C51-34DC-4BF2-906C-1E31B6171D71}" mergeInterval="0" personalView="1" maximized="1" xWindow="-8" yWindow="-8" windowWidth="1936" windowHeight="1176" activeSheetId="1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63" i="1" l="1"/>
  <c r="Y65" i="1"/>
  <c r="Y75" i="1"/>
  <c r="Y76" i="1"/>
  <c r="Y79" i="1"/>
  <c r="Y81" i="1"/>
  <c r="Y83" i="1"/>
  <c r="Y86" i="1"/>
  <c r="Y89" i="1"/>
  <c r="Y92" i="1"/>
  <c r="Y106" i="1"/>
  <c r="Y110" i="1"/>
  <c r="Y111" i="1"/>
  <c r="Y115" i="1"/>
  <c r="Y120" i="1"/>
  <c r="Y121" i="1"/>
  <c r="Y122" i="1"/>
  <c r="Y126" i="1"/>
  <c r="Y127" i="1"/>
  <c r="Y130" i="1"/>
  <c r="Y132" i="1"/>
  <c r="Y138" i="1"/>
  <c r="Y149" i="1"/>
  <c r="Y154" i="1"/>
  <c r="Y156" i="1"/>
  <c r="Y177" i="1"/>
  <c r="Y178" i="1"/>
  <c r="Y182" i="1"/>
  <c r="Y184" i="1"/>
  <c r="Y185" i="1"/>
  <c r="Y190" i="1"/>
  <c r="Y195" i="1"/>
  <c r="Y197" i="1"/>
  <c r="Y198" i="1"/>
  <c r="Y199" i="1"/>
  <c r="Y201" i="1"/>
  <c r="Y202" i="1"/>
  <c r="Y205" i="1"/>
  <c r="Y206" i="1"/>
  <c r="Y216" i="1"/>
  <c r="Y218" i="1"/>
  <c r="Y236" i="1"/>
  <c r="Y246" i="1"/>
  <c r="Y253" i="1"/>
  <c r="Y256" i="1"/>
  <c r="Y257" i="1"/>
  <c r="Y261" i="1"/>
  <c r="AB273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X253" i="1" l="1"/>
  <c r="X246" i="1"/>
  <c r="X236" i="1" l="1"/>
  <c r="W184" i="1"/>
  <c r="X184" i="1" s="1"/>
  <c r="X256" i="1" l="1"/>
  <c r="W208" i="1" l="1"/>
  <c r="X208" i="1" l="1"/>
  <c r="Y208" i="1"/>
  <c r="D240" i="5"/>
  <c r="G240" i="5" s="1"/>
  <c r="D239" i="5"/>
  <c r="G239" i="5" s="1"/>
  <c r="K238" i="5"/>
  <c r="K240" i="5" s="1"/>
  <c r="J238" i="5"/>
  <c r="J240" i="5" s="1"/>
  <c r="C234" i="5"/>
  <c r="C233" i="5" l="1"/>
  <c r="E239" i="5"/>
  <c r="F239" i="5"/>
  <c r="J239" i="5"/>
  <c r="H239" i="5"/>
  <c r="K239" i="5"/>
  <c r="M49" i="2"/>
  <c r="X257" i="1"/>
  <c r="I239" i="5" l="1"/>
  <c r="X206" i="1"/>
  <c r="Z216" i="1" l="1"/>
  <c r="Z218" i="1"/>
  <c r="Z246" i="1"/>
  <c r="Z253" i="1"/>
  <c r="Z256" i="1"/>
  <c r="Z257" i="1"/>
  <c r="W364" i="2" l="1"/>
  <c r="Z364" i="2"/>
  <c r="H240" i="5" s="1"/>
  <c r="Z342" i="2"/>
  <c r="X364" i="2" l="1"/>
  <c r="F240" i="5" s="1"/>
  <c r="E240" i="5"/>
  <c r="X218" i="1"/>
  <c r="X216" i="1"/>
  <c r="D228" i="5"/>
  <c r="G228" i="5" s="1"/>
  <c r="D227" i="5"/>
  <c r="G227" i="5" s="1"/>
  <c r="K226" i="5"/>
  <c r="K228" i="5" s="1"/>
  <c r="J226" i="5"/>
  <c r="J227" i="5" s="1"/>
  <c r="C222" i="5"/>
  <c r="I240" i="5" l="1"/>
  <c r="C236" i="5"/>
  <c r="C221" i="5"/>
  <c r="H227" i="5"/>
  <c r="E227" i="5"/>
  <c r="J228" i="5"/>
  <c r="F227" i="5"/>
  <c r="K227" i="5"/>
  <c r="W204" i="1"/>
  <c r="Y204" i="1" s="1"/>
  <c r="I227" i="5" l="1"/>
  <c r="Z331" i="2"/>
  <c r="W363" i="2" l="1"/>
  <c r="X363" i="2" s="1"/>
  <c r="W362" i="2"/>
  <c r="Z363" i="2"/>
  <c r="Z362" i="2"/>
  <c r="H228" i="5" s="1"/>
  <c r="X362" i="2" l="1"/>
  <c r="F228" i="5" s="1"/>
  <c r="E228" i="5"/>
  <c r="I228" i="5" l="1"/>
  <c r="C224" i="5"/>
  <c r="W273" i="1"/>
  <c r="Y273" i="1" s="1"/>
  <c r="Z273" i="1" l="1"/>
  <c r="X273" i="1"/>
  <c r="Z205" i="1"/>
  <c r="W272" i="1"/>
  <c r="Y272" i="1" s="1"/>
  <c r="W271" i="1"/>
  <c r="Y271" i="1" s="1"/>
  <c r="W270" i="1"/>
  <c r="Y270" i="1" s="1"/>
  <c r="W269" i="1"/>
  <c r="Y269" i="1" s="1"/>
  <c r="W268" i="1"/>
  <c r="W267" i="1"/>
  <c r="Y267" i="1" s="1"/>
  <c r="W266" i="1"/>
  <c r="Y266" i="1" s="1"/>
  <c r="W265" i="1"/>
  <c r="Y265" i="1" s="1"/>
  <c r="W264" i="1"/>
  <c r="Y264" i="1" s="1"/>
  <c r="W263" i="1"/>
  <c r="Y263" i="1" s="1"/>
  <c r="W262" i="1"/>
  <c r="Y262" i="1" s="1"/>
  <c r="Z261" i="1"/>
  <c r="W260" i="1"/>
  <c r="Y260" i="1" s="1"/>
  <c r="W259" i="1"/>
  <c r="Y259" i="1" s="1"/>
  <c r="W258" i="1"/>
  <c r="Y258" i="1" s="1"/>
  <c r="W255" i="1"/>
  <c r="Y255" i="1" s="1"/>
  <c r="W254" i="1"/>
  <c r="Y254" i="1" s="1"/>
  <c r="W252" i="1"/>
  <c r="Y252" i="1" s="1"/>
  <c r="W251" i="1"/>
  <c r="Y251" i="1" s="1"/>
  <c r="W250" i="1"/>
  <c r="Y250" i="1" s="1"/>
  <c r="W249" i="1"/>
  <c r="Y249" i="1" s="1"/>
  <c r="W248" i="1"/>
  <c r="Y248" i="1" s="1"/>
  <c r="W247" i="1"/>
  <c r="Y247" i="1" s="1"/>
  <c r="W245" i="1"/>
  <c r="Y245" i="1" s="1"/>
  <c r="W244" i="1"/>
  <c r="Y244" i="1" s="1"/>
  <c r="W243" i="1"/>
  <c r="Y243" i="1" s="1"/>
  <c r="W242" i="1"/>
  <c r="W241" i="1"/>
  <c r="Y241" i="1" s="1"/>
  <c r="W240" i="1"/>
  <c r="Y240" i="1" s="1"/>
  <c r="W239" i="1"/>
  <c r="Y239" i="1" s="1"/>
  <c r="W238" i="1"/>
  <c r="Y238" i="1" s="1"/>
  <c r="W237" i="1"/>
  <c r="Y237" i="1" s="1"/>
  <c r="Z236" i="1"/>
  <c r="W235" i="1"/>
  <c r="Y235" i="1" s="1"/>
  <c r="W234" i="1"/>
  <c r="Y234" i="1" s="1"/>
  <c r="W233" i="1"/>
  <c r="Y233" i="1" s="1"/>
  <c r="W232" i="1"/>
  <c r="Y232" i="1" s="1"/>
  <c r="W231" i="1"/>
  <c r="Y231" i="1" s="1"/>
  <c r="W230" i="1"/>
  <c r="Y230" i="1" s="1"/>
  <c r="W229" i="1"/>
  <c r="Y229" i="1" s="1"/>
  <c r="W228" i="1"/>
  <c r="Y228" i="1" s="1"/>
  <c r="W227" i="1"/>
  <c r="Y227" i="1" s="1"/>
  <c r="W226" i="1"/>
  <c r="Y226" i="1" s="1"/>
  <c r="W225" i="1"/>
  <c r="Y225" i="1" s="1"/>
  <c r="W224" i="1"/>
  <c r="Y224" i="1" s="1"/>
  <c r="W223" i="1"/>
  <c r="Y223" i="1" s="1"/>
  <c r="W222" i="1"/>
  <c r="Y222" i="1" s="1"/>
  <c r="W221" i="1"/>
  <c r="Y221" i="1" s="1"/>
  <c r="W220" i="1"/>
  <c r="Y220" i="1" s="1"/>
  <c r="W219" i="1"/>
  <c r="W217" i="1"/>
  <c r="W215" i="1"/>
  <c r="Y215" i="1" s="1"/>
  <c r="W214" i="1"/>
  <c r="Y214" i="1" s="1"/>
  <c r="W213" i="1"/>
  <c r="Y213" i="1" s="1"/>
  <c r="W212" i="1"/>
  <c r="Y212" i="1" s="1"/>
  <c r="W211" i="1"/>
  <c r="Y211" i="1" s="1"/>
  <c r="W210" i="1"/>
  <c r="Y210" i="1" s="1"/>
  <c r="W209" i="1"/>
  <c r="Y209" i="1" s="1"/>
  <c r="Z208" i="1"/>
  <c r="W207" i="1"/>
  <c r="Y207" i="1" s="1"/>
  <c r="X205" i="1"/>
  <c r="W179" i="1"/>
  <c r="Y179" i="1" s="1"/>
  <c r="W177" i="1"/>
  <c r="Z355" i="2"/>
  <c r="Z354" i="2"/>
  <c r="Z353" i="2"/>
  <c r="Z352" i="2"/>
  <c r="Z351" i="2"/>
  <c r="Z350" i="2"/>
  <c r="Z349" i="2"/>
  <c r="Z348" i="2"/>
  <c r="Z346" i="2"/>
  <c r="W180" i="1"/>
  <c r="Y180" i="1" s="1"/>
  <c r="Z263" i="2"/>
  <c r="Z339" i="2"/>
  <c r="X178" i="1"/>
  <c r="K140" i="4"/>
  <c r="F140" i="4"/>
  <c r="D140" i="4"/>
  <c r="J140" i="4" s="1"/>
  <c r="K139" i="4"/>
  <c r="J139" i="4"/>
  <c r="D139" i="4"/>
  <c r="C135" i="4"/>
  <c r="C134" i="4"/>
  <c r="K130" i="4"/>
  <c r="J130" i="4"/>
  <c r="D130" i="4"/>
  <c r="K129" i="4"/>
  <c r="J129" i="4"/>
  <c r="D129" i="4"/>
  <c r="C125" i="4"/>
  <c r="C124" i="4"/>
  <c r="W203" i="1"/>
  <c r="Y203" i="1" s="1"/>
  <c r="Z340" i="2"/>
  <c r="Z330" i="2"/>
  <c r="Z329" i="2"/>
  <c r="Z328" i="2"/>
  <c r="Z327" i="2"/>
  <c r="Z326" i="2"/>
  <c r="Z325" i="2"/>
  <c r="Z324" i="2"/>
  <c r="Z323" i="2"/>
  <c r="D216" i="5"/>
  <c r="E215" i="5"/>
  <c r="D215" i="5"/>
  <c r="H215" i="5" s="1"/>
  <c r="K214" i="5"/>
  <c r="K216" i="5" s="1"/>
  <c r="J214" i="5"/>
  <c r="J215" i="5" s="1"/>
  <c r="C210" i="5"/>
  <c r="W361" i="2"/>
  <c r="X361" i="2" s="1"/>
  <c r="W360" i="2"/>
  <c r="X360" i="2" s="1"/>
  <c r="Z361" i="2"/>
  <c r="Z360" i="2"/>
  <c r="Z195" i="1"/>
  <c r="X195" i="1"/>
  <c r="X199" i="1"/>
  <c r="Y217" i="1" l="1"/>
  <c r="Z217" i="1" s="1"/>
  <c r="Y268" i="1"/>
  <c r="Z268" i="1" s="1"/>
  <c r="Y242" i="1"/>
  <c r="Z242" i="1" s="1"/>
  <c r="Y219" i="1"/>
  <c r="Z219" i="1" s="1"/>
  <c r="Z210" i="1"/>
  <c r="X210" i="1"/>
  <c r="Z214" i="1"/>
  <c r="X214" i="1"/>
  <c r="Z220" i="1"/>
  <c r="X220" i="1"/>
  <c r="Z224" i="1"/>
  <c r="X224" i="1"/>
  <c r="Z228" i="1"/>
  <c r="X228" i="1"/>
  <c r="Z232" i="1"/>
  <c r="X232" i="1"/>
  <c r="Z240" i="1"/>
  <c r="X240" i="1"/>
  <c r="Z244" i="1"/>
  <c r="X244" i="1"/>
  <c r="Z249" i="1"/>
  <c r="X249" i="1"/>
  <c r="Z260" i="1"/>
  <c r="X260" i="1"/>
  <c r="Z264" i="1"/>
  <c r="X264" i="1"/>
  <c r="Z211" i="1"/>
  <c r="X211" i="1"/>
  <c r="Z215" i="1"/>
  <c r="X215" i="1"/>
  <c r="Z221" i="1"/>
  <c r="X221" i="1"/>
  <c r="Z225" i="1"/>
  <c r="X225" i="1"/>
  <c r="Z229" i="1"/>
  <c r="X229" i="1"/>
  <c r="Z233" i="1"/>
  <c r="X233" i="1"/>
  <c r="Z237" i="1"/>
  <c r="X237" i="1"/>
  <c r="Z245" i="1"/>
  <c r="X245" i="1"/>
  <c r="Z250" i="1"/>
  <c r="X250" i="1"/>
  <c r="Z265" i="1"/>
  <c r="X265" i="1"/>
  <c r="Z269" i="1"/>
  <c r="X269" i="1"/>
  <c r="Z212" i="1"/>
  <c r="X212" i="1"/>
  <c r="Z222" i="1"/>
  <c r="X222" i="1"/>
  <c r="Z226" i="1"/>
  <c r="X226" i="1"/>
  <c r="Z230" i="1"/>
  <c r="X230" i="1"/>
  <c r="Z234" i="1"/>
  <c r="X234" i="1"/>
  <c r="Z238" i="1"/>
  <c r="X238" i="1"/>
  <c r="Z247" i="1"/>
  <c r="X247" i="1"/>
  <c r="Z251" i="1"/>
  <c r="X251" i="1"/>
  <c r="Z262" i="1"/>
  <c r="X262" i="1"/>
  <c r="Z266" i="1"/>
  <c r="X266" i="1"/>
  <c r="Z209" i="1"/>
  <c r="X209" i="1"/>
  <c r="Z213" i="1"/>
  <c r="X213" i="1"/>
  <c r="Z223" i="1"/>
  <c r="X223" i="1"/>
  <c r="Z227" i="1"/>
  <c r="X227" i="1"/>
  <c r="Z231" i="1"/>
  <c r="X231" i="1"/>
  <c r="Z243" i="1"/>
  <c r="X243" i="1"/>
  <c r="Z248" i="1"/>
  <c r="X248" i="1"/>
  <c r="Z252" i="1"/>
  <c r="X252" i="1"/>
  <c r="Z263" i="1"/>
  <c r="X263" i="1"/>
  <c r="Z267" i="1"/>
  <c r="X267" i="1"/>
  <c r="Z239" i="1"/>
  <c r="X239" i="1"/>
  <c r="Z254" i="1"/>
  <c r="X254" i="1"/>
  <c r="Z241" i="1"/>
  <c r="X241" i="1"/>
  <c r="Z235" i="1"/>
  <c r="X235" i="1"/>
  <c r="Z258" i="1"/>
  <c r="X258" i="1"/>
  <c r="X207" i="1"/>
  <c r="Z255" i="1"/>
  <c r="X255" i="1"/>
  <c r="Z259" i="1"/>
  <c r="X259" i="1"/>
  <c r="X268" i="1"/>
  <c r="X242" i="1"/>
  <c r="X219" i="1"/>
  <c r="X217" i="1"/>
  <c r="Z272" i="1"/>
  <c r="X272" i="1"/>
  <c r="Z271" i="1"/>
  <c r="X271" i="1"/>
  <c r="Z270" i="1"/>
  <c r="X270" i="1"/>
  <c r="X179" i="1"/>
  <c r="Z203" i="1"/>
  <c r="G140" i="4"/>
  <c r="X177" i="1"/>
  <c r="Z204" i="1"/>
  <c r="X203" i="1"/>
  <c r="X204" i="1"/>
  <c r="H216" i="5"/>
  <c r="E216" i="5"/>
  <c r="E139" i="4"/>
  <c r="H140" i="4"/>
  <c r="E140" i="4"/>
  <c r="J216" i="5"/>
  <c r="F215" i="5"/>
  <c r="F216" i="5"/>
  <c r="I216" i="5" s="1"/>
  <c r="G215" i="5"/>
  <c r="K215" i="5"/>
  <c r="G216" i="5"/>
  <c r="X198" i="1"/>
  <c r="X197" i="1"/>
  <c r="Z341" i="2"/>
  <c r="G139" i="4" l="1"/>
  <c r="C133" i="4" s="1"/>
  <c r="F139" i="4"/>
  <c r="I139" i="4" s="1"/>
  <c r="H139" i="4"/>
  <c r="I140" i="4"/>
  <c r="C209" i="5"/>
  <c r="C212" i="5"/>
  <c r="I215" i="5"/>
  <c r="D205" i="5"/>
  <c r="G205" i="5" s="1"/>
  <c r="F204" i="5"/>
  <c r="D204" i="5"/>
  <c r="G204" i="5" s="1"/>
  <c r="K203" i="5"/>
  <c r="K205" i="5" s="1"/>
  <c r="J203" i="5"/>
  <c r="J205" i="5" s="1"/>
  <c r="C200" i="5"/>
  <c r="C199" i="5"/>
  <c r="W338" i="2"/>
  <c r="X338" i="2" s="1"/>
  <c r="Y347" i="2"/>
  <c r="W347" i="2" s="1"/>
  <c r="X347" i="2" s="1"/>
  <c r="Y338" i="2"/>
  <c r="C136" i="4" l="1"/>
  <c r="C198" i="5"/>
  <c r="J204" i="5"/>
  <c r="H204" i="5"/>
  <c r="E204" i="5"/>
  <c r="I204" i="5" s="1"/>
  <c r="K204" i="5"/>
  <c r="W156" i="1" l="1"/>
  <c r="X202" i="1"/>
  <c r="X201" i="1"/>
  <c r="W200" i="1"/>
  <c r="Y200" i="1" s="1"/>
  <c r="W196" i="1"/>
  <c r="Y196" i="1" s="1"/>
  <c r="W194" i="1"/>
  <c r="Y194" i="1" s="1"/>
  <c r="W193" i="1"/>
  <c r="Y193" i="1" s="1"/>
  <c r="Z345" i="2"/>
  <c r="Z344" i="2"/>
  <c r="Z343" i="2"/>
  <c r="X194" i="1" l="1"/>
  <c r="X193" i="1"/>
  <c r="X196" i="1"/>
  <c r="Z200" i="1"/>
  <c r="X200" i="1"/>
  <c r="Y263" i="2"/>
  <c r="X185" i="1"/>
  <c r="Z164" i="1" l="1"/>
  <c r="X190" i="1"/>
  <c r="W192" i="1" l="1"/>
  <c r="Y192" i="1" s="1"/>
  <c r="W191" i="1"/>
  <c r="Y191" i="1" s="1"/>
  <c r="W189" i="1"/>
  <c r="Y189" i="1" s="1"/>
  <c r="W188" i="1"/>
  <c r="Y188" i="1" s="1"/>
  <c r="W187" i="1"/>
  <c r="Y187" i="1" s="1"/>
  <c r="W186" i="1"/>
  <c r="Y186" i="1" s="1"/>
  <c r="Z359" i="2"/>
  <c r="Z358" i="2"/>
  <c r="Z357" i="2"/>
  <c r="Z356" i="2"/>
  <c r="H205" i="5" s="1"/>
  <c r="Z186" i="1" l="1"/>
  <c r="H130" i="4" s="1"/>
  <c r="X186" i="1"/>
  <c r="F130" i="4" s="1"/>
  <c r="Z189" i="1"/>
  <c r="X189" i="1"/>
  <c r="Z192" i="1"/>
  <c r="X192" i="1"/>
  <c r="G130" i="4"/>
  <c r="E130" i="4"/>
  <c r="E129" i="4"/>
  <c r="G129" i="4"/>
  <c r="X191" i="1"/>
  <c r="Z188" i="1"/>
  <c r="X188" i="1"/>
  <c r="X187" i="1"/>
  <c r="Z316" i="2"/>
  <c r="Z315" i="2"/>
  <c r="Z314" i="2"/>
  <c r="Z313" i="2"/>
  <c r="Z312" i="2"/>
  <c r="Z311" i="2"/>
  <c r="Z310" i="2"/>
  <c r="W323" i="2"/>
  <c r="W324" i="2"/>
  <c r="X324" i="2" s="1"/>
  <c r="W325" i="2"/>
  <c r="X325" i="2" s="1"/>
  <c r="W326" i="2"/>
  <c r="X326" i="2" s="1"/>
  <c r="W327" i="2"/>
  <c r="X327" i="2" s="1"/>
  <c r="W328" i="2"/>
  <c r="X328" i="2" s="1"/>
  <c r="W329" i="2"/>
  <c r="X329" i="2" s="1"/>
  <c r="W330" i="2"/>
  <c r="X330" i="2" s="1"/>
  <c r="W331" i="2"/>
  <c r="X331" i="2" s="1"/>
  <c r="W332" i="2"/>
  <c r="X332" i="2" s="1"/>
  <c r="W333" i="2"/>
  <c r="X333" i="2" s="1"/>
  <c r="W334" i="2"/>
  <c r="X334" i="2" s="1"/>
  <c r="W335" i="2"/>
  <c r="X335" i="2" s="1"/>
  <c r="W336" i="2"/>
  <c r="X336" i="2" s="1"/>
  <c r="W337" i="2"/>
  <c r="X337" i="2" s="1"/>
  <c r="W339" i="2"/>
  <c r="X339" i="2" s="1"/>
  <c r="W340" i="2"/>
  <c r="X340" i="2" s="1"/>
  <c r="W341" i="2"/>
  <c r="X341" i="2" s="1"/>
  <c r="W342" i="2"/>
  <c r="X342" i="2" s="1"/>
  <c r="W343" i="2"/>
  <c r="X343" i="2" s="1"/>
  <c r="W344" i="2"/>
  <c r="X344" i="2" s="1"/>
  <c r="W345" i="2"/>
  <c r="X345" i="2" s="1"/>
  <c r="W346" i="2"/>
  <c r="X346" i="2" s="1"/>
  <c r="W348" i="2"/>
  <c r="X348" i="2" s="1"/>
  <c r="W349" i="2"/>
  <c r="X349" i="2" s="1"/>
  <c r="W350" i="2"/>
  <c r="X350" i="2" s="1"/>
  <c r="W351" i="2"/>
  <c r="X351" i="2" s="1"/>
  <c r="W352" i="2"/>
  <c r="X352" i="2" s="1"/>
  <c r="W353" i="2"/>
  <c r="X353" i="2" s="1"/>
  <c r="W354" i="2"/>
  <c r="X354" i="2" s="1"/>
  <c r="W355" i="2"/>
  <c r="X355" i="2" s="1"/>
  <c r="W356" i="2"/>
  <c r="W357" i="2"/>
  <c r="X357" i="2" s="1"/>
  <c r="W358" i="2"/>
  <c r="X358" i="2" s="1"/>
  <c r="W359" i="2"/>
  <c r="X359" i="2" s="1"/>
  <c r="I130" i="4" l="1"/>
  <c r="H129" i="4"/>
  <c r="F129" i="4"/>
  <c r="I129" i="4" s="1"/>
  <c r="C123" i="4"/>
  <c r="X356" i="2"/>
  <c r="F205" i="5" s="1"/>
  <c r="E205" i="5"/>
  <c r="X323" i="2"/>
  <c r="J120" i="4"/>
  <c r="G120" i="4"/>
  <c r="F120" i="4"/>
  <c r="E120" i="4"/>
  <c r="D120" i="4"/>
  <c r="H120" i="4" s="1"/>
  <c r="K119" i="4"/>
  <c r="J119" i="4"/>
  <c r="D119" i="4"/>
  <c r="H119" i="4" s="1"/>
  <c r="C115" i="4"/>
  <c r="C114" i="4"/>
  <c r="W183" i="1"/>
  <c r="Y183" i="1" s="1"/>
  <c r="W181" i="1"/>
  <c r="Y181" i="1" s="1"/>
  <c r="C201" i="5" l="1"/>
  <c r="C126" i="4"/>
  <c r="X181" i="1"/>
  <c r="X183" i="1"/>
  <c r="I205" i="5"/>
  <c r="I120" i="4"/>
  <c r="E119" i="4"/>
  <c r="X180" i="1"/>
  <c r="K120" i="4"/>
  <c r="F119" i="4" l="1"/>
  <c r="I119" i="4" s="1"/>
  <c r="G119" i="4"/>
  <c r="C113" i="4" s="1"/>
  <c r="G193" i="5"/>
  <c r="D193" i="5"/>
  <c r="G192" i="5"/>
  <c r="D192" i="5"/>
  <c r="F192" i="5" s="1"/>
  <c r="K191" i="5"/>
  <c r="K193" i="5" s="1"/>
  <c r="J191" i="5"/>
  <c r="J193" i="5" s="1"/>
  <c r="C188" i="5"/>
  <c r="C187" i="5"/>
  <c r="W322" i="2"/>
  <c r="X322" i="2" s="1"/>
  <c r="W321" i="2"/>
  <c r="X321" i="2" s="1"/>
  <c r="Z267" i="2"/>
  <c r="W155" i="1"/>
  <c r="Y155" i="1" s="1"/>
  <c r="W154" i="1"/>
  <c r="W153" i="1"/>
  <c r="Y153" i="1" s="1"/>
  <c r="F181" i="5"/>
  <c r="E181" i="5"/>
  <c r="D181" i="5"/>
  <c r="H181" i="5" s="1"/>
  <c r="D180" i="5"/>
  <c r="K179" i="5"/>
  <c r="K181" i="5" s="1"/>
  <c r="J179" i="5"/>
  <c r="J180" i="5" s="1"/>
  <c r="C176" i="5"/>
  <c r="C175" i="5"/>
  <c r="Z309" i="2"/>
  <c r="Z308" i="2"/>
  <c r="Z307" i="2"/>
  <c r="Z306" i="2"/>
  <c r="W320" i="2"/>
  <c r="X320" i="2" s="1"/>
  <c r="W319" i="2"/>
  <c r="X319" i="2" s="1"/>
  <c r="W318" i="2"/>
  <c r="X318" i="2" s="1"/>
  <c r="W317" i="2"/>
  <c r="X317" i="2" s="1"/>
  <c r="W316" i="2"/>
  <c r="X316" i="2" s="1"/>
  <c r="W315" i="2"/>
  <c r="X315" i="2" s="1"/>
  <c r="W314" i="2"/>
  <c r="X314" i="2" s="1"/>
  <c r="W313" i="2"/>
  <c r="X313" i="2" s="1"/>
  <c r="W312" i="2"/>
  <c r="X312" i="2" s="1"/>
  <c r="W311" i="2"/>
  <c r="X311" i="2" s="1"/>
  <c r="W310" i="2"/>
  <c r="X310" i="2" s="1"/>
  <c r="W309" i="2"/>
  <c r="X309" i="2" s="1"/>
  <c r="W308" i="2"/>
  <c r="X308" i="2" s="1"/>
  <c r="W307" i="2"/>
  <c r="X307" i="2" s="1"/>
  <c r="W306" i="2"/>
  <c r="X306" i="2" s="1"/>
  <c r="W305" i="2"/>
  <c r="X305" i="2" s="1"/>
  <c r="W304" i="2"/>
  <c r="X304" i="2" s="1"/>
  <c r="W303" i="2"/>
  <c r="X303" i="2" s="1"/>
  <c r="W302" i="2"/>
  <c r="X302" i="2" s="1"/>
  <c r="W301" i="2"/>
  <c r="X301" i="2" s="1"/>
  <c r="W300" i="2"/>
  <c r="X300" i="2" s="1"/>
  <c r="F193" i="5" l="1"/>
  <c r="X154" i="1"/>
  <c r="X155" i="1"/>
  <c r="X153" i="1"/>
  <c r="C116" i="4"/>
  <c r="C186" i="5"/>
  <c r="H192" i="5"/>
  <c r="H193" i="5"/>
  <c r="E192" i="5"/>
  <c r="I192" i="5" s="1"/>
  <c r="E193" i="5"/>
  <c r="I181" i="5"/>
  <c r="J192" i="5"/>
  <c r="H180" i="5"/>
  <c r="K192" i="5"/>
  <c r="E180" i="5"/>
  <c r="F180" i="5"/>
  <c r="J181" i="5"/>
  <c r="G180" i="5"/>
  <c r="K180" i="5"/>
  <c r="G181" i="5"/>
  <c r="I193" i="5" l="1"/>
  <c r="C177" i="5"/>
  <c r="I180" i="5"/>
  <c r="C189" i="5"/>
  <c r="C174" i="5"/>
  <c r="D110" i="4" l="1"/>
  <c r="K110" i="4" s="1"/>
  <c r="D109" i="4"/>
  <c r="K109" i="4" s="1"/>
  <c r="C105" i="4"/>
  <c r="C104" i="4"/>
  <c r="W176" i="1"/>
  <c r="Y176" i="1" s="1"/>
  <c r="W175" i="1"/>
  <c r="Y175" i="1" s="1"/>
  <c r="W174" i="1"/>
  <c r="Y174" i="1" s="1"/>
  <c r="W173" i="1"/>
  <c r="Y173" i="1" s="1"/>
  <c r="Z296" i="2"/>
  <c r="Z285" i="2"/>
  <c r="Z284" i="2"/>
  <c r="Z283" i="2"/>
  <c r="Z282" i="2"/>
  <c r="Z281" i="2"/>
  <c r="Z280" i="2"/>
  <c r="Z269" i="2"/>
  <c r="W119" i="1"/>
  <c r="Y119" i="1" s="1"/>
  <c r="Z294" i="2"/>
  <c r="Z293" i="2"/>
  <c r="Z292" i="2"/>
  <c r="Z291" i="2"/>
  <c r="Z290" i="2"/>
  <c r="Z289" i="2"/>
  <c r="Z288" i="2"/>
  <c r="Z287" i="2"/>
  <c r="Z286" i="2"/>
  <c r="Z274" i="2"/>
  <c r="Z273" i="2"/>
  <c r="Z272" i="2"/>
  <c r="Z271" i="2"/>
  <c r="X174" i="1" l="1"/>
  <c r="X176" i="1"/>
  <c r="X173" i="1"/>
  <c r="X175" i="1"/>
  <c r="F109" i="4"/>
  <c r="J109" i="4"/>
  <c r="J110" i="4"/>
  <c r="H109" i="4"/>
  <c r="H110" i="4"/>
  <c r="E109" i="4"/>
  <c r="E110" i="4"/>
  <c r="G109" i="4"/>
  <c r="G110" i="4" l="1"/>
  <c r="C103" i="4" s="1"/>
  <c r="F110" i="4"/>
  <c r="I110" i="4" s="1"/>
  <c r="I109" i="4"/>
  <c r="Z295" i="2"/>
  <c r="Z279" i="2"/>
  <c r="Z278" i="2"/>
  <c r="Z277" i="2"/>
  <c r="Z276" i="2"/>
  <c r="Z275" i="2"/>
  <c r="Z266" i="2"/>
  <c r="Z265" i="2"/>
  <c r="Z268" i="2"/>
  <c r="Z270" i="2"/>
  <c r="Z299" i="2"/>
  <c r="Z298" i="2"/>
  <c r="Z172" i="1"/>
  <c r="Z167" i="1"/>
  <c r="Z119" i="1"/>
  <c r="I148" i="7"/>
  <c r="I147" i="7"/>
  <c r="I146" i="7"/>
  <c r="I145" i="7"/>
  <c r="I144" i="7"/>
  <c r="Z297" i="2"/>
  <c r="X149" i="1"/>
  <c r="D100" i="4"/>
  <c r="K100" i="4" s="1"/>
  <c r="D99" i="4"/>
  <c r="K99" i="4" s="1"/>
  <c r="C95" i="4"/>
  <c r="C94" i="4"/>
  <c r="W172" i="1"/>
  <c r="Y172" i="1" s="1"/>
  <c r="W171" i="1"/>
  <c r="Y171" i="1" s="1"/>
  <c r="W170" i="1"/>
  <c r="Y170" i="1" s="1"/>
  <c r="W169" i="1"/>
  <c r="Y169" i="1" s="1"/>
  <c r="W168" i="1"/>
  <c r="Y168" i="1" s="1"/>
  <c r="W167" i="1"/>
  <c r="Y167" i="1" s="1"/>
  <c r="W166" i="1"/>
  <c r="Y166" i="1" s="1"/>
  <c r="W165" i="1"/>
  <c r="Y165" i="1" s="1"/>
  <c r="W164" i="1"/>
  <c r="Y164" i="1" s="1"/>
  <c r="W163" i="1"/>
  <c r="Y163" i="1" s="1"/>
  <c r="W162" i="1"/>
  <c r="Y162" i="1" s="1"/>
  <c r="W161" i="1"/>
  <c r="Y161" i="1" s="1"/>
  <c r="W160" i="1"/>
  <c r="Y160" i="1" s="1"/>
  <c r="W159" i="1"/>
  <c r="Y159" i="1" s="1"/>
  <c r="W158" i="1"/>
  <c r="Y158" i="1" s="1"/>
  <c r="W157" i="1"/>
  <c r="Y157" i="1" s="1"/>
  <c r="Z168" i="1" l="1"/>
  <c r="Z161" i="1"/>
  <c r="X158" i="1"/>
  <c r="X165" i="1"/>
  <c r="X164" i="1"/>
  <c r="Z162" i="1"/>
  <c r="X162" i="1"/>
  <c r="C106" i="4"/>
  <c r="Z163" i="1"/>
  <c r="X163" i="1"/>
  <c r="X156" i="1"/>
  <c r="F99" i="4" s="1"/>
  <c r="X160" i="1"/>
  <c r="X157" i="1"/>
  <c r="X161" i="1"/>
  <c r="X159" i="1"/>
  <c r="X166" i="1"/>
  <c r="X170" i="1"/>
  <c r="X168" i="1"/>
  <c r="X172" i="1"/>
  <c r="X167" i="1"/>
  <c r="X169" i="1"/>
  <c r="X171" i="1"/>
  <c r="E99" i="4"/>
  <c r="E100" i="4"/>
  <c r="J99" i="4"/>
  <c r="J100" i="4"/>
  <c r="H99" i="4"/>
  <c r="G99" i="4"/>
  <c r="G100" i="4" l="1"/>
  <c r="C93" i="4" s="1"/>
  <c r="H100" i="4"/>
  <c r="F100" i="4"/>
  <c r="I100" i="4" s="1"/>
  <c r="I99" i="4"/>
  <c r="C96" i="4" l="1"/>
  <c r="Z230" i="2"/>
  <c r="Z222" i="2"/>
  <c r="X132" i="1" l="1"/>
  <c r="W261" i="2"/>
  <c r="X261" i="2" s="1"/>
  <c r="W262" i="2"/>
  <c r="X262" i="2" s="1"/>
  <c r="W263" i="2"/>
  <c r="X263" i="2" s="1"/>
  <c r="W264" i="2"/>
  <c r="X264" i="2" s="1"/>
  <c r="W265" i="2"/>
  <c r="X265" i="2" s="1"/>
  <c r="W266" i="2"/>
  <c r="X266" i="2" s="1"/>
  <c r="W267" i="2"/>
  <c r="X267" i="2" s="1"/>
  <c r="W268" i="2"/>
  <c r="X268" i="2" s="1"/>
  <c r="W269" i="2"/>
  <c r="X269" i="2" s="1"/>
  <c r="W270" i="2"/>
  <c r="X270" i="2" s="1"/>
  <c r="W271" i="2"/>
  <c r="X271" i="2" s="1"/>
  <c r="W272" i="2"/>
  <c r="X272" i="2" s="1"/>
  <c r="W273" i="2"/>
  <c r="X273" i="2" s="1"/>
  <c r="W274" i="2"/>
  <c r="X274" i="2" s="1"/>
  <c r="W275" i="2"/>
  <c r="X275" i="2" s="1"/>
  <c r="W276" i="2"/>
  <c r="X276" i="2" s="1"/>
  <c r="W277" i="2"/>
  <c r="X277" i="2" s="1"/>
  <c r="W278" i="2"/>
  <c r="X278" i="2" s="1"/>
  <c r="W279" i="2"/>
  <c r="X279" i="2" s="1"/>
  <c r="W280" i="2"/>
  <c r="X280" i="2" s="1"/>
  <c r="W281" i="2"/>
  <c r="X281" i="2" s="1"/>
  <c r="W282" i="2"/>
  <c r="X282" i="2" s="1"/>
  <c r="W283" i="2"/>
  <c r="X283" i="2" s="1"/>
  <c r="W284" i="2"/>
  <c r="X284" i="2" s="1"/>
  <c r="W285" i="2"/>
  <c r="X285" i="2" s="1"/>
  <c r="W286" i="2"/>
  <c r="X286" i="2" s="1"/>
  <c r="W287" i="2"/>
  <c r="X287" i="2" s="1"/>
  <c r="W288" i="2"/>
  <c r="X288" i="2" s="1"/>
  <c r="W289" i="2"/>
  <c r="X289" i="2" s="1"/>
  <c r="W290" i="2"/>
  <c r="X290" i="2" s="1"/>
  <c r="W291" i="2"/>
  <c r="X291" i="2" s="1"/>
  <c r="W292" i="2"/>
  <c r="X292" i="2" s="1"/>
  <c r="W293" i="2"/>
  <c r="X293" i="2" s="1"/>
  <c r="W294" i="2"/>
  <c r="X294" i="2" s="1"/>
  <c r="W295" i="2"/>
  <c r="X295" i="2" s="1"/>
  <c r="W296" i="2"/>
  <c r="X296" i="2" s="1"/>
  <c r="W297" i="2"/>
  <c r="X297" i="2" s="1"/>
  <c r="W298" i="2"/>
  <c r="X298" i="2" s="1"/>
  <c r="W299" i="2"/>
  <c r="X299" i="2" s="1"/>
  <c r="J58" i="7"/>
  <c r="W260" i="2" l="1"/>
  <c r="X260" i="2" s="1"/>
  <c r="Z260" i="2"/>
  <c r="Z231" i="2"/>
  <c r="X138" i="1"/>
  <c r="X127" i="1"/>
  <c r="Z256" i="2" l="1"/>
  <c r="X130" i="1"/>
  <c r="Z258" i="2" l="1"/>
  <c r="Z257" i="2"/>
  <c r="K90" i="4"/>
  <c r="G90" i="4"/>
  <c r="D90" i="4"/>
  <c r="J90" i="4" s="1"/>
  <c r="K89" i="4"/>
  <c r="D89" i="4"/>
  <c r="J89" i="4" s="1"/>
  <c r="C85" i="4"/>
  <c r="C84" i="4"/>
  <c r="X122" i="1"/>
  <c r="W152" i="1"/>
  <c r="Y152" i="1" s="1"/>
  <c r="W151" i="1"/>
  <c r="Y151" i="1" s="1"/>
  <c r="W150" i="1"/>
  <c r="Y150" i="1" s="1"/>
  <c r="W148" i="1"/>
  <c r="Y148" i="1" s="1"/>
  <c r="W147" i="1"/>
  <c r="Y147" i="1" s="1"/>
  <c r="W146" i="1"/>
  <c r="Y146" i="1" s="1"/>
  <c r="W145" i="1"/>
  <c r="Y145" i="1" s="1"/>
  <c r="W144" i="1"/>
  <c r="Y144" i="1" s="1"/>
  <c r="W143" i="1"/>
  <c r="Y143" i="1" s="1"/>
  <c r="W142" i="1"/>
  <c r="Y142" i="1" s="1"/>
  <c r="W141" i="1"/>
  <c r="Y141" i="1" s="1"/>
  <c r="W140" i="1"/>
  <c r="Y140" i="1" s="1"/>
  <c r="W139" i="1"/>
  <c r="Y139" i="1" s="1"/>
  <c r="Z138" i="1"/>
  <c r="W137" i="1"/>
  <c r="Y137" i="1" s="1"/>
  <c r="W136" i="1"/>
  <c r="Y136" i="1" s="1"/>
  <c r="W135" i="1"/>
  <c r="Y135" i="1" s="1"/>
  <c r="W134" i="1"/>
  <c r="Y134" i="1" s="1"/>
  <c r="W133" i="1"/>
  <c r="Y133" i="1" s="1"/>
  <c r="Z132" i="1"/>
  <c r="W131" i="1"/>
  <c r="Y131" i="1" s="1"/>
  <c r="Z130" i="1"/>
  <c r="W129" i="1"/>
  <c r="Y129" i="1" s="1"/>
  <c r="W128" i="1"/>
  <c r="Y128" i="1" s="1"/>
  <c r="W125" i="1"/>
  <c r="Y125" i="1" s="1"/>
  <c r="W124" i="1"/>
  <c r="Y124" i="1" s="1"/>
  <c r="W123" i="1"/>
  <c r="Y123" i="1" s="1"/>
  <c r="X120" i="1"/>
  <c r="Z259" i="2"/>
  <c r="Z255" i="2"/>
  <c r="Z254" i="2"/>
  <c r="Z253" i="2"/>
  <c r="X121" i="1"/>
  <c r="X139" i="1" l="1"/>
  <c r="Z139" i="1"/>
  <c r="X147" i="1"/>
  <c r="X141" i="1"/>
  <c r="Z141" i="1"/>
  <c r="X151" i="1"/>
  <c r="X152" i="1"/>
  <c r="X150" i="1"/>
  <c r="Z136" i="1"/>
  <c r="X136" i="1"/>
  <c r="X148" i="1"/>
  <c r="Z137" i="1"/>
  <c r="X137" i="1"/>
  <c r="Z133" i="1"/>
  <c r="X133" i="1"/>
  <c r="Z134" i="1"/>
  <c r="X134" i="1"/>
  <c r="Z135" i="1"/>
  <c r="X135" i="1"/>
  <c r="X146" i="1"/>
  <c r="X128" i="1"/>
  <c r="X144" i="1"/>
  <c r="X125" i="1"/>
  <c r="X129" i="1"/>
  <c r="X145" i="1"/>
  <c r="X123" i="1"/>
  <c r="X143" i="1"/>
  <c r="X124" i="1"/>
  <c r="Z142" i="1"/>
  <c r="X142" i="1"/>
  <c r="Z140" i="1"/>
  <c r="X140" i="1"/>
  <c r="Z131" i="1"/>
  <c r="X131" i="1"/>
  <c r="H90" i="4"/>
  <c r="E89" i="4"/>
  <c r="E90" i="4"/>
  <c r="F90" i="4"/>
  <c r="F89" i="4" l="1"/>
  <c r="I89" i="4" s="1"/>
  <c r="G89" i="4"/>
  <c r="C83" i="4" s="1"/>
  <c r="H89" i="4"/>
  <c r="I90" i="4"/>
  <c r="C86" i="4" l="1"/>
  <c r="G169" i="5"/>
  <c r="D169" i="5"/>
  <c r="G168" i="5"/>
  <c r="D168" i="5"/>
  <c r="K167" i="5"/>
  <c r="K169" i="5" s="1"/>
  <c r="J167" i="5"/>
  <c r="J169" i="5" s="1"/>
  <c r="C164" i="5"/>
  <c r="C163" i="5"/>
  <c r="Z223" i="2"/>
  <c r="Z221" i="2"/>
  <c r="Z220" i="2"/>
  <c r="Z219" i="2"/>
  <c r="Z226" i="2"/>
  <c r="W253" i="2"/>
  <c r="X253" i="2" s="1"/>
  <c r="F168" i="5" s="1"/>
  <c r="W254" i="2"/>
  <c r="X254" i="2" s="1"/>
  <c r="W255" i="2"/>
  <c r="X255" i="2" s="1"/>
  <c r="W256" i="2"/>
  <c r="X256" i="2" s="1"/>
  <c r="W257" i="2"/>
  <c r="X257" i="2" s="1"/>
  <c r="W258" i="2"/>
  <c r="X258" i="2" s="1"/>
  <c r="W259" i="2"/>
  <c r="X259" i="2" s="1"/>
  <c r="F169" i="5" l="1"/>
  <c r="C162" i="5"/>
  <c r="E168" i="5"/>
  <c r="I168" i="5" s="1"/>
  <c r="E169" i="5"/>
  <c r="J168" i="5"/>
  <c r="K168" i="5"/>
  <c r="H168" i="5"/>
  <c r="H169" i="5"/>
  <c r="C165" i="5" l="1"/>
  <c r="I169" i="5"/>
  <c r="Z227" i="2"/>
  <c r="D80" i="4"/>
  <c r="K80" i="4" s="1"/>
  <c r="D79" i="4"/>
  <c r="K79" i="4" s="1"/>
  <c r="C75" i="4"/>
  <c r="C74" i="4"/>
  <c r="G80" i="4" l="1"/>
  <c r="X119" i="1"/>
  <c r="F80" i="4" s="1"/>
  <c r="H79" i="4"/>
  <c r="H80" i="4"/>
  <c r="E79" i="4"/>
  <c r="E80" i="4"/>
  <c r="F79" i="4"/>
  <c r="J79" i="4"/>
  <c r="J80" i="4"/>
  <c r="G79" i="4"/>
  <c r="Z195" i="2"/>
  <c r="Z194" i="2"/>
  <c r="Z193" i="2"/>
  <c r="Z192" i="2"/>
  <c r="Z191" i="2"/>
  <c r="Z188" i="2"/>
  <c r="X115" i="1"/>
  <c r="W90" i="1"/>
  <c r="Y90" i="1" s="1"/>
  <c r="W114" i="1"/>
  <c r="Y114" i="1" s="1"/>
  <c r="X90" i="1" l="1"/>
  <c r="X114" i="1"/>
  <c r="C73" i="4"/>
  <c r="I80" i="4"/>
  <c r="C76" i="4"/>
  <c r="I79" i="4"/>
  <c r="W118" i="1"/>
  <c r="Y118" i="1" s="1"/>
  <c r="Z118" i="1" l="1"/>
  <c r="X118" i="1"/>
  <c r="Z228" i="2"/>
  <c r="Z229" i="2"/>
  <c r="Z252" i="2" l="1"/>
  <c r="Z251" i="2"/>
  <c r="Z250" i="2"/>
  <c r="Z249" i="2"/>
  <c r="Z248" i="2"/>
  <c r="W117" i="1"/>
  <c r="Y117" i="1" s="1"/>
  <c r="Z244" i="2"/>
  <c r="Z243" i="2"/>
  <c r="Z242" i="2"/>
  <c r="Z241" i="2"/>
  <c r="Z240" i="2"/>
  <c r="Z239" i="2"/>
  <c r="Z238" i="2"/>
  <c r="Z237" i="2"/>
  <c r="Z236" i="2"/>
  <c r="Z235" i="2"/>
  <c r="Z212" i="2"/>
  <c r="Z211" i="2"/>
  <c r="Z210" i="2"/>
  <c r="Z209" i="2"/>
  <c r="X117" i="1" l="1"/>
  <c r="G157" i="5"/>
  <c r="D157" i="5"/>
  <c r="G156" i="5"/>
  <c r="D156" i="5"/>
  <c r="F156" i="5" s="1"/>
  <c r="K155" i="5"/>
  <c r="K156" i="5" s="1"/>
  <c r="J155" i="5"/>
  <c r="J157" i="5" s="1"/>
  <c r="C152" i="5"/>
  <c r="C151" i="5"/>
  <c r="G145" i="5"/>
  <c r="D145" i="5"/>
  <c r="G144" i="5"/>
  <c r="F144" i="5"/>
  <c r="D144" i="5"/>
  <c r="E144" i="5" s="1"/>
  <c r="K143" i="5"/>
  <c r="K145" i="5" s="1"/>
  <c r="J143" i="5"/>
  <c r="J145" i="5" s="1"/>
  <c r="C140" i="5"/>
  <c r="C139" i="5"/>
  <c r="W248" i="2"/>
  <c r="X248" i="2" s="1"/>
  <c r="W249" i="2"/>
  <c r="X249" i="2" s="1"/>
  <c r="W250" i="2"/>
  <c r="X250" i="2" s="1"/>
  <c r="W251" i="2"/>
  <c r="X251" i="2" s="1"/>
  <c r="W252" i="2"/>
  <c r="X252" i="2" s="1"/>
  <c r="W245" i="2"/>
  <c r="X245" i="2" s="1"/>
  <c r="W246" i="2"/>
  <c r="X246" i="2" s="1"/>
  <c r="W247" i="2"/>
  <c r="X247" i="2" s="1"/>
  <c r="F145" i="5" l="1"/>
  <c r="C138" i="5"/>
  <c r="E145" i="5"/>
  <c r="F157" i="5"/>
  <c r="C150" i="5"/>
  <c r="H156" i="5"/>
  <c r="H157" i="5"/>
  <c r="E156" i="5"/>
  <c r="I156" i="5" s="1"/>
  <c r="E157" i="5"/>
  <c r="K157" i="5"/>
  <c r="J156" i="5"/>
  <c r="I144" i="5"/>
  <c r="J144" i="5"/>
  <c r="K144" i="5"/>
  <c r="H144" i="5"/>
  <c r="H145" i="5"/>
  <c r="C141" i="5" l="1"/>
  <c r="I145" i="5"/>
  <c r="I157" i="5"/>
  <c r="C153" i="5"/>
  <c r="J64" i="7" l="1"/>
  <c r="J63" i="7"/>
  <c r="J62" i="7"/>
  <c r="J61" i="7"/>
  <c r="J60" i="7"/>
  <c r="J59" i="7"/>
  <c r="Z218" i="2" l="1"/>
  <c r="Z217" i="2"/>
  <c r="Z216" i="2"/>
  <c r="Z215" i="2"/>
  <c r="Z214" i="2"/>
  <c r="Z213" i="2"/>
  <c r="Z197" i="2"/>
  <c r="D133" i="5" l="1"/>
  <c r="H133" i="5" s="1"/>
  <c r="G132" i="5"/>
  <c r="D132" i="5"/>
  <c r="H132" i="5" s="1"/>
  <c r="K131" i="5"/>
  <c r="K133" i="5" s="1"/>
  <c r="J131" i="5"/>
  <c r="J133" i="5" s="1"/>
  <c r="C128" i="5"/>
  <c r="C127" i="5"/>
  <c r="D121" i="5"/>
  <c r="G121" i="5" s="1"/>
  <c r="D120" i="5"/>
  <c r="G120" i="5" s="1"/>
  <c r="K119" i="5"/>
  <c r="J119" i="5"/>
  <c r="C116" i="5"/>
  <c r="C115" i="5"/>
  <c r="D109" i="5"/>
  <c r="G108" i="5"/>
  <c r="D108" i="5"/>
  <c r="K107" i="5"/>
  <c r="K108" i="5" s="1"/>
  <c r="J107" i="5"/>
  <c r="J109" i="5" s="1"/>
  <c r="C104" i="5"/>
  <c r="C103" i="5"/>
  <c r="Z190" i="2"/>
  <c r="W244" i="2"/>
  <c r="X244" i="2" s="1"/>
  <c r="W243" i="2"/>
  <c r="X243" i="2" s="1"/>
  <c r="W242" i="2"/>
  <c r="X242" i="2" s="1"/>
  <c r="W241" i="2"/>
  <c r="X241" i="2" s="1"/>
  <c r="W240" i="2"/>
  <c r="X240" i="2" s="1"/>
  <c r="W239" i="2"/>
  <c r="X239" i="2" s="1"/>
  <c r="W238" i="2"/>
  <c r="X238" i="2" s="1"/>
  <c r="W237" i="2"/>
  <c r="X237" i="2" s="1"/>
  <c r="W236" i="2"/>
  <c r="X236" i="2" s="1"/>
  <c r="W235" i="2"/>
  <c r="X235" i="2" s="1"/>
  <c r="W234" i="2"/>
  <c r="X234" i="2" s="1"/>
  <c r="W233" i="2"/>
  <c r="X233" i="2" s="1"/>
  <c r="W232" i="2"/>
  <c r="X232" i="2" s="1"/>
  <c r="W231" i="2"/>
  <c r="X231" i="2" s="1"/>
  <c r="W230" i="2"/>
  <c r="X230" i="2" s="1"/>
  <c r="W229" i="2"/>
  <c r="X229" i="2" s="1"/>
  <c r="W228" i="2"/>
  <c r="X228" i="2" s="1"/>
  <c r="W227" i="2"/>
  <c r="X227" i="2" s="1"/>
  <c r="W226" i="2"/>
  <c r="X226" i="2" s="1"/>
  <c r="W225" i="2"/>
  <c r="X225" i="2" s="1"/>
  <c r="W224" i="2"/>
  <c r="X224" i="2" s="1"/>
  <c r="W223" i="2"/>
  <c r="X223" i="2" s="1"/>
  <c r="W222" i="2"/>
  <c r="X222" i="2" s="1"/>
  <c r="W221" i="2"/>
  <c r="X221" i="2" s="1"/>
  <c r="W220" i="2"/>
  <c r="X220" i="2" s="1"/>
  <c r="W219" i="2"/>
  <c r="X219" i="2" s="1"/>
  <c r="W218" i="2"/>
  <c r="X218" i="2" s="1"/>
  <c r="W217" i="2"/>
  <c r="X217" i="2" s="1"/>
  <c r="W216" i="2"/>
  <c r="X216" i="2" s="1"/>
  <c r="W215" i="2"/>
  <c r="X215" i="2" s="1"/>
  <c r="W214" i="2"/>
  <c r="X214" i="2" s="1"/>
  <c r="W213" i="2"/>
  <c r="X213" i="2" s="1"/>
  <c r="W212" i="2"/>
  <c r="X212" i="2" s="1"/>
  <c r="W211" i="2"/>
  <c r="X211" i="2" s="1"/>
  <c r="W210" i="2"/>
  <c r="X210" i="2" s="1"/>
  <c r="W209" i="2"/>
  <c r="X209" i="2" s="1"/>
  <c r="J121" i="5" l="1"/>
  <c r="G109" i="5"/>
  <c r="C102" i="5" s="1"/>
  <c r="K121" i="5"/>
  <c r="F133" i="5"/>
  <c r="E132" i="5"/>
  <c r="E133" i="5"/>
  <c r="F132" i="5"/>
  <c r="G133" i="5"/>
  <c r="C126" i="5" s="1"/>
  <c r="C114" i="5"/>
  <c r="J132" i="5"/>
  <c r="K109" i="5"/>
  <c r="K132" i="5"/>
  <c r="J120" i="5"/>
  <c r="J108" i="5"/>
  <c r="H121" i="5"/>
  <c r="K120" i="5"/>
  <c r="I133" i="5" l="1"/>
  <c r="C129" i="5"/>
  <c r="I132" i="5"/>
  <c r="Z204" i="2"/>
  <c r="Z203" i="2"/>
  <c r="Z202" i="2"/>
  <c r="Z201" i="2"/>
  <c r="Z200" i="2"/>
  <c r="Z199" i="2"/>
  <c r="Z198" i="2"/>
  <c r="H120" i="5" l="1"/>
  <c r="X86" i="1"/>
  <c r="W97" i="1" l="1"/>
  <c r="Y97" i="1" s="1"/>
  <c r="D70" i="4"/>
  <c r="K70" i="4" s="1"/>
  <c r="D69" i="4"/>
  <c r="K69" i="4" s="1"/>
  <c r="C65" i="4"/>
  <c r="C64" i="4"/>
  <c r="W107" i="1"/>
  <c r="Y107" i="1" s="1"/>
  <c r="W108" i="1"/>
  <c r="Y108" i="1" s="1"/>
  <c r="W109" i="1"/>
  <c r="Y109" i="1" s="1"/>
  <c r="W112" i="1"/>
  <c r="Y112" i="1" s="1"/>
  <c r="W113" i="1"/>
  <c r="Y113" i="1" s="1"/>
  <c r="Z114" i="1"/>
  <c r="W116" i="1"/>
  <c r="Y116" i="1" s="1"/>
  <c r="Z117" i="1"/>
  <c r="X97" i="1" l="1"/>
  <c r="Z108" i="1"/>
  <c r="X108" i="1"/>
  <c r="Z109" i="1"/>
  <c r="X109" i="1"/>
  <c r="X116" i="1"/>
  <c r="F70" i="4" s="1"/>
  <c r="Z113" i="1"/>
  <c r="X113" i="1"/>
  <c r="X107" i="1"/>
  <c r="X112" i="1"/>
  <c r="X111" i="1"/>
  <c r="X110" i="1"/>
  <c r="X106" i="1"/>
  <c r="E69" i="4"/>
  <c r="E70" i="4"/>
  <c r="H70" i="4"/>
  <c r="J69" i="4"/>
  <c r="J70" i="4"/>
  <c r="G70" i="4"/>
  <c r="H69" i="4" l="1"/>
  <c r="G69" i="4"/>
  <c r="C63" i="4" s="1"/>
  <c r="F69" i="4"/>
  <c r="I70" i="4"/>
  <c r="C66" i="4" l="1"/>
  <c r="I69" i="4"/>
  <c r="Z182" i="2"/>
  <c r="W208" i="2"/>
  <c r="X208" i="2" s="1"/>
  <c r="W207" i="2"/>
  <c r="X207" i="2" s="1"/>
  <c r="W206" i="2"/>
  <c r="X206" i="2" s="1"/>
  <c r="W205" i="2"/>
  <c r="X205" i="2" s="1"/>
  <c r="W204" i="2"/>
  <c r="X204" i="2" s="1"/>
  <c r="W203" i="2"/>
  <c r="X203" i="2" s="1"/>
  <c r="W202" i="2"/>
  <c r="X202" i="2" s="1"/>
  <c r="W201" i="2"/>
  <c r="X201" i="2" s="1"/>
  <c r="W200" i="2"/>
  <c r="X200" i="2" s="1"/>
  <c r="W199" i="2"/>
  <c r="X199" i="2" s="1"/>
  <c r="W198" i="2"/>
  <c r="X198" i="2" s="1"/>
  <c r="W197" i="2"/>
  <c r="X197" i="2" s="1"/>
  <c r="W196" i="2"/>
  <c r="X196" i="2" s="1"/>
  <c r="W195" i="2"/>
  <c r="X195" i="2" s="1"/>
  <c r="W194" i="2"/>
  <c r="X194" i="2" s="1"/>
  <c r="W193" i="2"/>
  <c r="X193" i="2" s="1"/>
  <c r="W192" i="2"/>
  <c r="X192" i="2" s="1"/>
  <c r="W191" i="2"/>
  <c r="X191" i="2" s="1"/>
  <c r="W190" i="2"/>
  <c r="X190" i="2" s="1"/>
  <c r="W189" i="2"/>
  <c r="X189" i="2" s="1"/>
  <c r="W188" i="2"/>
  <c r="X188" i="2" s="1"/>
  <c r="W94" i="1"/>
  <c r="Y94" i="1" s="1"/>
  <c r="F121" i="5" l="1"/>
  <c r="F120" i="5"/>
  <c r="E120" i="5"/>
  <c r="E121" i="5"/>
  <c r="X89" i="1"/>
  <c r="I121" i="5" l="1"/>
  <c r="I120" i="5"/>
  <c r="C117" i="5"/>
  <c r="W87" i="1"/>
  <c r="Y87" i="1" s="1"/>
  <c r="W88" i="1"/>
  <c r="Y88" i="1" s="1"/>
  <c r="Z87" i="1" l="1"/>
  <c r="X87" i="1"/>
  <c r="X88" i="1"/>
  <c r="D60" i="4" l="1"/>
  <c r="K60" i="4" s="1"/>
  <c r="D59" i="4"/>
  <c r="J59" i="4" s="1"/>
  <c r="C55" i="4"/>
  <c r="C54" i="4"/>
  <c r="K59" i="4" l="1"/>
  <c r="G60" i="4"/>
  <c r="H60" i="4"/>
  <c r="E60" i="4"/>
  <c r="F60" i="4"/>
  <c r="J60" i="4"/>
  <c r="I60" i="4" l="1"/>
  <c r="W96" i="1" l="1"/>
  <c r="Y96" i="1" s="1"/>
  <c r="Z97" i="1"/>
  <c r="W98" i="1"/>
  <c r="Y98" i="1" s="1"/>
  <c r="W99" i="1"/>
  <c r="Y99" i="1" s="1"/>
  <c r="W100" i="1"/>
  <c r="Y100" i="1" s="1"/>
  <c r="W101" i="1"/>
  <c r="Y101" i="1" s="1"/>
  <c r="W102" i="1"/>
  <c r="Y102" i="1" s="1"/>
  <c r="W103" i="1"/>
  <c r="Y103" i="1" s="1"/>
  <c r="W104" i="1"/>
  <c r="Y104" i="1" s="1"/>
  <c r="W105" i="1"/>
  <c r="Y105" i="1" s="1"/>
  <c r="W95" i="1"/>
  <c r="Y95" i="1" s="1"/>
  <c r="Z185" i="2"/>
  <c r="Z184" i="2"/>
  <c r="Z187" i="2"/>
  <c r="Z186" i="2"/>
  <c r="Z183" i="2"/>
  <c r="H108" i="5" s="1"/>
  <c r="X76" i="1"/>
  <c r="H109" i="5" l="1"/>
  <c r="Z98" i="1"/>
  <c r="X98" i="1"/>
  <c r="Z102" i="1"/>
  <c r="X102" i="1"/>
  <c r="Z103" i="1"/>
  <c r="X103" i="1"/>
  <c r="Z96" i="1"/>
  <c r="X96" i="1"/>
  <c r="X95" i="1"/>
  <c r="X99" i="1"/>
  <c r="X105" i="1"/>
  <c r="Z105" i="1"/>
  <c r="X101" i="1"/>
  <c r="X104" i="1"/>
  <c r="Z104" i="1"/>
  <c r="X100" i="1"/>
  <c r="E59" i="4"/>
  <c r="Z181" i="2"/>
  <c r="W187" i="2"/>
  <c r="X187" i="2" s="1"/>
  <c r="W186" i="2"/>
  <c r="X186" i="2" s="1"/>
  <c r="W185" i="2"/>
  <c r="X185" i="2" s="1"/>
  <c r="W184" i="2"/>
  <c r="X184" i="2" s="1"/>
  <c r="W183" i="2"/>
  <c r="W182" i="2"/>
  <c r="D97" i="5"/>
  <c r="D96" i="5"/>
  <c r="E96" i="5" s="1"/>
  <c r="K95" i="5"/>
  <c r="K97" i="5" s="1"/>
  <c r="J95" i="5"/>
  <c r="C92" i="5"/>
  <c r="C91" i="5"/>
  <c r="W181" i="2"/>
  <c r="X181" i="2" s="1"/>
  <c r="W180" i="2"/>
  <c r="X180" i="2" s="1"/>
  <c r="W91" i="1"/>
  <c r="Y91" i="1" s="1"/>
  <c r="J97" i="5" l="1"/>
  <c r="X182" i="2"/>
  <c r="F109" i="5" s="1"/>
  <c r="E109" i="5"/>
  <c r="X183" i="2"/>
  <c r="F108" i="5" s="1"/>
  <c r="E108" i="5"/>
  <c r="H59" i="4"/>
  <c r="F59" i="4"/>
  <c r="I59" i="4" s="1"/>
  <c r="G59" i="4"/>
  <c r="C53" i="4" s="1"/>
  <c r="X91" i="1"/>
  <c r="E97" i="5"/>
  <c r="F96" i="5"/>
  <c r="J96" i="5"/>
  <c r="F97" i="5"/>
  <c r="G96" i="5"/>
  <c r="K96" i="5"/>
  <c r="G97" i="5"/>
  <c r="H96" i="5"/>
  <c r="H97" i="5"/>
  <c r="Z176" i="2"/>
  <c r="Z173" i="2"/>
  <c r="Z178" i="2"/>
  <c r="Z177" i="2"/>
  <c r="I109" i="5" l="1"/>
  <c r="I108" i="5"/>
  <c r="C105" i="5"/>
  <c r="C56" i="4"/>
  <c r="I97" i="5"/>
  <c r="C90" i="5"/>
  <c r="I96" i="5"/>
  <c r="C93" i="5"/>
  <c r="D85" i="5"/>
  <c r="G85" i="5" s="1"/>
  <c r="D84" i="5"/>
  <c r="G84" i="5" s="1"/>
  <c r="K83" i="5"/>
  <c r="J83" i="5"/>
  <c r="C80" i="5"/>
  <c r="C79" i="5"/>
  <c r="W179" i="2"/>
  <c r="X179" i="2" s="1"/>
  <c r="W93" i="1"/>
  <c r="Y93" i="1" s="1"/>
  <c r="Z90" i="1"/>
  <c r="D50" i="4"/>
  <c r="K50" i="4" s="1"/>
  <c r="D49" i="4"/>
  <c r="K49" i="4" s="1"/>
  <c r="C45" i="4"/>
  <c r="C44" i="4"/>
  <c r="X93" i="1" l="1"/>
  <c r="F50" i="4" s="1"/>
  <c r="J85" i="5"/>
  <c r="K85" i="5"/>
  <c r="Z94" i="1"/>
  <c r="H49" i="4" s="1"/>
  <c r="X94" i="1"/>
  <c r="F49" i="4" s="1"/>
  <c r="C78" i="5"/>
  <c r="H84" i="5"/>
  <c r="H85" i="5"/>
  <c r="E84" i="5"/>
  <c r="E85" i="5"/>
  <c r="F84" i="5"/>
  <c r="J84" i="5"/>
  <c r="F85" i="5"/>
  <c r="K84" i="5"/>
  <c r="E49" i="4"/>
  <c r="E50" i="4"/>
  <c r="J49" i="4"/>
  <c r="J50" i="4"/>
  <c r="H50" i="4"/>
  <c r="G50" i="4"/>
  <c r="G49" i="4" l="1"/>
  <c r="C43" i="4" s="1"/>
  <c r="I85" i="5"/>
  <c r="I84" i="5"/>
  <c r="C81" i="5"/>
  <c r="I50" i="4"/>
  <c r="I49" i="4"/>
  <c r="C46" i="4" l="1"/>
  <c r="X81" i="1"/>
  <c r="W79" i="1"/>
  <c r="X79" i="1"/>
  <c r="Z78" i="1"/>
  <c r="W74" i="1"/>
  <c r="Y74" i="1" s="1"/>
  <c r="I49" i="2"/>
  <c r="I48" i="2"/>
  <c r="W73" i="1"/>
  <c r="Y73" i="1" s="1"/>
  <c r="X75" i="1"/>
  <c r="X73" i="1" l="1"/>
  <c r="X74" i="1"/>
  <c r="D73" i="5"/>
  <c r="G73" i="5" s="1"/>
  <c r="D72" i="5"/>
  <c r="G72" i="5" s="1"/>
  <c r="K71" i="5"/>
  <c r="J71" i="5"/>
  <c r="C68" i="5"/>
  <c r="C67" i="5"/>
  <c r="D61" i="5"/>
  <c r="G61" i="5" s="1"/>
  <c r="D60" i="5"/>
  <c r="G60" i="5" s="1"/>
  <c r="K59" i="5"/>
  <c r="J59" i="5"/>
  <c r="C56" i="5"/>
  <c r="C55" i="5"/>
  <c r="W72" i="1"/>
  <c r="Y72" i="1" s="1"/>
  <c r="Z154" i="2"/>
  <c r="Z153" i="2"/>
  <c r="Z152" i="2"/>
  <c r="Z151" i="2"/>
  <c r="Z150" i="2"/>
  <c r="Z149" i="2"/>
  <c r="Z148" i="2"/>
  <c r="Z147" i="2"/>
  <c r="Z146" i="2"/>
  <c r="Z145" i="2"/>
  <c r="Z144" i="2"/>
  <c r="Z68" i="2"/>
  <c r="Z67" i="2"/>
  <c r="Z175" i="2"/>
  <c r="Z174" i="2"/>
  <c r="K73" i="5" l="1"/>
  <c r="J73" i="5"/>
  <c r="X72" i="1"/>
  <c r="J61" i="5"/>
  <c r="K61" i="5"/>
  <c r="C54" i="5"/>
  <c r="C66" i="5"/>
  <c r="K72" i="5"/>
  <c r="J60" i="5"/>
  <c r="F61" i="5"/>
  <c r="H72" i="5"/>
  <c r="H73" i="5"/>
  <c r="H61" i="5"/>
  <c r="E61" i="5"/>
  <c r="K60" i="5"/>
  <c r="J72" i="5"/>
  <c r="D40" i="4"/>
  <c r="K40" i="4" s="1"/>
  <c r="D39" i="4"/>
  <c r="K39" i="4" s="1"/>
  <c r="C35" i="4"/>
  <c r="C34" i="4"/>
  <c r="D30" i="4"/>
  <c r="K30" i="4" s="1"/>
  <c r="D29" i="4"/>
  <c r="K29" i="4" s="1"/>
  <c r="C25" i="4"/>
  <c r="C24" i="4"/>
  <c r="Z81" i="1"/>
  <c r="W77" i="1"/>
  <c r="Y77" i="1" s="1"/>
  <c r="W78" i="1"/>
  <c r="Y78" i="1" s="1"/>
  <c r="W80" i="1"/>
  <c r="Y80" i="1" s="1"/>
  <c r="W82" i="1"/>
  <c r="Y82" i="1" s="1"/>
  <c r="W84" i="1"/>
  <c r="Y84" i="1" s="1"/>
  <c r="W85" i="1"/>
  <c r="Y85" i="1" s="1"/>
  <c r="W71" i="1"/>
  <c r="Y71" i="1" s="1"/>
  <c r="Z81" i="2"/>
  <c r="Z66" i="2"/>
  <c r="Z65" i="2"/>
  <c r="X71" i="1" l="1"/>
  <c r="X85" i="1"/>
  <c r="X82" i="1"/>
  <c r="X84" i="1"/>
  <c r="X77" i="1"/>
  <c r="X83" i="1"/>
  <c r="X78" i="1"/>
  <c r="Z80" i="1"/>
  <c r="H39" i="4" s="1"/>
  <c r="X80" i="1"/>
  <c r="I61" i="5"/>
  <c r="E39" i="4"/>
  <c r="E40" i="4"/>
  <c r="J39" i="4"/>
  <c r="F40" i="4"/>
  <c r="J40" i="4"/>
  <c r="H40" i="4"/>
  <c r="G40" i="4"/>
  <c r="E30" i="4"/>
  <c r="H30" i="4"/>
  <c r="F29" i="4"/>
  <c r="J29" i="4"/>
  <c r="F30" i="4"/>
  <c r="J30" i="4"/>
  <c r="G30" i="4"/>
  <c r="G39" i="4" l="1"/>
  <c r="C33" i="4" s="1"/>
  <c r="F39" i="4"/>
  <c r="I40" i="4"/>
  <c r="I30" i="4"/>
  <c r="W173" i="2"/>
  <c r="W174" i="2"/>
  <c r="W175" i="2"/>
  <c r="X175" i="2" s="1"/>
  <c r="W176" i="2"/>
  <c r="X176" i="2" s="1"/>
  <c r="W177" i="2"/>
  <c r="X177" i="2" s="1"/>
  <c r="W178" i="2"/>
  <c r="X178" i="2" s="1"/>
  <c r="C36" i="4" l="1"/>
  <c r="E72" i="5"/>
  <c r="X173" i="2"/>
  <c r="F72" i="5" s="1"/>
  <c r="I39" i="4"/>
  <c r="X174" i="2"/>
  <c r="F73" i="5" s="1"/>
  <c r="E73" i="5"/>
  <c r="Z172" i="2"/>
  <c r="Z171" i="2"/>
  <c r="Z170" i="2"/>
  <c r="I72" i="5" l="1"/>
  <c r="I73" i="5"/>
  <c r="C69" i="5"/>
  <c r="G29" i="4" l="1"/>
  <c r="C23" i="4" s="1"/>
  <c r="E29" i="4"/>
  <c r="Z73" i="1"/>
  <c r="H29" i="4" s="1"/>
  <c r="W69" i="1"/>
  <c r="Y69" i="1" s="1"/>
  <c r="Z169" i="2"/>
  <c r="Z168" i="2"/>
  <c r="Z167" i="2"/>
  <c r="Z166" i="2"/>
  <c r="H60" i="5" l="1"/>
  <c r="X69" i="1"/>
  <c r="C26" i="4"/>
  <c r="I29" i="4"/>
  <c r="Z155" i="2"/>
  <c r="Z84" i="2"/>
  <c r="Z83" i="2"/>
  <c r="Z134" i="2"/>
  <c r="Z133" i="2"/>
  <c r="Z132" i="2"/>
  <c r="Z131" i="2"/>
  <c r="Z130" i="2"/>
  <c r="Z129" i="2"/>
  <c r="Z128" i="2"/>
  <c r="Z127" i="2"/>
  <c r="Z126" i="2"/>
  <c r="W172" i="2"/>
  <c r="X172" i="2" s="1"/>
  <c r="W171" i="2"/>
  <c r="X171" i="2" s="1"/>
  <c r="W170" i="2"/>
  <c r="X170" i="2" s="1"/>
  <c r="W169" i="2"/>
  <c r="X169" i="2" s="1"/>
  <c r="W168" i="2"/>
  <c r="X168" i="2" s="1"/>
  <c r="W167" i="2"/>
  <c r="X167" i="2" s="1"/>
  <c r="W166" i="2"/>
  <c r="X166" i="2" l="1"/>
  <c r="F60" i="5" s="1"/>
  <c r="E60" i="5"/>
  <c r="Z165" i="2"/>
  <c r="I60" i="5" l="1"/>
  <c r="C57" i="5"/>
  <c r="D49" i="5"/>
  <c r="G49" i="5" s="1"/>
  <c r="D48" i="5"/>
  <c r="G48" i="5" s="1"/>
  <c r="K47" i="5"/>
  <c r="J47" i="5"/>
  <c r="C44" i="5"/>
  <c r="C43" i="5"/>
  <c r="D37" i="5"/>
  <c r="H37" i="5" s="1"/>
  <c r="D36" i="5"/>
  <c r="H36" i="5" s="1"/>
  <c r="K35" i="5"/>
  <c r="J35" i="5"/>
  <c r="C32" i="5"/>
  <c r="C31" i="5"/>
  <c r="D25" i="5"/>
  <c r="F25" i="5" s="1"/>
  <c r="D24" i="5"/>
  <c r="G24" i="5" s="1"/>
  <c r="K23" i="5"/>
  <c r="J23" i="5"/>
  <c r="C20" i="5"/>
  <c r="C19" i="5"/>
  <c r="W165" i="2"/>
  <c r="X165" i="2" s="1"/>
  <c r="W164" i="2"/>
  <c r="X164" i="2" s="1"/>
  <c r="W163" i="2"/>
  <c r="X163" i="2" s="1"/>
  <c r="W162" i="2"/>
  <c r="X162" i="2" s="1"/>
  <c r="D20" i="4"/>
  <c r="K20" i="4" s="1"/>
  <c r="K19" i="4"/>
  <c r="D19" i="4"/>
  <c r="J19" i="4" s="1"/>
  <c r="C15" i="4"/>
  <c r="C14" i="4"/>
  <c r="J49" i="5" l="1"/>
  <c r="J25" i="5"/>
  <c r="K49" i="5"/>
  <c r="C42" i="5"/>
  <c r="E36" i="5"/>
  <c r="G37" i="5"/>
  <c r="J37" i="5"/>
  <c r="F36" i="5"/>
  <c r="K25" i="5"/>
  <c r="G25" i="5"/>
  <c r="C18" i="5" s="1"/>
  <c r="K36" i="5"/>
  <c r="G36" i="5"/>
  <c r="F37" i="5"/>
  <c r="E37" i="5"/>
  <c r="J36" i="5"/>
  <c r="H48" i="5"/>
  <c r="H49" i="5"/>
  <c r="K37" i="5"/>
  <c r="E48" i="5"/>
  <c r="E49" i="5"/>
  <c r="K24" i="5"/>
  <c r="H24" i="5"/>
  <c r="H25" i="5"/>
  <c r="E25" i="5"/>
  <c r="I25" i="5" s="1"/>
  <c r="J24" i="5"/>
  <c r="F48" i="5"/>
  <c r="J48" i="5"/>
  <c r="F49" i="5"/>
  <c r="K48" i="5"/>
  <c r="H20" i="4"/>
  <c r="J20" i="4"/>
  <c r="W70" i="1"/>
  <c r="Y70" i="1" s="1"/>
  <c r="W68" i="1"/>
  <c r="Y68" i="1" s="1"/>
  <c r="Z72" i="1"/>
  <c r="I49" i="5" l="1"/>
  <c r="X68" i="1"/>
  <c r="X70" i="1"/>
  <c r="I36" i="5"/>
  <c r="C30" i="5"/>
  <c r="E19" i="4"/>
  <c r="E20" i="4"/>
  <c r="I37" i="5"/>
  <c r="C33" i="5"/>
  <c r="I48" i="5"/>
  <c r="C45" i="5"/>
  <c r="F20" i="4" l="1"/>
  <c r="I20" i="4" s="1"/>
  <c r="F19" i="4"/>
  <c r="I19" i="4" s="1"/>
  <c r="G19" i="4"/>
  <c r="Z71" i="1"/>
  <c r="H19" i="4" s="1"/>
  <c r="G20" i="4"/>
  <c r="Z119" i="2"/>
  <c r="Z120" i="2"/>
  <c r="Z121" i="2"/>
  <c r="Z122" i="2"/>
  <c r="Z123" i="2"/>
  <c r="Z124" i="2"/>
  <c r="W161" i="2"/>
  <c r="X161" i="2" s="1"/>
  <c r="W160" i="2"/>
  <c r="X160" i="2" s="1"/>
  <c r="Z125" i="2"/>
  <c r="Z142" i="2"/>
  <c r="C16" i="4" l="1"/>
  <c r="C13" i="4"/>
  <c r="F24" i="5"/>
  <c r="E24" i="5"/>
  <c r="Z159" i="2"/>
  <c r="Z158" i="2"/>
  <c r="Z157" i="2"/>
  <c r="Z156" i="2"/>
  <c r="Z78" i="2"/>
  <c r="Z77" i="2"/>
  <c r="Z76" i="2"/>
  <c r="Z75" i="2"/>
  <c r="Z74" i="2"/>
  <c r="Z73" i="2"/>
  <c r="Z72" i="2"/>
  <c r="C21" i="5" l="1"/>
  <c r="I24" i="5"/>
  <c r="X63" i="1"/>
  <c r="W67" i="1" l="1"/>
  <c r="Y67" i="1" s="1"/>
  <c r="W66" i="1"/>
  <c r="Y66" i="1" s="1"/>
  <c r="W64" i="1"/>
  <c r="Y64" i="1" s="1"/>
  <c r="W62" i="1"/>
  <c r="Y62" i="1" s="1"/>
  <c r="W61" i="1"/>
  <c r="Y61" i="1" s="1"/>
  <c r="W60" i="1"/>
  <c r="B61" i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Z79" i="2"/>
  <c r="Z143" i="2"/>
  <c r="X67" i="1" l="1"/>
  <c r="Y60" i="1"/>
  <c r="X60" i="1"/>
  <c r="X62" i="1"/>
  <c r="X66" i="1"/>
  <c r="X64" i="1"/>
  <c r="Z61" i="1"/>
  <c r="X61" i="1"/>
  <c r="Z80" i="2"/>
  <c r="Z141" i="2"/>
  <c r="Z140" i="2"/>
  <c r="Z139" i="2"/>
  <c r="Z138" i="2"/>
  <c r="Z137" i="2"/>
  <c r="Z136" i="2"/>
  <c r="Z135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71" i="2"/>
  <c r="Z70" i="2"/>
  <c r="Z69" i="2"/>
  <c r="I43" i="2" l="1"/>
  <c r="I45" i="2"/>
  <c r="I46" i="2"/>
  <c r="I47" i="2"/>
  <c r="I50" i="2"/>
  <c r="I51" i="2"/>
  <c r="I52" i="2"/>
  <c r="I53" i="2"/>
  <c r="I54" i="2"/>
  <c r="I55" i="2"/>
  <c r="B61" i="2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X79" i="2" s="1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29" i="2"/>
  <c r="X129" i="2" s="1"/>
  <c r="W130" i="2"/>
  <c r="X130" i="2" s="1"/>
  <c r="W131" i="2"/>
  <c r="X131" i="2" s="1"/>
  <c r="W132" i="2"/>
  <c r="X132" i="2" s="1"/>
  <c r="W133" i="2"/>
  <c r="X133" i="2" s="1"/>
  <c r="W134" i="2"/>
  <c r="X134" i="2" s="1"/>
  <c r="W135" i="2"/>
  <c r="X135" i="2" s="1"/>
  <c r="W136" i="2"/>
  <c r="X136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56" i="2"/>
  <c r="X156" i="2" s="1"/>
  <c r="W157" i="2"/>
  <c r="X157" i="2" s="1"/>
  <c r="W158" i="2"/>
  <c r="X158" i="2" s="1"/>
  <c r="W159" i="2"/>
  <c r="X159" i="2" s="1"/>
  <c r="B337" i="2" l="1"/>
  <c r="B338" i="2" s="1"/>
  <c r="B339" i="2" s="1"/>
  <c r="B340" i="2" s="1"/>
  <c r="B341" i="2" s="1"/>
  <c r="B342" i="2" s="1"/>
  <c r="B343" i="2" s="1"/>
  <c r="B344" i="2" s="1"/>
  <c r="B345" i="2" s="1"/>
  <c r="B346" i="2" s="1"/>
  <c r="M44" i="2"/>
  <c r="L44" i="2"/>
  <c r="I44" i="2"/>
  <c r="W60" i="2"/>
  <c r="X60" i="2" s="1"/>
  <c r="B347" i="2" l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E17" i="1"/>
  <c r="E16" i="1"/>
  <c r="D12" i="5"/>
  <c r="G12" i="5" s="1"/>
  <c r="D11" i="5"/>
  <c r="G11" i="5" s="1"/>
  <c r="K10" i="5"/>
  <c r="J10" i="5"/>
  <c r="C7" i="5"/>
  <c r="C6" i="5"/>
  <c r="J12" i="5" l="1"/>
  <c r="K12" i="5"/>
  <c r="C5" i="5"/>
  <c r="H11" i="5"/>
  <c r="H12" i="5"/>
  <c r="J11" i="5"/>
  <c r="K11" i="5"/>
  <c r="F12" i="5" l="1"/>
  <c r="E12" i="5"/>
  <c r="E11" i="5"/>
  <c r="F11" i="5"/>
  <c r="I12" i="5" l="1"/>
  <c r="C8" i="5"/>
  <c r="I11" i="5"/>
  <c r="M14" i="6" l="1"/>
  <c r="M51" i="2" l="1"/>
  <c r="M55" i="2" l="1"/>
  <c r="M54" i="2"/>
  <c r="M53" i="2"/>
  <c r="M52" i="2"/>
  <c r="M50" i="2"/>
  <c r="M48" i="2"/>
  <c r="M47" i="2"/>
  <c r="M46" i="2"/>
  <c r="M45" i="2"/>
  <c r="M43" i="2"/>
  <c r="M42" i="2"/>
  <c r="M56" i="2" l="1"/>
  <c r="P19" i="1" l="1"/>
  <c r="F45" i="6" l="1"/>
  <c r="F46" i="6"/>
  <c r="F47" i="6"/>
  <c r="F48" i="6"/>
  <c r="F49" i="6"/>
  <c r="F50" i="6"/>
  <c r="F51" i="6"/>
  <c r="F52" i="6"/>
  <c r="F53" i="6"/>
  <c r="F54" i="6"/>
  <c r="E45" i="6"/>
  <c r="E46" i="6"/>
  <c r="E47" i="6"/>
  <c r="E48" i="6"/>
  <c r="E49" i="6"/>
  <c r="E50" i="6"/>
  <c r="E51" i="6"/>
  <c r="E52" i="6"/>
  <c r="E53" i="6"/>
  <c r="E54" i="6"/>
  <c r="I37" i="1"/>
  <c r="I18" i="1"/>
  <c r="E4" i="1" l="1"/>
  <c r="J4" i="1" s="1"/>
  <c r="L19" i="6" l="1"/>
  <c r="P17" i="2" l="1"/>
  <c r="P17" i="1"/>
  <c r="D10" i="4"/>
  <c r="D9" i="4"/>
  <c r="C5" i="4" l="1"/>
  <c r="C4" i="4"/>
  <c r="J9" i="4" l="1"/>
  <c r="J10" i="4"/>
  <c r="K9" i="4"/>
  <c r="K10" i="4"/>
  <c r="E10" i="4" l="1"/>
  <c r="E9" i="4"/>
  <c r="H10" i="4" l="1"/>
  <c r="H9" i="4"/>
  <c r="G9" i="4"/>
  <c r="F9" i="4"/>
  <c r="I9" i="4" s="1"/>
  <c r="F10" i="4"/>
  <c r="I10" i="4" s="1"/>
  <c r="G10" i="4"/>
  <c r="C3" i="4" l="1"/>
  <c r="C6" i="4"/>
  <c r="P4" i="6" l="1"/>
  <c r="P5" i="6"/>
  <c r="P6" i="6"/>
  <c r="P7" i="6"/>
  <c r="P8" i="6"/>
  <c r="P9" i="6"/>
  <c r="P10" i="6"/>
  <c r="P11" i="6"/>
  <c r="P12" i="6"/>
  <c r="P13" i="6"/>
  <c r="P54" i="6" l="1"/>
  <c r="R54" i="6" s="1"/>
  <c r="P53" i="6"/>
  <c r="R53" i="6" s="1"/>
  <c r="P52" i="6"/>
  <c r="R52" i="6" s="1"/>
  <c r="P51" i="6"/>
  <c r="R51" i="6" s="1"/>
  <c r="P50" i="6"/>
  <c r="R50" i="6" s="1"/>
  <c r="P49" i="6"/>
  <c r="R49" i="6" s="1"/>
  <c r="P48" i="6"/>
  <c r="R48" i="6" s="1"/>
  <c r="P47" i="6"/>
  <c r="R47" i="6" s="1"/>
  <c r="P46" i="6"/>
  <c r="R46" i="6" s="1"/>
  <c r="P45" i="6"/>
  <c r="R45" i="6" s="1"/>
  <c r="O54" i="6"/>
  <c r="Q54" i="6" s="1"/>
  <c r="O53" i="6"/>
  <c r="Q53" i="6" s="1"/>
  <c r="O52" i="6"/>
  <c r="Q52" i="6" s="1"/>
  <c r="O51" i="6"/>
  <c r="Q51" i="6" s="1"/>
  <c r="O50" i="6"/>
  <c r="Q50" i="6" s="1"/>
  <c r="O49" i="6"/>
  <c r="Q49" i="6" s="1"/>
  <c r="O48" i="6"/>
  <c r="Q48" i="6" s="1"/>
  <c r="O47" i="6"/>
  <c r="Q47" i="6" s="1"/>
  <c r="O46" i="6"/>
  <c r="Q46" i="6" s="1"/>
  <c r="O45" i="6"/>
  <c r="Q45" i="6" s="1"/>
  <c r="H54" i="6"/>
  <c r="H53" i="6"/>
  <c r="H52" i="6"/>
  <c r="H51" i="6"/>
  <c r="H50" i="6"/>
  <c r="H49" i="6"/>
  <c r="H48" i="6"/>
  <c r="H47" i="6"/>
  <c r="H46" i="6"/>
  <c r="H45" i="6"/>
  <c r="G54" i="6"/>
  <c r="G53" i="6"/>
  <c r="G52" i="6"/>
  <c r="G51" i="6"/>
  <c r="G50" i="6"/>
  <c r="G49" i="6"/>
  <c r="G48" i="6"/>
  <c r="G47" i="6"/>
  <c r="G46" i="6"/>
  <c r="G45" i="6"/>
  <c r="I42" i="2"/>
  <c r="I37" i="2"/>
  <c r="I18" i="2"/>
  <c r="F36" i="1" l="1"/>
  <c r="F35" i="1"/>
  <c r="F33" i="1"/>
  <c r="F32" i="1"/>
  <c r="F31" i="1"/>
  <c r="F30" i="1"/>
  <c r="F29" i="1"/>
  <c r="F27" i="1"/>
  <c r="F26" i="1"/>
  <c r="F25" i="1"/>
  <c r="F24" i="1"/>
  <c r="F23" i="1"/>
  <c r="F17" i="1"/>
  <c r="F16" i="1"/>
  <c r="F15" i="1"/>
  <c r="F14" i="1"/>
  <c r="F13" i="1"/>
  <c r="F12" i="1"/>
  <c r="F11" i="1"/>
  <c r="F10" i="1"/>
  <c r="F8" i="1"/>
  <c r="F7" i="1"/>
  <c r="F6" i="1"/>
  <c r="F5" i="1"/>
  <c r="F4" i="1"/>
  <c r="F34" i="1" l="1"/>
  <c r="F36" i="2" l="1"/>
  <c r="E36" i="2"/>
  <c r="J36" i="2" s="1"/>
  <c r="D36" i="2"/>
  <c r="F35" i="2"/>
  <c r="E35" i="2"/>
  <c r="J35" i="2" s="1"/>
  <c r="D35" i="2"/>
  <c r="F34" i="2"/>
  <c r="E34" i="2"/>
  <c r="J34" i="2" s="1"/>
  <c r="D34" i="2"/>
  <c r="F33" i="2"/>
  <c r="F32" i="2"/>
  <c r="E32" i="2"/>
  <c r="J32" i="2" s="1"/>
  <c r="D32" i="2"/>
  <c r="F31" i="2"/>
  <c r="E31" i="2"/>
  <c r="J31" i="2" s="1"/>
  <c r="F30" i="2"/>
  <c r="E30" i="2"/>
  <c r="J30" i="2" s="1"/>
  <c r="P35" i="6" s="1"/>
  <c r="R35" i="6" s="1"/>
  <c r="D30" i="2"/>
  <c r="F29" i="2"/>
  <c r="E29" i="2"/>
  <c r="J29" i="2" s="1"/>
  <c r="D29" i="2"/>
  <c r="F28" i="2"/>
  <c r="E28" i="2"/>
  <c r="J28" i="2" s="1"/>
  <c r="D28" i="2"/>
  <c r="F27" i="2"/>
  <c r="E27" i="2"/>
  <c r="J27" i="2" s="1"/>
  <c r="D27" i="2"/>
  <c r="F26" i="2"/>
  <c r="F25" i="2"/>
  <c r="F24" i="2"/>
  <c r="F17" i="2"/>
  <c r="E17" i="2"/>
  <c r="J17" i="2" s="1"/>
  <c r="D17" i="2"/>
  <c r="F16" i="2"/>
  <c r="E16" i="2"/>
  <c r="J16" i="2" s="1"/>
  <c r="D16" i="2"/>
  <c r="F15" i="2"/>
  <c r="E15" i="2"/>
  <c r="J15" i="2" s="1"/>
  <c r="D15" i="2"/>
  <c r="F14" i="2"/>
  <c r="F13" i="2"/>
  <c r="E13" i="2"/>
  <c r="J13" i="2" s="1"/>
  <c r="D13" i="2"/>
  <c r="F12" i="2"/>
  <c r="E12" i="2"/>
  <c r="J12" i="2" s="1"/>
  <c r="D12" i="2"/>
  <c r="F11" i="2"/>
  <c r="E11" i="2"/>
  <c r="J11" i="2" s="1"/>
  <c r="O35" i="6" s="1"/>
  <c r="Q35" i="6" s="1"/>
  <c r="D11" i="2"/>
  <c r="F10" i="2"/>
  <c r="E10" i="2"/>
  <c r="J10" i="2" s="1"/>
  <c r="D10" i="2"/>
  <c r="F9" i="2"/>
  <c r="E9" i="2"/>
  <c r="J9" i="2" s="1"/>
  <c r="D9" i="2"/>
  <c r="F8" i="2"/>
  <c r="E8" i="2"/>
  <c r="J8" i="2" s="1"/>
  <c r="D8" i="2"/>
  <c r="F7" i="2"/>
  <c r="E7" i="2"/>
  <c r="J7" i="2" s="1"/>
  <c r="D7" i="2"/>
  <c r="F6" i="2"/>
  <c r="E6" i="2"/>
  <c r="J6" i="2" s="1"/>
  <c r="D6" i="2"/>
  <c r="F5" i="2"/>
  <c r="E5" i="2"/>
  <c r="J5" i="2" s="1"/>
  <c r="D5" i="2"/>
  <c r="E35" i="1"/>
  <c r="D35" i="1"/>
  <c r="E33" i="1"/>
  <c r="D33" i="1"/>
  <c r="E32" i="1"/>
  <c r="D32" i="1"/>
  <c r="E31" i="1"/>
  <c r="D31" i="1"/>
  <c r="E26" i="1"/>
  <c r="D26" i="1"/>
  <c r="E25" i="1"/>
  <c r="G25" i="1" s="1"/>
  <c r="D25" i="1"/>
  <c r="E24" i="1"/>
  <c r="D24" i="1"/>
  <c r="D14" i="1"/>
  <c r="D12" i="1"/>
  <c r="D7" i="1"/>
  <c r="D6" i="1"/>
  <c r="D5" i="1"/>
  <c r="E14" i="1"/>
  <c r="E12" i="1"/>
  <c r="E7" i="1"/>
  <c r="E6" i="1"/>
  <c r="E5" i="1"/>
  <c r="J5" i="1" l="1"/>
  <c r="E31" i="6" s="1"/>
  <c r="G31" i="6" s="1"/>
  <c r="J14" i="1"/>
  <c r="E37" i="6" s="1"/>
  <c r="G37" i="6" s="1"/>
  <c r="J12" i="1"/>
  <c r="E36" i="6" s="1"/>
  <c r="G36" i="6" s="1"/>
  <c r="J6" i="1"/>
  <c r="J7" i="1"/>
  <c r="E32" i="6" s="1"/>
  <c r="G32" i="6" s="1"/>
  <c r="J26" i="1"/>
  <c r="F32" i="6" s="1"/>
  <c r="H26" i="1"/>
  <c r="J32" i="1"/>
  <c r="H32" i="1"/>
  <c r="J35" i="1"/>
  <c r="H35" i="1"/>
  <c r="J25" i="1"/>
  <c r="H25" i="1"/>
  <c r="J31" i="1"/>
  <c r="F36" i="6" s="1"/>
  <c r="H31" i="1"/>
  <c r="J33" i="1"/>
  <c r="H33" i="1"/>
  <c r="J24" i="1"/>
  <c r="F31" i="6" s="1"/>
  <c r="H24" i="1"/>
  <c r="O33" i="6"/>
  <c r="Q33" i="6" s="1"/>
  <c r="O40" i="6"/>
  <c r="Q40" i="6" s="1"/>
  <c r="P38" i="6"/>
  <c r="R38" i="6" s="1"/>
  <c r="O36" i="6"/>
  <c r="Q36" i="6" s="1"/>
  <c r="O32" i="6"/>
  <c r="Q32" i="6" s="1"/>
  <c r="O39" i="6"/>
  <c r="Q39" i="6" s="1"/>
  <c r="P34" i="6"/>
  <c r="R34" i="6" s="1"/>
  <c r="P36" i="6"/>
  <c r="R36" i="6" s="1"/>
  <c r="O31" i="6"/>
  <c r="Q31" i="6" s="1"/>
  <c r="O34" i="6"/>
  <c r="Q34" i="6" s="1"/>
  <c r="O38" i="6"/>
  <c r="Q38" i="6" s="1"/>
  <c r="P33" i="6"/>
  <c r="R33" i="6" s="1"/>
  <c r="P40" i="6"/>
  <c r="R40" i="6" s="1"/>
  <c r="P39" i="6"/>
  <c r="R39" i="6" s="1"/>
  <c r="J46" i="2"/>
  <c r="J49" i="2"/>
  <c r="J55" i="2"/>
  <c r="J48" i="2"/>
  <c r="J51" i="2"/>
  <c r="J54" i="2"/>
  <c r="J47" i="2"/>
  <c r="K47" i="2" s="1"/>
  <c r="J50" i="2"/>
  <c r="J53" i="2"/>
  <c r="K53" i="2" s="1"/>
  <c r="D50" i="1"/>
  <c r="D43" i="1"/>
  <c r="D52" i="1"/>
  <c r="E44" i="1"/>
  <c r="E43" i="1"/>
  <c r="E52" i="1"/>
  <c r="D44" i="1"/>
  <c r="E45" i="1"/>
  <c r="E50" i="1"/>
  <c r="D45" i="1"/>
  <c r="F37" i="6" l="1"/>
  <c r="H37" i="6" s="1"/>
  <c r="J44" i="1"/>
  <c r="K44" i="1" s="1"/>
  <c r="F39" i="6"/>
  <c r="H39" i="6" s="1"/>
  <c r="J43" i="1"/>
  <c r="K43" i="1" s="1"/>
  <c r="H50" i="1"/>
  <c r="J50" i="1"/>
  <c r="H31" i="6"/>
  <c r="H44" i="1"/>
  <c r="J45" i="1"/>
  <c r="J52" i="1"/>
  <c r="H52" i="1"/>
  <c r="H36" i="6"/>
  <c r="H32" i="6"/>
  <c r="H43" i="1"/>
  <c r="H45" i="1"/>
  <c r="Q9" i="6" l="1"/>
  <c r="D27" i="1" l="1"/>
  <c r="D16" i="1"/>
  <c r="D54" i="1" s="1"/>
  <c r="D29" i="1"/>
  <c r="D36" i="1"/>
  <c r="D34" i="1"/>
  <c r="E34" i="1"/>
  <c r="D13" i="1"/>
  <c r="D51" i="1" s="1"/>
  <c r="D17" i="1"/>
  <c r="D15" i="1"/>
  <c r="D11" i="1"/>
  <c r="D8" i="1"/>
  <c r="D10" i="1"/>
  <c r="D28" i="1"/>
  <c r="D9" i="1"/>
  <c r="E28" i="1"/>
  <c r="L55" i="2"/>
  <c r="L54" i="2"/>
  <c r="L53" i="2"/>
  <c r="L52" i="2"/>
  <c r="L51" i="2"/>
  <c r="L50" i="2"/>
  <c r="L49" i="2"/>
  <c r="L48" i="2"/>
  <c r="L47" i="2"/>
  <c r="L46" i="2"/>
  <c r="L45" i="2"/>
  <c r="L43" i="2"/>
  <c r="L42" i="2"/>
  <c r="D47" i="1" l="1"/>
  <c r="D46" i="1"/>
  <c r="L56" i="2"/>
  <c r="D53" i="1"/>
  <c r="J28" i="1"/>
  <c r="H28" i="1"/>
  <c r="J34" i="1"/>
  <c r="H34" i="1"/>
  <c r="F28" i="1"/>
  <c r="F37" i="1"/>
  <c r="D48" i="1"/>
  <c r="O69" i="6"/>
  <c r="O75" i="6"/>
  <c r="O72" i="6"/>
  <c r="O67" i="6"/>
  <c r="O70" i="6"/>
  <c r="O73" i="6"/>
  <c r="O66" i="6"/>
  <c r="O68" i="6"/>
  <c r="O71" i="6"/>
  <c r="O74" i="6"/>
  <c r="D55" i="1"/>
  <c r="E36" i="1"/>
  <c r="E27" i="1"/>
  <c r="F9" i="1"/>
  <c r="F18" i="1"/>
  <c r="E29" i="1"/>
  <c r="E10" i="1"/>
  <c r="E8" i="1"/>
  <c r="E13" i="1"/>
  <c r="J13" i="1" s="1"/>
  <c r="E11" i="1"/>
  <c r="E15" i="1"/>
  <c r="E53" i="1" s="1"/>
  <c r="J16" i="1"/>
  <c r="E9" i="1"/>
  <c r="E47" i="1" s="1"/>
  <c r="L42" i="1"/>
  <c r="H27" i="1" l="1"/>
  <c r="E46" i="1"/>
  <c r="F38" i="6"/>
  <c r="H38" i="6" s="1"/>
  <c r="F34" i="6"/>
  <c r="H34" i="6" s="1"/>
  <c r="J15" i="1"/>
  <c r="E38" i="6" s="1"/>
  <c r="G38" i="6" s="1"/>
  <c r="J8" i="1"/>
  <c r="E33" i="6" s="1"/>
  <c r="G33" i="6" s="1"/>
  <c r="J17" i="1"/>
  <c r="E40" i="6" s="1"/>
  <c r="G40" i="6" s="1"/>
  <c r="J10" i="1"/>
  <c r="J9" i="1"/>
  <c r="E34" i="6" s="1"/>
  <c r="G34" i="6" s="1"/>
  <c r="J11" i="1"/>
  <c r="E35" i="6" s="1"/>
  <c r="G35" i="6" s="1"/>
  <c r="J29" i="1"/>
  <c r="H29" i="1"/>
  <c r="J36" i="1"/>
  <c r="F40" i="6" s="1"/>
  <c r="H40" i="6" s="1"/>
  <c r="H36" i="1"/>
  <c r="J27" i="1"/>
  <c r="F33" i="6" s="1"/>
  <c r="E39" i="6"/>
  <c r="G39" i="6" s="1"/>
  <c r="J54" i="1"/>
  <c r="J51" i="1"/>
  <c r="E33" i="2"/>
  <c r="J33" i="2" s="1"/>
  <c r="E14" i="2"/>
  <c r="J14" i="2" s="1"/>
  <c r="H47" i="1"/>
  <c r="E51" i="1"/>
  <c r="H51" i="1" s="1"/>
  <c r="E54" i="1"/>
  <c r="H54" i="1" s="1"/>
  <c r="E55" i="1"/>
  <c r="H55" i="1" s="1"/>
  <c r="H46" i="1"/>
  <c r="H53" i="1"/>
  <c r="E48" i="1"/>
  <c r="H48" i="1" s="1"/>
  <c r="D33" i="2"/>
  <c r="D25" i="2"/>
  <c r="D44" i="2" s="1"/>
  <c r="D14" i="2"/>
  <c r="E25" i="2"/>
  <c r="E26" i="2"/>
  <c r="J26" i="2" s="1"/>
  <c r="D26" i="2"/>
  <c r="E24" i="2"/>
  <c r="J24" i="2" s="1"/>
  <c r="J43" i="2" s="1"/>
  <c r="D24" i="2"/>
  <c r="D31" i="2"/>
  <c r="J25" i="2" l="1"/>
  <c r="E44" i="2"/>
  <c r="J47" i="1"/>
  <c r="Q7" i="6" s="1"/>
  <c r="J46" i="1"/>
  <c r="Q6" i="6" s="1"/>
  <c r="J55" i="1"/>
  <c r="Q13" i="6" s="1"/>
  <c r="J48" i="1"/>
  <c r="H33" i="6"/>
  <c r="Q12" i="6"/>
  <c r="J53" i="1"/>
  <c r="P37" i="6"/>
  <c r="R37" i="6" s="1"/>
  <c r="P32" i="6"/>
  <c r="R32" i="6" s="1"/>
  <c r="O37" i="6"/>
  <c r="Q37" i="6" s="1"/>
  <c r="P31" i="6"/>
  <c r="R31" i="6" s="1"/>
  <c r="J45" i="2"/>
  <c r="J52" i="2"/>
  <c r="J44" i="2" l="1"/>
  <c r="K44" i="2" s="1"/>
  <c r="H44" i="2"/>
  <c r="Q11" i="6"/>
  <c r="Q10" i="6"/>
  <c r="Q4" i="6"/>
  <c r="Q5" i="6"/>
  <c r="F37" i="2"/>
  <c r="F23" i="2"/>
  <c r="F18" i="2" l="1"/>
  <c r="F4" i="2"/>
  <c r="M55" i="1" l="1"/>
  <c r="L55" i="1"/>
  <c r="M54" i="1"/>
  <c r="L54" i="1"/>
  <c r="M53" i="1"/>
  <c r="L53" i="1"/>
  <c r="M52" i="1"/>
  <c r="L52" i="1"/>
  <c r="M51" i="1"/>
  <c r="L51" i="1"/>
  <c r="E72" i="6" l="1"/>
  <c r="F72" i="6"/>
  <c r="F74" i="6"/>
  <c r="E74" i="6"/>
  <c r="E73" i="6"/>
  <c r="E75" i="6"/>
  <c r="F73" i="6"/>
  <c r="F75" i="6"/>
  <c r="I10" i="6"/>
  <c r="I11" i="6"/>
  <c r="G34" i="2"/>
  <c r="K34" i="2" s="1"/>
  <c r="E51" i="2"/>
  <c r="D54" i="2"/>
  <c r="E55" i="2"/>
  <c r="D53" i="2"/>
  <c r="E54" i="2"/>
  <c r="D52" i="2"/>
  <c r="I12" i="6"/>
  <c r="I13" i="6"/>
  <c r="D51" i="2"/>
  <c r="E52" i="2"/>
  <c r="D55" i="2"/>
  <c r="E53" i="2"/>
  <c r="H35" i="2"/>
  <c r="H15" i="2"/>
  <c r="H33" i="2"/>
  <c r="H36" i="2"/>
  <c r="H32" i="2"/>
  <c r="G35" i="2"/>
  <c r="K35" i="2" s="1"/>
  <c r="H34" i="2"/>
  <c r="G32" i="2"/>
  <c r="G36" i="2"/>
  <c r="G33" i="2"/>
  <c r="H16" i="2"/>
  <c r="G14" i="2"/>
  <c r="H17" i="2"/>
  <c r="G15" i="2"/>
  <c r="K15" i="2" s="1"/>
  <c r="H13" i="2"/>
  <c r="H14" i="2"/>
  <c r="G16" i="2"/>
  <c r="G13" i="2"/>
  <c r="G17" i="2"/>
  <c r="G35" i="1"/>
  <c r="H15" i="1"/>
  <c r="G34" i="1"/>
  <c r="G36" i="1"/>
  <c r="G32" i="1"/>
  <c r="K32" i="1" s="1"/>
  <c r="G33" i="1"/>
  <c r="K33" i="1" s="1"/>
  <c r="H16" i="1"/>
  <c r="H14" i="1"/>
  <c r="G14" i="1"/>
  <c r="G15" i="1"/>
  <c r="G16" i="1"/>
  <c r="E11" i="6" l="1"/>
  <c r="D11" i="6"/>
  <c r="E10" i="6"/>
  <c r="H53" i="2"/>
  <c r="D10" i="6"/>
  <c r="H55" i="2"/>
  <c r="H52" i="2"/>
  <c r="H51" i="2"/>
  <c r="H54" i="2"/>
  <c r="D12" i="6"/>
  <c r="E12" i="6"/>
  <c r="H11" i="6" l="1"/>
  <c r="P73" i="6"/>
  <c r="P75" i="6"/>
  <c r="P74" i="6"/>
  <c r="P72" i="6"/>
  <c r="J12" i="6"/>
  <c r="J10" i="6"/>
  <c r="J11" i="6"/>
  <c r="J13" i="6"/>
  <c r="H10" i="6"/>
  <c r="H12" i="6"/>
  <c r="E23" i="2" l="1"/>
  <c r="J23" i="2" s="1"/>
  <c r="D23" i="2"/>
  <c r="D4" i="2"/>
  <c r="E4" i="2"/>
  <c r="J4" i="2" s="1"/>
  <c r="E18" i="2"/>
  <c r="D18" i="2"/>
  <c r="J18" i="2" l="1"/>
  <c r="J42" i="2"/>
  <c r="K42" i="2" s="1"/>
  <c r="J37" i="2"/>
  <c r="J56" i="2" l="1"/>
  <c r="P19" i="2" l="1"/>
  <c r="J18" i="1" l="1"/>
  <c r="E37" i="2" l="1"/>
  <c r="D37" i="2"/>
  <c r="E13" i="6" l="1"/>
  <c r="H13" i="1"/>
  <c r="G13" i="1"/>
  <c r="D4" i="1" l="1"/>
  <c r="H4" i="1" s="1"/>
  <c r="L21" i="6" l="1"/>
  <c r="M43" i="1"/>
  <c r="F66" i="6" l="1"/>
  <c r="M50" i="1"/>
  <c r="M49" i="1"/>
  <c r="M48" i="1"/>
  <c r="M47" i="1"/>
  <c r="M46" i="1"/>
  <c r="M45" i="1"/>
  <c r="M44" i="1"/>
  <c r="M42" i="1"/>
  <c r="L43" i="1"/>
  <c r="L44" i="1"/>
  <c r="L45" i="1"/>
  <c r="L46" i="1"/>
  <c r="L47" i="1"/>
  <c r="L48" i="1"/>
  <c r="L49" i="1"/>
  <c r="L50" i="1"/>
  <c r="F68" i="6" l="1"/>
  <c r="F69" i="6"/>
  <c r="E66" i="6"/>
  <c r="E71" i="6"/>
  <c r="E70" i="6"/>
  <c r="E67" i="6"/>
  <c r="E69" i="6"/>
  <c r="F71" i="6"/>
  <c r="E68" i="6"/>
  <c r="F67" i="6"/>
  <c r="F70" i="6"/>
  <c r="I9" i="6"/>
  <c r="I8" i="6"/>
  <c r="I7" i="6"/>
  <c r="I4" i="6"/>
  <c r="I5" i="6"/>
  <c r="I6" i="6"/>
  <c r="D42" i="2"/>
  <c r="D50" i="2"/>
  <c r="M56" i="1"/>
  <c r="L56" i="1"/>
  <c r="H31" i="2"/>
  <c r="D47" i="2"/>
  <c r="G10" i="2"/>
  <c r="H23" i="2"/>
  <c r="E43" i="2"/>
  <c r="D49" i="2"/>
  <c r="G31" i="2"/>
  <c r="H6" i="2"/>
  <c r="G9" i="2"/>
  <c r="K9" i="2" s="1"/>
  <c r="G23" i="2"/>
  <c r="K23" i="2" s="1"/>
  <c r="G30" i="2"/>
  <c r="G28" i="2"/>
  <c r="K28" i="2" s="1"/>
  <c r="O27" i="6"/>
  <c r="Q27" i="6" s="1"/>
  <c r="G27" i="2"/>
  <c r="D48" i="2"/>
  <c r="D43" i="2"/>
  <c r="G6" i="2"/>
  <c r="H11" i="2"/>
  <c r="G11" i="2"/>
  <c r="H27" i="2"/>
  <c r="E49" i="2"/>
  <c r="H10" i="2"/>
  <c r="G24" i="2"/>
  <c r="E47" i="2"/>
  <c r="H30" i="2"/>
  <c r="D46" i="2"/>
  <c r="G5" i="2"/>
  <c r="E48" i="2"/>
  <c r="H29" i="2"/>
  <c r="G29" i="2"/>
  <c r="K29" i="2" s="1"/>
  <c r="H8" i="2"/>
  <c r="G8" i="2"/>
  <c r="E46" i="2"/>
  <c r="H9" i="2"/>
  <c r="H25" i="2"/>
  <c r="G25" i="2"/>
  <c r="H5" i="2"/>
  <c r="O26" i="6"/>
  <c r="Q26" i="6" s="1"/>
  <c r="H24" i="2"/>
  <c r="H28" i="2"/>
  <c r="I14" i="6" l="1"/>
  <c r="E45" i="2"/>
  <c r="E42" i="2"/>
  <c r="H42" i="2" s="1"/>
  <c r="G4" i="2"/>
  <c r="K4" i="2" s="1"/>
  <c r="H4" i="2"/>
  <c r="H12" i="2"/>
  <c r="E50" i="2"/>
  <c r="G12" i="2"/>
  <c r="H47" i="2"/>
  <c r="H49" i="2"/>
  <c r="H37" i="2"/>
  <c r="H43" i="2"/>
  <c r="D45" i="2"/>
  <c r="G18" i="2"/>
  <c r="P26" i="6"/>
  <c r="G37" i="2"/>
  <c r="P27" i="6"/>
  <c r="R27" i="6" s="1"/>
  <c r="G7" i="2"/>
  <c r="H7" i="2"/>
  <c r="H18" i="2"/>
  <c r="H46" i="2"/>
  <c r="H48" i="2"/>
  <c r="R26" i="6" l="1"/>
  <c r="J6" i="6"/>
  <c r="P71" i="6"/>
  <c r="P66" i="6"/>
  <c r="P69" i="6"/>
  <c r="H50" i="2"/>
  <c r="P67" i="6"/>
  <c r="J9" i="6"/>
  <c r="J4" i="6"/>
  <c r="J7" i="6"/>
  <c r="J8" i="6"/>
  <c r="D56" i="2"/>
  <c r="H26" i="2"/>
  <c r="G26" i="2"/>
  <c r="H45" i="2"/>
  <c r="E56" i="2"/>
  <c r="P68" i="6" l="1"/>
  <c r="J5" i="6"/>
  <c r="J14" i="6" s="1"/>
  <c r="H56" i="2"/>
  <c r="D18" i="1"/>
  <c r="E26" i="6" s="1"/>
  <c r="H8" i="1" l="1"/>
  <c r="G10" i="1"/>
  <c r="G29" i="1"/>
  <c r="D7" i="6"/>
  <c r="D6" i="6"/>
  <c r="E6" i="6"/>
  <c r="H10" i="1"/>
  <c r="G11" i="1"/>
  <c r="H11" i="1"/>
  <c r="H9" i="1"/>
  <c r="E7" i="6"/>
  <c r="G27" i="1"/>
  <c r="G31" i="1"/>
  <c r="K31" i="1" s="1"/>
  <c r="G28" i="1"/>
  <c r="G8" i="1"/>
  <c r="G9" i="1"/>
  <c r="H7" i="6" l="1"/>
  <c r="H6" i="6"/>
  <c r="D9" i="6" l="1"/>
  <c r="D13" i="6" l="1"/>
  <c r="H13" i="6" s="1"/>
  <c r="H12" i="1"/>
  <c r="G12" i="1"/>
  <c r="E9" i="6"/>
  <c r="H17" i="1"/>
  <c r="G17" i="1"/>
  <c r="H9" i="6" l="1"/>
  <c r="B22" i="6"/>
  <c r="N19" i="6"/>
  <c r="R17" i="1" s="1"/>
  <c r="B20" i="6"/>
  <c r="P18" i="1" s="1"/>
  <c r="F6" i="6" l="1"/>
  <c r="P20" i="1"/>
  <c r="F47" i="1" s="1"/>
  <c r="P18" i="2"/>
  <c r="R17" i="2"/>
  <c r="F11" i="6"/>
  <c r="F8" i="6"/>
  <c r="F5" i="6"/>
  <c r="R5" i="6" s="1"/>
  <c r="F10" i="6"/>
  <c r="F12" i="6"/>
  <c r="F13" i="6"/>
  <c r="F7" i="6"/>
  <c r="F4" i="6"/>
  <c r="F9" i="6"/>
  <c r="P20" i="2"/>
  <c r="K36" i="2" s="1"/>
  <c r="L20" i="6"/>
  <c r="L22" i="6"/>
  <c r="K52" i="1" l="1"/>
  <c r="K14" i="1"/>
  <c r="K50" i="1"/>
  <c r="K12" i="1"/>
  <c r="K51" i="1"/>
  <c r="K45" i="1"/>
  <c r="F45" i="2"/>
  <c r="G45" i="2" s="1"/>
  <c r="G44" i="2"/>
  <c r="F14" i="6"/>
  <c r="K14" i="6" s="1"/>
  <c r="R4" i="6"/>
  <c r="F49" i="2"/>
  <c r="G49" i="2" s="1"/>
  <c r="F43" i="2"/>
  <c r="G51" i="2"/>
  <c r="K49" i="2"/>
  <c r="K11" i="2"/>
  <c r="K30" i="2"/>
  <c r="K27" i="1"/>
  <c r="K54" i="1"/>
  <c r="K46" i="1"/>
  <c r="K48" i="2"/>
  <c r="K55" i="2"/>
  <c r="K17" i="2"/>
  <c r="K10" i="2"/>
  <c r="K48" i="1"/>
  <c r="K55" i="1"/>
  <c r="K47" i="1"/>
  <c r="K53" i="1"/>
  <c r="K54" i="2"/>
  <c r="K16" i="2"/>
  <c r="G53" i="2"/>
  <c r="F52" i="2"/>
  <c r="G52" i="2" s="1"/>
  <c r="G48" i="2"/>
  <c r="G55" i="2"/>
  <c r="G47" i="2"/>
  <c r="G54" i="2"/>
  <c r="F50" i="2"/>
  <c r="G50" i="2" s="1"/>
  <c r="G46" i="2"/>
  <c r="G42" i="2"/>
  <c r="K13" i="2"/>
  <c r="K8" i="2"/>
  <c r="K6" i="2"/>
  <c r="K5" i="2"/>
  <c r="K12" i="2"/>
  <c r="K50" i="2"/>
  <c r="K7" i="2"/>
  <c r="K51" i="2"/>
  <c r="K46" i="2"/>
  <c r="K43" i="2"/>
  <c r="K45" i="2"/>
  <c r="K52" i="2"/>
  <c r="K35" i="1"/>
  <c r="K34" i="1"/>
  <c r="K28" i="1"/>
  <c r="K17" i="1"/>
  <c r="K16" i="1"/>
  <c r="K11" i="1"/>
  <c r="K13" i="1"/>
  <c r="K15" i="1"/>
  <c r="K8" i="1"/>
  <c r="K9" i="1"/>
  <c r="K29" i="1"/>
  <c r="K10" i="1"/>
  <c r="K36" i="1"/>
  <c r="K32" i="2"/>
  <c r="K33" i="2"/>
  <c r="K27" i="2"/>
  <c r="K24" i="2"/>
  <c r="K31" i="2"/>
  <c r="K26" i="2"/>
  <c r="K14" i="2"/>
  <c r="K25" i="2"/>
  <c r="G12" i="6"/>
  <c r="R12" i="6"/>
  <c r="G11" i="6"/>
  <c r="R11" i="6"/>
  <c r="G9" i="6"/>
  <c r="R9" i="6"/>
  <c r="G13" i="6"/>
  <c r="R13" i="6"/>
  <c r="G7" i="6"/>
  <c r="R7" i="6"/>
  <c r="G6" i="6"/>
  <c r="R6" i="6"/>
  <c r="G10" i="6"/>
  <c r="R10" i="6"/>
  <c r="F53" i="1"/>
  <c r="G53" i="1" s="1"/>
  <c r="F49" i="1"/>
  <c r="F54" i="1"/>
  <c r="G54" i="1" s="1"/>
  <c r="G50" i="1"/>
  <c r="F46" i="1"/>
  <c r="F55" i="1"/>
  <c r="G55" i="1" s="1"/>
  <c r="G51" i="1"/>
  <c r="G47" i="1"/>
  <c r="G52" i="1"/>
  <c r="F48" i="1"/>
  <c r="G48" i="1" s="1"/>
  <c r="G46" i="1" l="1"/>
  <c r="F56" i="1"/>
  <c r="G43" i="2"/>
  <c r="F56" i="2"/>
  <c r="G56" i="2" s="1"/>
  <c r="K18" i="2"/>
  <c r="K56" i="2"/>
  <c r="K37" i="2"/>
  <c r="E18" i="1"/>
  <c r="D23" i="1"/>
  <c r="F26" i="6" l="1"/>
  <c r="G26" i="6"/>
  <c r="D5" i="6"/>
  <c r="K25" i="1"/>
  <c r="H7" i="1"/>
  <c r="G7" i="1"/>
  <c r="K7" i="1" s="1"/>
  <c r="G5" i="1"/>
  <c r="K5" i="1" s="1"/>
  <c r="E23" i="1"/>
  <c r="D4" i="6"/>
  <c r="D42" i="1"/>
  <c r="G4" i="1"/>
  <c r="K4" i="1" s="1"/>
  <c r="H5" i="1"/>
  <c r="G18" i="1"/>
  <c r="H18" i="1"/>
  <c r="G6" i="1"/>
  <c r="K6" i="1" s="1"/>
  <c r="H6" i="1"/>
  <c r="J23" i="1" l="1"/>
  <c r="H23" i="1"/>
  <c r="K18" i="1"/>
  <c r="E42" i="1"/>
  <c r="G44" i="1"/>
  <c r="H26" i="6"/>
  <c r="E5" i="6"/>
  <c r="G26" i="1"/>
  <c r="K26" i="1" s="1"/>
  <c r="G23" i="1"/>
  <c r="E4" i="6"/>
  <c r="G24" i="1"/>
  <c r="K24" i="1" s="1"/>
  <c r="J42" i="1" l="1"/>
  <c r="K23" i="1"/>
  <c r="G5" i="6"/>
  <c r="H4" i="6"/>
  <c r="G4" i="6"/>
  <c r="H5" i="6"/>
  <c r="H42" i="1"/>
  <c r="G45" i="1"/>
  <c r="K42" i="1" l="1"/>
  <c r="G43" i="1"/>
  <c r="G42" i="1"/>
  <c r="E37" i="1" l="1"/>
  <c r="D30" i="1"/>
  <c r="D49" i="1" s="1"/>
  <c r="E30" i="1"/>
  <c r="D37" i="1"/>
  <c r="E27" i="6" s="1"/>
  <c r="G27" i="6" s="1"/>
  <c r="H37" i="1" l="1"/>
  <c r="J30" i="1"/>
  <c r="F35" i="6" s="1"/>
  <c r="H35" i="6" s="1"/>
  <c r="H30" i="1"/>
  <c r="E49" i="1"/>
  <c r="G49" i="1" s="1"/>
  <c r="D8" i="6"/>
  <c r="D14" i="6" s="1"/>
  <c r="D56" i="1"/>
  <c r="F27" i="6"/>
  <c r="H27" i="6" s="1"/>
  <c r="G30" i="1"/>
  <c r="G37" i="1"/>
  <c r="J49" i="1" l="1"/>
  <c r="K49" i="1" s="1"/>
  <c r="K56" i="1" s="1"/>
  <c r="K30" i="1"/>
  <c r="K37" i="1" s="1"/>
  <c r="J37" i="1"/>
  <c r="J56" i="1" s="1"/>
  <c r="E56" i="1"/>
  <c r="H56" i="1" s="1"/>
  <c r="H49" i="1"/>
  <c r="E8" i="6"/>
  <c r="E14" i="6" l="1"/>
  <c r="L14" i="6" s="1"/>
  <c r="N14" i="6" s="1"/>
  <c r="Q8" i="6"/>
  <c r="Q14" i="6" s="1"/>
  <c r="G56" i="1"/>
  <c r="H8" i="6"/>
  <c r="G8" i="6"/>
  <c r="S10" i="6" l="1"/>
  <c r="G14" i="6"/>
  <c r="G15" i="6" s="1"/>
  <c r="H14" i="6"/>
  <c r="S8" i="6"/>
  <c r="S6" i="6"/>
  <c r="S4" i="6"/>
  <c r="S13" i="6"/>
  <c r="S12" i="6"/>
  <c r="R8" i="6"/>
  <c r="R14" i="6" s="1"/>
  <c r="S9" i="6"/>
  <c r="S7" i="6"/>
  <c r="S11" i="6"/>
  <c r="S5" i="6"/>
  <c r="T8" i="6" l="1"/>
  <c r="T4" i="6"/>
  <c r="T13" i="6"/>
  <c r="T9" i="6"/>
  <c r="T11" i="6"/>
  <c r="T6" i="6"/>
  <c r="T12" i="6"/>
  <c r="T10" i="6"/>
  <c r="T5" i="6"/>
  <c r="T7" i="6"/>
</calcChain>
</file>

<file path=xl/comments1.xml><?xml version="1.0" encoding="utf-8"?>
<comments xmlns="http://schemas.openxmlformats.org/spreadsheetml/2006/main">
  <authors>
    <author>NCH7HC</author>
    <author>EXTERNAL Nguyen Tuan Duong (Ban Vien, RBVH/EPS45)</author>
  </authors>
  <commentList>
    <comment ref="W117" authorId="0" shapeId="0">
      <text>
        <r>
          <rPr>
            <b/>
            <sz val="9"/>
            <color indexed="81"/>
            <rFont val="Tahoma"/>
            <family val="2"/>
          </rPr>
          <t>NCH7HC:</t>
        </r>
        <r>
          <rPr>
            <sz val="9"/>
            <color indexed="81"/>
            <rFont val="Tahoma"/>
            <family val="2"/>
          </rPr>
          <t xml:space="preserve">
Double eloc CNMS
</t>
        </r>
      </text>
    </comment>
    <comment ref="W156" authorId="1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and double effort if any
</t>
        </r>
      </text>
    </comment>
    <comment ref="W204" authorId="0" shapeId="0">
      <text>
        <r>
          <rPr>
            <b/>
            <sz val="9"/>
            <color indexed="81"/>
            <rFont val="Tahoma"/>
            <family val="2"/>
          </rPr>
          <t>NCH7HC:</t>
        </r>
        <r>
          <rPr>
            <sz val="9"/>
            <color indexed="81"/>
            <rFont val="Tahoma"/>
            <family val="2"/>
          </rPr>
          <t xml:space="preserve">
add 0.5 effort 
</t>
        </r>
      </text>
    </comment>
  </commentList>
</comments>
</file>

<file path=xl/sharedStrings.xml><?xml version="1.0" encoding="utf-8"?>
<sst xmlns="http://schemas.openxmlformats.org/spreadsheetml/2006/main" count="9620" uniqueCount="1619">
  <si>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</si>
  <si>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</si>
  <si>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</si>
  <si>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</si>
  <si>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</si>
  <si>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</si>
  <si>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</si>
  <si>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</si>
  <si>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</si>
  <si>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</si>
  <si>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</si>
  <si>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</si>
  <si>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</si>
  <si>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</si>
  <si>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</si>
  <si>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</si>
  <si>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</si>
  <si>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</si>
  <si>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</si>
  <si>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</si>
  <si>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</si>
  <si>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</si>
  <si>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</si>
  <si>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</si>
  <si>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</si>
  <si>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</si>
  <si>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</si>
  <si>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</si>
  <si>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</si>
  <si>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</si>
  <si>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</si>
  <si>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</si>
  <si>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</si>
  <si>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</si>
  <si>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3. Risks/ Pending Issues:</t>
  </si>
  <si>
    <t>Risks/ Issues</t>
  </si>
  <si>
    <t>Num of Day</t>
  </si>
  <si>
    <t>Detail</t>
  </si>
  <si>
    <t>Date</t>
  </si>
  <si>
    <t>Note:</t>
  </si>
  <si>
    <t>PSW: 450 ELOCs</t>
  </si>
  <si>
    <t>Productivity of each Member per Day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</si>
  <si>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</si>
  <si>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</si>
  <si>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</si>
  <si>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</si>
  <si>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</si>
  <si>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</si>
  <si>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</si>
  <si>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</si>
  <si>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</si>
  <si>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</si>
  <si>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</si>
  <si>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</si>
  <si>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</si>
  <si>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</si>
  <si>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</si>
  <si>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</si>
  <si>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</si>
  <si>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</si>
  <si>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</si>
  <si>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</si>
  <si>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</si>
  <si>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</si>
  <si>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</si>
  <si>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</si>
  <si>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</si>
  <si>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</si>
  <si>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</si>
  <si>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</si>
  <si>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</si>
  <si>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</si>
  <si>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</si>
  <si>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</si>
  <si>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</si>
  <si>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</si>
  <si>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</si>
  <si>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</si>
  <si>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Status Review</t>
  </si>
  <si>
    <t>Pending for OPL</t>
  </si>
  <si>
    <t>ASW: 130 ELOCs</t>
  </si>
  <si>
    <t>Effort (days)</t>
  </si>
  <si>
    <t>Total</t>
  </si>
  <si>
    <t>Judge Total KPI</t>
  </si>
  <si>
    <t>Duration</t>
  </si>
  <si>
    <t>MT_Needed</t>
  </si>
  <si>
    <t>MT_Number</t>
  </si>
  <si>
    <t>Nguyen Tai Hau</t>
  </si>
  <si>
    <t>Luu Cong Dac</t>
  </si>
  <si>
    <t>17h00</t>
  </si>
  <si>
    <t>Time</t>
  </si>
  <si>
    <t>days</t>
  </si>
  <si>
    <t>Assigned
ELOCs</t>
  </si>
  <si>
    <t>Completed
ELOCs</t>
  </si>
  <si>
    <t>Effort
(days)</t>
  </si>
  <si>
    <t>Actual Effort
(days)</t>
  </si>
  <si>
    <t>Brief Description:</t>
  </si>
  <si>
    <t>Duration (Plan)</t>
  </si>
  <si>
    <t>Duration (Actual)</t>
  </si>
  <si>
    <t>Actual Effort (days)</t>
  </si>
  <si>
    <t>Num of OPLs</t>
  </si>
  <si>
    <t>Num of Defects</t>
  </si>
  <si>
    <t>Effort PSW (days)</t>
  </si>
  <si>
    <t>Effort ASW
(days)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</si>
  <si>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</si>
  <si>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</si>
  <si>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</si>
  <si>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</si>
  <si>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</si>
  <si>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</si>
  <si>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</si>
  <si>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</si>
  <si>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</si>
  <si>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</si>
  <si>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Baseline</t>
  </si>
  <si>
    <t>Type of OPL/Defect</t>
  </si>
  <si>
    <t>Defect</t>
  </si>
  <si>
    <t>None</t>
  </si>
  <si>
    <t>10h00</t>
  </si>
  <si>
    <t>Do Anh Huy</t>
  </si>
  <si>
    <t>Release Date</t>
  </si>
  <si>
    <t>JOEM</t>
  </si>
  <si>
    <t>COEM</t>
  </si>
  <si>
    <t>Total Package for all JOEM, COEM</t>
  </si>
  <si>
    <t>PSW: 45000 ELOCS</t>
  </si>
  <si>
    <t>ASW: 13000 ELOCS</t>
  </si>
  <si>
    <t>Nguyen Tuan Duong</t>
  </si>
  <si>
    <t>Do Phu Loc</t>
  </si>
  <si>
    <t>Ly Chung</t>
  </si>
  <si>
    <t>Team size</t>
  </si>
  <si>
    <t>OK</t>
  </si>
  <si>
    <t>NG</t>
  </si>
  <si>
    <t>Team:</t>
  </si>
  <si>
    <t>1. Completed ELOCs of the team from the beginning of Month till Now:</t>
  </si>
  <si>
    <t>2. Completed ELOCs of each member from the beginning of Month till Now:</t>
  </si>
  <si>
    <t>4. Found Defects/ OPLs in Month:</t>
  </si>
  <si>
    <t>5. Leave Plan:</t>
  </si>
  <si>
    <t>Refer</t>
  </si>
  <si>
    <t>Phan The Nam</t>
  </si>
  <si>
    <t>Nguyen Tran Hoang Huy</t>
  </si>
  <si>
    <t>Nguyen Minh Chuong</t>
  </si>
  <si>
    <t>chuong.nguyen-minh</t>
  </si>
  <si>
    <t>nam.phan-the</t>
  </si>
  <si>
    <t>huy.nguyen-hoang</t>
  </si>
  <si>
    <t xml:space="preserve"> </t>
  </si>
  <si>
    <t>Duong Chi Khang</t>
  </si>
  <si>
    <t>Now</t>
  </si>
  <si>
    <t>khang.duong-chi</t>
  </si>
  <si>
    <t>LOC Assigned</t>
  </si>
  <si>
    <t>LOC Assign</t>
  </si>
  <si>
    <t>Rank LOC</t>
  </si>
  <si>
    <t>Rank KPI</t>
  </si>
  <si>
    <t>duong.nguyen-tuan</t>
  </si>
  <si>
    <t>Remain</t>
  </si>
  <si>
    <t>LOC Complete without remain</t>
  </si>
  <si>
    <t>Remain previous month (late release)</t>
  </si>
  <si>
    <t>Refer Total KPI</t>
  </si>
  <si>
    <t>Total LOC complete without remain</t>
  </si>
  <si>
    <t>Redundant LOC</t>
  </si>
  <si>
    <t>Redundant Manday</t>
  </si>
  <si>
    <t>Test auto by cantata tool, No comment</t>
  </si>
  <si>
    <t>Test by manual, No comment</t>
  </si>
  <si>
    <t>Test auto by cantata tool, comment manual</t>
  </si>
  <si>
    <t>Test manual by cantata tool, comment manual</t>
  </si>
  <si>
    <t>Test: Auto; Cmt: Auto</t>
  </si>
  <si>
    <t>Test: Manual; Cmt: Auto</t>
  </si>
  <si>
    <t>Test: Auto; Cmt: Manual</t>
  </si>
  <si>
    <t>Test: Manual; Cmt: Manual</t>
  </si>
  <si>
    <t>T200</t>
  </si>
  <si>
    <t>T201</t>
  </si>
  <si>
    <t>T202</t>
  </si>
  <si>
    <t>T203</t>
  </si>
  <si>
    <t>T204</t>
  </si>
  <si>
    <t>11h00</t>
  </si>
  <si>
    <t>Delta</t>
  </si>
  <si>
    <t>line2</t>
  </si>
  <si>
    <t>KPI\days</t>
  </si>
  <si>
    <t>RBHMI_ConfigOutputDriver_PRJ.c</t>
  </si>
  <si>
    <t>MT_051</t>
  </si>
  <si>
    <t>MT_052</t>
  </si>
  <si>
    <t>MT_053</t>
  </si>
  <si>
    <t>MT_054</t>
  </si>
  <si>
    <t>MT_055</t>
  </si>
  <si>
    <t>MT_056</t>
  </si>
  <si>
    <t>1.2</t>
  </si>
  <si>
    <t>MT_057</t>
  </si>
  <si>
    <t>MT_058</t>
  </si>
  <si>
    <t>MT_059</t>
  </si>
  <si>
    <t>New</t>
  </si>
  <si>
    <t>MT_060</t>
  </si>
  <si>
    <t>MT_007</t>
  </si>
  <si>
    <t>MT_061</t>
  </si>
  <si>
    <t>1.3</t>
  </si>
  <si>
    <t>MT_062</t>
  </si>
  <si>
    <t>MT_063</t>
  </si>
  <si>
    <t>1.4</t>
  </si>
  <si>
    <t>MT_064</t>
  </si>
  <si>
    <t>MT_065</t>
  </si>
  <si>
    <t>MT_066</t>
  </si>
  <si>
    <t>MT_069</t>
  </si>
  <si>
    <t>1.1</t>
  </si>
  <si>
    <t>MT_070</t>
  </si>
  <si>
    <t>MT_071</t>
  </si>
  <si>
    <t>1.0</t>
  </si>
  <si>
    <t>MT_083</t>
  </si>
  <si>
    <t>MT_022</t>
  </si>
  <si>
    <t>SecOC_PduRIF</t>
  </si>
  <si>
    <t>MT_023</t>
  </si>
  <si>
    <t>SecOC_Prv</t>
  </si>
  <si>
    <t>SecOC_Prv_CryptIF</t>
  </si>
  <si>
    <t>NET_CommunicationInvalid_TOYOTA</t>
  </si>
  <si>
    <t>MT_040</t>
  </si>
  <si>
    <t>MT_045</t>
  </si>
  <si>
    <t>NA</t>
  </si>
  <si>
    <t>MLI_Thermal_Motor_Model</t>
  </si>
  <si>
    <t>RBPSC_CurrentsCalc</t>
  </si>
  <si>
    <t>_4K4UQDaVEeWecojR5w2QtA</t>
  </si>
  <si>
    <t>MT_011</t>
  </si>
  <si>
    <t>MT_012</t>
  </si>
  <si>
    <t>MT_014</t>
  </si>
  <si>
    <t>MT_002</t>
  </si>
  <si>
    <t>MT_006</t>
  </si>
  <si>
    <t>MT_008</t>
  </si>
  <si>
    <t>RBMLI_PulledPedalDetection</t>
  </si>
  <si>
    <t>RBPSC_FOCMiddleware</t>
  </si>
  <si>
    <t>MT_004</t>
  </si>
  <si>
    <t>MT_005</t>
  </si>
  <si>
    <t>MT_016</t>
  </si>
  <si>
    <t>MT_021</t>
  </si>
  <si>
    <t>MT_047</t>
  </si>
  <si>
    <t>MT_048</t>
  </si>
  <si>
    <t>RBHMI_ExtStatesDefinitionTable.c</t>
  </si>
  <si>
    <t>RBHMI_ExtStateCalculation_PRJ.c</t>
  </si>
  <si>
    <t>RBHMI_PresentStateCalculation_PRJ.c</t>
  </si>
  <si>
    <t>RBHMI_StatesDefinitionTable_PRJ.c</t>
  </si>
  <si>
    <t>RBHMI_Synchronisation_PRJ.c</t>
  </si>
  <si>
    <t>RBAPLHELP_SessionHandler</t>
  </si>
  <si>
    <t>RBAPLCUST_22_RDBI</t>
  </si>
  <si>
    <t>RBAPLCUST_RecordOnBehavior</t>
  </si>
  <si>
    <t>SystemActiveCheckMain_TOYOTA</t>
  </si>
  <si>
    <t>TripTimeCountersMain_TOYOTA</t>
  </si>
  <si>
    <t>_uV7m8c4fEeSjs6BHmnUvww</t>
  </si>
  <si>
    <t>VSE_LongTireForce_MuLongOffset</t>
  </si>
  <si>
    <t>MT_025</t>
  </si>
  <si>
    <t>MT_027</t>
  </si>
  <si>
    <t>MT_030</t>
  </si>
  <si>
    <t>MT_013</t>
  </si>
  <si>
    <t>MT_015</t>
  </si>
  <si>
    <t>MT_017</t>
  </si>
  <si>
    <t>RbPduHandler</t>
  </si>
  <si>
    <t>_a5mMAOoBEeWOefLP2SOGAw</t>
  </si>
  <si>
    <t>Rao Ananya (RBEI/ESJ32)</t>
  </si>
  <si>
    <t>MT_034</t>
  </si>
  <si>
    <t>CNMS_179148_Deuterium_Super_20201030_BL02_SP07</t>
  </si>
  <si>
    <t>RBBSI_DiagFailureHandler</t>
  </si>
  <si>
    <t>RBBSI_StateHandler</t>
  </si>
  <si>
    <t>RBLBR_BrakeRequestController</t>
  </si>
  <si>
    <t>RBLBR_BrakeRequestRecognition</t>
  </si>
  <si>
    <t>RBLBR_ControlMain</t>
  </si>
  <si>
    <t>MLI_Current_Reduction</t>
  </si>
  <si>
    <t>MLI_External_Runout_Control</t>
  </si>
  <si>
    <t>MLI_ForceLimitation_RCP</t>
  </si>
  <si>
    <t>MLI_Friction_Reduction</t>
  </si>
  <si>
    <t>MLI_RCP_SpeedLimitation</t>
  </si>
  <si>
    <t>MLI_Runout_ReleaseControl</t>
  </si>
  <si>
    <t>RBPSC_ForceLimitation</t>
  </si>
  <si>
    <t>RBPSC_HWVariant</t>
  </si>
  <si>
    <t>RBPSC_IBattLimitation</t>
  </si>
  <si>
    <t>RBPSC_SetUab</t>
  </si>
  <si>
    <t>RBPSC_SpeedControl</t>
  </si>
  <si>
    <t>RBEMM_TrcvSleepCoordinator</t>
  </si>
  <si>
    <t>RBEMM_WakeupProcessing</t>
  </si>
  <si>
    <t>CUBAS_Comstack_Can</t>
  </si>
  <si>
    <t>RB_STM_CGC</t>
  </si>
  <si>
    <t>CyberSecurityKeyManagement_TOYOTA</t>
  </si>
  <si>
    <t>RBAPLCUST_DcmSetUpRoeEvent</t>
  </si>
  <si>
    <t>NET_Monitoring_TOYOTA</t>
  </si>
  <si>
    <t>NET_MonitoringClasses_TOYOTA</t>
  </si>
  <si>
    <t>NET_SCL_RcvCGW1S11_CAN1_TOY</t>
  </si>
  <si>
    <t>NET_SCL_RcvCGW1S12_CAN1_TOY</t>
  </si>
  <si>
    <t>NET_SCL_RcvCGW1S13_CAN1_TOY</t>
  </si>
  <si>
    <t>NET_SCL_RcvCGW1S14_CAN1_TOY</t>
  </si>
  <si>
    <t>NET_SCL_RcvCGW1S15_CAN1_TOY</t>
  </si>
  <si>
    <t>NET_SCL_RcvCGW1S16_CAN1_TOY</t>
  </si>
  <si>
    <t>NET_SCL_RcvCGW1S17_CAN1_TOY</t>
  </si>
  <si>
    <t>NET_SCL_RcvCGW1S18_CAN1_TOY</t>
  </si>
  <si>
    <t>NET_SCL_RcvCGW1S21_CAN1_TOY</t>
  </si>
  <si>
    <t>NET_SCL_RcvCGW1S22_CAN1_TOY</t>
  </si>
  <si>
    <t>NET_SCL_RcvCGW1S23_CAN1_TOY</t>
  </si>
  <si>
    <t>NET_SCL_RcvCGW1S24_CAN1_TOY</t>
  </si>
  <si>
    <t>NET_SCL_RcvCGW1S25_CAN1_TOY</t>
  </si>
  <si>
    <t>NET_SCL_RcvVSC1S36_CAN1_FD_TOY</t>
  </si>
  <si>
    <t>NET_SCL_XmtVSC1534_CAN1_FD_TOY</t>
  </si>
  <si>
    <t>NET_SCL_XmtVSC1534_CAN2_TOY</t>
  </si>
  <si>
    <t>CheckDIANodeStatus_ECU</t>
  </si>
  <si>
    <t>CheckDIANodeStatus_ESPiB1_ESPiB2_Ch1</t>
  </si>
  <si>
    <t>CheckDIANodeStatus_ESPiB1_ESPiB2_Ch2</t>
  </si>
  <si>
    <t>CheckDIANodeStatus_MotorActuator</t>
  </si>
  <si>
    <t>CheckDIANodeStatus_PSCHardVoltage</t>
  </si>
  <si>
    <t>CheckDIANodeStatus_RotorPositionSensor</t>
  </si>
  <si>
    <t>CheckDIANodeStatus_RPS_PSC</t>
  </si>
  <si>
    <t>CheckDIANodeStatus_VSC1G05</t>
  </si>
  <si>
    <t>CheckDIASignalStatus_BLMTemperature</t>
  </si>
  <si>
    <t>CheckDIASignalStatus_BothCANFailure</t>
  </si>
  <si>
    <t>CheckDIASignalStatus_DLC</t>
  </si>
  <si>
    <t>CheckDIASignalStatus_DLC_Shutdown</t>
  </si>
  <si>
    <t>CheckDIASignalStatus_DLCiB</t>
  </si>
  <si>
    <t>CheckDIASignalStatus_MainPowerSupply</t>
  </si>
  <si>
    <t>CheckDIASignalStatus_PSCSoftVoltageLevel2</t>
  </si>
  <si>
    <t>Dem_NodeID_BLMTemperature</t>
  </si>
  <si>
    <t>Dem_NodeID_BothCANFailure</t>
  </si>
  <si>
    <t>Dem_NodeID_DLC</t>
  </si>
  <si>
    <t>Dem_NodeID_DLC_Shutdown</t>
  </si>
  <si>
    <t>Dem_NodeID_DLCiB</t>
  </si>
  <si>
    <t>Dem_NodeID_ECU</t>
  </si>
  <si>
    <t>Dem_NodeID_ESPiB1_ESPiB2_Ch1</t>
  </si>
  <si>
    <t>Dem_NodeID_ESPiB1_ESPiB2_Ch2</t>
  </si>
  <si>
    <t>Dem_NodeID_MainPowerSupply</t>
  </si>
  <si>
    <t>Dem_NodeID_MaxWheelPressure_Net</t>
  </si>
  <si>
    <t>Dem_NodeID_MLIThermalDegradation</t>
  </si>
  <si>
    <t>Dem_NodeID_MotorActuator</t>
  </si>
  <si>
    <t>Dem_NodeID_PSCHardVoltage</t>
  </si>
  <si>
    <t>Dem_NodeID_RotorPositionSensor</t>
  </si>
  <si>
    <t>Dem_NodeID_RPS_PSC</t>
  </si>
  <si>
    <t>Dem_NodeID_VSC1G05</t>
  </si>
  <si>
    <t>EBR_Request_Active</t>
  </si>
  <si>
    <t>FOP_FailOperationCondition</t>
  </si>
  <si>
    <t>FOP_FOPActiveCondition</t>
  </si>
  <si>
    <t>FOP_FOPActiveMainBatMalfunction</t>
  </si>
  <si>
    <t>FOP_RemoteParkingRequestLatchCountermeasure</t>
  </si>
  <si>
    <t>PFA_URSMCurveCoordinator</t>
  </si>
  <si>
    <t>RCP_DLCandRCPFunctionErrorConfirmation</t>
  </si>
  <si>
    <t>RCP_DLCInternalErrorConfirmation</t>
  </si>
  <si>
    <t>RCP_FailClass_Handling</t>
  </si>
  <si>
    <t>RCP_PermitFOPDuringRCPLatch</t>
  </si>
  <si>
    <t>RCP_RCPActiveCondition</t>
  </si>
  <si>
    <t>RCP_RCPFlagConfirmation</t>
  </si>
  <si>
    <t>RCP_TOY_LFI</t>
  </si>
  <si>
    <t>RCP_Varaint_FS</t>
  </si>
  <si>
    <t>LinIf_Cfg</t>
  </si>
  <si>
    <t>_2TUKgHT9Eeinn7H-VBc08Q</t>
  </si>
  <si>
    <t>_2YhaoHT9Eeinn7H-VBc08Q</t>
  </si>
  <si>
    <t>_JZpZwOL7EeadpvCs8fxX9A</t>
  </si>
  <si>
    <t>_JZuSQOL7EeadpvCs8fxX9A</t>
  </si>
  <si>
    <t>_JZu5UOL7EeadpvCs8fxX9A</t>
  </si>
  <si>
    <t>15.5.118.0</t>
  </si>
  <si>
    <t>14.5.118.1</t>
  </si>
  <si>
    <t>16.9.118.0</t>
  </si>
  <si>
    <t>14.4.1.0.118.2</t>
  </si>
  <si>
    <t>14.6.118.0</t>
  </si>
  <si>
    <t>_gkr6MFM2EeaRye6Xwko1Ag</t>
  </si>
  <si>
    <t>_IdWaopFEEeeDz7DHVpeUBQ</t>
  </si>
  <si>
    <t>_20UF0aH2Eee2s5bjfNwcWw</t>
  </si>
  <si>
    <t>_dgGkgDOdEeancIKpe-Oypg</t>
  </si>
  <si>
    <t>_20UF06H2Eee2s5bjfNwcWw</t>
  </si>
  <si>
    <t>_S-KA0DyQEeS71KOlYPnV3Q</t>
  </si>
  <si>
    <t>_L-qlQJFEEeeDz7DHVpeUBQ</t>
  </si>
  <si>
    <t>_GswiUzNlEemYGYlz2_3l2Q</t>
  </si>
  <si>
    <t>_GswiVTNlEemYGYlz2_3l2Q</t>
  </si>
  <si>
    <t>_HG2BwFp9EeeM0at1h6DXkA</t>
  </si>
  <si>
    <t>_H6SFAHbFEeeMAq9ETvLY5w</t>
  </si>
  <si>
    <t>_P5el0HmzEeiFDe-L2rRUcw</t>
  </si>
  <si>
    <t>_nuCosEoHEeiV56tHieM6xg</t>
  </si>
  <si>
    <t>_465skOgiEea54doU8mrxqQ</t>
  </si>
  <si>
    <t>_Ly8gsEoQEeiAEeMPtw5N_g</t>
  </si>
  <si>
    <t>_ShEVgEkTEeiV56tHieM6xg</t>
  </si>
  <si>
    <t>_ShEVgUkTEeiV56tHieM6xg</t>
  </si>
  <si>
    <t>_ReAdER7aEemZYvXJ5FUKsg</t>
  </si>
  <si>
    <t>_ReAdFB7aEemZYvXJ5FUKsg</t>
  </si>
  <si>
    <t>_ReAdEx7aEemZYvXJ5FUKsg</t>
  </si>
  <si>
    <t>_RdanMB7aEemZYvXJ5FUKsg</t>
  </si>
  <si>
    <t>_RdanMR7aEemZYvXJ5FUKsg</t>
  </si>
  <si>
    <t>_RdanMh7aEemZYvXJ5FUKsg</t>
  </si>
  <si>
    <t>_RdanMx7aEemZYvXJ5FUKsg</t>
  </si>
  <si>
    <t>_RdanNB7aEemZYvXJ5FUKsg</t>
  </si>
  <si>
    <t>_RdanNR7aEemZYvXJ5FUKsg</t>
  </si>
  <si>
    <t>_RdanNh7aEemZYvXJ5FUKsg</t>
  </si>
  <si>
    <t>_RdanNx7aEemZYvXJ5FUKsg</t>
  </si>
  <si>
    <t>_RdanOB7aEemZYvXJ5FUKsg</t>
  </si>
  <si>
    <t>_RdanOR7aEemZYvXJ5FUKsg</t>
  </si>
  <si>
    <t>_RdkYMB7aEemZYvXJ5FUKsg</t>
  </si>
  <si>
    <t>_RdkYMR7aEemZYvXJ5FUKsg</t>
  </si>
  <si>
    <t>_RdkYMh7aEemZYvXJ5FUKsg</t>
  </si>
  <si>
    <t>_RdkYNR7aEemZYvXJ5FUKsg</t>
  </si>
  <si>
    <t>_Rd3TIB7aEemZYvXJ5FUKsg</t>
  </si>
  <si>
    <t>_Rd3TIR7aEemZYvXJ5FUKsg</t>
  </si>
  <si>
    <t>1.7.118.0</t>
  </si>
  <si>
    <t>_A7KdlBDUEeqan835Y0peLA</t>
  </si>
  <si>
    <t>_A7w6lBDUEeqan835Y0peLA</t>
  </si>
  <si>
    <t>_A7w6lhDUEeqan835Y0peLA</t>
  </si>
  <si>
    <t>_A76EcRDUEeqan835Y0peLA</t>
  </si>
  <si>
    <t>Usui Jun (CC/EYB3-JP)</t>
  </si>
  <si>
    <t>Morozumi Shota (CC/EYB3-JP)</t>
  </si>
  <si>
    <t>Vignesh, Ganesan</t>
  </si>
  <si>
    <t>Halamani Prabhu (RBEI/ESJ-ATO)</t>
  </si>
  <si>
    <t>Bordoloi Ananya (RBEI/ESJ32)</t>
  </si>
  <si>
    <t>Yuvaraju Raju (RBEI/ESJ32)</t>
  </si>
  <si>
    <t>Uratsuji Tomoharu (CC-AS/ESJ3-JP)</t>
  </si>
  <si>
    <t>Usui, Jun</t>
  </si>
  <si>
    <t>Ri, Cholmin</t>
  </si>
  <si>
    <t>Morozumi, Shota</t>
  </si>
  <si>
    <t>delta</t>
  </si>
  <si>
    <t>dSD</t>
  </si>
  <si>
    <t>BB80800</t>
  </si>
  <si>
    <t>TOY_iBooster_PF19_Release_30</t>
  </si>
  <si>
    <t>MT_031</t>
  </si>
  <si>
    <t>MT_092</t>
  </si>
  <si>
    <t>MT_093</t>
  </si>
  <si>
    <t>MT_094</t>
  </si>
  <si>
    <t>MT_200</t>
  </si>
  <si>
    <t>MT_201</t>
  </si>
  <si>
    <t>MT_202</t>
  </si>
  <si>
    <t>MT_203</t>
  </si>
  <si>
    <t>MT_204</t>
  </si>
  <si>
    <t>MT_205</t>
  </si>
  <si>
    <t>MT_206</t>
  </si>
  <si>
    <t>MT_207</t>
  </si>
  <si>
    <t>MT_208</t>
  </si>
  <si>
    <t>MT_209</t>
  </si>
  <si>
    <t>MT_210</t>
  </si>
  <si>
    <t>MT_211</t>
  </si>
  <si>
    <t>MT_212</t>
  </si>
  <si>
    <t>MT_213</t>
  </si>
  <si>
    <t>MT_214</t>
  </si>
  <si>
    <t>MT_215</t>
  </si>
  <si>
    <t>MT_216</t>
  </si>
  <si>
    <t>MT_217</t>
  </si>
  <si>
    <t>MT_218</t>
  </si>
  <si>
    <t>MT_219</t>
  </si>
  <si>
    <t>MT_220</t>
  </si>
  <si>
    <t>MT_221</t>
  </si>
  <si>
    <t>MT_222</t>
  </si>
  <si>
    <t>MT_223</t>
  </si>
  <si>
    <t>MT_224</t>
  </si>
  <si>
    <t>MT_225</t>
  </si>
  <si>
    <t>MT_226</t>
  </si>
  <si>
    <t>MT_227</t>
  </si>
  <si>
    <t>MT_228</t>
  </si>
  <si>
    <t>MT_229</t>
  </si>
  <si>
    <t>MT_230</t>
  </si>
  <si>
    <t>MT_231</t>
  </si>
  <si>
    <t>MT_232</t>
  </si>
  <si>
    <t>MT_233</t>
  </si>
  <si>
    <t>MT_234</t>
  </si>
  <si>
    <t>MT_235</t>
  </si>
  <si>
    <t>MT_236</t>
  </si>
  <si>
    <t>MT_237</t>
  </si>
  <si>
    <t>MT_238</t>
  </si>
  <si>
    <t>MT_239</t>
  </si>
  <si>
    <t>MT_240</t>
  </si>
  <si>
    <t>MT_241</t>
  </si>
  <si>
    <t>MT_242</t>
  </si>
  <si>
    <t>MT_243</t>
  </si>
  <si>
    <t>MT_244</t>
  </si>
  <si>
    <t>MT_245</t>
  </si>
  <si>
    <t>MT_246</t>
  </si>
  <si>
    <t>MT_247</t>
  </si>
  <si>
    <t>MT_248</t>
  </si>
  <si>
    <t>MT_249</t>
  </si>
  <si>
    <t>MT_250</t>
  </si>
  <si>
    <t>MT_251</t>
  </si>
  <si>
    <t>Test by Cantata</t>
  </si>
  <si>
    <t>none</t>
  </si>
  <si>
    <t>- Can't cover for true decision at line #376, #476, #518 because type of l_QEBRTG_UW, l_PMCRBS_UW, l_PMCFBTG_UW is uint16_t never less than 0 and type of l_QEBRTGS_UB is uint8_t never more than 64513, l_PMCRBSS_UB , l_PMCFBTGS_UB never more than 1001</t>
  </si>
  <si>
    <t>No functions to test</t>
  </si>
  <si>
    <t>GX16_ESPhevX_241160_BL02</t>
  </si>
  <si>
    <t>242899_GAC_A39_ESP9.3CPHD_RC4_BL02</t>
  </si>
  <si>
    <t>FxEmergencyBrakingLimit_AP</t>
  </si>
  <si>
    <t>TCS_Replenish_Index</t>
  </si>
  <si>
    <t>1.0.315.0</t>
  </si>
  <si>
    <t>1.7.315.0.1.0</t>
  </si>
  <si>
    <t>ActLgt_ECU_CSW_BB00001.axl</t>
  </si>
  <si>
    <t>BaoNeng_Deuterium_ESP_HevX_INT</t>
  </si>
  <si>
    <t>LeanTcs20msVse_ECU_CSW_BB00001.axl and Esp9wAPBCPEncapSWCust_ECU_CSW_BB95572.axl</t>
  </si>
  <si>
    <t>BL02_SP07</t>
  </si>
  <si>
    <t>BL02</t>
  </si>
  <si>
    <t>BB82219</t>
  </si>
  <si>
    <t>YU Yichi (CC-AD/EYM-CN)</t>
  </si>
  <si>
    <t>CHEN Xiaomin (CC-AS/EVA-SW31-CN)</t>
  </si>
  <si>
    <t>HUANG Shuai (CC-AS/EVA-SW1-CN)</t>
  </si>
  <si>
    <t>Line#11, Can't cover over max for MLI_RCP_SpeedTarget because at line 8 the output is min of in_Speed_Target and P_MLI_RCP_MaxVelocity meanwhile max of P_MLI_RCP_MaxVelocity is 900 equal to MLI_RCP_SpeedTarget
Line#9, Can not cover over max for MLI_Speed_GradientLimited because this case will be when in_Speed need more than 900 but actual range for this parameter from -900 to 900
Line#13, Can not cover over max for MLI_Speed_GradientLimited because this case will be when in_Speed_Init need less than 900 but actual range for this parameter from -900 to 900</t>
  </si>
  <si>
    <t>- No function to test</t>
  </si>
  <si>
    <t>-No reuse (Too diff)</t>
  </si>
  <si>
    <t>-Cannot cover false case of condition at line 152. Because variable ls_SystemInitCounter_UW is set to constant C_HMISystemInitTimeSpanCycleCounter_UW</t>
  </si>
  <si>
    <t>-Owner confirms no impact
-No reuse (Too diff)</t>
  </si>
  <si>
    <t>Line #477: Cannot cover false case. Because if RBBSI_StateMachineParam.NvMShutdownWriteTimer_u32 is not equal to zero than condition at line 446 is true.
Line #934: Cannot cover false case. Because the type of function Dem_NodeIsFailedItself is boolean</t>
  </si>
  <si>
    <t>BaoNeng_Deuterium_ESP_HevX_INT\CNMSRPAhevX\rb\as\baoneng\core\app\dsm\RBHMI\src</t>
  </si>
  <si>
    <t>-No re-use. The old file is too different with this version.</t>
  </si>
  <si>
    <t>Line #831,#952: Cannot cover true case of else if(g_Inhibitflag_B) because conflict with condition if(g_Inhibitflag_B) at line #798,#952
Line #872,#885,#898,#911,#923 : Cannot cover false case of else if (g_MAC_F01B_flag_B) because if g_MAC_F014_flag_B = false and g_MAC_F01B_flag_B = false -&gt; Condition at line #863 = false -&gt; These line never reach</t>
  </si>
  <si>
    <t>- Param 1D, 2D
- 1. Local parameter P_muLong_offset_muEff_traction is param 2D and have size is 4x2 but imported parameter VSE_VDC_TireForce_muLong_offset_muEff_traction have size is 2x2
- 2. Can’t cover max min for variable muLong_offset_latDyn_brake and muLong_offset_latDyn_traction  at line#76,77. At line#71,72 muLong_offset_latDyn_brake and muLong_offset_latDyn_traction  are assigned by 0. They have [-2,2] range and 2 param2D have return value [-2,2] range. So, we can not cover out range max min for muLong_offset_latDyn_brake and muLong_offset_latDyn_traction
- 3. Some local variables not have in ATT =&gt; missing some signals in plt file</t>
  </si>
  <si>
    <t>TOY_iBooster_714B_CV_Release_03</t>
  </si>
  <si>
    <t>RBAPLPLANT_RoutineControl</t>
  </si>
  <si>
    <t>RBAPLPLANT_SecurityGate</t>
  </si>
  <si>
    <t>MT_003</t>
  </si>
  <si>
    <t>Vivek Parashar (RBEI/ESJ6)</t>
  </si>
  <si>
    <t>Guist Hartmut (CC-AS/ECC6)</t>
  </si>
  <si>
    <t>BB82707</t>
  </si>
  <si>
    <t>-Please comment follow ASPICE Standard
Owner confirm is no impact</t>
  </si>
  <si>
    <t>- At line #9: Can’t cover out of max value for FxThrs_PWheelsLocked (-250000 , 250000) because C_p2Fx is always &lt; 0.</t>
  </si>
  <si>
    <t>CHJ_M01_ESPHevx_ACC_RC_BSL01</t>
  </si>
  <si>
    <t>CNMS_179148_Carbon_ESP_BL07</t>
  </si>
  <si>
    <t>TCS_Ps_Switcher_MTC_Req</t>
  </si>
  <si>
    <t>RBA_NDS_IPBPressure_Callout.c</t>
  </si>
  <si>
    <t>CCM_Callbacks_Project.c</t>
  </si>
  <si>
    <t>1.1.147323.0</t>
  </si>
  <si>
    <t>1.10.147323.0</t>
  </si>
  <si>
    <t>XIE Hai (CC-AS/EVA-SW1-CN)</t>
  </si>
  <si>
    <t>YE Tianyu (CC-AS/ESW2-CN)</t>
  </si>
  <si>
    <t>HUANG Kaibing (CC-AS/ESW2-CN)</t>
  </si>
  <si>
    <t>-Please comment follow ASPICE Standard</t>
  </si>
  <si>
    <t>LeanTcs20msVse_ECU_CSW_BB00001</t>
  </si>
  <si>
    <t>CNMS_Deuterium_Int</t>
  </si>
  <si>
    <t>CNMS_ESP_Carbon_Int</t>
  </si>
  <si>
    <t>BSL01</t>
  </si>
  <si>
    <t>BL07</t>
  </si>
  <si>
    <t>Be aware to comment as new template: "positive, negative", comment for DSD ID</t>
  </si>
  <si>
    <t>No function to test</t>
  </si>
  <si>
    <t>VlcLsm_ActiveDegradationTimeEval</t>
  </si>
  <si>
    <t>VlcLsm_BckpEnforceDecouplingPowertrain</t>
  </si>
  <si>
    <t>PLTMT_19101910</t>
  </si>
  <si>
    <t>PLTMT_20102110</t>
  </si>
  <si>
    <t>RawvTar</t>
  </si>
  <si>
    <t>Smooth_vTar</t>
  </si>
  <si>
    <t>Code coverage reason:
Param 1D cannot cover full C0/C1
Line #10,#18: Cannot division by zero with variable &lt;C_LSM_vTarFutureLookupDist&gt; because conflict with condition at line #2
Line #36: Cannot cover false case of if (true) because this condition always TRUE</t>
  </si>
  <si>
    <t>Line #1089: Cannot cover case 0xD1, 0xD2, 0xD3, 0xD4, 0xD5, 0xD7, 0xD8, 0xD9, default of switch case at this line. Because the type of variable mySENTIdMapping_st is const and mySENTIdMapping_st[0].fixSENTId = 0xD6</t>
  </si>
  <si>
    <t>RBSEC_Sec</t>
  </si>
  <si>
    <t>RBHMI_ConfigOutputDriver_TOYOTA</t>
  </si>
  <si>
    <t>RBHMI_Synchronisation_TOYOTA</t>
  </si>
  <si>
    <t>TOY_DEM_Implementation</t>
  </si>
  <si>
    <t>NET_SCL_XmtVSC1G05_TOY</t>
  </si>
  <si>
    <t>TOY_403B_RC2_Integration03</t>
  </si>
  <si>
    <t>MT_001</t>
  </si>
  <si>
    <t>MT_010</t>
  </si>
  <si>
    <t>MT_019</t>
  </si>
  <si>
    <t>BB83057</t>
  </si>
  <si>
    <t>Chaitanya Kumar Kollu (RBEI/ESD-PP2)</t>
  </si>
  <si>
    <t>Krithika Premkumar (RBEI/ESJ32)</t>
  </si>
  <si>
    <t>Amith A (RBEI/ESJ3)</t>
  </si>
  <si>
    <t>Chitra Lekha Venkatesha (RBEI/ESJ31)</t>
  </si>
  <si>
    <t>_tfitwXbTEee5I9RvZWO0-w</t>
  </si>
  <si>
    <t>_DIxHAHJTEeW3yK0Jwr6c_w</t>
  </si>
  <si>
    <t>_DIv44HJTEeW3yK0Jwr6c_w</t>
  </si>
  <si>
    <t>_abOaYKI2EeWCEOxdapoLLQ</t>
  </si>
  <si>
    <t>_wJDUQNlWEeWsZpm6HklIrw</t>
  </si>
  <si>
    <t>_l1RR4G01EeifyfhLxmbFOQ</t>
  </si>
  <si>
    <t>_lzyEIG01EeifyfhLxmbFOQ</t>
  </si>
  <si>
    <t>Yes</t>
  </si>
  <si>
    <t>- Defect ID 1739421</t>
  </si>
  <si>
    <t>- Defect ID 1739413</t>
  </si>
  <si>
    <t>RBA_NDS_WSS_FailureInfo_Callout.c</t>
  </si>
  <si>
    <t>RBPduHandler_Callouts.c</t>
  </si>
  <si>
    <t>CNMS_Deuterium</t>
  </si>
  <si>
    <t>- 2 Local parameters in data with dataset “Axle_2nd" is undefine.
- Less coverage C0, C1 due to this class contain Param1D.</t>
  </si>
  <si>
    <t>CNMS_ESP_Carbon_Int\MainstreamF30\rb\as\rbcn\CpiwAPB\dsmpr\src\RBEMM</t>
  </si>
  <si>
    <t>T500</t>
  </si>
  <si>
    <t>T501</t>
  </si>
  <si>
    <t>T502</t>
  </si>
  <si>
    <t>PSA_EMP2V4_HP_BL1S5V2</t>
  </si>
  <si>
    <t>RBBEO_Generic_FUN_PSA</t>
  </si>
  <si>
    <t>ESPhybridToyotaAuris_MbDriverTarget</t>
  </si>
  <si>
    <t>LDMNoIncrMbRegenTarget_PHEVv2</t>
  </si>
  <si>
    <t>RBAPLCUST_StateMachineRoutineControl_PSA</t>
  </si>
  <si>
    <t>TCS_DSM_FinalTCSControlState</t>
  </si>
  <si>
    <t>TCS_DSM_FaultHandling_StaticStates</t>
  </si>
  <si>
    <t>_BdadIAxBEeqAP7vM2IShVQ</t>
  </si>
  <si>
    <t>1.9.115.1</t>
  </si>
  <si>
    <t>_uBP_8Dx4Eee5D9ARzhf8yQ</t>
  </si>
  <si>
    <t>1.2.115.0</t>
  </si>
  <si>
    <t>1.4.115.0</t>
  </si>
  <si>
    <t>EXTERNAL AFETTOUCHE Massinissa (AKKA, CC-AS/ESF1)</t>
  </si>
  <si>
    <t>Queval, Jerome</t>
  </si>
  <si>
    <t>Latha Soundararajan (RBEI/ESF42)</t>
  </si>
  <si>
    <t>Dabladji, Habib</t>
  </si>
  <si>
    <t>MT_024</t>
  </si>
  <si>
    <t>BB81940</t>
  </si>
  <si>
    <t>GWM_B30_CP_BSS09_A30EV_RC</t>
  </si>
  <si>
    <t>WM_ASE-3_ESP9.3_HP_BB99299_BSS06_STRWM_C301</t>
  </si>
  <si>
    <t>RBAPLCUST_RDBI_BOM.c</t>
  </si>
  <si>
    <t>rba_BldrCmp_Cfg_CheckMem.c</t>
  </si>
  <si>
    <t>rba_BldrCmp_Cfg_FlashIf.c</t>
  </si>
  <si>
    <t>rba_BldrBCLSigChk.c</t>
  </si>
  <si>
    <t>rba_BldrCmp_Cfg_SecA.c</t>
  </si>
  <si>
    <t>rba_BldrCmp_Cfg_Functions.c</t>
  </si>
  <si>
    <t>CubasAdapter.c</t>
  </si>
  <si>
    <t>rba_BldrFlsDrv_Cfg.c</t>
  </si>
  <si>
    <t>rba_BldrFlsDrv.c</t>
  </si>
  <si>
    <t>rba_Bldr_main.c</t>
  </si>
  <si>
    <t>rba_Bmgr_main.c</t>
  </si>
  <si>
    <t>BB99299</t>
  </si>
  <si>
    <t>BSS06</t>
  </si>
  <si>
    <t>BSS09</t>
  </si>
  <si>
    <t>XU Zhuofan (CC-AS/EVA-SW33-CN)</t>
  </si>
  <si>
    <t>Moogambika Ratha Krishnan (RBEI/EBB7)</t>
  </si>
  <si>
    <t>GWM_AB30_CP_Int</t>
  </si>
  <si>
    <t>WM_ASE3_HevX_HADHAP_Int</t>
  </si>
  <si>
    <t>- Line#67: Can't cover case default of switch (MLI_DCOM_StillStandDegradation_Request) line#67 because there is no enum value to assign to MLI_DCOM_StillStandDegradation_Request.
- Line#142: And similarly, can't cover case default of switch(in_TargetStateRunOut) at line#142 with the above reason.</t>
  </si>
  <si>
    <r>
      <t xml:space="preserve">*Note (this point is applied to Line#59): implementation of </t>
    </r>
    <r>
      <rPr>
        <sz val="10"/>
        <color rgb="FFFF0000"/>
        <rFont val="Arial"/>
        <family val="2"/>
      </rPr>
      <t>MLI_RO_TorqueLimit</t>
    </r>
    <r>
      <rPr>
        <sz val="10"/>
        <rFont val="Arial"/>
        <family val="2"/>
      </rPr>
      <t xml:space="preserve"> is </t>
    </r>
    <r>
      <rPr>
        <sz val="10"/>
        <color rgb="FFFF0000"/>
        <rFont val="Arial"/>
        <family val="2"/>
      </rPr>
      <t>[15.99,-16]</t>
    </r>
    <r>
      <rPr>
        <sz val="10"/>
        <rFont val="Arial"/>
        <family val="2"/>
      </rPr>
      <t xml:space="preserve">, but it is assigned by P_MLI_RO_TorqueRedLimit_ib1, P_MLI_RO_TorqueRedLimit_ib1_plus or P_MLI_RO_TorqueRedLimit_ib2. Then, P_MLI_RO_TorqueRedLimit_ib1, P_MLI_RO_TorqueRedLimit_ib1_plus and P_MLI_RO_TorqueRedLimit_ib2 are assigned by imported parameter with the range [16,0]. Finally, </t>
    </r>
    <r>
      <rPr>
        <sz val="10"/>
        <color rgb="FFFF0000"/>
        <rFont val="Arial"/>
        <family val="2"/>
      </rPr>
      <t>MLI_RO_TorqueLimit has range [15.99,0].</t>
    </r>
    <r>
      <rPr>
        <sz val="10"/>
        <rFont val="Arial"/>
        <family val="2"/>
      </rPr>
      <t xml:space="preserve">
- Line#24: Can't cover out range maximum value </t>
    </r>
    <r>
      <rPr>
        <sz val="10"/>
        <color rgb="FFFF0000"/>
        <rFont val="Arial"/>
        <family val="2"/>
      </rPr>
      <t>5000</t>
    </r>
    <r>
      <rPr>
        <sz val="10"/>
        <rFont val="Arial"/>
        <family val="2"/>
      </rPr>
      <t xml:space="preserve"> of local variables at line#24. Let the line#24 appears, MLI_CurrentRed_cntr is less than or equal P_RO_TorqueRed_WaitTime. But P_RO_TorqueRed_WaitTime has maximum value is 4000, so MLI_CurrentRed_cntr is always less than </t>
    </r>
    <r>
      <rPr>
        <sz val="10"/>
        <color rgb="FFFF0000"/>
        <rFont val="Arial"/>
        <family val="2"/>
      </rPr>
      <t xml:space="preserve">4000.
</t>
    </r>
    <r>
      <rPr>
        <sz val="10"/>
        <rFont val="Arial"/>
        <family val="2"/>
      </rPr>
      <t xml:space="preserve">- Line#59:Can't return value of MLI_RO_Trq_step at line#59 (MLI_Runout_Target_Torque - MLI_RO_TorqueLimit)/P_RO_Torque_RampTime with case </t>
    </r>
    <r>
      <rPr>
        <sz val="10"/>
        <color rgb="FFFF0000"/>
        <rFont val="Arial"/>
        <family val="2"/>
      </rPr>
      <t>P_RO_Torque_RampTime=0.</t>
    </r>
    <r>
      <rPr>
        <sz val="10"/>
        <rFont val="Arial"/>
        <family val="2"/>
      </rPr>
      <t xml:space="preserve"> It's impossible</t>
    </r>
    <r>
      <rPr>
        <sz val="10"/>
        <color rgb="FFFF0000"/>
        <rFont val="Arial"/>
        <family val="2"/>
      </rPr>
      <t xml:space="preserve">. 
</t>
    </r>
    <r>
      <rPr>
        <sz val="10"/>
        <rFont val="Arial"/>
        <family val="2"/>
      </rPr>
      <t xml:space="preserve">- Line#59: Can't cover out range maximum value </t>
    </r>
    <r>
      <rPr>
        <sz val="10"/>
        <color rgb="FFFF0000"/>
        <rFont val="Arial"/>
        <family val="2"/>
      </rPr>
      <t>15.99</t>
    </r>
    <r>
      <rPr>
        <sz val="10"/>
        <rFont val="Arial"/>
        <family val="2"/>
      </rPr>
      <t xml:space="preserve"> and minimum value</t>
    </r>
    <r>
      <rPr>
        <sz val="10"/>
        <color rgb="FFFF0000"/>
        <rFont val="Arial"/>
        <family val="2"/>
      </rPr>
      <t xml:space="preserve"> -16</t>
    </r>
    <r>
      <rPr>
        <sz val="10"/>
        <rFont val="Arial"/>
        <family val="2"/>
      </rPr>
      <t xml:space="preserve"> of local variables MLI_RO_Trq_step at line#59. Firstly, let the expression at line#59 appears, </t>
    </r>
    <r>
      <rPr>
        <sz val="10"/>
        <color rgb="FFFF0000"/>
        <rFont val="Arial"/>
        <family val="2"/>
      </rPr>
      <t>MLI_Runout_Target_Torque &gt; MLI_RO_TorqueLimit</t>
    </r>
    <r>
      <rPr>
        <sz val="10"/>
        <rFont val="Arial"/>
        <family val="2"/>
      </rPr>
      <t>, so value of expression</t>
    </r>
    <r>
      <rPr>
        <sz val="10"/>
        <color rgb="FFFF0000"/>
        <rFont val="Arial"/>
        <family val="2"/>
      </rPr>
      <t xml:space="preserve"> (MLI_Runout_Target_Torque - MLI_RO_TorqueLimit)</t>
    </r>
    <r>
      <rPr>
        <sz val="10"/>
        <rFont val="Arial"/>
        <family val="2"/>
      </rPr>
      <t xml:space="preserve"> is always a </t>
    </r>
    <r>
      <rPr>
        <sz val="10"/>
        <color rgb="FFFF0000"/>
        <rFont val="Arial"/>
        <family val="2"/>
      </rPr>
      <t xml:space="preserve">positive value =&gt; </t>
    </r>
    <r>
      <rPr>
        <sz val="10"/>
        <rFont val="Arial"/>
        <family val="2"/>
      </rPr>
      <t>can't return a value that it's less than</t>
    </r>
    <r>
      <rPr>
        <sz val="10"/>
        <color rgb="FFFF0000"/>
        <rFont val="Arial"/>
        <family val="2"/>
      </rPr>
      <t xml:space="preserve"> -16. </t>
    </r>
    <r>
      <rPr>
        <sz val="10"/>
        <rFont val="Arial"/>
        <family val="2"/>
      </rPr>
      <t xml:space="preserve">Sencondly, maximum of MLI_Runout_Target_Torque is </t>
    </r>
    <r>
      <rPr>
        <sz val="10"/>
        <color rgb="FFFF0000"/>
        <rFont val="Arial"/>
        <family val="2"/>
      </rPr>
      <t>15.99</t>
    </r>
    <r>
      <rPr>
        <sz val="10"/>
        <rFont val="Arial"/>
        <family val="2"/>
      </rPr>
      <t xml:space="preserve">, minimum of MLI_RO_TorqueLimit is </t>
    </r>
    <r>
      <rPr>
        <sz val="10"/>
        <color rgb="FFFF0000"/>
        <rFont val="Arial"/>
        <family val="2"/>
      </rPr>
      <t xml:space="preserve">0 </t>
    </r>
    <r>
      <rPr>
        <sz val="10"/>
        <rFont val="Arial"/>
        <family val="2"/>
      </rPr>
      <t>and minimum of</t>
    </r>
    <r>
      <rPr>
        <sz val="10"/>
        <color rgb="FFFF0000"/>
        <rFont val="Arial"/>
        <family val="2"/>
      </rPr>
      <t xml:space="preserve"> </t>
    </r>
    <r>
      <rPr>
        <sz val="10"/>
        <rFont val="Arial"/>
        <family val="2"/>
      </rPr>
      <t>P_RO_Torque_RampTime</t>
    </r>
    <r>
      <rPr>
        <sz val="10"/>
        <color rgb="FFFF0000"/>
        <rFont val="Arial"/>
        <family val="2"/>
      </rPr>
      <t xml:space="preserve"> </t>
    </r>
    <r>
      <rPr>
        <sz val="10"/>
        <rFont val="Arial"/>
        <family val="2"/>
      </rPr>
      <t>is</t>
    </r>
    <r>
      <rPr>
        <sz val="10"/>
        <color rgb="FFFF0000"/>
        <rFont val="Arial"/>
        <family val="2"/>
      </rPr>
      <t xml:space="preserve"> 1</t>
    </r>
    <r>
      <rPr>
        <sz val="10"/>
        <rFont val="Arial"/>
        <family val="2"/>
      </rPr>
      <t xml:space="preserve"> =&gt; maximum of expression of </t>
    </r>
    <r>
      <rPr>
        <sz val="10"/>
        <color rgb="FFFF0000"/>
        <rFont val="Arial"/>
        <family val="2"/>
      </rPr>
      <t xml:space="preserve">(MLI_Runout_Target_Torque - MLI_RO_TorqueLimit)/P_RO_Torque_RampTime </t>
    </r>
    <r>
      <rPr>
        <sz val="10"/>
        <rFont val="Arial"/>
        <family val="2"/>
      </rPr>
      <t>is 15.99 =&gt; can't out range</t>
    </r>
    <r>
      <rPr>
        <sz val="10"/>
        <color rgb="FFFF0000"/>
        <rFont val="Arial"/>
        <family val="2"/>
      </rPr>
      <t xml:space="preserve"> 15.99.
</t>
    </r>
    <r>
      <rPr>
        <sz val="10"/>
        <rFont val="Arial"/>
        <family val="2"/>
      </rPr>
      <t xml:space="preserve">- Line#65: And similarly, I can't cover out range minimum value </t>
    </r>
    <r>
      <rPr>
        <sz val="10"/>
        <color rgb="FFFF0000"/>
        <rFont val="Arial"/>
        <family val="2"/>
      </rPr>
      <t>-16</t>
    </r>
    <r>
      <rPr>
        <sz val="10"/>
        <rFont val="Arial"/>
        <family val="2"/>
      </rPr>
      <t xml:space="preserve"> of local variables MLI_Runout_Target_Torque. Firstly, let the line#65 appears, mcdc (MLI_Runout_Target_Torque &gt; MLI_RO_TorqueLimit) must be TRUE. But, as the note above, MLI_RO_TorqueLimit has minimum value is </t>
    </r>
    <r>
      <rPr>
        <sz val="10"/>
        <color rgb="FFFF0000"/>
        <rFont val="Arial"/>
        <family val="2"/>
      </rPr>
      <t>0</t>
    </r>
    <r>
      <rPr>
        <sz val="10"/>
        <rFont val="Arial"/>
        <family val="2"/>
      </rPr>
      <t xml:space="preserve">, so MLI_Runout_Target_Torque is always a </t>
    </r>
    <r>
      <rPr>
        <sz val="10"/>
        <color rgb="FFFF0000"/>
        <rFont val="Arial"/>
        <family val="2"/>
      </rPr>
      <t xml:space="preserve">positive value. </t>
    </r>
    <r>
      <rPr>
        <sz val="10"/>
        <rFont val="Arial"/>
        <family val="2"/>
      </rPr>
      <t>MLI_RO_Trq_step has maximum value is 15.99 =&gt; MLI_Runout_Target_Torque í always greater than -15.99 =&gt; can't reach the value less than -16</t>
    </r>
  </si>
  <si>
    <t>CNMS_12-06\CNMS_ESP\rb\as\rbcn\esp\netpr\src</t>
  </si>
  <si>
    <t>Line#31: cannot cover out range max at line because limited condition at line 23 and:
P_RO_FR_Reset_DebounceTime (=  MLI_RO_FR_Reset_DebounceTime/FIX_MLI_task_cycle_time_f)
range of MLI_RO_FR_Reset_DebounceTime is 0:1
range of FIX_MLI_task_cycle_time_f is 0.0005: 0.2 and non calib (value = 0.005)
=&gt; max range of P_RO_FR_Reset_DebounceTime at line 23 is 200 &lt; max range of RO_FR_ResetCounter ( 0: 1000)
Line#83: cannot cover out range max at line because:
range of MLI_trigger_force_FR_DrivingDiag is 0:20000
P_MLI_RunOutForce_Diag_SizeOne + P_MLI_Force_Hyst_FR
P_MLI_RunOutForce_Diag_SizeOne = MLI_RunOutForce_Diag_SizeOne (0-9000)
P_MLI_Force_Hyst_FR = MLI_Force_hyst_FR (0-5000)
=&gt; max of MLI_trigger_force_FR_DrivingDiag at line 83 is 14000 (&lt; 20000)
Line#92: cannot cover out range max at line because:
range of MLI_trigger_force_FR_DrivingDiag is 0:20000
P_MLI_RunOutForce_Diag_SizeOnePlus + P_MLI_Force_Hyst_FR
P_MLI_RunOutForce_Diag_SizeOnePlus = MLI_RunOutForce_Diag_SizeOnePlus (0-9000)
P_MLI_Force_Hyst_FR = MLI_Force_hyst_FR (0-5000)
=&gt; max of MLI_trigger_force_FR_DrivingDiag at line 83 is 14000 (&lt; 20000)
Line#98: cannot cover out range max at line because:
range of MLI_trigger_force_FR_DrivingDiag is 0:20000
P_MLI_RunOutForce_Diag_SizeTwo + P_MLI_Force_Hyst_FR
P_MLI_RunOutForce_Diag_SizeTwo = MLI_RunOutForce_Diag_SizeTwo (0-9000)
P_MLI_Force_Hyst_FR = MLI_Force_hyst_FR (0-5000)
=&gt; max of MLI_trigger_force_FR_DrivingDiag at line 83 is 14000 (&lt; 20000)</t>
  </si>
  <si>
    <t>Line#31: cannot cover out range max because limited conditon at line 22 ( FOP_Active_counter ,P_FOP_Active_counter_limit are the same max 10000)</t>
  </si>
  <si>
    <t>Line#23: cannot cover out range max at this line because need LatchTimer &lt; P_LatchTime ( = 2) at line 21, P_CycleTime = CycleTime ( max 0.2) =&gt; max of LatchTimer at line 23 is 2.2 ( cannot out range max = 10)</t>
  </si>
  <si>
    <t>cannot cover full C0/C1 because of param1D</t>
  </si>
  <si>
    <t>GWM_AB30_CP_Int\MainstreamF30\rb\as\gwm\core\app\dcom\RBAPLCust\src\common</t>
  </si>
  <si>
    <t>- Can't cover function rba_BldrFlsDrv_Cfg_Write because pointer canCore_pvst is set to fix address.</t>
  </si>
  <si>
    <t>- Not find reuse 
- Reuse OPL</t>
  </si>
  <si>
    <t>In Ascet 5,6 param1D cannot be covered
Line #56: Cannot cover case vMaxFilt less then or equal vMax. Because it confliction with condition at line 54
Line #61: Cannot cover case vMaxFilt greater then or equal vMax. Because it confliction with condition at line 59</t>
  </si>
  <si>
    <t>CNMS_12-06\CNMS_IPB\rb\as\rbcn\ipb\app\net\RBScl\src</t>
  </si>
  <si>
    <t>WM_ASE3_HevX_HADHAP_Int\CNMSHevXHADHAP\rba\Bldr\config\ApplicationLayer\rba_BldrCmp\src</t>
  </si>
  <si>
    <t>CNMS_179148_Carbon_ESP_BL07_SPRINT13</t>
  </si>
  <si>
    <t>251982_FAW_D357_High_ECR_BL10_STRFAW_C201</t>
  </si>
  <si>
    <t>RBVAR_StateMachine_COMMON.c</t>
  </si>
  <si>
    <t>VAR_OBDSWitch_COMMON.c</t>
  </si>
  <si>
    <t>VAR_OBDSWitch_IF.c</t>
  </si>
  <si>
    <t>Pata_EnvironmentVariables</t>
  </si>
  <si>
    <t>TPMS_Handler_COMMON_CN.c</t>
  </si>
  <si>
    <t>-Please comment follow ASPICE Standard
-- No old file to re-use</t>
  </si>
  <si>
    <t>WM_ASE3_HevX_HADHAP_Int\CNMSHevXHADHAP\rba\Bldr\comps\ComplexDeviceDriver\rba_BldrBCLSigChk\src</t>
  </si>
  <si>
    <t>- No old file to re-use</t>
  </si>
  <si>
    <t>-1. Cant’ cover case over max and under min at line 69, 70, 75, ,76. ==&gt; Owner confirms no impact</t>
  </si>
  <si>
    <t>- Comment infinity for loop for UT</t>
  </si>
  <si>
    <t>- Too complex to re-use</t>
  </si>
  <si>
    <t>VDM_ECU_CSW_BB00147(3).axl</t>
  </si>
  <si>
    <t>FAW_MainPath_V2.0_Int</t>
  </si>
  <si>
    <t>BL07_SPRINT13</t>
  </si>
  <si>
    <t>BL10</t>
  </si>
  <si>
    <t>WM_ASE3_HevX_HADHAP_Int\CNMSHevXHADHAP\rba\Bldr\config\ComplexDeviceDriver\rba_BldrFlsDrv\src\rba_BldrFlsDrv_Cfg.c</t>
  </si>
  <si>
    <t>WM_ASE3_HevX_HADHAP_Int\CNMSHevXHADHAP\rba\Bldr\bldr\src\rba_Bldr_main.c</t>
  </si>
  <si>
    <t>WM_ASE3_HevX_HADHAP_Int\CNMSHevXHADHAP\rba\Bldr\bmgr\src\rba_Bmgr_main.c</t>
  </si>
  <si>
    <t>SHAO Weifeng (CC-AS/ESW2-CN)</t>
  </si>
  <si>
    <t>YANG Xiaofan (CC-AS/ESW5-CN)</t>
  </si>
  <si>
    <t>JIN Li (CC-AS/EVA-SW33-CN)</t>
  </si>
  <si>
    <t>Measure_GeneralLimits</t>
  </si>
  <si>
    <t>PLTMT_22102310</t>
  </si>
  <si>
    <t>-No re-use (No file)</t>
  </si>
  <si>
    <t>CNMS_12-06\CNMS_ESP\rb\as\rbcn\core\app\dsm\RBOBD\OBDSwitch\src\VAR_OBDSWitch_COMMON.c</t>
  </si>
  <si>
    <t>CNMS_12-06\CNMS_ESP\rb\as\cnms_core\app\dsm\RBVAR\src</t>
  </si>
  <si>
    <t>-Please comment follow ASPICE Standard
- No old file to re-use
- Wrong path in file tracking.</t>
  </si>
  <si>
    <t xml:space="preserve"> Cannot cover false case of else if(JobResult == NVM_REQ_OK) because if JobResult != NVM_REQ_OK -&gt; Line #290 = TRUE -&gt; This line never reach</t>
  </si>
  <si>
    <t>-Please comment follow ASPICE Standard
- Reuse in DB =&gt; x1.5</t>
  </si>
  <si>
    <t>- Can't cover false case of condition if(RBA_BLDRCMP_DSC_ANSWER_FROM_BOOT == RBA_BLDRCMP_ENABLE) at #line 107 because RBA_BLDRCMP_DSC_ANSWER_FROM_BOOT be defined is RBA_BLDRCMP_ENABLE</t>
  </si>
  <si>
    <t>CNMS_12-06\CNMS_ESP\rb\as\cnms_core\app\net\scl\src\Callout_Functions</t>
  </si>
  <si>
    <t>PLTMT_23102310</t>
  </si>
  <si>
    <t>VlcLsm_AxVehSafetyMonitoring</t>
  </si>
  <si>
    <t>VlcLsm_ShutdownRequest</t>
  </si>
  <si>
    <t>EBR_EnableEBR</t>
  </si>
  <si>
    <t>RBPSC_DEMHandler</t>
  </si>
  <si>
    <t>Dem_NodeID_VDC_A118</t>
  </si>
  <si>
    <t>Dem_NodeID_VDC_A4</t>
  </si>
  <si>
    <t>15.8.116.0</t>
  </si>
  <si>
    <t>_i1dR4PinEeSOI_xK3AmwFw</t>
  </si>
  <si>
    <t>BB80815</t>
  </si>
  <si>
    <t>MT_009</t>
  </si>
  <si>
    <t>Nissan_SUV_EV_iB_BSS90_s4</t>
  </si>
  <si>
    <t>[FAW][D365H/L]</t>
  </si>
  <si>
    <t>E111_iB2_BSL50_STRFAW_C401</t>
  </si>
  <si>
    <t>RBAPLCUST_RDBI_NVMData_FAW.c</t>
  </si>
  <si>
    <t>RBAPLCUST_VariandCode.c</t>
  </si>
  <si>
    <t>RBAPLCUST_SecurityAccess.c</t>
  </si>
  <si>
    <t>Dem_VarCode_PRJ.c</t>
  </si>
  <si>
    <t>Dem_VarCodeHandling.c</t>
  </si>
  <si>
    <t>RBVAR_Debug.c</t>
  </si>
  <si>
    <t>RBVAR_SystemStateManagement_COMMON.c</t>
  </si>
  <si>
    <t>RBVAR_VarCode_COMMON.c</t>
  </si>
  <si>
    <t>RBVAR_OutputDriver_PROJECT.c</t>
  </si>
  <si>
    <t>RBVAR_VarCode_PROJECT.c</t>
  </si>
  <si>
    <t>FAW_Carbon_TypeF_IBooster_Int</t>
  </si>
  <si>
    <t>BSL50</t>
  </si>
  <si>
    <t>BL40</t>
  </si>
  <si>
    <t>LIANG Xin (CC-AS/EVA-SW33-CN)</t>
  </si>
  <si>
    <t>ZHENG Fangfang (CC-AS/EVA-SW33-CN)</t>
  </si>
  <si>
    <t>LIU Tom (CC-AS/EVA-SW33-CN)</t>
  </si>
  <si>
    <t>CNMS_12-06\CNMS_ESP\rb\as\rbcn\core\app\dsm\RBOBD\OBDSwitch\src</t>
  </si>
  <si>
    <t>5.0.146.7.1.0</t>
  </si>
  <si>
    <t>FAW_MainPath_V2.0_Int\MainstreamF30\rb\as\fawMP\fawcore\app\dcom\RBAPLCust\src\ESP</t>
  </si>
  <si>
    <t>FAW_Carbon_TypeF_IBooster_Int\iBoosterGen2\rb\as\cnms_core\app\dsm\RBVAR\src</t>
  </si>
  <si>
    <t>FAW_Carbon_TypeF_IBooster_Int\iBoosterGen2\rb\as\cnms_core\app\dsm\DemVar\src</t>
  </si>
  <si>
    <t>rba\Bldr\comps\ComplexDeviceDriver\rba_BldrFlsDrv\src</t>
  </si>
  <si>
    <t>- Not find reuse</t>
  </si>
  <si>
    <t>- Comment infinity loop and main function for UT</t>
  </si>
  <si>
    <t>BldrCmp_Cfg_NvmIf.c</t>
  </si>
  <si>
    <t>WM_ASE3_HevX_HADHAP_Int\CNMSHevXHADHAP\rba\Bldr\config\ApplicationLayer\rba_BldrCmp\src\rba_BldrCmp_Cfg_NvmIf.c</t>
  </si>
  <si>
    <t>Duong spent 1 hour for explain, update check list peer review</t>
  </si>
  <si>
    <t>SSI_Signal2State_CallbackFunction_ESP_VirtualNode_MultiWSS</t>
  </si>
  <si>
    <t>Toyota_ACC_BrkStop_HSVPreOpen</t>
  </si>
  <si>
    <t>Toyota_SSM_vhcRolloutpTarCalc</t>
  </si>
  <si>
    <t>RBVoltageHandler_HydraulicHardUndervoltageMonitoring</t>
  </si>
  <si>
    <t>RBVoltageHandler_HydraulicOvervoltageMonitoring</t>
  </si>
  <si>
    <t>RBVoltageHandler_HydraulicUndervoltageMonitoring</t>
  </si>
  <si>
    <t>RBVoltageHandler_HydraulicVoltageSupplyCommon</t>
  </si>
  <si>
    <t>RBMICBASE_SendReceiveService</t>
  </si>
  <si>
    <t>RBRFP_LowendAct</t>
  </si>
  <si>
    <t>RBRFP_ShortActTest</t>
  </si>
  <si>
    <t>RBVLV_ValveDriverFeedback</t>
  </si>
  <si>
    <t>RBWSS_WSSOutMon</t>
  </si>
  <si>
    <t>RBWSS_WssTest</t>
  </si>
  <si>
    <t>DcmAppl_DcmNotification</t>
  </si>
  <si>
    <t>RBAPLCUST_ClearDiagnosticInformation</t>
  </si>
  <si>
    <t>RBAPLCUST_DcmControlRoeEvents</t>
  </si>
  <si>
    <t>RBAPLCUST_DcmGetRoePermission</t>
  </si>
  <si>
    <t>RBAPLCUST_DcmReportActiveRoeEvents</t>
  </si>
  <si>
    <t>RBAPLCUST_DcmStoreRoeDidInfo</t>
  </si>
  <si>
    <t>_wiHTsFLmEeSecO7L1SVhqQ</t>
  </si>
  <si>
    <t>1.4.1.0</t>
  </si>
  <si>
    <t>_aBECwQ32EeaEbJU2FKtuSA</t>
  </si>
  <si>
    <t>_aBEp0A32EeaEbJU2FKtuSA</t>
  </si>
  <si>
    <t>_aBFQ4A32EeaEbJU2FKtuSA</t>
  </si>
  <si>
    <t>_aBFQ4Q32EeaEbJU2FKtuSA</t>
  </si>
  <si>
    <t>_kSta8ETCEeWS7PrAS4WKqQ</t>
  </si>
  <si>
    <t>_jb6WMd7bEeWIg7A4mt86gQ</t>
  </si>
  <si>
    <t>_NlaL0MTjEeWmw6F8Aw3cCg</t>
  </si>
  <si>
    <t>_RR_yUMTjEeWmw6F8Aw3cCg</t>
  </si>
  <si>
    <t>_BqyOEcT9EeWUj9noREh3Hg</t>
  </si>
  <si>
    <t>_e1BgILOIEempwcBty-t_-g</t>
  </si>
  <si>
    <t>_ooMacEHCEeW2wrBJvKWoPA</t>
  </si>
  <si>
    <t>_65-lYGaFEeWkYuDZ1nKLPg</t>
  </si>
  <si>
    <t>_6681wGaFEeWkYuDZ1nKLPg</t>
  </si>
  <si>
    <t>_6ACE0B3QEeaQk4zrOgcN8w</t>
  </si>
  <si>
    <t>_6AJZkB3QEeaQk4zrOgcN8w</t>
  </si>
  <si>
    <t>_6ATxoB3QEeaQk4zrOgcN8w</t>
  </si>
  <si>
    <t>_6AUYsB3QEeaQk4zrOgcN8w</t>
  </si>
  <si>
    <t>_6AU_wB3QEeaQk4zrOgcN8w</t>
  </si>
  <si>
    <t>TOY_CPf2_CMP_Integration_61</t>
  </si>
  <si>
    <t>Liu, Yiqing</t>
  </si>
  <si>
    <t>Sharma Vineet Kumar (CC-AS/EAS3-NA)</t>
  </si>
  <si>
    <t>Ji Haze (CC-AS/ESB1)</t>
  </si>
  <si>
    <t>Fritzsche Marc-Antonio (CC-AS/ECC6)</t>
  </si>
  <si>
    <t>Bopp Rainer (CC-AS/ECC6)</t>
  </si>
  <si>
    <t>Parga-Cacheiro Luis (CC-AS/ECC6)</t>
  </si>
  <si>
    <t>Lakshmi Devi Ramachandran (RBEI/ESP-IS12)</t>
  </si>
  <si>
    <t>Pavani Kalisetty C (RBEI/ESJ1)</t>
  </si>
  <si>
    <t>Wagner Steffen (CC-AS/EAB1)</t>
  </si>
  <si>
    <t>Santhosh S L (RBEI/ESJ6)</t>
  </si>
  <si>
    <t>BB82945</t>
  </si>
  <si>
    <t>MT_018</t>
  </si>
  <si>
    <t>MT_029</t>
  </si>
  <si>
    <t>MT_032</t>
  </si>
  <si>
    <t>MT_033</t>
  </si>
  <si>
    <t>MT_100</t>
  </si>
  <si>
    <t>MT_101</t>
  </si>
  <si>
    <t>-Can't cover for ful C0/C1 because param 1D
- Can't cover for default case of switch(TargetStateTCO) at line 137 because this parameter have 2 value and checked</t>
  </si>
  <si>
    <t>235300_FAW_NAT_BL40_STRFAW_C201</t>
  </si>
  <si>
    <t>SAIC MIFA IB2 235836 BSS02_SP02</t>
  </si>
  <si>
    <t>MC_251011_251016_SGMW_GF6_ESP_ACC/CP_STRSGMW_C201</t>
  </si>
  <si>
    <t>[AB30_P01&amp;7DCT]</t>
  </si>
  <si>
    <t>RBVAR_PROJECT.c</t>
  </si>
  <si>
    <t>Net_ChecksumLib_SAIC.c</t>
  </si>
  <si>
    <t>NET_NM_Monitoring.c</t>
  </si>
  <si>
    <t>SGMW_RBA_NDS_SystemInfo_Callout.c</t>
  </si>
  <si>
    <t>NET_CheckSumLib_CNMS.c</t>
  </si>
  <si>
    <t>ComScl_UserCallouts.c</t>
  </si>
  <si>
    <t>NET_SCL_Tx_SGMW_TimeStamp.c</t>
  </si>
  <si>
    <t>SGMW_RBA_NDS_Belt_Door_Callout.c</t>
  </si>
  <si>
    <t>PbcVariantItem_PersistentData.c</t>
  </si>
  <si>
    <t>TCS_Ps_Switcher_BTC_Factor</t>
  </si>
  <si>
    <t>RBAPLCUST_RDBI_SystemData.c</t>
  </si>
  <si>
    <t>BSS02_SP02</t>
  </si>
  <si>
    <t>YANG Zhongjian (CC-AS/EVA-SW2-CN)</t>
  </si>
  <si>
    <t>LI Hongyu (CC-AS/EVA-SW32-CN)</t>
  </si>
  <si>
    <t>VENKATESAN Azhaku Sathya Narayanan (CC-AS/EVA-SW32-CN)</t>
  </si>
  <si>
    <t>XU Sherry (CC-AS/EVA-SW2-CN)</t>
  </si>
  <si>
    <t>LI Xiuling (CC-AS/EVA-SW1-CN)</t>
  </si>
  <si>
    <t>WANG Bei (CC-AS/ESW2-CN )</t>
  </si>
  <si>
    <t>BL01_SP01</t>
  </si>
  <si>
    <t>BSS09_SP02</t>
  </si>
  <si>
    <t>BB82400</t>
  </si>
  <si>
    <t>BB82988</t>
  </si>
  <si>
    <t>BB97468</t>
  </si>
  <si>
    <t>SAIC_CV_Deuterium_IB_Int</t>
  </si>
  <si>
    <t>SGMW_ESP93_Carbon_Int</t>
  </si>
  <si>
    <t>LeanTcs20msVse_ECU_CSW_BB00001.axl</t>
  </si>
  <si>
    <t>Test by cantata</t>
  </si>
  <si>
    <t>FAW_MainPath_V2.0_Int\MainstreamF30\rb\as\fawMP\prjConf\dsmpr\src\RBVAR\RBVAR_PROJECT.c</t>
  </si>
  <si>
    <t>FAW_MainPath_V2.0_Int\MainstreamF30\rb\as\fawMP\prjConf\app\dsm\RBVAR\src\RBVAR_VarCode_PROJECT.c</t>
  </si>
  <si>
    <r>
      <t xml:space="preserve">-Re-use stub -&gt; 0.7 effort.
</t>
    </r>
    <r>
      <rPr>
        <b/>
        <sz val="11"/>
        <color theme="1"/>
        <rFont val="Calibri"/>
        <family val="2"/>
      </rPr>
      <t>Error Tool CANTATA: Can’t cover line of code 3612-3613</t>
    </r>
  </si>
  <si>
    <t>-Error Tool CANTATA: Can’t cover line of code 3612-3613</t>
  </si>
  <si>
    <t>FAW_Carbon_TypeF_IBooster_Int\iBoosterGen2\rb\as\faw\core\app\dcom\RBAPLCust\src\common</t>
  </si>
  <si>
    <t>-No re-use. It's too easy.</t>
  </si>
  <si>
    <t>-Re-use</t>
  </si>
  <si>
    <t>-No re-use. It's too easy.
-Wrong path in file tracking. (Replace folder name "DemVar" to foleder name "RBVAR"</t>
  </si>
  <si>
    <t>No fuction to test</t>
  </si>
  <si>
    <t>RBBUTSWI_BLS_Ana</t>
  </si>
  <si>
    <t>RBWSS_RotDir</t>
  </si>
  <si>
    <t>RBSYS_UnsupportedHW</t>
  </si>
  <si>
    <t>CRB_BoundByCUS_Limitations_forRampdown</t>
  </si>
  <si>
    <t>Toyota_AccVlcMainReq</t>
  </si>
  <si>
    <t>Toyota_AutoBrkMainSysFailClass</t>
  </si>
  <si>
    <t>Toyota_AutoBrkSubSysFailClass</t>
  </si>
  <si>
    <t>Toyota_CSRDRV_ProhibitDecision</t>
  </si>
  <si>
    <t>Toyota_ECGPOvrd</t>
  </si>
  <si>
    <t>Toyota_EndProcessCDD</t>
  </si>
  <si>
    <t>Toyota_PBH_Enable</t>
  </si>
  <si>
    <t>Toyota_Post_Upper_FFControler</t>
  </si>
  <si>
    <t>Toyota_RequestEPBNotCompletelyApplied</t>
  </si>
  <si>
    <t>Toyota_ShiftRange_Decision</t>
  </si>
  <si>
    <t>Toyota_TSS_Lower_ProhibitDecision</t>
  </si>
  <si>
    <t>Toyota_VLC_FxTarManipulation</t>
  </si>
  <si>
    <t>Toyota_VMC_BrakeHoldPermit</t>
  </si>
  <si>
    <t>Toyota_VMC_ForceTerminationBH</t>
  </si>
  <si>
    <t>TSH_GetApbAutoApplyIgnitionOffDisable</t>
  </si>
  <si>
    <t>Toyota_RCP_Enable</t>
  </si>
  <si>
    <t>Toyota_RCP_FOP</t>
  </si>
  <si>
    <t>Toyota_RCP_FOP_BAT</t>
  </si>
  <si>
    <t>Toyota_RCP_FOP_Timer</t>
  </si>
  <si>
    <t>Toyota_RCP_Target_State_Matching</t>
  </si>
  <si>
    <t>E2E_P05</t>
  </si>
  <si>
    <t>NET_CommunicationInvalidConfig</t>
  </si>
  <si>
    <t>RBVAR_AutoLearning_TOYOTA</t>
  </si>
  <si>
    <t>RBVAR_SubFunctions</t>
  </si>
  <si>
    <t>RBPduHandler_Callouts</t>
  </si>
  <si>
    <t>_zkjwMMRvEeerP6gp6Ao7RA</t>
  </si>
  <si>
    <t>_PqvDYH2DEeWump8xHBSTSA</t>
  </si>
  <si>
    <t>_uWG_gEHCEeW2wrBJvKWoPA</t>
  </si>
  <si>
    <t>_T7ip0E12EeWx_bCQ_p-5GQ</t>
  </si>
  <si>
    <t>1.11</t>
  </si>
  <si>
    <t>1.16</t>
  </si>
  <si>
    <t>1.8</t>
  </si>
  <si>
    <t>2.3.93.10</t>
  </si>
  <si>
    <t>1.6</t>
  </si>
  <si>
    <t>1.10</t>
  </si>
  <si>
    <t>1.13</t>
  </si>
  <si>
    <t>1.0.118.5</t>
  </si>
  <si>
    <t>1.5</t>
  </si>
  <si>
    <t>_eZYNcG2hEem8ls9n_JMkWQ</t>
  </si>
  <si>
    <t>_eZhXYG2hEem8ls9n_JMkWQ</t>
  </si>
  <si>
    <t>_MbzIQN1xEeq7nfMZwz2EKA</t>
  </si>
  <si>
    <t>_RBUH8L21Eemy_fE3sMFLVQ</t>
  </si>
  <si>
    <t>_1IopUMJ0Eem87M4b1qv54g</t>
  </si>
  <si>
    <t>_1G_qkMJ0Eem87M4b1qv54g</t>
  </si>
  <si>
    <t>_1KRoEMJ0Eem87M4b1qv54g</t>
  </si>
  <si>
    <t>_TapZ0Pd6EeefAbOIs-wp4g</t>
  </si>
  <si>
    <t>_TYNw4fd6EeefAbOIs-wp4g</t>
  </si>
  <si>
    <t>_p6FCYOuUEeenDaQrDAfw8A</t>
  </si>
  <si>
    <t>TOY_680B_CV_Integration_03</t>
  </si>
  <si>
    <t>MT_124</t>
  </si>
  <si>
    <t>MT_125</t>
  </si>
  <si>
    <t>MT_126</t>
  </si>
  <si>
    <t>MT_127</t>
  </si>
  <si>
    <t>MT_128</t>
  </si>
  <si>
    <t>MT_129</t>
  </si>
  <si>
    <t>MT_130</t>
  </si>
  <si>
    <t>MT_131</t>
  </si>
  <si>
    <t>MT_132</t>
  </si>
  <si>
    <t>MT_133</t>
  </si>
  <si>
    <t>MT_134</t>
  </si>
  <si>
    <t>MT_135</t>
  </si>
  <si>
    <t>MT_136</t>
  </si>
  <si>
    <t>MT_137</t>
  </si>
  <si>
    <t>MT_138</t>
  </si>
  <si>
    <t>MT_139</t>
  </si>
  <si>
    <t>MT_141</t>
  </si>
  <si>
    <t>MT_142</t>
  </si>
  <si>
    <t>MT_143</t>
  </si>
  <si>
    <t>MT_144</t>
  </si>
  <si>
    <t>MT_145</t>
  </si>
  <si>
    <t>MT_146</t>
  </si>
  <si>
    <t>MT_028</t>
  </si>
  <si>
    <t>MT_037</t>
  </si>
  <si>
    <t>Ranjith Kumar C Shiva (RBEI/ESJ6)</t>
  </si>
  <si>
    <t>Suzuki, Rina</t>
  </si>
  <si>
    <t>Mounika, Thalluri</t>
  </si>
  <si>
    <t>Koizumi, Tafu</t>
  </si>
  <si>
    <t>Bade, Kishore</t>
  </si>
  <si>
    <t>Akshaya, Sathiyanarayanan</t>
  </si>
  <si>
    <t>Morishita, Takahito</t>
  </si>
  <si>
    <t>Pati, Rakesh Kumar</t>
  </si>
  <si>
    <t>Sharanu Patil (RBEI/ESJ32)</t>
  </si>
  <si>
    <t>C R Ramya (RBEI/ESJ-ATO)</t>
  </si>
  <si>
    <t>Line #225: Cannot cover false case of else if( (valve_ptr-&gt;actuation-&gt;vspdData-&gt;vspd_enabled_logger_x1 &amp; 3) == 2) because :
 + At line #239: (uint32)valve_ptr-&gt;actuation-&gt;vspdData-&gt;vspd_enabled_logger_x1 &lt;&lt;= 1; -&gt; valve_ptr-&gt;actuation-&gt;vspdData-&gt;valve_ptr-&gt;actuation-&gt;vspdData-&gt;vspd_enabled_logger_x1 lowest bit always equal to 0
 -&gt; valve_ptr-&gt;actuation-&gt;vspdData-&gt;vspd_enabled_logger_x1 &amp; 3 = 0x10 (2) OR = 0x00 (0)</t>
  </si>
  <si>
    <t>Param1D can't cover full C0, C1</t>
  </si>
  <si>
    <t>In Ascet 5,6 param1D cannot be covered</t>
  </si>
  <si>
    <t>-Line#4222: Can not cover for false decision at this line because FEE_VIRTUAL_PAGE_SIZE was define is 8u then always less than 0xFF</t>
  </si>
  <si>
    <t>WM_ASE3_HevX_HADHAP_Int\CNMSHevXHADHAP\rba\Bldr\config\Infrastruct\CubasAdapter\src</t>
  </si>
  <si>
    <t>SGMW_ESP93_Carbon_Int\MainstreamF30\rb\as\sgmw\CN210S\app\net\RBScl\RBScl_SGMW\src</t>
  </si>
  <si>
    <t>Done</t>
  </si>
  <si>
    <t>Task Group</t>
  </si>
  <si>
    <t>UT_Status</t>
  </si>
  <si>
    <t>EXTERNAL Duong Chi Khang (Ban Vien, RBVH/EPS45)</t>
  </si>
  <si>
    <t>EXTERNAL Ly Chung (Ban Vien, RBVH/EPS45)</t>
  </si>
  <si>
    <t>EXTERNAL Luu Cong Dac (Ban Vien, RBVH/EPS45)</t>
  </si>
  <si>
    <t>Extrapolation_dxPP_vMax</t>
  </si>
  <si>
    <t>PLTUT_27102810</t>
  </si>
  <si>
    <t>PLTUT_28103010</t>
  </si>
  <si>
    <t>BsclLsm_DriverPresence</t>
  </si>
  <si>
    <t>BsclLsm_Lsm12DegradationDeactivationMonitoring</t>
  </si>
  <si>
    <t>BsclLsm_Lsm12VehicleStateMonitoring</t>
  </si>
  <si>
    <t>BsclLsm_Lsm23DegradationDeactivationMonitoring</t>
  </si>
  <si>
    <t>BsclLsm_MovementManager</t>
  </si>
  <si>
    <t>Responsible</t>
  </si>
  <si>
    <t>No.</t>
  </si>
  <si>
    <t>ESDL</t>
  </si>
  <si>
    <t>Current Version</t>
  </si>
  <si>
    <t>Previous Version</t>
  </si>
  <si>
    <t>Previous Tester</t>
  </si>
  <si>
    <t>ELOC</t>
  </si>
  <si>
    <t>Planned Effort (hour)</t>
  </si>
  <si>
    <t>Remarks</t>
  </si>
  <si>
    <t>Hau</t>
  </si>
  <si>
    <t>RBVH</t>
  </si>
  <si>
    <t>Check BV 1.1, Normal class, 3 sub class, 1 param 1D, INF range</t>
  </si>
  <si>
    <t>Check BV 1.1, Normal class, 1 param 1D, INF range</t>
  </si>
  <si>
    <t>Check Hoa 1.2, Array</t>
  </si>
  <si>
    <t>Huy</t>
  </si>
  <si>
    <t>Code coverage</t>
  </si>
  <si>
    <t>MCDC coverage</t>
  </si>
  <si>
    <t>TCM</t>
  </si>
  <si>
    <t>C0 (%)</t>
  </si>
  <si>
    <t>C1 (%)</t>
  </si>
  <si>
    <t>Description</t>
  </si>
  <si>
    <t>%</t>
  </si>
  <si>
    <t>Reason</t>
  </si>
  <si>
    <t>-Reuse OPL</t>
  </si>
  <si>
    <t>SGMW_ESP93_Carbon_Int\MainstreamF30\rb\as\sgmw\CN210S\app\net\RbNetPrj\RBNet_Can\src</t>
  </si>
  <si>
    <t>SGMW_ESP93_Carbon_Int\MainstreamF30\rb\as\core\app\asw\apbmi\host\PDM\APBPbcVariantItem_C\SRC</t>
  </si>
  <si>
    <t>CNMS_179148_Deuterium_Super_20201120_BL02_SP08</t>
  </si>
  <si>
    <t>BL02_SP08</t>
  </si>
  <si>
    <t>-Comment from line #26 to #31 for UT test</t>
  </si>
  <si>
    <t>Cannot cover full parameter 1D table in ASCET</t>
  </si>
  <si>
    <t>- Not find reuse
- Comment function main and infinity for loop for UT
- Owner confrim no impact</t>
  </si>
  <si>
    <t>-Please comment follow ASPICE Standard
- The old file can't re-use.</t>
  </si>
  <si>
    <t>-No re-use. It's too easy</t>
  </si>
  <si>
    <t>EXTERNAL Nguyen Tai Hau (Ban Vien, RBVH/EPS45)</t>
  </si>
  <si>
    <t>EXTERNAL Do Anh Huy (Ban Vien, RBVH/EPS45)</t>
  </si>
  <si>
    <t>SAIC EP22 M2 noneDA ESP9.3 237432 BSS04</t>
  </si>
  <si>
    <t>CTRL_VehVelocityProcessing</t>
  </si>
  <si>
    <t>BSS04</t>
  </si>
  <si>
    <t>ApbMiGen2_ECU_CSW_BB00001.axl</t>
  </si>
  <si>
    <t>GM_ApbFailureLamp_TRW</t>
  </si>
  <si>
    <t>Adapt_218053_CA_CD569_ESP9.3CP_BL7</t>
  </si>
  <si>
    <t>RBFSWBootInterface_ChangAn.c</t>
  </si>
  <si>
    <t>BL7</t>
  </si>
  <si>
    <t>ChangAn_ESP_Carbon_Int</t>
  </si>
  <si>
    <t>Dcm_Lcfg_DspUds.c</t>
  </si>
  <si>
    <t>LI Xiaoyu (CC-AS/EVA-SW2-CN)</t>
  </si>
  <si>
    <t>JIA Steven (CC-AS/EVA-SW32-CN)</t>
  </si>
  <si>
    <t>BB99186</t>
  </si>
  <si>
    <t>-Please comment follow ASPICE Standard
Defect ID 1752389</t>
  </si>
  <si>
    <t>1.4.147305.0</t>
  </si>
  <si>
    <t>VLC_PSA_MixedControlMonitoring</t>
  </si>
  <si>
    <t>VLC_PSA_dAxTarLim</t>
  </si>
  <si>
    <t>VLC_PSA_AxMonitoring</t>
  </si>
  <si>
    <t>VLC_PSA_AxMonDelay</t>
  </si>
  <si>
    <t>TriggerUnavailable</t>
  </si>
  <si>
    <t>TriggerFaulty</t>
  </si>
  <si>
    <t>PSA_EMP2V3BL6S3_28_Oct</t>
  </si>
  <si>
    <t>SAIC_CV_Deuterium_IB_Int\CNMRPAiBoosterGen2\rb\as\saic\rpaib2\app\net\RBScl\src</t>
  </si>
  <si>
    <t>Line#25: cannot cover out range max at this line because limited condition at line 23 (t_PBH_Enable &gt; C_t_TSS3_PBH_max)</t>
  </si>
  <si>
    <t>Line#225: cannot cover false case at this line because when line#225 FALSE =&gt; condition at line#66, 97, 138, 163 FALSE =&gt; RNGID different with 2 =&gt; Conditon line#219 FALSE =&gt; line 225 never reach</t>
  </si>
  <si>
    <t>Line#246: cannot cover true case at this line because when line#251, 252 TRUE =&gt; similar case with line#225 =&gt; Condition line#244 FALSE =&gt; line 246 never reach"</t>
  </si>
  <si>
    <t>- Less code coverage C0, C1 due to this class contain param 1D</t>
  </si>
  <si>
    <t>Code coverage reason:
Param 1D cannot cover full C0/C1
Line #13,#21: Cannot division by zero with variable &lt;C_LSM_vTarFutureLookupDist&gt; because conflict with condition at line #2</t>
  </si>
  <si>
    <t>Line#29: can't cover out range max of ind_i. Because it conflict with the condition at line#26</t>
  </si>
  <si>
    <t>ChangAn_ESP_Carbon_Int\MainstreamF30\rb\as\ca\CpiwAPB\dcompr\gen\Conf_Flxr_Off_Obd_Off\Dcm_Lcfg_DspUds.c</t>
  </si>
  <si>
    <t>ChangAn_ESP_Carbon_Int\MainstreamF30\rb\as\ca\CpiwAPB\dcompr\src\RBFSWBootInterface_ChangAn.c</t>
  </si>
  <si>
    <t>FAW_MainPath_V2.0_Int\MainstreamF30\rb\as\fawMP\fawcore\app\tpms\MW\Common\src</t>
  </si>
  <si>
    <t>CNMS_12-06\CNMS_ESP\rb\as\rbcn\core\app\dcom\RBAPLCust\src\IPB</t>
  </si>
  <si>
    <t>2.8.147306.0</t>
  </si>
  <si>
    <t>1.0.147306.2</t>
  </si>
  <si>
    <t>238688_Chery_IPB_T1DPHev_BL02</t>
  </si>
  <si>
    <t>RBA_NDS_Complex_FailSts_InPostrun.c</t>
  </si>
  <si>
    <t>RBCNMS_CANIDFilter.c</t>
  </si>
  <si>
    <t>RBNET_ProjectSpecific_Monitoring.c</t>
  </si>
  <si>
    <t>rba_NET_Global_variable.c</t>
  </si>
  <si>
    <t>NET_UserData_Handling.c</t>
  </si>
  <si>
    <t>RBA_NDS_Complex_Callout.c</t>
  </si>
  <si>
    <t>RBAPLCUST_EcuReset.c</t>
  </si>
  <si>
    <t>RBAPLCUST_RDBI_VehicleSpeed.c</t>
  </si>
  <si>
    <t>RBAPLCUST_EOLDelayCtrlOrAPBMi.c</t>
  </si>
  <si>
    <t>RBAPLCUST_RBDI_NVMData.c</t>
  </si>
  <si>
    <t>RBAPLCUST_WDBI_NVMData.c</t>
  </si>
  <si>
    <t>RBAPLCUST_DcmGetStoreType.c</t>
  </si>
  <si>
    <t>RBAPLCUST_DcmManufacturerNotification.c</t>
  </si>
  <si>
    <t>RBAPLCUST_DcmSwitchDcmExecuteDscReset.c</t>
  </si>
  <si>
    <t>RBAPLCUST_DiagnosticSessionControl.c</t>
  </si>
  <si>
    <t>RBAPLCUST_ExpectedOBDType.c</t>
  </si>
  <si>
    <t>RBAPLCUST_PreConditionsMode04.c</t>
  </si>
  <si>
    <t>RBAPLCUST_RBDI_NVMData_Chery.c</t>
  </si>
  <si>
    <t>RBAPLCUST_RDBI_BatteryVoltage.c</t>
  </si>
  <si>
    <t>RBAPLCUST_RDBI_BLS.c</t>
  </si>
  <si>
    <t>RBAPLCUST_RDBI_Chery_BSMConf.c</t>
  </si>
  <si>
    <t>RBAPLCUST_WDBI_NVMData_Chery.c</t>
  </si>
  <si>
    <t>RBAPLCUST_RDBI_ActuationState.c</t>
  </si>
  <si>
    <t>RBAPLCUST_RDBI_APBMi.c</t>
  </si>
  <si>
    <t>RBAPLCUST_RDBI_IOCtrlState.c</t>
  </si>
  <si>
    <t>RBAPLCUST_RDBI_IPBAssemblyMode.c</t>
  </si>
  <si>
    <t>RBAPLCUST_RDBI_SpeedInfo_Chery.c</t>
  </si>
  <si>
    <t>RBAPLCUST_RoutineControl_APBMi.c</t>
  </si>
  <si>
    <t>Chery_IPB_Deuterium_Int</t>
  </si>
  <si>
    <t>ZHANG Xuetao (CC-AS/EVA-SW31-CN)</t>
  </si>
  <si>
    <t>PAN Qi (CC-AS/EVA-SW31-CN)</t>
  </si>
  <si>
    <t>- Auto test</t>
  </si>
  <si>
    <t>rb\as\cheryIPB\prj\app\net\RBScl\src</t>
  </si>
  <si>
    <t>rb\as\cheryIPB\core\app\net\RBNm\src</t>
  </si>
  <si>
    <t>rb\as\cheryIPB\prj\netpr\src</t>
  </si>
  <si>
    <t>Overall</t>
  </si>
  <si>
    <t>VM\[Checkin Base Folder]\h\hto7abt\BsclLsm_DriverPresence_040qm00000001p070ka064j3tc3go_1_3\BsclLsm_DriverPresence_040qm00000001p070ka064j3tc3go_1_3 (1.2)
RM\ASW\VmcAswMainstream\PlatformLibraryVmc\Package\BSCL_LSM_BehaviorStateControlLogic_LSM\Privat\BsclLsm_DriverPresence\BsclLsm_DriverPresence (1.3)</t>
  </si>
  <si>
    <t>VM\[Checkin Base Folder]\h\hto7abt\BsclLsm_Lsm12DegradationDeactivationMonitoring_040qm00000001p070ke0662jkb4ga_1_2\BsclLsm_Lsm12DegradationDeactivationMonitoring_040qm00000001p070ke0662jkb4ga_1_2 (1.3)
RM\ASW\VmcAswMainstream\PlatformLibraryVmc\Package\BSCL_LSM_BehaviorStateControlLogic_LSM\Privat\BsclLsm_Lsm12DegradationDeactivationMonitoring\BsclLsm_Lsm12DegradationDeactivationMonitoring (1.2)</t>
  </si>
  <si>
    <r>
      <t xml:space="preserve">VM\[Checkin Base Folder]\h\hto7abt\BsclLsm_Lsm12VehicleStateMonitoring_040qm00000001p070ka066bkecl0o_1_6\BsclLsm_Lsm12VehicleStateMonitoring_040qm00000001p070ka066bkecl0o_1_6 (1.3)
</t>
    </r>
    <r>
      <rPr>
        <b/>
        <sz val="11"/>
        <color theme="1"/>
        <rFont val="Calibri"/>
        <family val="2"/>
      </rPr>
      <t>RM\ASW\VmcAswMainstream\PlatformLibraryVmc\Package\BSCL_LSM_BehaviorStateControlLogic_LSM\Privat\BsclLsm_Lsm12VehicleStateMonitoring\BsclLsm_Lsm12VehicleStateMonitoring (1.6)</t>
    </r>
  </si>
  <si>
    <t>cannot cover for full C0/c1 because param 1D</t>
  </si>
  <si>
    <t>VM\[Checkin Base Folder]\h\hto7abt\BsclLsm_Lsm23DegradationDeactivationMonitoring_040qm00000001p070o506682tmdge_1_2\BsclLsm_Lsm23DegradationDeactivationMonitoring_040qm00000001p070o506682tmdge_1_2 (1.3)
RM\ASW\VmcAswMainstream\PlatformLibraryVmc\Package\BSCL_LSM_BehaviorStateControlLogic_LSM\Privat\BsclLsm_Lsm23DegradationDeactivationMonitoring\BsclLsm_Lsm23DegradationDeactivationMonitoring (1.2)</t>
  </si>
  <si>
    <t>Chery_IPB_Deuterium_Int\chery_IPB\rb\as\cheryIPB\core\app\dcom\RBAPLCust\src\common\RBAPLCUST_RDBI_BLS.c</t>
  </si>
  <si>
    <t>Chery_IPB_Deuterium_Int\chery_IPB\rb\as\cheryIPB\core\app\dcom\RBAPLCust\src\common\RBAPLCUST_RDBI_Chery_BSMConf.c</t>
  </si>
  <si>
    <t>Chery_IPB_Deuterium_Int\chery_IPB\rb\as\cheryIPB\core\app\dcom\RBAPLCust\src\common\RBAPLCUST_VariandCode.c</t>
  </si>
  <si>
    <t>Chery_IPB_Deuterium_Int\chery_IPB\rb\as\cheryIPB\core\app\dcom\RBAPLCust\src\common\RBAPLCUST_WDBI_NVMData_Chery.c</t>
  </si>
  <si>
    <t>Chery_IPB_Deuterium_Int\chery_IPB\rb\as\cheryIPB\prj\app\net\RBScl\src\RBA_NDS_Complex_FailSts_InPostrun.c</t>
  </si>
  <si>
    <t>FAW_Carbon_TypeF_IBooster_Int\iBoosterGen2\rb\as\faw\core\app\dsm\RBVAR\src</t>
  </si>
  <si>
    <t>- Not reuse: Too complex to reuse
=&gt; Total 9 test scripts</t>
  </si>
  <si>
    <t>- Not reuse: Too complex to reuse
=&gt; Total 5 test scripts</t>
  </si>
  <si>
    <t>Chery_IPB_Deuterium_Int\chery_IPB\rb\as\cheryIPB\core\app\dcom\RBAPLCust\src\IPB</t>
  </si>
  <si>
    <t>Chery_IPB_Deuterium_Int\chery_IPB\rb\as\cnms_core\app\dcom\RBAPLCust\src\common</t>
  </si>
  <si>
    <t>VM\[Checkin Base Folder]\h\hto7abt\BsclLsm_MovementManager_040qm00000001p070kdg7tjs08v0o_1_8\BsclLsm_MovementManager_040qm00000001p070kdg7tjs08v0o_1_8 (1.2)
RM\ASW\VmcAswMainstream\PlatformLibraryVmc\Package\BSCL_LSM_BehaviorStateControlLogic_LSM\Privat\BsclLsm_MovementManager\BsclLsm_MovementManager (1.8)</t>
  </si>
  <si>
    <t>#Line 75: Cannot cover false case i &lt;= 99. Because it conflict with condition of for loop (i &lt; 100).</t>
  </si>
  <si>
    <t>Chery_IPB_Deuterium_Int\chery_IPB\rb\as\cheryIPB\core\app\dcom\RBAPLCust\src\common</t>
  </si>
  <si>
    <t>-No old file to re-use</t>
  </si>
  <si>
    <t>- Not reuse: Code too short =&gt; don't need to reuse</t>
  </si>
  <si>
    <t>unused variable. I will update it in the next release</t>
  </si>
  <si>
    <t>BB80799</t>
  </si>
  <si>
    <t>-No re-use (No data for re-use)</t>
  </si>
  <si>
    <t>-No re-use (Test 1 more Test scrip ==&gt; no reuse)</t>
  </si>
  <si>
    <t>-Re-use. 50% effort</t>
  </si>
  <si>
    <t>Can not cover case false at line #14. Because can not enough element of enum.</t>
  </si>
  <si>
    <t>-Change a lot of condition ==&gt; no re-use</t>
  </si>
  <si>
    <t>-Too complex to re-use</t>
  </si>
  <si>
    <t>- Defect ID 1757548
=&gt; Re-test with new version 1.0.147306.3</t>
  </si>
  <si>
    <t>SsmDegradationStgyBrkCtrlExecution</t>
  </si>
  <si>
    <t>PLTUT_02110311</t>
  </si>
  <si>
    <t>CRB_BFD_RampDownFa</t>
  </si>
  <si>
    <t>CRB_ESPhybrid_OutputInterface</t>
  </si>
  <si>
    <t>CRB_FbHydMin</t>
  </si>
  <si>
    <t>CRB_FbHydRADecrease</t>
  </si>
  <si>
    <t>CRB_FbRegenTargetNoABS_ESPhevX</t>
  </si>
  <si>
    <t>CRB_InputInterface_ESPhevX</t>
  </si>
  <si>
    <t>CRB_StabilityMargin_InputInterface</t>
  </si>
  <si>
    <t>PressureLimiter_pGradLim</t>
  </si>
  <si>
    <t>PressureLimiter_Qmax</t>
  </si>
  <si>
    <t>Toy_AEB_SSMDegradation</t>
  </si>
  <si>
    <t>Toyota_AEB_BH_DAMODE</t>
  </si>
  <si>
    <t>HHCDriveTrainAvail</t>
  </si>
  <si>
    <t>VLC_SetFx</t>
  </si>
  <si>
    <t>NET_SCL_RcvCGW1S11_TOY</t>
  </si>
  <si>
    <t>NET_SCL_RcvCGW1S12_TOY</t>
  </si>
  <si>
    <t>NET_SCL_RcvCGW1S13_TOY</t>
  </si>
  <si>
    <t>NET_SCL_RcvCGW1S14_TOY</t>
  </si>
  <si>
    <t>NET_SCL_RcvCGW1S15_TOY</t>
  </si>
  <si>
    <t>NET_SCL_RcvCGW1S16_TOY</t>
  </si>
  <si>
    <t>NET_SCL_RcvCGW1S17_TOY</t>
  </si>
  <si>
    <t>NET_SCL_RcvCGW1S18_TOY</t>
  </si>
  <si>
    <t>NET_SCL_RcvCGW1S21_TOY</t>
  </si>
  <si>
    <t>NET_SCL_RcvCGW1S22_TOY</t>
  </si>
  <si>
    <t>NET_SCL_RcvCGW1S23_TOY</t>
  </si>
  <si>
    <t>NET_SCL_RcvCGW1S24_TOY</t>
  </si>
  <si>
    <t>NET_SCL_RcvCGW1S25_TOY</t>
  </si>
  <si>
    <t>NET_SCL_RcvCSR1G10_TOY</t>
  </si>
  <si>
    <t>NET_SCL_RcvEHV2G33_TOY</t>
  </si>
  <si>
    <t>NET_SCL_XmtVSC1G12_TOY</t>
  </si>
  <si>
    <t>NET_SCL_XmtVSC1G14_TOY</t>
  </si>
  <si>
    <t>NET_SCL_XmtVSC1G30_TOY</t>
  </si>
  <si>
    <t>NET_SCL_XmtVSC1G34_TOY</t>
  </si>
  <si>
    <t>NET_SCL_XmtVSC1G37_TOY</t>
  </si>
  <si>
    <t>NET_SCL_XmtVSC1S36_ESP_TOY</t>
  </si>
  <si>
    <t>NET_SCL_XmtVSC1S37_ESP_TOY</t>
  </si>
  <si>
    <t>NET_SCL_XmtVSC1S95_TOY</t>
  </si>
  <si>
    <t>1.4.118.3</t>
  </si>
  <si>
    <t>2.20.118.0</t>
  </si>
  <si>
    <t>1.24.118.0</t>
  </si>
  <si>
    <t>1.16.118.0</t>
  </si>
  <si>
    <t>1.22.118.0</t>
  </si>
  <si>
    <t>6.34.118.0</t>
  </si>
  <si>
    <t>1.27.118.0</t>
  </si>
  <si>
    <t>1.33.1.0.118.0</t>
  </si>
  <si>
    <t>1.14.0.1.118.4</t>
  </si>
  <si>
    <t>1.7</t>
  </si>
  <si>
    <t>1.1.50.0.2.1.118.1.1.0.6.2</t>
  </si>
  <si>
    <t>4.7.118.2</t>
  </si>
  <si>
    <t>_MWebUDNOEem3jZk4sk4BjQ</t>
  </si>
  <si>
    <t>_MWpacTNOEem3jZk4sk4BjQ</t>
  </si>
  <si>
    <t>_MWqBgDNOEem3jZk4sk4BjQ</t>
  </si>
  <si>
    <t>_MWqokDNOEem3jZk4sk4BjQ</t>
  </si>
  <si>
    <t>_MWqokTNOEem3jZk4sk4BjQ</t>
  </si>
  <si>
    <t>_MWrPoDNOEem3jZk4sk4BjQ</t>
  </si>
  <si>
    <t>_MWr2sDNOEem3jZk4sk4BjQ</t>
  </si>
  <si>
    <t>_MWsdwDNOEem3jZk4sk4BjQ</t>
  </si>
  <si>
    <t>_MWsdwTNOEem3jZk4sk4BjQ</t>
  </si>
  <si>
    <t>_MWtE0DNOEem3jZk4sk4BjQ</t>
  </si>
  <si>
    <t>_MWtr4DNOEem3jZk4sk4BjQ</t>
  </si>
  <si>
    <t>_MWaw8DNOEem3jZk4sk4BjQ</t>
  </si>
  <si>
    <t>_MWtr4TNOEem3jZk4sk4BjQ</t>
  </si>
  <si>
    <t>_MWuS8DNOEem3jZk4sk4BjQ</t>
  </si>
  <si>
    <t>_rNO3cKPREeq-lOayxAB-6Q</t>
  </si>
  <si>
    <t>_rNYocKPREeq-lOayxAB-6Q</t>
  </si>
  <si>
    <t>_MXZoYDNOEem3jZk4sk4BjQ</t>
  </si>
  <si>
    <t>_MXl1oDNOEem3jZk4sk4BjQ</t>
  </si>
  <si>
    <t>_MXUI0DNOEem3jZk4sk4BjQ</t>
  </si>
  <si>
    <t>_-BavMKPREeq-lOayxAB-6Q</t>
  </si>
  <si>
    <t>_CqcIwKPSEeq-lOayxAB-6Q</t>
  </si>
  <si>
    <t>_CqSXwKPSEeq-lOayxAB-6Q</t>
  </si>
  <si>
    <t>_fEZ2sMWhEem2tvyZi3o6uQ</t>
  </si>
  <si>
    <t>_Y_VDENC0EeqO6f0mKTVpIw</t>
  </si>
  <si>
    <t>_MXNbIDNOEem3jZk4sk4BjQ</t>
  </si>
  <si>
    <t>Rathan, R</t>
  </si>
  <si>
    <t>Rekha, Kumari</t>
  </si>
  <si>
    <t>Behera, Sourav</t>
  </si>
  <si>
    <t>Kavya K M (RBEI/ESJ33)</t>
  </si>
  <si>
    <t>MT_109</t>
  </si>
  <si>
    <t>MT_110</t>
  </si>
  <si>
    <t>MT_111</t>
  </si>
  <si>
    <t>MT_112</t>
  </si>
  <si>
    <t>MT_113</t>
  </si>
  <si>
    <t>MT_114</t>
  </si>
  <si>
    <t>MT_115</t>
  </si>
  <si>
    <t>MT_116</t>
  </si>
  <si>
    <t>MT_117</t>
  </si>
  <si>
    <t>MT_118</t>
  </si>
  <si>
    <t>MT_120</t>
  </si>
  <si>
    <t>MT_121</t>
  </si>
  <si>
    <t>MT_122</t>
  </si>
  <si>
    <t>MT_123</t>
  </si>
  <si>
    <t>MT_067</t>
  </si>
  <si>
    <t>MT_068</t>
  </si>
  <si>
    <t>MT_073</t>
  </si>
  <si>
    <t>MT_080</t>
  </si>
  <si>
    <t>MT_082</t>
  </si>
  <si>
    <t>MT_086</t>
  </si>
  <si>
    <t>MT_087</t>
  </si>
  <si>
    <t>MT_088</t>
  </si>
  <si>
    <t>MT_089</t>
  </si>
  <si>
    <t>MT_090</t>
  </si>
  <si>
    <t>MT_091</t>
  </si>
  <si>
    <t>T210</t>
  </si>
  <si>
    <t>T211</t>
  </si>
  <si>
    <t>T212</t>
  </si>
  <si>
    <t>T213</t>
  </si>
  <si>
    <t>T214</t>
  </si>
  <si>
    <t>cannot cover false case of ((_t1sint32 &lt;= (sint16)800) ? _t1sint32 : (sint16)800) because
S___Toyota_RequestEPBNotCompletelyApplied_CM_APB_HMI_Toyota_CAL_MEM.P___C_ApbCtrldT_Lamp is a constant ( = 1)
S___Toyota_RequestEPBNotCompletelyApplied_CM_APB_HMI_Toyota_CAL_MEM.P___C_PKBThreshold is a constant ( = 0)
when _t1sint32 at line 307 &gt; 800 =&gt; condition at line 303 false =&gt; line310 cannot reach</t>
  </si>
  <si>
    <t>Can not cover out range max of RCP_tComInv at line #7. Because conflic with condition at line 5:
 - Range of RCP_tComInv from 0 to 21474836.475
 - Range of C_RCP_timeOutCSR from 0 to 320</t>
  </si>
  <si>
    <t xml:space="preserve">Code coverage reason:
In Ascet 5,6 param1D cannot be covered
Line #47: Cannot cover out range max value of DegradationStgyFxBrkTar. Because the variable BldUpFxBrkTarIncPerCyc at line 46 is always negative.
Line #63: Cannot cover out range max value of DegradationStgyFxBrkTar. Because the variable StopVehRollFxTarIncPerCycTillVehStop at line 62 is always negative.
Line #72: Cannot cover out range max, min value of FxTarIncOffs. Because range value of VehMEstimd is [0;16000] and P_SsmDegradationStgyStopVehRollFxStdBrkOffs is [-10;-0.5]
Line #75: Cannot cover out range max value of StopVehRollFxTarFinal. Because the variable FxTarIncOffs at line 73 is always negative.
Line #112: Cannot cover out range max value of DegradationStgyFxBrkTar. Because the variable StopVehRollFxTarIncPerCycTillVehStop at line 110 is always negative.
Line #125: Cannot cover out range max, min value of BrkFxReductionTar. Because range value of P_SsmDegradationStgyFxStdBrkHldMax is [-10;0] and VehMGross is [0;16000]
Line #129: Cannot cover out range max value of BrkFxReductionTar. Because range value of P_SsmDegradationStgyFxStdBrkHldMax is [-10;0] and VehMGross is [0;16000]. The varible FxHold and BrkFxReductionTar is the same range value.
Line #144: Cannot cover out range max,min value of HlddFxBrkTar. Because range value of VehMEstimd is [0;16000] and P_SsmFxBrkRednToWorkingPointdFxStdBrkMin is [3;10].
Line #145: Cannot cover out range max,min value of HldFxBrkTarIncPerCyc. Because max value of HldFxBrkTarIncPerCyc at line 149 is equal to 10*16000*1.275 = 204000 and min value is equal to zero.
Line #146: Cannot cover out range max value of HldFxBrkTarIncPerCyc. Because max value of D_SsmFxBrkRednToWorkingPointLowPassCoeff can be reached is 0.040039063. And max value of (BrkFxReductionTar-DegradationStgyFxBrkTar) is 500000.
Line #149: cannot cover out range min value of DegradationStgyFxBrkTar. Because the variable HldFxBrkTarIncPerCyc at line 150 is always positive.
Line #200: Cannot cover out range max value of dFxBrkTarPerCyc. Because max value of P_SsmDegradationStgyBrkFxShdwndFxStdLim is 4. =&gt; D_SsmDegradationStgyBrkFxShdwndFxStdLim*VehMEstimd = 4*16000 = 64000; 
   =&gt; max value of dFxBrkTarPerCyc at line 205:= 64000*1.275 = 81600
Line #212: Cannot cover out range max value of dFxBrkTarPerCyc. Because max value of P_SsmDegradationStgyBrkFxShdwndFxStdLim is 4. =&gt; D_SsmDegradationStgyBrkFxShdwndFxStdLim*VehMEstimd = 4*16000 = 64000; 
   =&gt; max value of dFxBrkTarPerCyc at line 217:= 64000*1.275 = 81600
Line #221: Cannot cannot out range min value of DegradationStgyFxBrkTar. Because the variable dFxBrkTarPerCyc at line 225 is always positive.
</t>
  </si>
  <si>
    <t>GEELY_SS11ESP9.3CP_BL03_SP02</t>
  </si>
  <si>
    <t>GAC_Carbon_Stream_ESPCP_STRGAC_C201_BL08</t>
  </si>
  <si>
    <t>241807_xPeng_D55_APBMi_ESP9.3_BSS02_STRXP_C201</t>
  </si>
  <si>
    <t>RBAPLCUST_RoutineControl_DelayControl.c</t>
  </si>
  <si>
    <t>ComScl_Scl_Complex_proc.c</t>
  </si>
  <si>
    <t>TPMS_PSW_Interface_COMMON_CN.c</t>
  </si>
  <si>
    <t>APBTextMesg_GAC</t>
  </si>
  <si>
    <t>APBFunctionLamp_GAC</t>
  </si>
  <si>
    <t>APBWarningLamp_GAC</t>
  </si>
  <si>
    <t>APBWarningAudio_GAC</t>
  </si>
  <si>
    <t>ApbButtonState_GAC</t>
  </si>
  <si>
    <t>EPBButton_StpOnBrkProcess</t>
  </si>
  <si>
    <t>EPBVirtualButton_DragMode</t>
  </si>
  <si>
    <t>EPBVirtualButtonSignalProcess</t>
  </si>
  <si>
    <t>ApbVirtualBtnLockRelTarget_GAC</t>
  </si>
  <si>
    <t>CddOnlySignalMapping_xPeng</t>
  </si>
  <si>
    <t>CDD_SsmStrategy</t>
  </si>
  <si>
    <t>AEB_DefineAxTar</t>
  </si>
  <si>
    <t>WssDirMonConditionEnable_xPeng</t>
  </si>
  <si>
    <t>WssDirMonStrategy_xPeng</t>
  </si>
  <si>
    <t>WssDirQualifier_xPeng</t>
  </si>
  <si>
    <t>BL03_SP02</t>
  </si>
  <si>
    <t>BL08</t>
  </si>
  <si>
    <t>BSS02</t>
  </si>
  <si>
    <t>Geely_ESP93_Carbon_Int</t>
  </si>
  <si>
    <t>ApbMiGen2hevX_ECU_CSW_BB97468</t>
  </si>
  <si>
    <t>ApbMiGen2_ECU_CSW_BB00001</t>
  </si>
  <si>
    <t>CDD_ECU_CSW_BB00001</t>
  </si>
  <si>
    <t>Esp9wAPBCPEncapSWCust_ECU_CSW_BB95572</t>
  </si>
  <si>
    <t>2.0.1.5</t>
  </si>
  <si>
    <t>1.0.315.2</t>
  </si>
  <si>
    <t>1.0.315.1.1.0</t>
  </si>
  <si>
    <t>2.8.1.0</t>
  </si>
  <si>
    <t>4.3.146324.0</t>
  </si>
  <si>
    <t>4.2.146.0.146324.0</t>
  </si>
  <si>
    <t>KASIVASAKAM Murugananth (CC-AS/EVA-SW32-CN)</t>
  </si>
  <si>
    <t>ZHOU Wei (CC-AS/EVA-SW32-CN)</t>
  </si>
  <si>
    <t>LIU Qiang (CC-AS/EVA-SW2-CN)</t>
  </si>
  <si>
    <t>WANG Mingyuan (CC-AS/EVA-SW2-CN)</t>
  </si>
  <si>
    <t>Line #96: Can't cover false case. Beacause of marco C_NumberOfComparison_UB is defined 2.</t>
  </si>
  <si>
    <t xml:space="preserve">1. Can’t cover False case of condition “else if(TargetStateBtnLock_NET == ApbBtnLock_NET_On)” at #line 7 because TargetStateBtnLock_NET just 2 values.
2. Can’t cover False case of condition “else if(TargetStateBtnRel_NET == ApbBtnRel_NET_On)” at #line 21 because TargetStateBtnRel_NET just 2 values.
</t>
  </si>
  <si>
    <t>ESPhevX_Qprecontrol</t>
  </si>
  <si>
    <t xml:space="preserve">ls_WauUzLinePrevious_b </t>
  </si>
  <si>
    <t xml:space="preserve">ls_IGPStatusPrev_b </t>
  </si>
  <si>
    <t xml:space="preserve">ls_IsInitSetIGR_b  </t>
  </si>
  <si>
    <t xml:space="preserve">ls_IsInitSetIGP_b  </t>
  </si>
  <si>
    <t xml:space="preserve">ls_IsInitSetECU_b  </t>
  </si>
  <si>
    <t>=</t>
  </si>
  <si>
    <t xml:space="preserve">local_ls_WauUzLinePrevious_b </t>
  </si>
  <si>
    <t xml:space="preserve">local_ls_IGPStatusPrev_b </t>
  </si>
  <si>
    <t xml:space="preserve">local_ls_IsInitSetIGR_b  </t>
  </si>
  <si>
    <t xml:space="preserve">local_ls_IsInitSetIGP_b  </t>
  </si>
  <si>
    <t xml:space="preserve">local_ls_IsInitSetECU_b  </t>
  </si>
  <si>
    <t>;</t>
  </si>
  <si>
    <t>unused variable. We would like to remove the un-used local variable in upcoming BL</t>
  </si>
  <si>
    <t>In Ascet 5,6 param1D cannot be covered
Line#44: Cannot cover out range max value of crb_FbTargetFA. Because the value of parameter P_Fges2Ffa is always less than 1.
Line#115: Cannot cover out range min value of crb_FbHydTargetRA_adjusted. Because the value of dFbTransition is always greater than or equal to zero.
Line#123: Cannot cover out range max of crb_FbHydTargetRA. Because the value of crb_FbHydTargetFA_lim at line 120 is always greater than or equal to crb_FbHydTargetFA_adjusted.
               =&gt; (crb_FbHydTargetFA_lim - crb_FbHydTargetFA_adjusted) is always positive.
Line#135: Cannot cover out range min value of crb_FbHydTargetRA. Because min value of crb_FbHydDelta is 0 and the range value of parameter P_Fges2Ffa is from 0 to 1.
Line#135: Cannot cover out range max value of crb_FbHydTargetRA. Because 
              + max of value crb_FbHydDelta*(1-P_Fges2Ffa) is crb_FbHydDelta.
              + at line#131:=&gt; crb_FbHydTargetRA += crb_FbHydDelta*(1-P_Fges2Ffa); &lt;=&gt; crb_FbHydTargetRA = crb_FbHydTargetRA + (crb_FbHydTarget - crb_FbHydTargetRA - crb_FbHydTargetFA)
                                ;=&gt; crb_FbHydTargetRA(max line 135) = (crb_FbHydTarget - crb_FbHydTargetFA).
              + the range value of crb_FbHydTarget and crb_FbHydTargetFA is from 0 to 131068</t>
  </si>
  <si>
    <t>- Owner confirm it's no impact</t>
  </si>
  <si>
    <t>-Can’t cover false (T&amp;&amp;F) case for condition if( (CddDriveOff_B == true)&amp;&amp;(CddDriveOffViaBrk_B == true)   at# linre68. Because case (T&amp;&amp;F) of this condition is TRUE case of condition at line #54.</t>
  </si>
  <si>
    <t>Geely_ESP93_Carbon_Int\MainstreamF30\rb\as\geely\core\app\itpms\TPMS_Common_CN\SRC</t>
  </si>
  <si>
    <t>Geely_ESP93_Carbon_Int\MainstreamF30\rb\as\geely\core\app\dcom\RBAPLCust\src\ESP</t>
  </si>
  <si>
    <t>Geely_ESP93_Carbon_Int\MainstreamF30\rb\as\cnms_core\app\dcom\RBAPLCust\src\ESP</t>
  </si>
  <si>
    <t>cannot cover full CO/C1 because of Param1D
Line#158: cannot cover out range max because (cFA * cRA) / (cRA + cFA) = 15000 =&gt; cannot reach max of cCir (30000)
Line#173: cannot cover out range max min because limited statements at line#158, 161, 164 =&gt; Qlim_FA=pTgtGradlim_FA/cFA always cannot reach out max min of Qlim_FA (63.99804688:-64)
Line#136: cannot cover out range min because cFA have range &gt; 1, Qlim_FA_loc at line#136 always &gt;= 0 through filter at Line#135
Line#137: cannot cover out range min because pTgtGradlim_FA_loc*P_dT always &gt; 0 through Line#136
Line#148: cannot cover out range min because cRA have range &gt; 1, Qlim_RA_loc2 &gt;=0 through filter at Line#144
Line#149: cannot cover out range max min because ReImplement2Pressure_normal(delta_p_fine_RA) will shift bit and clear 4 bit lower of delta_p_fine_RA
=&gt; cannot cover out range max min at Line#150, 197, 198</t>
  </si>
  <si>
    <t>ok</t>
  </si>
  <si>
    <t>Death code from line #152 to line #191. Because this code belong to default case which is out range of STM_State_CRB_ESPhevX enum.</t>
  </si>
  <si>
    <t>Line#106: Cannot cover default case. Because the type of variable crb_TargetState is enum {CRB_ESPhevX_Off; CRB_ESPhevX_Rollerbench; CRB_ESPhevX_On}</t>
  </si>
  <si>
    <t>-1. I cant’ cover case over max at line 8, 13.
Owner confirms it's no impact.</t>
  </si>
  <si>
    <t xml:space="preserve">-owner confirm no impact and check value enum correct </t>
  </si>
  <si>
    <t>Code coverage reason:
Line #55: Cannot cover outrange max for EPBLockMaxDurationTimer because:
- EPBLockMaxDurationTimer and C_SSMtVehSecuredReqMax had same range [0-5] and Tolerance [0.005]
- To reach this line : EPBLockMaxDurationTimer &lt; C_SSMtVehSecuredReqMax[line#52] -&gt; if C_SSMtVehSecuredReqMax = 5 - 0.005 -&gt; C_SSMtVehSecuredReqMax = 5 - 0.005 + C_LDMdT[=0.005,non-calib] = 5.</t>
  </si>
  <si>
    <t>- Can’t cover out range maximum value 255 for local variables at line#15,16,17,18,23,24,25,26,31,32,33,34,39,40,41,42. Because it’s assigned to 0, maximum value that it can reach is 4.
- Can’t cover case vMax = vFL.max(vMax) return value vMax at line#14. At this line,vMax is equal to 0 and vFL has range [0,100]. So, the expression always return vFL.
=&gt; Owner confirm it's no impact.
- Class have 2 subclass =&gt; plus 10 elocs.</t>
  </si>
  <si>
    <t xml:space="preserve">Cannot cover full C0/C1 because of Param1D
Line#86: cannot cover out range min because crb_Qdriver , crb_Qpump have the same range and crb_Qpump = Efficiency * nMot2qPump * crb_nPumoLimPressureLimiter at line#45 always &gt;= 0 </t>
  </si>
  <si>
    <t xml:space="preserve">1. At the line #18: ApbParkBrakeSetAndRelese_Timer = ApbParkBrakeSetAndRelese_Timer + C_ApbCtrldT; cannot cover out range max for ApbParkBrakeSetAndRelese_Timer
Because: Limit assignment by code at line 16 : (ApbParkBrakeSetAndRelese_Timer&gt;0)&amp;&amp;(ApbParkBrakeSetAndRelese_Timer&lt;=2), C_ApbCtrldT: range [0-1], ApbParkBrakeSetAndRelese_Timer: range [0-10]
2. At the line #88: if (((!ApbVehStandstill_B)&amp;&amp;((PbcSystemState == PbcActuatorState_Applied)||(PbcSystemState == PbcActuatorState_HoldApplied))); Cannot cover MCDC with case: ( (True &amp;&amp; FALSE) || FALSE) 
Because this condition is same with condition at the line #62
3. Can't cover greater than max of TextMessage_Counter++ at #line 135 because this line happend when TextMessage_Counter &lt; 6
</t>
  </si>
  <si>
    <t>- 1, 2 =&gt; reuse OPL
- 3 =&gt; Owner confirm no impact</t>
  </si>
  <si>
    <t xml:space="preserve">Line#174, 180 cannot cover true case at this line because RcvMESG(l_TGT_SFTL_N, NMSG_VMC_TGT_SftPriorLower) at line 158 will assign l_TGT_SFTL_N to a bool variable type
Line#131, 137, 143 cannot cover true case at this line because RcvMESG(l_TGT_SFTH_N, NMSG_VMC_TGT_SftPriorUpper); at line 115 will assign l_TGT_SFTH_N to a bool variable type
</t>
  </si>
  <si>
    <t>-line #46: Can't cover outrange max at line #46,#57 because P_Fges2Fra = (ENV_rWheelFA*ENV_CpRA)/(ENV_rWheelFA*ENV_CpRA+ENV_rWheelRA*ENV_CpFA) (max = 1) -&gt; crb_FbTargetRa = crb_FbTarget * P_Fges2Fra, crb_FbRegenTargetIdeal = crb_dFbTarget * P_Fges2Fra never &gt; 131068
-Line#64: Canot cover for over max for crb_FbRegenTargetIdeal because minimum value of crb_FbResidualPressureFa, crb_FbResidualPressureRa, crb_FbHydTargetRaMin, crb_FbHydTargetFaMin is 0</t>
  </si>
  <si>
    <t>DFN_ESP_Gen9.3_534_238307_BS04SP04</t>
  </si>
  <si>
    <t>HHT_VX1_ESPHevX_BL4</t>
  </si>
  <si>
    <t>ApbCtrl_HMI_DFN</t>
  </si>
  <si>
    <t>MON_PbcFailureHandler</t>
  </si>
  <si>
    <t>CM_IVC_HHT_IVCRWS_APARPA_Availability</t>
  </si>
  <si>
    <t>CM_IVC_HHT_IVCRWSTargetTravel_APARPA</t>
  </si>
  <si>
    <t>BS04SP04</t>
  </si>
  <si>
    <t>BL4</t>
  </si>
  <si>
    <t>CM_IVC_HHT_IVCRWS_APARPA_Availability.axl</t>
  </si>
  <si>
    <t>CM_IVC_HHT_IVCRWSTargetTravel_APARPA.axl</t>
  </si>
  <si>
    <t>QIAN Li (CC-AS/EVA-SW2-CN)</t>
  </si>
  <si>
    <t>Zhang Dong (BEG/ESW-CN)</t>
  </si>
  <si>
    <t>2.9</t>
  </si>
  <si>
    <t>FeeReorgMonitoring_PersistentData</t>
  </si>
  <si>
    <t>DemCSMosar_EventLogger</t>
  </si>
  <si>
    <t>Akshaya Sathiyanarayanan (RBEI/ESJ31)</t>
  </si>
  <si>
    <t>Aparna Saseendran (RBEI/ESJ3)</t>
  </si>
  <si>
    <t>Sowmiya S (RBEI/ESJ31)</t>
  </si>
  <si>
    <t>MT_026</t>
  </si>
  <si>
    <t>MT_035</t>
  </si>
  <si>
    <t>MT_036</t>
  </si>
  <si>
    <t>MT_039</t>
  </si>
  <si>
    <t>TOY_PF19_CMP_BL18_Integration_3</t>
  </si>
  <si>
    <t>BB80270</t>
  </si>
  <si>
    <t xml:space="preserve">- check value enum correct </t>
  </si>
  <si>
    <t xml:space="preserve">
Owner confirms no impact</t>
  </si>
  <si>
    <t>- Can’t cover maximum for line#6 and line#14 of variable IVCRWS_TargetTravel . Because this value can’t  &gt;16.6 .</t>
  </si>
  <si>
    <t>-1. The calculation TargetTravel_APARPA.max(IVCRWS_TargetTravel-P_IVCRWS_APARPA_Gradient).min(IVCRWS_TargetTravel+P_IVCRWS_APARPA_Gradient) can’t be greater than 16.6.</t>
  </si>
  <si>
    <t>deadcode</t>
  </si>
  <si>
    <t>CNMS_12-06\CNMRPAiBoosterGen2\rb\as\rbcn\rpaib2\app\net\RBScl\src</t>
  </si>
  <si>
    <t>Line #168, can not cover for case YawStabilityIndex &gt; 0 in abs() function. Because this line is statement of condition ((YawStabilityIndex &lt; 0) &amp;&amp; (CRB_FS_Recuperation == Recuperation_Front_and_Rear)).</t>
  </si>
  <si>
    <t>- Can’t return the maximum value (6000) of APBWarningAudio_Counter at line#56 because it must be less than 6
=&gt; Owner confirm it's no impact</t>
  </si>
  <si>
    <t>- Can’t cover MCDC at line#25 with case (FFX) because PbcFaultState takes two opposite values at the same time.
=&gt; Owner confirm it's no impact</t>
  </si>
  <si>
    <t>PLTUT_05110911</t>
  </si>
  <si>
    <t>SsmDegradationStgyStCore</t>
  </si>
  <si>
    <t>SsmParkReqDistCore</t>
  </si>
  <si>
    <t>T216</t>
  </si>
  <si>
    <t>GAC_Carbon_Stream_ESPCP_STRGAC_C201_BL09</t>
  </si>
  <si>
    <t>RBDSMVAR_StateMachine.c</t>
  </si>
  <si>
    <t>BL09</t>
  </si>
  <si>
    <t>GAC_ESP93CP_Carbon_Int</t>
  </si>
  <si>
    <t>BB99704</t>
  </si>
  <si>
    <t>WANG Shuaishuai (CC-AS/EVA-SW31-CN)</t>
  </si>
  <si>
    <t>rb\as\gaig\A12ESP\app\dsm\RBHMI\src</t>
  </si>
  <si>
    <t>-I can’t cover false case for condition at line 154 because at line 153 ls_SystemInitCounter_UW = C_HMISystemInitTimeSpanCycleCounter_UW, and C_HMISystemInitTimeSpanCycleCounter_UW&gt;0.</t>
  </si>
  <si>
    <t>Owner confirms no impact
- test 1 more test script ==&gt; No re-use</t>
  </si>
  <si>
    <t>GAC_ESP93CP_Carbon_Int\MainstreamF30\rb\as\gaig\A12ESP\app\dsm\RBHMI\src\RBHMI_Synchronisation_PRJ.c</t>
  </si>
  <si>
    <t>-No data to re-use</t>
  </si>
  <si>
    <t>RN_AEBS_BrakingOrderRequestConsistency_Deceleration</t>
  </si>
  <si>
    <t>RN_EMC_SSM_VehSecured</t>
  </si>
  <si>
    <t>RNM_ADmodeStatusExtender</t>
  </si>
  <si>
    <t>RNM_EMC_BackupFunctionActivate</t>
  </si>
  <si>
    <t>RNM_EMC_CurrentSystemMode</t>
  </si>
  <si>
    <t>RNM_EMC_KeepAlive</t>
  </si>
  <si>
    <t>RNM_EMC_PathChangeRequest</t>
  </si>
  <si>
    <t>RNM_EMC_TargetStateEMC_calculation</t>
  </si>
  <si>
    <t>AEB_LimitControllerOutput</t>
  </si>
  <si>
    <t>AVH_TriggerStandbyOn</t>
  </si>
  <si>
    <t>Dy_HSA_CmdPressure</t>
  </si>
  <si>
    <t>JOEM_TCS_CUS_PTC_MPTIStep_NegJump</t>
  </si>
  <si>
    <t>TCS_Ps_Switcher_BTC_SystGainAdj</t>
  </si>
  <si>
    <t>VSE_VelocityInitialization_SituationDetection</t>
  </si>
  <si>
    <t>RN_CDP_DynamicBrakingAvailability</t>
  </si>
  <si>
    <t>CRB_BoundByRegenProhibit_Gradient_SetValue</t>
  </si>
  <si>
    <t>HDC_AxSensorInput</t>
  </si>
  <si>
    <t>HDC_axValidation</t>
  </si>
  <si>
    <t>HDC_vDesBasicNoLGD</t>
  </si>
  <si>
    <t>HDC_vDesThrottle</t>
  </si>
  <si>
    <t>Nis_AVH_ActClutch</t>
  </si>
  <si>
    <t>Nis_AVH_ClutchEngagementIntention</t>
  </si>
  <si>
    <t>Nis_TargetYawrateForBSW</t>
  </si>
  <si>
    <t>Nissan_AVDC_Function_WheelPressure</t>
  </si>
  <si>
    <t>QualityDecoder_Generic</t>
  </si>
  <si>
    <t>RN_EngStopReqConfirmed</t>
  </si>
  <si>
    <t>RN_LowActivePressureTest</t>
  </si>
  <si>
    <t>RN_SSA_ConfApbSystemState</t>
  </si>
  <si>
    <t>RN_SSA_pMinHold</t>
  </si>
  <si>
    <t>RN_TCS_dnMotF</t>
  </si>
  <si>
    <t>TCS_DSM_SpecialModes</t>
  </si>
  <si>
    <t>DTCCustRelease</t>
  </si>
  <si>
    <t>SspExport_TransformationAxsToCOG</t>
  </si>
  <si>
    <t>IVM_IfnMon</t>
  </si>
  <si>
    <t>RNM_ePedal_CoastWhlTrqGradCalc</t>
  </si>
  <si>
    <t>3.1</t>
  </si>
  <si>
    <t>1.0.176.1</t>
  </si>
  <si>
    <t>1.3.1.3</t>
  </si>
  <si>
    <t>1.0.6.2.176.0</t>
  </si>
  <si>
    <t>1.2.176.5</t>
  </si>
  <si>
    <t>1.8.112.0</t>
  </si>
  <si>
    <t>1.7.1.1.176.0</t>
  </si>
  <si>
    <t>1.0.176.0</t>
  </si>
  <si>
    <t>3.6.176.1</t>
  </si>
  <si>
    <t>3.4.176.0</t>
  </si>
  <si>
    <t>1.0.176.1.1.1</t>
  </si>
  <si>
    <t>2.4</t>
  </si>
  <si>
    <t>3.0</t>
  </si>
  <si>
    <t>4.0</t>
  </si>
  <si>
    <t>1.7.176.4</t>
  </si>
  <si>
    <t>4.1.176.0</t>
  </si>
  <si>
    <t>4.6.176.0</t>
  </si>
  <si>
    <t>1.5.176.5</t>
  </si>
  <si>
    <t>Rajkumar, Jeganathan</t>
  </si>
  <si>
    <t>Maimaijiang, Zunong</t>
  </si>
  <si>
    <t>Iguchi, Taku</t>
  </si>
  <si>
    <t>Kobayashi, Takahito</t>
  </si>
  <si>
    <t>Yakabe, Kazuaki</t>
  </si>
  <si>
    <t>deghdaghe, Houssem Eddine</t>
  </si>
  <si>
    <t>Kaneko, Kenta</t>
  </si>
  <si>
    <t>Ida, Akinari</t>
  </si>
  <si>
    <t>Iwaishi, Takumi</t>
  </si>
  <si>
    <t>Takaoka, Yuki</t>
  </si>
  <si>
    <t>Maruthi, R Veerakyathappa</t>
  </si>
  <si>
    <t>Miyazaki, Sho</t>
  </si>
  <si>
    <t>Naveen, Konganahalli Subbareddy</t>
  </si>
  <si>
    <t>Aoyama, Yoshiki</t>
  </si>
  <si>
    <t>Krishna Samy, Yogeshwaaran</t>
  </si>
  <si>
    <t>MT_149</t>
  </si>
  <si>
    <t>MT_153</t>
  </si>
  <si>
    <t>MT_154</t>
  </si>
  <si>
    <t>MT_156</t>
  </si>
  <si>
    <t>MT_158</t>
  </si>
  <si>
    <t>MT_159</t>
  </si>
  <si>
    <t>MT_160</t>
  </si>
  <si>
    <t>MT_161</t>
  </si>
  <si>
    <t>MT_162</t>
  </si>
  <si>
    <t>MT_163</t>
  </si>
  <si>
    <t>MT_165</t>
  </si>
  <si>
    <t>MT_166</t>
  </si>
  <si>
    <t>MT_168</t>
  </si>
  <si>
    <t>MT_171</t>
  </si>
  <si>
    <t>MT_173</t>
  </si>
  <si>
    <t>MT_178</t>
  </si>
  <si>
    <t>MT_185</t>
  </si>
  <si>
    <t>MT_186</t>
  </si>
  <si>
    <t>MT_187</t>
  </si>
  <si>
    <t>MT_188</t>
  </si>
  <si>
    <t>MT_193</t>
  </si>
  <si>
    <t>MT_194</t>
  </si>
  <si>
    <t>MT_197</t>
  </si>
  <si>
    <t>MT_199</t>
  </si>
  <si>
    <t>CCJP_RN_CARBON_SUV_CRBS_Build_Definition_1406</t>
  </si>
  <si>
    <t>Chery_IPB_Deuterium_Int\chery_IPB\rb\as\cnms_core\app\dcom\RBAPLCust\src\IPB</t>
  </si>
  <si>
    <t xml:space="preserve">-I suppose decision if at line 33 and 46 should be change to #if. </t>
  </si>
  <si>
    <r>
      <t xml:space="preserve">- 1 =&gt; </t>
    </r>
    <r>
      <rPr>
        <b/>
        <sz val="11"/>
        <color theme="1"/>
        <rFont val="Calibri"/>
        <family val="2"/>
      </rPr>
      <t>Defect ID: 173</t>
    </r>
    <r>
      <rPr>
        <b/>
        <sz val="11"/>
        <color rgb="FFFF0000"/>
        <rFont val="Calibri"/>
        <family val="2"/>
      </rPr>
      <t xml:space="preserve">6299 =&gt; Double effort
</t>
    </r>
    <r>
      <rPr>
        <b/>
        <sz val="11"/>
        <color theme="1"/>
        <rFont val="Calibri"/>
        <family val="2"/>
      </rPr>
      <t xml:space="preserve">- </t>
    </r>
    <r>
      <rPr>
        <sz val="11"/>
        <color theme="1"/>
        <rFont val="Calibri"/>
        <family val="2"/>
      </rPr>
      <t>2 =&gt; Reuse OPL
- 3 =&gt; Ignore, confirm by Mr. Bao</t>
    </r>
  </si>
  <si>
    <t>GAC_ESP93CP_Carbon_Int\MainstreamF30\rb\as\gaig\A12ESP\app\dsm\RBHMI\src</t>
  </si>
  <si>
    <t>GAC_ESP93CP_Carbon_Int\MainstreamF30\rb\as\core\app\dsm\rbvar\src</t>
  </si>
  <si>
    <t>BYD_IPB_SW_Mainstream_BL06_SP10</t>
  </si>
  <si>
    <t>BL06_SP10</t>
  </si>
  <si>
    <t>RBAPLOBD_Data.c</t>
  </si>
  <si>
    <t>RBAPLOBD_Global.c</t>
  </si>
  <si>
    <t>NET_Complex_SignalHandling.c</t>
  </si>
  <si>
    <t>NET_InternalIF.c</t>
  </si>
  <si>
    <t>RBA_NDS_SystemInfo.c</t>
  </si>
  <si>
    <t>SAS_Functions.c</t>
  </si>
  <si>
    <t>BYD_IPB_SR_DM4.0_HA2X</t>
  </si>
  <si>
    <t>XPENG_ESP_Carbon_D55_Int</t>
  </si>
  <si>
    <t>216916_FAW_E115_L3_ESPhev_APB(CBi)_BL80_STRFAW_C302</t>
  </si>
  <si>
    <t>BTC_GainDebouncer</t>
  </si>
  <si>
    <t>rb\as\BYD\ipb\app\dsm\RBVAR\src</t>
  </si>
  <si>
    <t>5.0.146.7.1.1</t>
  </si>
  <si>
    <t>2.7.146314.0</t>
  </si>
  <si>
    <t>MA Python (CC-AS/EVA-SW31-CN)</t>
  </si>
  <si>
    <t>ZHANG Ray (CC-AS/EVA-SW31-CN)</t>
  </si>
  <si>
    <t>SUN Nan (CC-AS/EVA-SW1-CN)</t>
  </si>
  <si>
    <t>CNMS_12-06\CNMSRPAhevX\rb\as\rbcn\rpahevx\app\net\RBScl\src</t>
  </si>
  <si>
    <t>LeanTcs20msVseAxleSplit_ECU_CSW_BB00001</t>
  </si>
  <si>
    <t>VDM_ECU_CSW_BB00147(3)</t>
  </si>
  <si>
    <t>BB82389</t>
  </si>
  <si>
    <t>BB82086</t>
  </si>
  <si>
    <t>BL80</t>
  </si>
  <si>
    <t>-No function to test</t>
  </si>
  <si>
    <t>XPENG_ESP_Carbon_D55_Int\MainstreamF30\rb\as\XPENG\D55\app\net\RBScl\src\</t>
  </si>
  <si>
    <t>- Too complex to re-use.
-Re-use OPL =&gt; It's no impact</t>
  </si>
  <si>
    <t>Code coverage reason:
Line #19: Cannot cover division by zero with variable &lt;P_Lenkuebersetzung&gt; because P_Lenkuebersetzung = Lenkuebersetzung[range: 1-30]</t>
  </si>
  <si>
    <t>Code coverage reason:
In ASCET6, Unable to cover all interpolation types for 1D/2D parameters
Line #28: Cannot cover outrange max and outrange min of MYaw_RA = M_ITS_Bound - MYaw_FA because:
 - Line #27:MYaw_FA = M_ITS_Bound * C_ITSYawMomentRatioFA
 -&gt; MYaw_RA[range:-30000 - 30000] = M_ITS_Bound - MYaw_FA = M_ITS_Bound - M_ITS_Bound * C_ITSYawMomentRatioFA = M_ITS_Bound[range:-30000 - 30000](1-C_ITSYawMomentRatioFA[0-1]) always &lt;= 30000 and &gt;= -30000.</t>
  </si>
  <si>
    <t>CNMS_12-06\CNMS_ESP\rb\as\rbcn\core\app\dcom\RBAPLOBD\src\RBAPLOBD_Data.c</t>
  </si>
  <si>
    <t>CNMS_12-06\CNMS_ESP\rb\as\rbcn\core\app\dcom\RBAPLOBD\src\RBAPLOBD_Global.c</t>
  </si>
  <si>
    <t>-Please comment follow ASPICE Standard
- No function to test</t>
  </si>
  <si>
    <t>Line #227: Cannot cover true case. Because RBFS_APP and RBFS_APP_AVAILABLE are both define a macro.</t>
  </si>
  <si>
    <t>effort for raise OPL: 8h
defect local raiable unused</t>
  </si>
  <si>
    <t>VlcLsm_EmergencyRamp</t>
  </si>
  <si>
    <t>Small class, check Thanh 1.3</t>
  </si>
  <si>
    <t>VlcLsm_VlcFxLimForAxCtrl</t>
  </si>
  <si>
    <t>---</t>
  </si>
  <si>
    <t>Normal class, 3 param1D</t>
  </si>
  <si>
    <t>Line #1994: Cannot cover false case. Because the type of variable RBWSS_TaskCntChangeDir_PUB and RBWSS_EdgeCntChangeDir_PUB is uint8. So it can't be less than zero</t>
  </si>
  <si>
    <t xml:space="preserve">- Line #19 to #20 in source code: The FALSE case for aFRel_Whl &gt;= aFRelThr is never occur due to it conflict with condition aFRel_Whl &lt;= aFRelThr as occur before,
If aFRel_Whl &lt;= aFRelThr is FALSE =&gt; aFRel_Whl  is always  &gt; aFRelThr =&gt; Should be remove redundant condition
- Line #43 to #44 in source code: The FALSE case for aFRel_Whl &lt;= aFRelThr is never occur due to it conflict with condition aFRel_Whl &gt;= aFRelThr as occur before,
If aFRel_Whl &gt;= aFRelThr is FALSE =&gt; aFRel_Whl  is always  &lt; aFRelThr =&gt; Should be remove redundant condition
</t>
  </si>
  <si>
    <t>-1. l_LearningPhaseToDriver_UB may be used uninitialized ,The switch case should have default case to resolve this issue.</t>
  </si>
  <si>
    <t>-Owner confirm is no impact</t>
  </si>
  <si>
    <t>- In ASCET6, Unable to cover all interpolation types for 1D/2D parameters
- Line #17, Can't cover division by zero case at  Because Co_FA + (1+ CoFA) always greater than 0, then Co_FA[0, 1]*C_WheelRadius_RA[0.1, 7.9998779296875] + (1-Co_FA)[0, 1]*C_WheelRadius_FA[[0.1, 7.9998779296875]]) is always greater than 0.
- Line #17, Can't cover out range min of WheelRadiusWeighted.  Because WheelRadiusWeighted[0.1, 8] = C_WheelRadiusProd[0.1, 8]/(Co_FA[0, 1]*C_WheelRadius_RA[0.1, 8] + (1-Co_FA[0, 1])*C_WheelRadius_FA[0.1, 8]) can't less than 0.1, thus can't reached 0
- Line #17, Can't cover out range max of WheelRadiusWeighted. Because WheelRadiusWeighted[0.1, 8] = C_WheelRadiusProd[0.1, 8]/(Co_FA[0, 1]*C_WheelRadius_RA[0.1, 8] + (1-Co_FA[0, 1])*C_WheelRadius_FA[0.1, 8]) when:
+ C_WheelRadiusProd = C_WheelRadius_FA + C_WheelRadius_RA
+ C_WheelRadius_FA = Abrollumfang_VA[1.25, 2.45]/(2*Pi) &lt; 8
+ C_WheelRadius_RA = Abrollumfang_HA[1.25, 2.45]/(2*Pi) &lt; 8
==&gt; WheelRadiusWeighted &lt; 8</t>
  </si>
  <si>
    <t>Line #10: Cannot cover out range min,max of MemBarPressLimited. Because range value of MemBarPressBound is from 0 to 75. And (P_TngBarpsPressRiseRateLimit * P_SysHSASampleTime) is always greater than or equal 0. And (-P_TngBarpsPressFallRateLimit * P_SysHSASampleTime) is always less than or equal 0.
Line #51: Cannot cover out range min,max of ReqBarPressIntern. Because range value of MemBarPressLimited is from -1 to 75. And (P_TngBarpsPressRiseRateLimit * P_SysHSASampleTime) is always greater than or equal 0. And (-PressFallRate * P_SysHSASampleTime) is always less than or equal 0.</t>
  </si>
  <si>
    <t>GAC_252219_GAC_A39Phev_Carbon_ESP9.3HD_OBD_EC2</t>
  </si>
  <si>
    <t>248209_Baoneng_REV_ESP93CP_BL02</t>
  </si>
  <si>
    <t>BAIC_BJEV_N60_4WD_ECR2_STRBJEV_C301_BL10</t>
  </si>
  <si>
    <t>216916_FAW_E115_L3_ESPhev_APB(CBi)_BL60_STRFAW_C302</t>
  </si>
  <si>
    <t>216997_FAW_E115_L3_IB2_BL60_STRFAW_C402</t>
  </si>
  <si>
    <t>Ssp_InertialSensCalibCorrection</t>
  </si>
  <si>
    <t>rba_SCL_Settings.c</t>
  </si>
  <si>
    <t>SAS_LWS_Standard.c</t>
  </si>
  <si>
    <t>RBA_NDS_NB_RX_Callout.c</t>
  </si>
  <si>
    <t>NET_AliveCounterLib_CNMS.c</t>
  </si>
  <si>
    <t>NET_ChecksumLib_CNMS_Crc1850.c</t>
  </si>
  <si>
    <t>rba_BldrCmp_Cfg_NvmIf.c</t>
  </si>
  <si>
    <t>BL60</t>
  </si>
  <si>
    <t>BB83230</t>
  </si>
  <si>
    <t>BB99180</t>
  </si>
  <si>
    <t>1.8.315.0</t>
  </si>
  <si>
    <t>FENG Yinfei (CC-AS/EVA-SW31-CN)</t>
  </si>
  <si>
    <t>GUO Sasa (CC-AS/EVA-SW3-CN)</t>
  </si>
  <si>
    <t>CAI Tantan (CC-AS/EVA-SW31-CN)</t>
  </si>
  <si>
    <t>CHEN Steve (CC-AS/EVA-SW33-CN)</t>
  </si>
  <si>
    <t>Priyanka Perumal (RBEI/EBB7)</t>
  </si>
  <si>
    <t>BYD_IPB_BL05_Int</t>
  </si>
  <si>
    <t>BAONENG_Carbon_ESP93CP_Int</t>
  </si>
  <si>
    <t>BAIC_MainPath_HevX_Int</t>
  </si>
  <si>
    <t>FAW_L3_MainPath_HevX_Int</t>
  </si>
  <si>
    <t>FAW_E115_iBGen2_Int</t>
  </si>
  <si>
    <t>rba\Bldr\config\ApplicationLayer\rba_BldrCmp\src</t>
  </si>
  <si>
    <t>Code coverage reason:
In ASCET6, Unable to cover all interpolation types for 1D/2D parameters
Line #4: Cannot cover outrange max of VlcFxDevPosHigh because: VlcFxDevPosHigh = D_VlcAxDevPosForLimChar.getAt(AxCtrlDev)[max:14]*D_mVehicle[max:8000] = 8000*14 = 112000 &lt; 250000
Line #6: Cannot cover outrange max of VlcFxDevPosLow because: VlcFxDevPosLow = D_VlcAxDevPosLowForLimChar.getAt(AxCtrlDev)[max:14]*D_mVehicle[max:8000] = 8000*14 = 112000 &lt; 250000
Line #50: Cannot cover outrange min of VlcFxDevNeg because: VlcFxDevNeg = D_VlcAxDevNegForLimChar.getAt(AxCtrlDev)[min:-14]*D_mVehicle[max:8000] = 8000*-14 = -112000 &gt; -250000
Line #65: Cannot cover outrange max of VlcFxPTMinCtrl because:D_VlcFxPTMinOffsetCtrl = P_VlcFxPTMinOffsetCtrl[range: -500 - 0] -&gt; VlcFxPTMinCtrl[max:250000] = FxPTMin[max:250000] + D_VlcFxPTMinOffsetCtrl[max:0] = 250000</t>
  </si>
  <si>
    <t>-Can't cover out of max value for APBFunctionLamp_Counter at line #103 due to conflict with condition above.</t>
  </si>
  <si>
    <t>XPENG_ESP_Carbon_D55_Int\MainstreamF30\rb\as\XPENG\D55\app\net\RBScl\src</t>
  </si>
  <si>
    <t>BAIC_MainPath_HevX_Int\BAICHevX\rb\as\baic\baic_core\app\dsm\RBVAR\src</t>
  </si>
  <si>
    <t>-Waiting Owner confirm.</t>
  </si>
  <si>
    <t>-Too complex to reuse</t>
  </si>
  <si>
    <t>[JOEM][TOY_680B_CV_Integration_03][MT_88_NET_SCL_XmtVSC1G37_TOY] OPL
wrong type variable =&gt; so I will note this point and it will be fixed in next bugfix release or next sample.</t>
  </si>
  <si>
    <t>BAONENG_Carbon_ESP93CP_Int\MainstreamF30\rb\as\cnms_core\app\net\scl\src\Steering\SAS_LWS_Standard.c</t>
  </si>
  <si>
    <t>BAONENG_Carbon_ESP93CP_Int\MainstreamF30\rb\as\cnms_core\app\net\scl\src\Callout_Functions\RBA_NDS_NB_RX_Callout.c</t>
  </si>
  <si>
    <t>BAONENG_Carbon_ESP93CP_Int\MainstreamF30\rb\as\baoneng\core\app\net\RbNetPrj\RBNet_Can\src\NET_AliveCounterLib_CNMS.c</t>
  </si>
  <si>
    <t>BAONENG_Carbon_ESP93CP_Int\MainstreamF30\rb\as\baoneng\core\app\net\RbNetPrj\RBNet_Can\src\NET_ChecksumLib_CNMS_Crc1850.c</t>
  </si>
  <si>
    <t xml:space="preserve">-Please comment follow ASPICE Standard
- No data to reuse
- Defect ID 1775000 </t>
  </si>
  <si>
    <t>MT_174</t>
  </si>
  <si>
    <t>RN_CDP_MonFailureConfirmation</t>
  </si>
  <si>
    <t>Nissan_AVDC_ControlCondition</t>
  </si>
  <si>
    <t>MT_198</t>
  </si>
  <si>
    <t>VM\[Checkin Base Folder]\c\cnh2abt\VlcLsm_EmergencyRamp_040qm00008001og70s4g65228b3ac_1_4\VlcLsm_EmergencyRamp_040qm00008001og70s4g65228b3ac_1_4 (1.2)
RM\ASW\CSMosarAswMainstream\PlatformLibrary\Package\VlcLsm_VehicleLongitudinalControlLowSpeedManeuvering\private\VlcLsm_EmergencyRamp\VlcLsm_EmergencyRamp (1.4)</t>
  </si>
  <si>
    <t>VM\ItemProperties\VlcLsm_VlcFxLimForAxCtrl_040qm00000001p071c106p6i31e16_1_0\VlcLsm_VlcFxLimForAxCtrl_040qm00000001p071c106p6i31e16_1_0 (1.2)
RM\ASW\CSMosarAswMainstream\PlatformLibrary\Package\VlcLsm_VehicleLongitudinalControlLowSpeedManeuvering\private\VlcLsm_VlcFxLimForAxCtrl\VlcLsm_VlcFxLimForAxCtrl (1.0)</t>
  </si>
  <si>
    <t xml:space="preserve">Line #43 can not cover case out range max/min of AxSlopeOffsetF. Because:
 - Range of C_HdcFiAxSlopeOff from 0 to 1
 - Range of AxSlopeOffset from -30 to 30
 - Range of AxSlopeOffsetF from -30 to 30
 - When C_HdcFiAxSlopeOff = 0, line #43: AxSlopeOffsetF = AxSlopeOffsetF + 0 * ( AxSlopeOffset - AxSlopeOffsetF) = AxSlopeOffsetF 
 - When C_HdcFiAxSlopeOff = 1, line #43: AxSlopeOffsetF = AxSlopeOffsetF + 1 * ( AxSlopeOffset - AxSlopeOffsetF) = AxSlopeOffset </t>
  </si>
  <si>
    <t>Line #9: Cannot cover out range max,min value of eStaticF. Because this is function PT-filter (KpeStatic_TCS [0;1])</t>
  </si>
  <si>
    <t>Line #30: Cannot cover MCDC FFFXX=F due to it conflict with line #20</t>
  </si>
  <si>
    <t>-Can’t cover out range maximum value 255 for local variables at line#13,14,15,20,21,22,27,28,29,34,35,36,. Because it’s assigned to 0, maximum value that it can reach is 4.
-Can’t cover case vMax = vFL.max(vMax) return value vMax at line#12. At this line, vMax is equal to 0 and vFL has range [0,100]. So, the expression always return vFL
=&gt; owner confirm it's no impact</t>
  </si>
  <si>
    <t>- Can’t cover full MCDC at line#19 with case (TTXF). Because BrkPedalDeepPushed is set to TRUE makes MCDC at line#12 true.
- Can’t return the maximum value (6000) of time_Counter at line#28 because it must be less than 6
=&gt; owner confirm it's no impact</t>
  </si>
  <si>
    <t>Code coverage reason:
Calc method:
Line #4,#38: Cannot cover outrange max of timerReset because timerReset[range:0-0.5] = C_LDMdT[non-calib - 0.02] = 0.02 &lt; 0.5
Init method:
Line #2: Cannot cover outrange max of timerReset because timerReset[range:0-0.5] = C_LDMdT[non-calib - 0.02] = 0.02 &lt; 0.5</t>
  </si>
  <si>
    <t>BYD_IPB_BL05_Int\BYDIPB\rb\as\BYD\ipb\app\net\RBScl\src\</t>
  </si>
  <si>
    <t>- Never cover false case ((((T &amp;&amp; F) || F) || (F &amp;&amp; ?)) || (T &amp;&amp; F)) and ((((F &amp;&amp; ?) || F) || (F &amp;&amp; ?)) || (T &amp;&amp; T))  for condition at Line#319. Because false case of this condition is true case of above condition.</t>
  </si>
  <si>
    <t>- Can't cover full of decision at line#173 with case FALSE
=&gt; Owner confirm it's no impact
- The old file is too different.</t>
  </si>
  <si>
    <t>PLTUT_10111111</t>
  </si>
  <si>
    <t>-1. Function MemIf_Read sometime is called with 5 arguments, sometime is called with 4 arguments (Line 233 and line 243
=&gt; No impact</t>
  </si>
  <si>
    <t xml:space="preserve">Line #11, can not cover case out range max of HdcTStandstillLong. Because: 
 - C_LDMdT is noncalibration and equal 0.02
 - HdcTStandstillLong must be less than C_HdcTStandstillAxsStart at condition line #4
Line #31, can not cover case out range max of HdcTPostStandstill. Because: 
 - C_LDMdT is noncalibration and equal 0.02
 - HdcTPostStandstill must be less than C_HdcTStandstillAxsFinish at condition line #31
Line #58, can not cover case out range max/min of DownhillAx. Because:
 - AxSign only reach two value -1 ( at line #51 ) or 1 ( at line #55)
 - Range of Loc_ax from -30 to 30
Line #74, can not cover case out range max/min of DownhillAxF. Because:
 - Range of C_HdcFiAxF from 0 to 1
 - Range of DownhillAxF from -30 to 30
 - Range of DownhillAx from -30 to 30
 - When C_HdcFiAxF = 0, line #43: DownhillAxF = DownhillAxF + 0 * ( DownhillAx - DownhillAxF = DownhillAxF 
 - When C_HdcFiAxF = 1, line #43: DownhillAxF = DownhillAxF + 1 * ( DownhillAx - DownhillAxF = DownhillAx </t>
  </si>
  <si>
    <t>EC_251282_251283_251284_SGMW_CN202C/CN202W_CP</t>
  </si>
  <si>
    <t>MC_251408_NIO_G1.F_EU-Export_BL01_SP02</t>
  </si>
  <si>
    <t>RBVAR_SystemStateManagement_PROJECT.c</t>
  </si>
  <si>
    <t>NET_SCL_Rx_EPB1_01_NextEV.c</t>
  </si>
  <si>
    <t>BL01_SP02</t>
  </si>
  <si>
    <t>NextEV_ESPHevX_Int</t>
  </si>
  <si>
    <t>GAC_233887_Carbon_A20_ESPHevx_BL05</t>
  </si>
  <si>
    <t>BL05</t>
  </si>
  <si>
    <t>BB82970,BB82971</t>
  </si>
  <si>
    <t>BB83152</t>
  </si>
  <si>
    <t>NET_SCL_GAC_Complex_function.c</t>
  </si>
  <si>
    <t>HHT_CampingMode_ChargingSt_VDCMAutoLock</t>
  </si>
  <si>
    <t>CM_APB_hevX_BB80426.axl</t>
  </si>
  <si>
    <t>LI Joe (CC-AS/EVA-SW32-CN)</t>
  </si>
  <si>
    <t>LI Jiaxing (CC-AS/EVA-SW32-CN)</t>
  </si>
  <si>
    <t>ZHOU Xiaoxi (CC-AS/EVA-SW31-CN)</t>
  </si>
  <si>
    <t>CHEN Xu (BEG/ECA1-CN)</t>
  </si>
  <si>
    <t>GAC_ESPHevX_HADHAP_Int</t>
  </si>
  <si>
    <t>GAC_ESPHevX_HADHAP_Int\CNMSHevXHADHAP\rb\as\gaig\core\app\net\RBScl\src</t>
  </si>
  <si>
    <t>Code coverage reason:
Line #39: Cannot cover false case because NML_LAP_Request had only 3 value:Pressure_increase,Pressure_hold,Pressure_release.
MCDC coverage reason:
Line #65: Cannot cover MCDC TTFX for !LAP_active because to reach this line, condition at line #61 must TRUE -&gt; TargetStateLFC = LFC_On + LAP_active = TRUE -&gt; codition at line #3 TRUE -&gt; This line never reach
Line #65: Cannot cover MCDC for TargetStateLFC == LFC_On because if TargetStateLFC != LFC_On -&gt; condition at line #61 FALSE -&gt; this line never reach
Line #78: Cannot cover MCDC for TargetStateLFC == LFC_On because if TargetStateLFC != LFC_On -&gt; condition at line #61 FALSE -&gt; this line never reach</t>
  </si>
  <si>
    <t xml:space="preserve">Code coverage reason:
Reason cho Param1d,2d: 
In ASCET6, Unable to cover all interpolation types for 1D/2D parameters </t>
  </si>
  <si>
    <t>Code coverage reason:
Line #9: Cannot  division by zero with variable &lt;P_Rpm_to_vWhl&gt; because P_Rpm_to_vWhl = 2*Pi[noncalib - 0.02]/60.0*l_WheelRadius_FA always !=0
Line #21: Cannot cover outrange max and outrange min of dnF because:
 - dnF[range: -30000 - 30000] = dnF + (dn[range: -30000 - 30000] - dnF) * KpdnDrvUnit_TCS[range: 0-1].
 - If KpdnDrvUnit_TCS = 1 -&gt; dnF = dnF + dn - dnF = dn
 - If KpdnDrvUnit_TCS = 0 -&gt; dnF = dnF
 - If KpdnDrvUnit_TCS = 0.5 -&gt; dnF = dnF + (dn - dnF)0.5 = 0.5*dnF + 0.5*dn always &lt;= 30000 and &gt;= -30000</t>
  </si>
  <si>
    <t>[CCJP_RN_CARBON_SUV_CRBS_Build_Definition_1406 ][TCS_DSM_SpecialModes v_1.7.176.4] OPL
Input variable Offroad is not used in the source code.
I think I should remove it in next opportunity.</t>
  </si>
  <si>
    <t>[JOEM][CCJP_RN_CARBON_SUV_CRBS_Build_Definition_1406 ][JOEM_TCS_CUS_PTC_MPTIStep_NegJump v1.0.6.2.176.0] OPL
There are some local variables named l_dMKarIRedNegJump, MPTIMin_1, MPTP_out which are not used in the source code.
They are not used in the conde and I think I should remove them in next update timing.</t>
  </si>
  <si>
    <t>CNMS_12-06\rb\as\rbcn\rpahevx\netpr\src</t>
  </si>
  <si>
    <t>Statement Coverage:
- stateHandler function:
 + Line #44: Cannot cover case default for switch because ivmState only have 5 value.
 + Line #79: Cannot cover outrange max because ivmFailureOff = C_IVM_FailureValue = P_IVM_FailureValue (non-calibration value) = 1
- timerHandling function:
 + Line #42: Cannot cover outrange min because if HBB_FailedBoostTimeCounter_PDM_Value = 0 -&gt; condition line #38 = FALSE -&gt; this line never reach
 + Line #69: Cannot cover outrange max because ivmTimerErr = C_IVM_FailureValue = P_IVM_FailureValue (non-calibration value) = 1
 + Line #79: Cannot cover outrange max because ivmTimerErr = C_IVM_FailureValue = P_IVM_FailureValue (non-calibration value) = 1
 + Line #120: Cannot cover outrange max because if tCounterError = 327.675 (max value) -&gt; tCounterError &gt; C_IVM_tivmTimerErr (max value = 10) -&gt; this line never reach
 + Line #124: Cannot cover outrange max because ivmTimerErr = C_IVM_FailureValue = P_IVM_FailureValue (non-calibration value) = 1</t>
  </si>
  <si>
    <t>-Owner confirms no impact</t>
  </si>
  <si>
    <t>-No data to re-use
Defect ID 1773819
=&gt; re-test with new version</t>
  </si>
  <si>
    <t>NextEV_ESPHevX_Int\CNMSESPHevX\rb\as\nio\core\app\net\RBScl\src\</t>
  </si>
  <si>
    <t>-Re-test with new version -&gt; 1.5 effort of CNMS</t>
  </si>
  <si>
    <t>SGMW_ESP93_Carbon_Int\MainstreamF30\rb\as\sgmw\CN210S\app\dsm\RBVAR\src\RBVAR_SystemStateManagement_PROJECT.c</t>
  </si>
  <si>
    <t>EC_251282_251283_251284_SGMW_CN202C/CN202W_CP/ACC_ESP</t>
  </si>
  <si>
    <t>2WP_SMC_XF1F1_ABS10.3MB_Production_Prototype_BSS02</t>
  </si>
  <si>
    <t>SGWM_ESP93_Carbon_Int</t>
  </si>
  <si>
    <t>2WP_SUZUKI_ABS10.3MBML_Carbon_Migration_Stream</t>
  </si>
  <si>
    <t>RBAPLCUST_RDBI_TPMS.c</t>
  </si>
  <si>
    <t>RBHMI_SMC_EvacFillFail_PRJ.c</t>
  </si>
  <si>
    <t>StandStill_Detection.c</t>
  </si>
  <si>
    <t>ASWInterface_Update.c</t>
  </si>
  <si>
    <t>BusOffCount_FFD_SMC.c</t>
  </si>
  <si>
    <t>ComScl_Scl_Disable_Comm_Request_ABS_Tx.c</t>
  </si>
  <si>
    <t>ComScl_Scl_XmtStartUp.c</t>
  </si>
  <si>
    <t>DisableNormComDiag_SMC.c</t>
  </si>
  <si>
    <t>IGTotalTime_FFD_SMC.c</t>
  </si>
  <si>
    <t>NET_InternalMessage_SMC.c</t>
  </si>
  <si>
    <t>RBMON_Monitoring.c</t>
  </si>
  <si>
    <t>RBMON_MonitoringClasses.c</t>
  </si>
  <si>
    <t>RBNET_AliveCounter_Common.c</t>
  </si>
  <si>
    <t>RBNET_Checksum_Common.c</t>
  </si>
  <si>
    <t>RBNET_ID120_EngineRPMOthers_Rx.c</t>
  </si>
  <si>
    <t>RBNET_ID121_EngineTorqueInfo_Rx.c</t>
  </si>
  <si>
    <t>RBNET_ID128_ABSMTCControlInfo_Tx.c</t>
  </si>
  <si>
    <t>RBNET_ID129_GearPosition_Rx.c</t>
  </si>
  <si>
    <t>RBNET_ID12A_ABS_Status_Tx.c</t>
  </si>
  <si>
    <t>RBNET_ID450_Meter_info_Rx.c</t>
  </si>
  <si>
    <t>RBNET_ID550_EngineKillSwitch_Info_Rx.c</t>
  </si>
  <si>
    <t>RBNET_ID5A0_ABS_Feature_Control_Tx.c</t>
  </si>
  <si>
    <t>RBNET_SCL_Global.c</t>
  </si>
  <si>
    <t>AgeingMeter_Common.c</t>
  </si>
  <si>
    <t>DEM_Api.c</t>
  </si>
  <si>
    <t>DEM_MonitoringDeactivation_PrjConfig.c</t>
  </si>
  <si>
    <t>EcuM_Cfg_SynchPoint.c</t>
  </si>
  <si>
    <t>EcuM_stub.c</t>
  </si>
  <si>
    <t>RBComponent_SWT_TestDsm.c</t>
  </si>
  <si>
    <t>RBDSM_SWT_FeatureTest.c</t>
  </si>
  <si>
    <t>STM_ASWInterface_PrjConfig.c</t>
  </si>
  <si>
    <t>STM_FeatureDeactivation_PrjConfig_MBML.c</t>
  </si>
  <si>
    <t>BlinkcodeBaseSource_MC.c</t>
  </si>
  <si>
    <t>FFD_EEPROMHandling_SMC.c</t>
  </si>
  <si>
    <t>FFD_Update_SMC.c</t>
  </si>
  <si>
    <t>FreezeFrameDataDelete_SMC.c</t>
  </si>
  <si>
    <t>FreezeFrameDataStore_SMC.c</t>
  </si>
  <si>
    <t>RBAPLCUST_ClearDiagnosticInformation.c</t>
  </si>
  <si>
    <t>RBAPLCUST_ControlIDTCSetting.c</t>
  </si>
  <si>
    <t>RBAPLCUST_DCOMGenericNvMWriteFunctions.c</t>
  </si>
  <si>
    <t>RBAPLCUST_GeneralFunctions.c</t>
  </si>
  <si>
    <t>RBAPLCUST_InputOutputControl_GeneralFunctions.c</t>
  </si>
  <si>
    <t>RBAPLCUST_MC_DiagnosticSessionControl.c</t>
  </si>
  <si>
    <t>RBAPLCUST_MC_EcuReset.c</t>
  </si>
  <si>
    <t>RBAPLCUST_MC_ReadDataByIdentifier.c</t>
  </si>
  <si>
    <t>RBAPLCUST_MC_ReadDTC.c</t>
  </si>
  <si>
    <t>RBAPLCUST_MC_RoutineControl.c</t>
  </si>
  <si>
    <t>RBAPLCUST_MC_SecurityAccess.c</t>
  </si>
  <si>
    <t>RBAPLCUST_MC_WriteDataByIdentifier.c</t>
  </si>
  <si>
    <t>RBAPLCUST_PDM_INTERFACES.c</t>
  </si>
  <si>
    <t>RBAPLCUST_ProjectSpecific_Routines.c</t>
  </si>
  <si>
    <t>RBAPLCUST_RoutineControl_EOLTable.c</t>
  </si>
  <si>
    <t>RBAPLCUST_RoutineControl_MC_ABSSilaTest.c</t>
  </si>
  <si>
    <t>RBAPLCUST_RoutineControl_MC_ActuatorTest.c</t>
  </si>
  <si>
    <t>RBAPLCUST_RoutineControl_MC_EvacAndFill.c</t>
  </si>
  <si>
    <t>RBAPLCUST_RoutineControl_MC_KWPOnCAN.c</t>
  </si>
  <si>
    <t>RBAPLCUST_RoutineControl_MC_RepairBleeding.c</t>
  </si>
  <si>
    <t>RBAPLCUST_RoutineControl_MC_WheelSpeedSensorTest.c</t>
  </si>
  <si>
    <t>RBAPLCUST_SMC_ActuationConditionCheck.c</t>
  </si>
  <si>
    <t>RBAPLCUST_SMC_ActuationFunctions.c</t>
  </si>
  <si>
    <t>RBA_NDS_Engine_Callout.c</t>
  </si>
  <si>
    <t>SUN Yun (CC-AS/EVA-SW31-CN)</t>
  </si>
  <si>
    <t>Le Duy Thang (RBVH/EAS32)</t>
  </si>
  <si>
    <t>Dang Cao Cuong (RBVH/EAS31)</t>
  </si>
  <si>
    <t>Pham Duc Thinh (RBVH/EAS31)</t>
  </si>
  <si>
    <t>Vu Hai Dang (RBVH/EAS32)</t>
  </si>
  <si>
    <t>Hoang Oanh Tu (RBVH/EAS32)</t>
  </si>
  <si>
    <t>BB82970,BB82971,BB82972,BB82973</t>
  </si>
  <si>
    <t>BB82053</t>
  </si>
  <si>
    <t>rb\as\smc\abs103mbml\dsmpr</t>
  </si>
  <si>
    <t>rb\as\smc\core\app\dcom\blinkcode</t>
  </si>
  <si>
    <t>rb\as\smc\core\app\dcom\rbaplcust</t>
  </si>
  <si>
    <t>Line #8: Cannot cover MCDC with false case (AVDC_Mode_RA = SelectAVDC: TXXFTXF=F) due to AVDC_Mode_RA can't be set 2 values at the same time.</t>
  </si>
  <si>
    <t>SspWss_ConTtcClutchSwitchAllowed</t>
  </si>
  <si>
    <t>BsclLsm_Lsm12ActivationManager</t>
  </si>
  <si>
    <t>PLTUT_13111311</t>
  </si>
  <si>
    <t>Loc spent 6 hours for re-testing task 1575503: RBVAR_OutputDriver_PROJECT.c, RBVAR_VarCode_PROJECT.c 10/20/2020
Loc spent 1 hour for regular meeting 10/21/2020
Loc spent 1 hour for re-testing task 1575503: RBVAR_OutputDriver_PROJECT.c, RBVAR_VarCode_PROJECT.c 10/21/2020
Loc spent 2 hours for regular meeting and update output task 1575503 10/26/2020
Loc spent 8 hour for regular meeting and fixing task 1481452 (2 classes) 10/27/2020
Loc spent 2.5 hour for regular meeting 10/28/2020 and fixing task 1687170 (RBVAR_Debug.c)
10/29/2020: Loc spent 3 hours for re-testComScl_Scl_Complex_proc.c task 1481452, Loc spent 1 hour for fix RBVAR_SystemStateManagement_COMMON.c task 1687170
10/30/2020: 1h for fix rba_DemObdBasic_ProjectExtension.c, 8h for RBHMI_PresentStateCalculation_PRJ.c 1687170
11/2/2020: 3h for fix RBVAR_VarCode_PROJECT.c, 2h for RBHMI_ConfigOutputDriver_PRJ.c 1687170. 1h for regular meeting
11/5/2020: 1h for regular meeting
11/9/2020: 1h for regular meeting
Total: 41.5h ==&gt; 2334 LOCs.</t>
  </si>
  <si>
    <t>XPENG_ESP_Carbon_D55_Int\MainstreamF30\rb\as\cnms_core\app\net\scl\src\Callout_Functions\</t>
  </si>
  <si>
    <t>-Line #97: Can't cover outrange max at line #97 because can't set for P_Ffa2Fra maximin and P_Fges2Fra minimum in one case
- Line #113: Can't cover for crb_FbHydTargetRaMin_Constraint3 less than 0 because all of variable in this condition have range &gt;= 0</t>
  </si>
  <si>
    <t>2WP_SUZUKI_ABS10.3MBML_Carbon_Migration_Stream\ABS_103_MBML\rb\as\smc\abs103mbml\app\net\RBNetGlobal\src\IGTotalTime_FFD_SMC.c</t>
  </si>
  <si>
    <t>2WP_SUZUKI_ABS10.3MBML_Carbon_Migration_Stream\ABS_103_MBML\rb\as\smc\abs103mbml\app\net\RBNetGlobal\src\NET_InternalMessage_SMC.c</t>
  </si>
  <si>
    <t>2WP_SUZUKI_ABS10.3MBML_Carbon_Migration_Stream\ABS_103_MBML\rb\as\smc\abs103mbml\app\net\RBScl\src\RBMON_Monitoring.c</t>
  </si>
  <si>
    <t>2WP_SUZUKI_ABS10.3MBML_Carbon_Migration_Stream\ABS_103_MBML\rb\as\smc\core\app\dcom\RBAPLCust\src\FFD_SMC\FFD_Update_SMC.c</t>
  </si>
  <si>
    <t>2WP_SUZUKI_ABS10.3MBML_Carbon_Migration_Stream\ABS_103_MBML\rb\as\smc\core\app\dcom\RBAPLCust\src\FFD_SMC\FreezeFrameDataDelete_SMC.c</t>
  </si>
  <si>
    <t>2WP_SUZUKI_ABS10.3MBML_Carbon_Migration_Stream\ABS_103_MBML\rb\as\smc\core\app\dcom\RBAPLCust\src\FFD_SMC\FreezeFrameDataStore_SMC.c</t>
  </si>
  <si>
    <t>2WP_SUZUKI_ABS10.3MBML_Carbon_Migration_Stream\ABS_103_MBML\rb\as\smc\core\app\dcom\RBAPLCust\src\Platform\RBAPLCUST_ClearDiagnosticInformation.c</t>
  </si>
  <si>
    <t>2WP_SUZUKI_ABS10.3MBML_Carbon_Migration_Stream\ABS_103_MBML\rb\as\smc\core\app\dcom\RBAPLCust\src\Platform\RBAPLCUST_ControlIDTCSetting.c</t>
  </si>
  <si>
    <t>2WP_SUZUKI_ABS10.3MBML_Carbon_Migration_Stream\ABS_103_MBML\rb\as\smc\core\app\dcom\RBAPLCust\src\Platform\RBAPLCUST_DCOMGenericNvMWriteFunctions.c</t>
  </si>
  <si>
    <t>2WP_SUZUKI_ABS10.3MBML_Carbon_Migration_Stream\ABS_103_MBML\rb\as\smc\core\app\dcom\RBAPLCust\src\Platform\RBAPLCUST_GeneralFunctions.c</t>
  </si>
  <si>
    <t>2WP_SUZUKI_ABS10.3MBML_Carbon_Migration_Stream\ABS_103_MBML\rb\as\smc\core\app\dcom\RBAPLCust\src\Platform\RBAPLCUST_InputOutputControl_GeneralFunctions.c</t>
  </si>
  <si>
    <t>2WP_SUZUKI_ABS10.3MBML_Carbon_Migration_Stream\ABS_103_MBML\rb\as\smc\core\app\dcom\RBAPLCust\src\Platform\RBAPLCUST_MC_DiagnosticSessionControl.c</t>
  </si>
  <si>
    <t>2WP_SUZUKI_ABS10.3MBML_Carbon_Migration_Stream\ABS_103_MBML\rb\as\smc\core\app\dcom\RBAPLCust\src\Platform\RBAPLCUST_MC_EcuReset.c</t>
  </si>
  <si>
    <t>2WP_SUZUKI_ABS10.3MBML_Carbon_Migration_Stream\ABS_103_MBML\rb\as\smc\core\app\dcom\RBAPLCust\src\Platform\RBAPLCUST_RoutineControl_MC_WheelSpeedSensorTest.c</t>
  </si>
  <si>
    <t>2WP_SUZUKI_ABS10.3MBML_Carbon_Migration_Stream\ABS_103_MBML\rb\as\smc\core\app\dcom\RBAPLCust\src\SMC_MC\RBAPLCUST_SMC_ActuationFunctions.c</t>
  </si>
  <si>
    <t>2WP_SUZUKI_ABS10.3MBML_Carbon_Migration_Stream\ABS_103_MBML\rb\as\smc\abs103mbml\app\net\RBNetGlobal\src\DisableNormComDiag_SMC.c</t>
  </si>
  <si>
    <t>2WP_SUZUKI_ABS10.3MBML_Carbon_Migration_Stream\ABS_103_MBML\rb\as\smc\abs103mbml\app\net\RBScl\src</t>
  </si>
  <si>
    <t>Line #121, can not cover case out range max of vDes. Because conflict with condition at line 115:
 - Range of vDes from 0 to 100
 - Range of VxAct from 0 to 100
 - (vDes - VxAct) must be greater than C_HdcVxGapVDesPulldown at condition at line 115 so that VxAct+C_HdcVxGapVDesPulldown can not cover case out range max.
Line #89, can not cover case out range min of C_HdcJxTarMin. Because:
 - Imported of C_HdcJxTarMin is P_HdcJxTarMin
 - Range of P_HdcJxTarMin from -20 to -1
 - Range of C_HdcJxTarMin from -32 to 31.9990234375</t>
  </si>
  <si>
    <t>- Can’t cover full MCDC at line#2038 with case ls_EPBSwitch_ExpiredinStuck_Flag_B takes two opposite value TRUE and FALSE at the same time.
- Same reason for MCDC at line#2425, line#2808
=&gt; Owner confirm it's no impact</t>
  </si>
  <si>
    <t>- Can’t cover False case for condition if(TRUE) at line #175, #246.</t>
  </si>
  <si>
    <t>In ASCET6, Unable to cover all interpolation types for 1D/2D parameters
Line #14, can not cover case out range min of AxAct. Because conflict with condition at line #12 (AxAct &gt; 0.0)
Line #14, can not cover case out range min of C_HdcJxTarMin. Because imported of C_HdcJxTarMin ( range from -32 to 31.9990234375 ) is P_HdcJxTarMin with range from -20 to -1.</t>
  </si>
  <si>
    <t>PLTUT_16111611</t>
  </si>
  <si>
    <t>In ASCET6, Unable to cover all interpolation types for 1D/2D parameters
Line #13, can not cover case False. Because conflict with condition at line #9</t>
  </si>
  <si>
    <t>2WP_SUZUKI_ABS10.3MBML_Carbon_Migration_Stream\ABS_103_MBML\rb\as\smc\abs103mbml\app\net\RBScl\src\RX</t>
  </si>
  <si>
    <t>- Cantata tool bug: call function faul</t>
  </si>
  <si>
    <t xml:space="preserve">Line#33: cannot cover MCDC at line33 because when line#33 TRUE (BrakeTorqueOrder is a enum) =&gt; Line#11, 15, 19, 24 must be FALSE and oposite.
</t>
  </si>
  <si>
    <t>Line#38: cannot cover out range max at this line because limited condition at line 35 and  C_LDMdT_T5 = 0.005 (non calib)</t>
  </si>
  <si>
    <t xml:space="preserve">Line#25: cannot cover out range max at this line because limited condition at Line#18, C_LDMdT_T5 = 0.005 non calib, 
ADModeStatus_Extended_count, C_ADModeStatus_Extended_timer have the same range and tolerent = 0.005
</t>
  </si>
  <si>
    <t xml:space="preserve">- Line#18: cannot cover out range max at this line because (AEB_AXCFxIK1 &gt; AXCFxTarMin) at Line#14 =&gt; (AXCFxTarMin - AEB_AXCFxIK1) at Line#19 always &lt; 0, C_AEB_DeltaFxTarToAxDev have range (0:0.001907349) ; C_AEB_DeltaFxTarToAxDev, C_AEB_KpAxCtl, C_AEB_KiDtAxCtl are depend on m_Vehicle, when C_AEB_DeltaFxTarToAxDev reach maximum =&gt; C_AEB_KpAxCtl, C_AEB_KiDtAxCtl go to minimum value =&gt; can not reach out max at this line
'- Line#34: cannot cover out range min because limited (AEB_AXCFxIK1 &lt; AXCFxTarMax) at Line#30 =&gt; (AXCFxTarMax - AEB_AXCFxIK1) at Line#35 always &gt; 0; C_AEB_DeltaFxTarToAxDev, C_AEB_KpAxCtl, C_AEB_KiDtAxCtl are depend on m_Vehicle, when C_AEB_DeltaFxTarToAxDev reach maximum =&gt; C_AEB_KpAxCtl, C_AEB_KiDtAxCtl go to minimum value =&gt; can not reach out min at this line
'- Line#37: cannot cover out range min because limited a_Vehx_20ms at Line#35 and Line#37, when this variable at line#35 maximum =&gt; AEB_axTarLim at line#34 &gt; 0 =&gt; cannot reach out min at Line#37"
</t>
  </si>
  <si>
    <t xml:space="preserve">Line#26: cannot cover MCDC case at Line#26 because when TargetStateEMC_Drive_Main at Line#26 TRUE =&gt; TargetStateEMC_Drive_Main at Line#23, 25, 27, 28 must be FALSE and oposite with FALSE case
Line#27, 28: similar case with Line#26
</t>
  </si>
  <si>
    <t>2WP_SUZUKI_ABS10.3MBML_Carbon_Migration_Stream\ABS_103_MBML\rb\as\smc\abs103mbml\app\net\RBScl\src\TX</t>
  </si>
  <si>
    <t>[CCJP_RN_CARBON_SUV_CRBS_Build_Definition_1406 ][IVM_IfnMon v_1.5.176.5]OPL 2 defect
- In this class have sub class is not use and temporary method =&gt; I think there is no direct problem. However, if this class is not used, it is better to delete this class
- missing break in switch case =&gt; “Brake” statement is needed as you concerned. It is better to add “brake.”</t>
  </si>
  <si>
    <t>2WP_SUZUKI_ABS10.3MBML_Carbon_Migration_Stream\ABS_103_MBML\rb\as\smc\abs103mbml\app\dsm\rbhmi\src</t>
  </si>
  <si>
    <t>T205</t>
  </si>
  <si>
    <t>2WP_SUZUKI_ABS10.3MBML_Carbon_Migration_Stream\ABS_103_MBML\rb\as\smc\abs103mbml\app\net\RbNetPrj\src</t>
  </si>
  <si>
    <t>2WP_SUZUKI_ABS10.3MBML_Carbon_Migration_Stream\ABS_103_MBML\rb\as\smc\abs103mbml\app\net\RBNetGlobal\src</t>
  </si>
  <si>
    <t>2WP_SUZUKI_ABS10.3MBML_Carbon_Migration_Stream\ABS_103_MBML\rb\as\smc\core\app\dcom\RBAPLCust\src\Platform</t>
  </si>
  <si>
    <t>SGMW_ESP93_Carbon_Int\MainstreamF30\rb\as\sgmw\core\app\dcom\RBAPLCust\src\ESP</t>
  </si>
  <si>
    <t>0xFFFF</t>
  </si>
  <si>
    <t>- Owner confirm #if(RBFS_Diag == RBFS_Diag_KwpOnCAN) is off</t>
  </si>
  <si>
    <t xml:space="preserve">- can’t coverage MCDC -10- of if(!((Delay_u32 == 0ul) &amp;&amp; (Delay_u32!=0xFFFFFFFFu))) at line 608 and MCDC -10- of if(!((KeyGen_u32 == 0ul) &amp;&amp; (KeyGen_u32!=0xFFFFFFFFu))) at line 628. Because there is no value match with these condition.
- can’t coverage MCDC -1011- and -1110-  of  if((Delay_u32 == 0ul) &amp;&amp; (Delay_u32!=0xFFFFFFFFu) &amp;&amp;(KeyGen_u32 == 0ul) &amp;&amp; (KeyGen_u32!=0xFFFFFFFFu)) at line 635.
- Cannot check True case of while (l_ZeroCount == Seedlen_u8) at line 148 because it‘s an infinite loop.
- 
</t>
  </si>
  <si>
    <t xml:space="preserve">-Waiting owner confirm </t>
  </si>
  <si>
    <t>-Can’t cover case over max at line #17, #51</t>
  </si>
  <si>
    <t>- Chua archive</t>
  </si>
  <si>
    <t>-Too few ELOC to re-use</t>
  </si>
  <si>
    <t>2WP_SUZUKI_ABS10.3MBML_Carbon_Migration_Stream\ABS_103_MBML\rb\as\smc\abs103mbml\dsmpr\DEM_TWP\src\</t>
  </si>
  <si>
    <t>2WP_SUZUKI_ABS10.3MBML_Carbon_Migration_Stream\ABS_103_MBML\rb\as\smc\abs103mbml\dsmpr\src\Cubas\ESM\EcuM\src\</t>
  </si>
  <si>
    <t>2WP_SUZUKI_ABS10.3MBML_Carbon_Migration_Stream\ABS_103_MBML\rb\as\smc\abs103mbml\dsmpr\DEM_TWP\src\DEM_MonitoringDeactivation_PrjConfig.c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</si>
</sst>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\-yyyy;@"/>
    <numFmt numFmtId="165" formatCode="0.0%"/>
    <numFmt numFmtId="166" formatCode="0.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rgb="FF9C0006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7" borderId="0" applyNumberFormat="0" applyBorder="0" applyAlignment="0" applyProtection="0"/>
  </cellStyleXfs>
  <cellXfs count="234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3" fillId="0" borderId="1" xfId="0" applyNumberFormat="1" applyFont="1" applyFill="1" applyBorder="1" applyAlignment="1" applyProtection="1">
      <alignment horizontal="left"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ont="1" applyBorder="1" applyAlignment="1">
      <alignment horizontal="left" vertical="top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0" fillId="8" borderId="1" xfId="0" quotePrefix="1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1" fillId="0" borderId="1" xfId="0" applyFont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1" fillId="0" borderId="0" xfId="0" applyFont="1" applyAlignment="1">
      <alignment vertical="top"/>
    </xf>
    <xf numFmtId="0" fontId="5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1" fillId="4" borderId="1" xfId="0" applyFont="1" applyFill="1" applyBorder="1" applyAlignment="1">
      <alignment vertical="top"/>
    </xf>
    <xf numFmtId="0" fontId="6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vertical="top"/>
    </xf>
    <xf numFmtId="0" fontId="1" fillId="5" borderId="1" xfId="0" applyFont="1" applyFill="1" applyBorder="1" applyAlignment="1">
      <alignment vertical="top"/>
    </xf>
    <xf numFmtId="0" fontId="7" fillId="0" borderId="1" xfId="0" applyFont="1" applyBorder="1"/>
    <xf numFmtId="164" fontId="0" fillId="0" borderId="1" xfId="0" applyNumberFormat="1" applyBorder="1" applyAlignment="1">
      <alignment horizontal="left" vertical="top"/>
    </xf>
    <xf numFmtId="0" fontId="0" fillId="2" borderId="0" xfId="0" applyFill="1"/>
    <xf numFmtId="0" fontId="0" fillId="0" borderId="1" xfId="0" quotePrefix="1" applyFont="1" applyFill="1" applyBorder="1" applyAlignment="1">
      <alignment horizontal="left" vertical="top"/>
    </xf>
    <xf numFmtId="164" fontId="0" fillId="0" borderId="1" xfId="0" applyNumberFormat="1" applyFont="1" applyFill="1" applyBorder="1" applyAlignment="1">
      <alignment horizontal="left" vertical="top"/>
    </xf>
    <xf numFmtId="10" fontId="0" fillId="0" borderId="1" xfId="0" applyNumberFormat="1" applyFont="1" applyFill="1" applyBorder="1" applyAlignment="1">
      <alignment horizontal="left" vertical="top"/>
    </xf>
    <xf numFmtId="0" fontId="0" fillId="0" borderId="0" xfId="0" applyFont="1" applyFill="1"/>
    <xf numFmtId="0" fontId="0" fillId="0" borderId="1" xfId="0" quotePrefix="1" applyBorder="1" applyAlignment="1"/>
    <xf numFmtId="0" fontId="0" fillId="0" borderId="1" xfId="0" applyFill="1" applyBorder="1" applyAlignment="1">
      <alignment horizontal="left" vertical="top"/>
    </xf>
    <xf numFmtId="0" fontId="0" fillId="0" borderId="0" xfId="0" applyBorder="1" applyAlignment="1"/>
    <xf numFmtId="0" fontId="0" fillId="0" borderId="1" xfId="0" quotePrefix="1" applyFill="1" applyBorder="1" applyAlignment="1"/>
    <xf numFmtId="0" fontId="0" fillId="0" borderId="1" xfId="0" quotePrefix="1" applyNumberFormat="1" applyFill="1" applyBorder="1" applyAlignment="1">
      <alignment horizontal="center" vertical="center"/>
    </xf>
    <xf numFmtId="0" fontId="8" fillId="4" borderId="1" xfId="0" applyFont="1" applyFill="1" applyBorder="1" applyAlignment="1">
      <alignment vertical="top"/>
    </xf>
    <xf numFmtId="0" fontId="4" fillId="0" borderId="1" xfId="1" applyFont="1" applyBorder="1" applyAlignment="1"/>
    <xf numFmtId="0" fontId="0" fillId="0" borderId="1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0" fillId="0" borderId="0" xfId="0" applyFont="1" applyBorder="1"/>
    <xf numFmtId="0" fontId="0" fillId="0" borderId="0" xfId="0" applyAlignment="1"/>
    <xf numFmtId="0" fontId="0" fillId="9" borderId="0" xfId="0" applyFont="1" applyFill="1"/>
    <xf numFmtId="0" fontId="0" fillId="11" borderId="0" xfId="0" applyFont="1" applyFill="1"/>
    <xf numFmtId="0" fontId="4" fillId="0" borderId="1" xfId="0" quotePrefix="1" applyFont="1" applyBorder="1" applyAlignment="1"/>
    <xf numFmtId="0" fontId="0" fillId="0" borderId="1" xfId="2" applyFont="1" applyFill="1" applyBorder="1" applyAlignment="1">
      <alignment horizontal="center" vertical="top"/>
    </xf>
    <xf numFmtId="0" fontId="0" fillId="0" borderId="0" xfId="0" applyFill="1"/>
    <xf numFmtId="0" fontId="0" fillId="0" borderId="1" xfId="0" applyBorder="1" applyAlignment="1">
      <alignment horizontal="left" vertical="center"/>
    </xf>
    <xf numFmtId="10" fontId="0" fillId="0" borderId="1" xfId="0" quotePrefix="1" applyNumberFormat="1" applyFont="1" applyBorder="1" applyAlignment="1">
      <alignment horizontal="left" vertical="top"/>
    </xf>
    <xf numFmtId="0" fontId="1" fillId="0" borderId="4" xfId="0" applyFont="1" applyBorder="1"/>
    <xf numFmtId="0" fontId="0" fillId="0" borderId="4" xfId="0" applyBorder="1"/>
    <xf numFmtId="0" fontId="0" fillId="0" borderId="0" xfId="0" quotePrefix="1" applyBorder="1" applyAlignment="1"/>
    <xf numFmtId="0" fontId="3" fillId="12" borderId="1" xfId="0" applyNumberFormat="1" applyFont="1" applyFill="1" applyBorder="1" applyAlignment="1" applyProtection="1">
      <alignment horizontal="left" vertical="top"/>
    </xf>
    <xf numFmtId="10" fontId="3" fillId="0" borderId="1" xfId="0" applyNumberFormat="1" applyFont="1" applyBorder="1" applyAlignment="1">
      <alignment horizontal="center" vertical="top"/>
    </xf>
    <xf numFmtId="165" fontId="0" fillId="0" borderId="1" xfId="0" applyNumberFormat="1" applyFont="1" applyFill="1" applyBorder="1" applyAlignment="1">
      <alignment horizontal="left" vertical="top"/>
    </xf>
    <xf numFmtId="0" fontId="3" fillId="2" borderId="1" xfId="0" applyNumberFormat="1" applyFont="1" applyFill="1" applyBorder="1" applyAlignment="1" applyProtection="1">
      <alignment horizontal="left" vertical="top"/>
    </xf>
    <xf numFmtId="0" fontId="2" fillId="0" borderId="0" xfId="0" applyNumberFormat="1" applyFont="1"/>
    <xf numFmtId="0" fontId="1" fillId="0" borderId="1" xfId="0" applyNumberFormat="1" applyFont="1" applyFill="1" applyBorder="1" applyAlignment="1">
      <alignment horizontal="left" vertical="top"/>
    </xf>
    <xf numFmtId="0" fontId="0" fillId="0" borderId="1" xfId="0" applyNumberFormat="1" applyFont="1" applyFill="1" applyBorder="1" applyAlignment="1">
      <alignment horizontal="left" vertical="top"/>
    </xf>
    <xf numFmtId="0" fontId="0" fillId="0" borderId="0" xfId="0" applyBorder="1" applyAlignment="1">
      <alignment horizontal="center" vertical="top"/>
    </xf>
    <xf numFmtId="0" fontId="3" fillId="0" borderId="1" xfId="0" applyFont="1" applyBorder="1"/>
    <xf numFmtId="0" fontId="1" fillId="0" borderId="1" xfId="0" quotePrefix="1" applyFont="1" applyBorder="1" applyAlignment="1">
      <alignment horizontal="left" vertical="top"/>
    </xf>
    <xf numFmtId="0" fontId="10" fillId="4" borderId="1" xfId="0" applyFont="1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16" fontId="0" fillId="0" borderId="0" xfId="0" applyNumberFormat="1" applyAlignment="1">
      <alignment horizontal="left" vertical="top"/>
    </xf>
    <xf numFmtId="164" fontId="0" fillId="0" borderId="1" xfId="0" applyNumberFormat="1" applyFill="1" applyBorder="1" applyAlignment="1">
      <alignment horizontal="left" vertical="top"/>
    </xf>
    <xf numFmtId="0" fontId="0" fillId="2" borderId="1" xfId="0" quotePrefix="1" applyFont="1" applyFill="1" applyBorder="1" applyAlignment="1">
      <alignment horizontal="left" vertical="top"/>
    </xf>
    <xf numFmtId="0" fontId="0" fillId="14" borderId="1" xfId="0" applyFill="1" applyBorder="1" applyAlignment="1">
      <alignment vertical="top"/>
    </xf>
    <xf numFmtId="0" fontId="0" fillId="14" borderId="1" xfId="0" applyFont="1" applyFill="1" applyBorder="1" applyAlignment="1">
      <alignment vertical="top"/>
    </xf>
    <xf numFmtId="0" fontId="0" fillId="14" borderId="1" xfId="0" applyFill="1" applyBorder="1" applyAlignment="1">
      <alignment horizontal="center" vertical="top"/>
    </xf>
    <xf numFmtId="10" fontId="0" fillId="14" borderId="1" xfId="0" applyNumberFormat="1" applyFill="1" applyBorder="1" applyAlignment="1">
      <alignment horizontal="center" vertical="top"/>
    </xf>
    <xf numFmtId="0" fontId="0" fillId="14" borderId="1" xfId="0" applyFill="1" applyBorder="1"/>
    <xf numFmtId="0" fontId="1" fillId="0" borderId="0" xfId="0" applyNumberFormat="1" applyFont="1"/>
    <xf numFmtId="164" fontId="1" fillId="0" borderId="0" xfId="0" applyNumberFormat="1" applyFont="1"/>
    <xf numFmtId="0" fontId="12" fillId="0" borderId="1" xfId="0" applyFont="1" applyFill="1" applyBorder="1" applyAlignment="1">
      <alignment horizontal="left" vertical="top"/>
    </xf>
    <xf numFmtId="0" fontId="13" fillId="0" borderId="0" xfId="0" applyFont="1"/>
    <xf numFmtId="0" fontId="0" fillId="10" borderId="0" xfId="0" applyFill="1" applyAlignment="1">
      <alignment vertical="top"/>
    </xf>
    <xf numFmtId="0" fontId="0" fillId="15" borderId="0" xfId="0" applyFill="1" applyAlignment="1">
      <alignment vertical="top"/>
    </xf>
    <xf numFmtId="0" fontId="0" fillId="0" borderId="1" xfId="0" applyFill="1" applyBorder="1" applyAlignment="1">
      <alignment vertical="center"/>
    </xf>
    <xf numFmtId="0" fontId="0" fillId="0" borderId="0" xfId="0" applyNumberFormat="1" applyBorder="1" applyAlignment="1"/>
    <xf numFmtId="0" fontId="12" fillId="14" borderId="1" xfId="0" applyFont="1" applyFill="1" applyBorder="1" applyAlignment="1">
      <alignment vertical="top"/>
    </xf>
    <xf numFmtId="0" fontId="1" fillId="8" borderId="1" xfId="0" quotePrefix="1" applyFont="1" applyFill="1" applyBorder="1" applyAlignment="1">
      <alignment horizontal="left" vertical="top"/>
    </xf>
    <xf numFmtId="0" fontId="0" fillId="0" borderId="0" xfId="0" quotePrefix="1"/>
    <xf numFmtId="0" fontId="0" fillId="17" borderId="1" xfId="0" applyFont="1" applyFill="1" applyBorder="1" applyAlignment="1">
      <alignment horizontal="left" vertical="top"/>
    </xf>
    <xf numFmtId="10" fontId="0" fillId="16" borderId="1" xfId="0" applyNumberFormat="1" applyFill="1" applyBorder="1" applyAlignment="1">
      <alignment horizontal="center" vertical="top"/>
    </xf>
    <xf numFmtId="0" fontId="14" fillId="0" borderId="0" xfId="0" applyFont="1" applyBorder="1"/>
    <xf numFmtId="0" fontId="0" fillId="19" borderId="1" xfId="0" applyFont="1" applyFill="1" applyBorder="1" applyAlignment="1">
      <alignment horizontal="left" vertical="top"/>
    </xf>
    <xf numFmtId="0" fontId="15" fillId="0" borderId="1" xfId="0" applyFont="1" applyFill="1" applyBorder="1" applyAlignment="1">
      <alignment horizontal="left" vertical="top"/>
    </xf>
    <xf numFmtId="0" fontId="16" fillId="0" borderId="1" xfId="0" applyFont="1" applyFill="1" applyBorder="1" applyAlignment="1">
      <alignment horizontal="left" vertical="top"/>
    </xf>
    <xf numFmtId="0" fontId="0" fillId="20" borderId="1" xfId="0" applyFont="1" applyFill="1" applyBorder="1" applyAlignment="1">
      <alignment horizontal="left" vertical="top"/>
    </xf>
    <xf numFmtId="0" fontId="0" fillId="5" borderId="1" xfId="0" quotePrefix="1" applyFont="1" applyFill="1" applyBorder="1" applyAlignment="1">
      <alignment horizontal="left" vertical="top"/>
    </xf>
    <xf numFmtId="0" fontId="0" fillId="0" borderId="1" xfId="0" applyFont="1" applyBorder="1" applyAlignment="1" applyProtection="1">
      <alignment horizontal="left" vertical="top"/>
    </xf>
    <xf numFmtId="0" fontId="0" fillId="0" borderId="1" xfId="0" applyBorder="1" applyProtection="1">
      <protection locked="0"/>
    </xf>
    <xf numFmtId="0" fontId="0" fillId="0" borderId="1" xfId="0" quotePrefix="1" applyFont="1" applyBorder="1" applyAlignment="1">
      <alignment horizontal="left" vertical="top" wrapText="1"/>
    </xf>
    <xf numFmtId="0" fontId="1" fillId="5" borderId="1" xfId="0" quotePrefix="1" applyFont="1" applyFill="1" applyBorder="1" applyAlignment="1">
      <alignment horizontal="left" vertical="top" wrapText="1"/>
    </xf>
    <xf numFmtId="0" fontId="3" fillId="21" borderId="1" xfId="0" applyNumberFormat="1" applyFont="1" applyFill="1" applyBorder="1" applyAlignment="1" applyProtection="1">
      <alignment horizontal="left" vertical="top"/>
    </xf>
    <xf numFmtId="0" fontId="20" fillId="0" borderId="0" xfId="0" applyFont="1"/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3" fillId="13" borderId="1" xfId="0" applyNumberFormat="1" applyFont="1" applyFill="1" applyBorder="1" applyAlignment="1" applyProtection="1">
      <alignment horizontal="left" vertical="top"/>
    </xf>
    <xf numFmtId="0" fontId="3" fillId="22" borderId="1" xfId="0" applyNumberFormat="1" applyFont="1" applyFill="1" applyBorder="1" applyAlignment="1" applyProtection="1">
      <alignment horizontal="left" vertical="top"/>
    </xf>
    <xf numFmtId="0" fontId="3" fillId="23" borderId="1" xfId="0" applyNumberFormat="1" applyFont="1" applyFill="1" applyBorder="1" applyAlignment="1" applyProtection="1">
      <alignment horizontal="left" vertical="top"/>
    </xf>
    <xf numFmtId="0" fontId="3" fillId="24" borderId="1" xfId="0" applyNumberFormat="1" applyFont="1" applyFill="1" applyBorder="1" applyAlignment="1" applyProtection="1">
      <alignment horizontal="left" vertical="top"/>
    </xf>
    <xf numFmtId="0" fontId="0" fillId="5" borderId="1" xfId="0" applyFont="1" applyFill="1" applyBorder="1" applyAlignment="1">
      <alignment horizontal="left" vertical="top"/>
    </xf>
    <xf numFmtId="0" fontId="4" fillId="0" borderId="1" xfId="0" quotePrefix="1" applyFont="1" applyBorder="1"/>
    <xf numFmtId="0" fontId="0" fillId="0" borderId="1" xfId="0" applyFill="1" applyBorder="1"/>
    <xf numFmtId="0" fontId="3" fillId="25" borderId="1" xfId="0" applyNumberFormat="1" applyFont="1" applyFill="1" applyBorder="1" applyAlignment="1" applyProtection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0" fillId="10" borderId="1" xfId="0" applyFill="1" applyBorder="1" applyAlignment="1">
      <alignment horizontal="left" vertical="top"/>
    </xf>
    <xf numFmtId="0" fontId="3" fillId="18" borderId="1" xfId="0" applyNumberFormat="1" applyFont="1" applyFill="1" applyBorder="1" applyAlignment="1" applyProtection="1">
      <alignment horizontal="left" vertical="top"/>
    </xf>
    <xf numFmtId="0" fontId="3" fillId="26" borderId="1" xfId="0" applyNumberFormat="1" applyFont="1" applyFill="1" applyBorder="1" applyAlignment="1" applyProtection="1">
      <alignment horizontal="left" vertical="top"/>
    </xf>
    <xf numFmtId="0" fontId="3" fillId="3" borderId="1" xfId="0" applyNumberFormat="1" applyFont="1" applyFill="1" applyBorder="1" applyAlignment="1" applyProtection="1">
      <alignment horizontal="left" vertical="top"/>
    </xf>
    <xf numFmtId="0" fontId="0" fillId="11" borderId="1" xfId="0" applyFill="1" applyBorder="1" applyAlignment="1">
      <alignment horizontal="left" vertical="top"/>
    </xf>
    <xf numFmtId="0" fontId="0" fillId="11" borderId="1" xfId="0" applyFill="1" applyBorder="1" applyProtection="1">
      <protection locked="0"/>
    </xf>
    <xf numFmtId="0" fontId="3" fillId="27" borderId="1" xfId="0" applyNumberFormat="1" applyFont="1" applyFill="1" applyBorder="1" applyAlignment="1" applyProtection="1">
      <alignment horizontal="left" vertical="top"/>
    </xf>
    <xf numFmtId="0" fontId="22" fillId="2" borderId="1" xfId="0" applyFont="1" applyFill="1" applyBorder="1" applyAlignment="1">
      <alignment horizontal="center" vertical="top"/>
    </xf>
    <xf numFmtId="0" fontId="22" fillId="5" borderId="6" xfId="0" applyFont="1" applyFill="1" applyBorder="1" applyAlignment="1">
      <alignment horizontal="center" vertical="center"/>
    </xf>
    <xf numFmtId="2" fontId="0" fillId="0" borderId="1" xfId="0" applyNumberFormat="1" applyBorder="1"/>
    <xf numFmtId="0" fontId="22" fillId="5" borderId="7" xfId="0" applyFont="1" applyFill="1" applyBorder="1" applyAlignment="1">
      <alignment horizontal="center" vertical="center"/>
    </xf>
    <xf numFmtId="0" fontId="22" fillId="5" borderId="5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2" fillId="5" borderId="9" xfId="0" applyFont="1" applyFill="1" applyBorder="1" applyAlignment="1">
      <alignment horizontal="center" vertical="center"/>
    </xf>
    <xf numFmtId="0" fontId="23" fillId="0" borderId="0" xfId="0" applyFont="1"/>
    <xf numFmtId="0" fontId="0" fillId="11" borderId="1" xfId="0" applyFont="1" applyFill="1" applyBorder="1" applyAlignment="1">
      <alignment horizontal="left" vertical="top"/>
    </xf>
    <xf numFmtId="0" fontId="24" fillId="2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vertical="center"/>
    </xf>
    <xf numFmtId="0" fontId="25" fillId="2" borderId="1" xfId="0" applyFont="1" applyFill="1" applyBorder="1" applyAlignment="1">
      <alignment horizontal="center" vertical="center"/>
    </xf>
    <xf numFmtId="49" fontId="24" fillId="2" borderId="1" xfId="0" applyNumberFormat="1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vertical="center" wrapText="1"/>
    </xf>
    <xf numFmtId="0" fontId="0" fillId="0" borderId="1" xfId="0" applyBorder="1" applyAlignment="1" applyProtection="1">
      <alignment horizontal="left" vertical="top"/>
      <protection locked="0"/>
    </xf>
    <xf numFmtId="0" fontId="0" fillId="2" borderId="1" xfId="0" applyFill="1" applyBorder="1" applyAlignment="1">
      <alignment horizontal="left" vertical="top"/>
    </xf>
    <xf numFmtId="0" fontId="1" fillId="5" borderId="1" xfId="0" quotePrefix="1" applyFont="1" applyFill="1" applyBorder="1" applyAlignment="1">
      <alignment horizontal="left" vertical="top"/>
    </xf>
    <xf numFmtId="0" fontId="4" fillId="0" borderId="1" xfId="0" applyFont="1" applyBorder="1" applyAlignment="1"/>
    <xf numFmtId="0" fontId="3" fillId="28" borderId="1" xfId="0" applyNumberFormat="1" applyFont="1" applyFill="1" applyBorder="1" applyAlignment="1" applyProtection="1">
      <alignment horizontal="left" vertical="top"/>
    </xf>
    <xf numFmtId="0" fontId="4" fillId="0" borderId="1" xfId="0" applyFont="1" applyBorder="1"/>
    <xf numFmtId="165" fontId="0" fillId="0" borderId="1" xfId="0" applyNumberFormat="1" applyBorder="1" applyAlignment="1">
      <alignment horizontal="left" vertical="top"/>
    </xf>
    <xf numFmtId="0" fontId="3" fillId="10" borderId="1" xfId="0" applyNumberFormat="1" applyFont="1" applyFill="1" applyBorder="1" applyAlignment="1" applyProtection="1">
      <alignment horizontal="left" vertical="top"/>
    </xf>
    <xf numFmtId="0" fontId="3" fillId="29" borderId="1" xfId="0" applyNumberFormat="1" applyFont="1" applyFill="1" applyBorder="1" applyAlignment="1" applyProtection="1">
      <alignment horizontal="left" vertical="top"/>
    </xf>
    <xf numFmtId="0" fontId="0" fillId="13" borderId="1" xfId="0" applyFont="1" applyFill="1" applyBorder="1" applyAlignment="1">
      <alignment horizontal="left" vertical="top"/>
    </xf>
    <xf numFmtId="0" fontId="0" fillId="13" borderId="1" xfId="0" quotePrefix="1" applyFont="1" applyFill="1" applyBorder="1" applyAlignment="1">
      <alignment horizontal="left" vertical="top"/>
    </xf>
    <xf numFmtId="0" fontId="0" fillId="25" borderId="1" xfId="0" applyFont="1" applyFill="1" applyBorder="1" applyAlignment="1">
      <alignment horizontal="left" vertical="top"/>
    </xf>
    <xf numFmtId="0" fontId="0" fillId="0" borderId="1" xfId="0" applyBorder="1" applyAlignment="1" applyProtection="1">
      <alignment vertical="top"/>
      <protection locked="0"/>
    </xf>
    <xf numFmtId="0" fontId="0" fillId="0" borderId="0" xfId="0" applyAlignment="1">
      <alignment horizontal="left" vertical="top"/>
    </xf>
    <xf numFmtId="164" fontId="3" fillId="0" borderId="1" xfId="0" applyNumberFormat="1" applyFont="1" applyFill="1" applyBorder="1" applyAlignment="1">
      <alignment horizontal="left" vertical="top"/>
    </xf>
    <xf numFmtId="0" fontId="3" fillId="30" borderId="1" xfId="0" applyNumberFormat="1" applyFont="1" applyFill="1" applyBorder="1" applyAlignment="1" applyProtection="1">
      <alignment horizontal="left" vertical="top"/>
    </xf>
    <xf numFmtId="0" fontId="0" fillId="0" borderId="6" xfId="0" applyBorder="1" applyAlignment="1" applyProtection="1">
      <alignment vertical="top"/>
      <protection locked="0"/>
    </xf>
    <xf numFmtId="0" fontId="0" fillId="0" borderId="1" xfId="0" applyBorder="1" applyAlignment="1" applyProtection="1">
      <protection locked="0"/>
    </xf>
    <xf numFmtId="0" fontId="28" fillId="0" borderId="0" xfId="0" applyFont="1"/>
    <xf numFmtId="0" fontId="28" fillId="2" borderId="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 wrapText="1"/>
    </xf>
    <xf numFmtId="0" fontId="0" fillId="5" borderId="1" xfId="0" quotePrefix="1" applyFont="1" applyFill="1" applyBorder="1" applyAlignment="1">
      <alignment horizontal="left" vertical="top" wrapText="1"/>
    </xf>
    <xf numFmtId="0" fontId="0" fillId="0" borderId="1" xfId="0" quotePrefix="1" applyBorder="1" applyAlignment="1">
      <alignment vertical="top"/>
    </xf>
    <xf numFmtId="0" fontId="1" fillId="0" borderId="1" xfId="0" quotePrefix="1" applyFont="1" applyBorder="1" applyAlignment="1">
      <alignment vertical="top"/>
    </xf>
    <xf numFmtId="0" fontId="1" fillId="0" borderId="1" xfId="0" quotePrefix="1" applyFont="1" applyBorder="1" applyAlignment="1" applyProtection="1">
      <alignment vertical="top"/>
      <protection locked="0"/>
    </xf>
    <xf numFmtId="0" fontId="1" fillId="0" borderId="3" xfId="0" quotePrefix="1" applyFont="1" applyBorder="1" applyAlignment="1">
      <alignment vertical="top"/>
    </xf>
    <xf numFmtId="0" fontId="28" fillId="5" borderId="1" xfId="0" quotePrefix="1" applyFont="1" applyFill="1" applyBorder="1" applyAlignment="1">
      <alignment horizontal="left" vertical="top" wrapText="1"/>
    </xf>
    <xf numFmtId="0" fontId="29" fillId="0" borderId="1" xfId="0" quotePrefix="1" applyFont="1" applyFill="1" applyBorder="1" applyAlignment="1">
      <alignment horizontal="left" vertical="top"/>
    </xf>
    <xf numFmtId="0" fontId="0" fillId="0" borderId="1" xfId="0" quotePrefix="1" applyBorder="1" applyAlignment="1" applyProtection="1">
      <protection locked="0"/>
    </xf>
    <xf numFmtId="0" fontId="0" fillId="0" borderId="1" xfId="0" applyBorder="1" applyAlignment="1" applyProtection="1">
      <alignment horizontal="left" vertical="top"/>
    </xf>
    <xf numFmtId="0" fontId="1" fillId="0" borderId="10" xfId="0" quotePrefix="1" applyFont="1" applyBorder="1" applyAlignment="1">
      <alignment vertical="top"/>
    </xf>
    <xf numFmtId="0" fontId="29" fillId="0" borderId="1" xfId="0" applyFont="1" applyBorder="1" applyAlignment="1">
      <alignment horizontal="left" vertical="top"/>
    </xf>
    <xf numFmtId="0" fontId="0" fillId="0" borderId="1" xfId="0" applyFont="1" applyBorder="1" applyAlignment="1" applyProtection="1">
      <alignment horizontal="right" vertical="top"/>
      <protection locked="0"/>
    </xf>
    <xf numFmtId="0" fontId="0" fillId="6" borderId="1" xfId="0" applyFill="1" applyBorder="1" applyAlignment="1">
      <alignment horizontal="left" vertical="top"/>
    </xf>
    <xf numFmtId="0" fontId="1" fillId="0" borderId="1" xfId="0" applyFont="1" applyBorder="1" applyProtection="1">
      <protection locked="0"/>
    </xf>
    <xf numFmtId="0" fontId="30" fillId="2" borderId="1" xfId="0" applyFont="1" applyFill="1" applyBorder="1" applyAlignment="1">
      <alignment horizontal="center" vertical="center" wrapText="1"/>
    </xf>
    <xf numFmtId="49" fontId="30" fillId="2" borderId="1" xfId="0" applyNumberFormat="1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vertical="center" wrapText="1"/>
    </xf>
    <xf numFmtId="0" fontId="3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vertical="center"/>
    </xf>
    <xf numFmtId="0" fontId="23" fillId="0" borderId="1" xfId="0" applyFont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166" fontId="23" fillId="0" borderId="1" xfId="0" applyNumberFormat="1" applyFont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left" vertical="top"/>
    </xf>
    <xf numFmtId="0" fontId="0" fillId="0" borderId="1" xfId="0" applyFont="1" applyBorder="1" applyAlignment="1" applyProtection="1">
      <alignment horizontal="left" vertical="top"/>
      <protection locked="0"/>
    </xf>
    <xf numFmtId="0" fontId="32" fillId="0" borderId="1" xfId="0" applyFont="1" applyBorder="1" applyAlignment="1">
      <alignment vertical="top"/>
    </xf>
    <xf numFmtId="0" fontId="0" fillId="0" borderId="1" xfId="0" applyNumberFormat="1" applyBorder="1" applyAlignment="1">
      <alignment horizontal="left" vertical="top"/>
    </xf>
    <xf numFmtId="0" fontId="3" fillId="9" borderId="1" xfId="0" applyNumberFormat="1" applyFont="1" applyFill="1" applyBorder="1" applyAlignment="1" applyProtection="1">
      <alignment horizontal="left" vertical="top"/>
    </xf>
    <xf numFmtId="0" fontId="0" fillId="0" borderId="0" xfId="0" applyFill="1" applyBorder="1" applyAlignment="1"/>
    <xf numFmtId="0" fontId="0" fillId="0" borderId="0" xfId="0" applyFont="1" applyFill="1" applyBorder="1" applyAlignment="1"/>
    <xf numFmtId="0" fontId="33" fillId="0" borderId="0" xfId="0" applyNumberFormat="1" applyFont="1" applyFill="1" applyBorder="1" applyAlignment="1" applyProtection="1"/>
    <xf numFmtId="0" fontId="28" fillId="5" borderId="1" xfId="0" quotePrefix="1" applyFont="1" applyFill="1" applyBorder="1" applyAlignment="1">
      <alignment horizontal="left" vertical="top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0" fillId="17" borderId="1" xfId="0" applyFill="1" applyBorder="1" applyAlignment="1">
      <alignment horizontal="left" vertical="top"/>
    </xf>
    <xf numFmtId="0" fontId="0" fillId="0" borderId="1" xfId="0" quotePrefix="1" applyBorder="1" applyAlignment="1">
      <alignment horizontal="left" vertical="top" wrapText="1"/>
    </xf>
    <xf numFmtId="0" fontId="0" fillId="5" borderId="0" xfId="0" applyFont="1" applyFill="1" applyBorder="1" applyAlignment="1">
      <alignment horizontal="left" vertical="top" wrapText="1"/>
    </xf>
    <xf numFmtId="0" fontId="0" fillId="6" borderId="2" xfId="0" quotePrefix="1" applyFill="1" applyBorder="1" applyAlignment="1">
      <alignment horizontal="left" vertical="center"/>
    </xf>
    <xf numFmtId="0" fontId="0" fillId="6" borderId="3" xfId="0" quotePrefix="1" applyFill="1" applyBorder="1" applyAlignment="1">
      <alignment horizontal="left" vertical="center"/>
    </xf>
    <xf numFmtId="0" fontId="0" fillId="6" borderId="4" xfId="0" quotePrefix="1" applyFill="1" applyBorder="1" applyAlignment="1">
      <alignment horizontal="left" vertical="center"/>
    </xf>
    <xf numFmtId="0" fontId="24" fillId="2" borderId="1" xfId="0" applyFont="1" applyFill="1" applyBorder="1" applyAlignment="1">
      <alignment horizontal="center" vertical="center" wrapText="1"/>
    </xf>
  </cellXfs>
  <cellStyles count="3">
    <cellStyle name="Bad" xfId="2" builtinId="27"/>
    <cellStyle name="Normal" xfId="0" builtinId="0"/>
    <cellStyle name="Normal 3" xfId="1"/>
  </cellStyles>
  <dxfs count="10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C6EFCE"/>
      <color rgb="FFFFC7CE"/>
      <color rgb="FF006100"/>
      <color rgb="FF9C0006"/>
      <color rgb="FFE1C7CE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.bin"/><Relationship Id="rId13" Type="http://schemas.openxmlformats.org/officeDocument/2006/relationships/printerSettings" Target="../printerSettings/printerSettings29.bin"/><Relationship Id="rId3" Type="http://schemas.openxmlformats.org/officeDocument/2006/relationships/printerSettings" Target="../printerSettings/printerSettings19.bin"/><Relationship Id="rId7" Type="http://schemas.openxmlformats.org/officeDocument/2006/relationships/printerSettings" Target="../printerSettings/printerSettings23.bin"/><Relationship Id="rId12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printerSettings" Target="../printerSettings/printerSettings22.bin"/><Relationship Id="rId11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1.bin"/><Relationship Id="rId10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0.bin"/><Relationship Id="rId9" Type="http://schemas.openxmlformats.org/officeDocument/2006/relationships/printerSettings" Target="../printerSettings/printerSettings25.bin"/><Relationship Id="rId14" Type="http://schemas.openxmlformats.org/officeDocument/2006/relationships/printerSettings" Target="../printerSettings/printerSettings3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13" Type="http://schemas.openxmlformats.org/officeDocument/2006/relationships/printerSettings" Target="../printerSettings/printerSettings53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12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42.bin"/><Relationship Id="rId16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11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45.bin"/><Relationship Id="rId15" Type="http://schemas.openxmlformats.org/officeDocument/2006/relationships/printerSettings" Target="../printerSettings/printerSettings55.bin"/><Relationship Id="rId10" Type="http://schemas.openxmlformats.org/officeDocument/2006/relationships/printerSettings" Target="../printerSettings/printerSettings50.bin"/><Relationship Id="rId4" Type="http://schemas.openxmlformats.org/officeDocument/2006/relationships/printerSettings" Target="../printerSettings/printerSettings44.bin"/><Relationship Id="rId9" Type="http://schemas.openxmlformats.org/officeDocument/2006/relationships/printerSettings" Target="../printerSettings/printerSettings49.bin"/><Relationship Id="rId14" Type="http://schemas.openxmlformats.org/officeDocument/2006/relationships/printerSettings" Target="../printerSettings/printerSettings5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4.bin"/><Relationship Id="rId3" Type="http://schemas.openxmlformats.org/officeDocument/2006/relationships/printerSettings" Target="../printerSettings/printerSettings59.bin"/><Relationship Id="rId7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Relationship Id="rId6" Type="http://schemas.openxmlformats.org/officeDocument/2006/relationships/printerSettings" Target="../printerSettings/printerSettings62.bin"/><Relationship Id="rId11" Type="http://schemas.openxmlformats.org/officeDocument/2006/relationships/printerSettings" Target="../printerSettings/printerSettings67.bin"/><Relationship Id="rId5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66.bin"/><Relationship Id="rId4" Type="http://schemas.openxmlformats.org/officeDocument/2006/relationships/printerSettings" Target="../printerSettings/printerSettings60.bin"/><Relationship Id="rId9" Type="http://schemas.openxmlformats.org/officeDocument/2006/relationships/printerSettings" Target="../printerSettings/printerSettings6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5.bin"/><Relationship Id="rId13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70.bin"/><Relationship Id="rId7" Type="http://schemas.openxmlformats.org/officeDocument/2006/relationships/printerSettings" Target="../printerSettings/printerSettings74.bin"/><Relationship Id="rId12" Type="http://schemas.openxmlformats.org/officeDocument/2006/relationships/printerSettings" Target="../printerSettings/printerSettings79.bin"/><Relationship Id="rId2" Type="http://schemas.openxmlformats.org/officeDocument/2006/relationships/printerSettings" Target="../printerSettings/printerSettings69.bin"/><Relationship Id="rId16" Type="http://schemas.openxmlformats.org/officeDocument/2006/relationships/printerSettings" Target="../printerSettings/printerSettings83.bin"/><Relationship Id="rId1" Type="http://schemas.openxmlformats.org/officeDocument/2006/relationships/printerSettings" Target="../printerSettings/printerSettings68.bin"/><Relationship Id="rId6" Type="http://schemas.openxmlformats.org/officeDocument/2006/relationships/printerSettings" Target="../printerSettings/printerSettings73.bin"/><Relationship Id="rId11" Type="http://schemas.openxmlformats.org/officeDocument/2006/relationships/printerSettings" Target="../printerSettings/printerSettings78.bin"/><Relationship Id="rId5" Type="http://schemas.openxmlformats.org/officeDocument/2006/relationships/printerSettings" Target="../printerSettings/printerSettings72.bin"/><Relationship Id="rId15" Type="http://schemas.openxmlformats.org/officeDocument/2006/relationships/printerSettings" Target="../printerSettings/printerSettings82.bin"/><Relationship Id="rId10" Type="http://schemas.openxmlformats.org/officeDocument/2006/relationships/printerSettings" Target="../printerSettings/printerSettings77.bin"/><Relationship Id="rId4" Type="http://schemas.openxmlformats.org/officeDocument/2006/relationships/printerSettings" Target="../printerSettings/printerSettings71.bin"/><Relationship Id="rId9" Type="http://schemas.openxmlformats.org/officeDocument/2006/relationships/printerSettings" Target="../printerSettings/printerSettings76.bin"/><Relationship Id="rId14" Type="http://schemas.openxmlformats.org/officeDocument/2006/relationships/printerSettings" Target="../printerSettings/printerSettings8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1.bin"/><Relationship Id="rId13" Type="http://schemas.openxmlformats.org/officeDocument/2006/relationships/printerSettings" Target="../printerSettings/printerSettings96.bin"/><Relationship Id="rId3" Type="http://schemas.openxmlformats.org/officeDocument/2006/relationships/printerSettings" Target="../printerSettings/printerSettings86.bin"/><Relationship Id="rId7" Type="http://schemas.openxmlformats.org/officeDocument/2006/relationships/printerSettings" Target="../printerSettings/printerSettings90.bin"/><Relationship Id="rId12" Type="http://schemas.openxmlformats.org/officeDocument/2006/relationships/printerSettings" Target="../printerSettings/printerSettings95.bin"/><Relationship Id="rId2" Type="http://schemas.openxmlformats.org/officeDocument/2006/relationships/printerSettings" Target="../printerSettings/printerSettings85.bin"/><Relationship Id="rId16" Type="http://schemas.openxmlformats.org/officeDocument/2006/relationships/printerSettings" Target="../printerSettings/printerSettings99.bin"/><Relationship Id="rId1" Type="http://schemas.openxmlformats.org/officeDocument/2006/relationships/printerSettings" Target="../printerSettings/printerSettings84.bin"/><Relationship Id="rId6" Type="http://schemas.openxmlformats.org/officeDocument/2006/relationships/printerSettings" Target="../printerSettings/printerSettings89.bin"/><Relationship Id="rId11" Type="http://schemas.openxmlformats.org/officeDocument/2006/relationships/printerSettings" Target="../printerSettings/printerSettings94.bin"/><Relationship Id="rId5" Type="http://schemas.openxmlformats.org/officeDocument/2006/relationships/printerSettings" Target="../printerSettings/printerSettings88.bin"/><Relationship Id="rId15" Type="http://schemas.openxmlformats.org/officeDocument/2006/relationships/printerSettings" Target="../printerSettings/printerSettings98.bin"/><Relationship Id="rId10" Type="http://schemas.openxmlformats.org/officeDocument/2006/relationships/printerSettings" Target="../printerSettings/printerSettings93.bin"/><Relationship Id="rId4" Type="http://schemas.openxmlformats.org/officeDocument/2006/relationships/printerSettings" Target="../printerSettings/printerSettings87.bin"/><Relationship Id="rId9" Type="http://schemas.openxmlformats.org/officeDocument/2006/relationships/printerSettings" Target="../printerSettings/printerSettings92.bin"/><Relationship Id="rId14" Type="http://schemas.openxmlformats.org/officeDocument/2006/relationships/printerSettings" Target="../printerSettings/printerSettings9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7.bin"/><Relationship Id="rId3" Type="http://schemas.openxmlformats.org/officeDocument/2006/relationships/printerSettings" Target="../printerSettings/printerSettings102.bin"/><Relationship Id="rId7" Type="http://schemas.openxmlformats.org/officeDocument/2006/relationships/printerSettings" Target="../printerSettings/printerSettings106.bin"/><Relationship Id="rId2" Type="http://schemas.openxmlformats.org/officeDocument/2006/relationships/printerSettings" Target="../printerSettings/printerSettings101.bin"/><Relationship Id="rId1" Type="http://schemas.openxmlformats.org/officeDocument/2006/relationships/printerSettings" Target="../printerSettings/printerSettings100.bin"/><Relationship Id="rId6" Type="http://schemas.openxmlformats.org/officeDocument/2006/relationships/printerSettings" Target="../printerSettings/printerSettings105.bin"/><Relationship Id="rId5" Type="http://schemas.openxmlformats.org/officeDocument/2006/relationships/printerSettings" Target="../printerSettings/printerSettings104.bin"/><Relationship Id="rId10" Type="http://schemas.openxmlformats.org/officeDocument/2006/relationships/printerSettings" Target="../printerSettings/printerSettings109.bin"/><Relationship Id="rId4" Type="http://schemas.openxmlformats.org/officeDocument/2006/relationships/printerSettings" Target="../printerSettings/printerSettings103.bin"/><Relationship Id="rId9" Type="http://schemas.openxmlformats.org/officeDocument/2006/relationships/printerSettings" Target="../printerSettings/printerSettings10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2.bin"/><Relationship Id="rId2" Type="http://schemas.openxmlformats.org/officeDocument/2006/relationships/printerSettings" Target="../printerSettings/printerSettings111.bin"/><Relationship Id="rId1" Type="http://schemas.openxmlformats.org/officeDocument/2006/relationships/printerSettings" Target="../printerSettings/printerSettings1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AO286"/>
  <sheetViews>
    <sheetView topLeftCell="K91" zoomScale="70" zoomScaleNormal="85" workbookViewId="0">
      <selection activeCell="W122" sqref="W122"/>
    </sheetView>
  </sheetViews>
  <sheetFormatPr defaultRowHeight="15" x14ac:dyDescent="0.25"/>
  <cols>
    <col min="2" max="2" width="4.7109375" style="89" customWidth="1"/>
    <col min="3" max="4" width="9.42578125" customWidth="1"/>
    <col min="5" max="5" width="71" bestFit="1" customWidth="1"/>
    <col min="6" max="6" width="35.5703125" customWidth="1"/>
    <col min="7" max="7" width="10.42578125" customWidth="1"/>
    <col min="8" max="8" width="2.5703125" customWidth="1"/>
    <col min="9" max="9" width="37.5703125" customWidth="1"/>
    <col min="10" max="10" width="3.85546875" customWidth="1"/>
    <col min="11" max="11" width="4.42578125" customWidth="1"/>
    <col min="12" max="12" width="10" bestFit="1" customWidth="1"/>
    <col min="13" max="13" width="7" customWidth="1"/>
    <col min="14" max="14" width="4" customWidth="1"/>
    <col min="15" max="15" width="5.42578125" customWidth="1"/>
    <col min="16" max="16" width="15.85546875" customWidth="1"/>
    <col min="17" max="17" width="5" customWidth="1"/>
    <col min="18" max="18" width="4.7109375" customWidth="1"/>
    <col min="19" max="19" width="11.5703125" customWidth="1"/>
    <col min="20" max="20" width="6.140625" customWidth="1"/>
    <col min="21" max="21" width="6.7109375" customWidth="1"/>
    <col min="22" max="22" width="5.5703125" customWidth="1"/>
    <col min="23" max="23" width="19.85546875" customWidth="1"/>
    <col min="24" max="24" width="7" customWidth="1"/>
    <col min="25" max="25" width="6.140625" customWidth="1"/>
    <col min="26" max="26" width="6.5703125" customWidth="1"/>
    <col min="27" max="27" width="19.28515625" customWidth="1"/>
    <col min="28" max="28" width="19.42578125" customWidth="1"/>
    <col min="29" max="29" width="18.85546875" customWidth="1"/>
    <col min="30" max="30" width="32.7109375" customWidth="1"/>
    <col min="31" max="32" width="14.5703125" bestFit="1" customWidth="1"/>
    <col min="33" max="33" width="7.7109375" bestFit="1" customWidth="1"/>
    <col min="34" max="35" width="9.140625" bestFit="1" customWidth="1"/>
    <col min="36" max="36" width="9.85546875" bestFit="1" customWidth="1"/>
    <col min="37" max="37" width="6.7109375" customWidth="1"/>
    <col min="38" max="38" width="25.5703125" customWidth="1"/>
    <col min="39" max="39" width="24.7109375" bestFit="1" customWidth="1"/>
    <col min="40" max="40" width="23.42578125" customWidth="1"/>
  </cols>
  <sheetData>
    <row r="1" spans="1:17" x14ac:dyDescent="0.25">
      <c r="A1" s="53" t="s">
        <v>108</v>
      </c>
      <c r="B1"/>
    </row>
    <row r="2" spans="1:17" x14ac:dyDescent="0.25">
      <c r="B2" s="53" t="s">
        <v>49</v>
      </c>
      <c r="C2" s="21"/>
      <c r="D2" s="21"/>
      <c r="E2" s="21"/>
      <c r="F2" s="21"/>
      <c r="G2" s="21"/>
      <c r="H2" s="21"/>
    </row>
    <row r="3" spans="1:17" x14ac:dyDescent="0.25">
      <c r="B3" s="46" t="s">
        <v>0</v>
      </c>
      <c r="C3" s="46" t="s">
        <v>8</v>
      </c>
      <c r="D3" s="46" t="s">
        <v>149</v>
      </c>
      <c r="E3" s="46" t="s">
        <v>50</v>
      </c>
      <c r="F3" s="46" t="s">
        <v>99</v>
      </c>
      <c r="G3" s="46" t="s">
        <v>176</v>
      </c>
      <c r="H3" s="47" t="s">
        <v>24</v>
      </c>
      <c r="I3" s="92" t="s">
        <v>153</v>
      </c>
      <c r="J3" s="2" t="s">
        <v>154</v>
      </c>
      <c r="K3" s="2" t="s">
        <v>176</v>
      </c>
      <c r="O3" s="53" t="s">
        <v>39</v>
      </c>
    </row>
    <row r="4" spans="1:17" x14ac:dyDescent="0.25">
      <c r="B4" s="48">
        <v>1</v>
      </c>
      <c r="C4" s="105" t="s">
        <v>6</v>
      </c>
      <c r="D4" s="50">
        <f>SUMIFS($W$60:$W$276,$D$60:$D$276,Table!$D$3,$S$60:$S$276,C4)</f>
        <v>0</v>
      </c>
      <c r="E4" s="50">
        <f>SUMIFS($X$60:$X$276,$D$60:$D$276,Table!$D$3,$S$60:$S$276,C4)-SUM(SUMIFS($X$60:$X$276,$D$60:$D$276,Table!$D$3,$S$60:$S$276,C4,$AA$60:$AA$276,{"Ongoing","N\A",""}))</f>
        <v>0</v>
      </c>
      <c r="F4" s="50">
        <f>1/8*(SUMIFS($Z$60:$Z$276,$D$60:$D$276,Table!$D$3,$S$60:$S$276,C4)-SUM(SUMIFS($Z$60:$Z$276,$D$60:$D$276,Table!$D$3,$S$60:$S$276,C4,$AA$60:$AA$276,{"Ongoing","N/A",""})))</f>
        <v>0</v>
      </c>
      <c r="G4" s="50" t="str">
        <f>IF(ISERROR(E4/(F4)),"N/A",E4/F4)</f>
        <v>N/A</v>
      </c>
      <c r="H4" s="96" t="str">
        <f>IF(ISERROR(E4/D4),"N/A",E4/D4)</f>
        <v>N/A</v>
      </c>
      <c r="I4" s="93">
        <v>0</v>
      </c>
      <c r="J4" s="3">
        <f t="shared" ref="J4:J17" si="0">E4-I4</f>
        <v>0</v>
      </c>
      <c r="K4" s="50" t="str">
        <f t="shared" ref="K4:K17" si="1">IF(J4&lt;&gt;0,J4/$P$20,G4)</f>
        <v>N/A</v>
      </c>
      <c r="P4" s="53" t="s">
        <v>41</v>
      </c>
    </row>
    <row r="5" spans="1:17" x14ac:dyDescent="0.25">
      <c r="B5" s="48">
        <v>2</v>
      </c>
      <c r="C5" s="105" t="s">
        <v>61</v>
      </c>
      <c r="D5" s="50">
        <f>SUMIFS($W$60:$W$276,$D$60:$D$276,Table!$D$3,$S$60:$S$276,C5)</f>
        <v>0</v>
      </c>
      <c r="E5" s="50">
        <f>SUMIFS($X$60:$X$276,$D$60:$D$276,Table!$D$3,$S$60:$S$276,C5)-SUM(SUMIFS($X$60:$X$276,$D$60:$D$276,Table!$D$3,$S$60:$S$276,C5,$AA$60:$AA$276,{"Ongoing","N\A",""}))</f>
        <v>0</v>
      </c>
      <c r="F5" s="50">
        <f>1/8*(SUMIFS($Z$60:$Z$276,$D$60:$D$276,Table!$D$3,$S$60:$S$276,C5)-SUM(SUMIFS($Z$60:$Z$276,$D$60:$D$276,Table!$D$3,$S$60:$S$276,C5,$AA$60:$AA$276,{"Ongoing","N/A",""})))</f>
        <v>0</v>
      </c>
      <c r="G5" s="50" t="str">
        <f t="shared" ref="G5:G6" si="2">IF(ISERROR(E5/(F5)),"N/A",E5/F5)</f>
        <v>N/A</v>
      </c>
      <c r="H5" s="96" t="str">
        <f t="shared" ref="H5:H18" si="3">IF(ISERROR(E5/D5),"N/A",E5/D5)</f>
        <v>N/A</v>
      </c>
      <c r="I5" s="93">
        <v>0</v>
      </c>
      <c r="J5" s="3">
        <f t="shared" si="0"/>
        <v>0</v>
      </c>
      <c r="K5" s="50" t="str">
        <f t="shared" si="1"/>
        <v>N/A</v>
      </c>
      <c r="Q5" s="21" t="s">
        <v>40</v>
      </c>
    </row>
    <row r="6" spans="1:17" x14ac:dyDescent="0.25">
      <c r="B6" s="48">
        <v>3</v>
      </c>
      <c r="C6" s="105" t="s">
        <v>62</v>
      </c>
      <c r="D6" s="50">
        <f>SUMIFS($W$60:$W$276,$D$60:$D$276,Table!$D$3,$S$60:$S$276,C6)</f>
        <v>0</v>
      </c>
      <c r="E6" s="50">
        <f>SUMIFS($X$60:$X$276,$D$60:$D$276,Table!$D$3,$S$60:$S$276,C6)-SUM(SUMIFS($X$60:$X$276,$D$60:$D$276,Table!$D$3,$S$60:$S$276,C6,$AA$60:$AA$276,{"Ongoing","N\A",""}))</f>
        <v>0</v>
      </c>
      <c r="F6" s="50">
        <f>1/8*(SUMIFS($Z$60:$Z$276,$D$60:$D$276,Table!$D$3,$S$60:$S$276,C6)-SUM(SUMIFS($Z$60:$Z$276,$D$60:$D$276,Table!$D$3,$S$60:$S$276,C6,$AA$60:$AA$276,{"Ongoing","N/A",""})))</f>
        <v>0</v>
      </c>
      <c r="G6" s="50" t="str">
        <f t="shared" si="2"/>
        <v>N/A</v>
      </c>
      <c r="H6" s="96" t="str">
        <f t="shared" si="3"/>
        <v>N/A</v>
      </c>
      <c r="I6" s="93">
        <v>0</v>
      </c>
      <c r="J6" s="3">
        <f t="shared" si="0"/>
        <v>0</v>
      </c>
      <c r="K6" s="50" t="str">
        <f t="shared" si="1"/>
        <v>N/A</v>
      </c>
      <c r="Q6" s="21" t="s">
        <v>80</v>
      </c>
    </row>
    <row r="7" spans="1:17" x14ac:dyDescent="0.25">
      <c r="B7" s="48">
        <v>4</v>
      </c>
      <c r="C7" s="61" t="s">
        <v>63</v>
      </c>
      <c r="D7" s="50">
        <f>SUMIFS($W$60:$W$276,$D$60:$D$276,Table!$D$3,$S$60:$S$276,C7)</f>
        <v>0</v>
      </c>
      <c r="E7" s="50">
        <f>SUMIFS($X$60:$X$276,$D$60:$D$276,Table!$D$3,$S$60:$S$276,C7)-SUM(SUMIFS($X$60:$X$276,$D$60:$D$276,Table!$D$3,$S$60:$S$276,C7,$AA$60:$AA$276,{"Ongoing","N\A",""}))</f>
        <v>0</v>
      </c>
      <c r="F7" s="50">
        <f>1/8*(SUMIFS($Z$60:$Z$276,$D$60:$D$276,Table!$D$3,$S$60:$S$276,C7)-SUM(SUMIFS($Z$60:$Z$276,$D$60:$D$276,Table!$D$3,$S$60:$S$276,C7,$AA$60:$AA$276,{"Ongoing","N/A",""})))</f>
        <v>0</v>
      </c>
      <c r="G7" s="50" t="str">
        <f t="shared" ref="G7:G17" si="4">IF(ISERROR(E7/(F7)),"N/A",E7/F7)</f>
        <v>N/A</v>
      </c>
      <c r="H7" s="96" t="str">
        <f t="shared" ref="H7:H17" si="5">IF(ISERROR(E7/D7),"N/A",E7/D7)</f>
        <v>N/A</v>
      </c>
      <c r="I7" s="93">
        <v>0</v>
      </c>
      <c r="J7" s="3">
        <f t="shared" si="0"/>
        <v>0</v>
      </c>
      <c r="K7" s="50" t="str">
        <f t="shared" si="1"/>
        <v>N/A</v>
      </c>
      <c r="P7" s="53"/>
    </row>
    <row r="8" spans="1:17" x14ac:dyDescent="0.25">
      <c r="B8" s="48">
        <v>5</v>
      </c>
      <c r="C8" s="58" t="s">
        <v>152</v>
      </c>
      <c r="D8" s="50">
        <f>SUMIFS($W$60:$W$276,$D$60:$D$276,Table!$D$3,$S$60:$S$276,C8)</f>
        <v>7482</v>
      </c>
      <c r="E8" s="50">
        <f>SUMIFS($X$60:$X$276,$D$60:$D$276,Table!$D$3,$S$60:$S$276,C8)-SUM(SUMIFS($X$60:$X$276,$D$60:$D$276,Table!$D$3,$S$60:$S$276,C8,$AA$60:$AA$276,{"Ongoing","N\A",""}))</f>
        <v>7482</v>
      </c>
      <c r="F8" s="50">
        <f>1/8*(SUMIFS($Z$60:$Z$276,$D$60:$D$276,Table!$D$3,$S$60:$S$276,C8)-SUM(SUMIFS($Z$60:$Z$276,$D$60:$D$276,Table!$D$3,$S$60:$S$276,C8,$AA$60:$AA$276,{"Ongoing","N/A",""})))</f>
        <v>11.675000000000001</v>
      </c>
      <c r="G8" s="50">
        <f t="shared" si="4"/>
        <v>640.85653104925052</v>
      </c>
      <c r="H8" s="96">
        <f t="shared" si="5"/>
        <v>1</v>
      </c>
      <c r="I8" s="93">
        <v>0</v>
      </c>
      <c r="J8" s="3">
        <f t="shared" si="0"/>
        <v>7482</v>
      </c>
      <c r="K8" s="50">
        <f t="shared" ca="1" si="1"/>
        <v>340.09090909090907</v>
      </c>
      <c r="Q8" s="21"/>
    </row>
    <row r="9" spans="1:17" x14ac:dyDescent="0.25">
      <c r="B9" s="48">
        <v>6</v>
      </c>
      <c r="C9" s="58" t="s">
        <v>64</v>
      </c>
      <c r="D9" s="50">
        <f>SUMIFS($W$60:$W$276,$D$60:$D$276,Table!$D$3,$S$60:$S$276,C9)</f>
        <v>8460</v>
      </c>
      <c r="E9" s="50">
        <f>SUMIFS($X$60:$X$276,$D$60:$D$276,Table!$D$3,$S$60:$S$276,C9)-SUM(SUMIFS($X$60:$X$276,$D$60:$D$276,Table!$D$3,$S$60:$S$276,C9,$AA$60:$AA$276,{"Ongoing","N\A",""}))</f>
        <v>8460</v>
      </c>
      <c r="F9" s="50">
        <f>1/8*(SUMIFS($Z$60:$Z$276,$D$60:$D$276,Table!$D$3,$S$60:$S$276,C9)-SUM(SUMIFS($Z$60:$Z$276,$D$60:$D$276,Table!$D$3,$S$60:$S$276,C9,$AA$60:$AA$276,{"Ongoing","N/A",""})))</f>
        <v>19.573749999999997</v>
      </c>
      <c r="G9" s="50">
        <f t="shared" si="4"/>
        <v>432.21150775911622</v>
      </c>
      <c r="H9" s="96">
        <f t="shared" si="5"/>
        <v>1</v>
      </c>
      <c r="I9" s="93">
        <v>0</v>
      </c>
      <c r="J9" s="3">
        <f t="shared" si="0"/>
        <v>8460</v>
      </c>
      <c r="K9" s="50">
        <f t="shared" ca="1" si="1"/>
        <v>384.54545454545456</v>
      </c>
      <c r="Q9" s="21"/>
    </row>
    <row r="10" spans="1:17" x14ac:dyDescent="0.25">
      <c r="B10" s="48">
        <v>7</v>
      </c>
      <c r="C10" s="61" t="s">
        <v>65</v>
      </c>
      <c r="D10" s="50">
        <f>SUMIFS($W$60:$W$276,$D$60:$D$276,Table!$D$3,$S$60:$S$276,C10)</f>
        <v>0</v>
      </c>
      <c r="E10" s="50">
        <f>SUMIFS($X$60:$X$276,$D$60:$D$276,Table!$D$3,$S$60:$S$276,C10)-SUM(SUMIFS($X$60:$X$276,$D$60:$D$276,Table!$D$3,$S$60:$S$276,C10,$AA$60:$AA$276,{"Ongoing","N\A",""}))</f>
        <v>0</v>
      </c>
      <c r="F10" s="50">
        <f>1/8*(SUMIFS($Z$60:$Z$276,$D$60:$D$276,Table!$D$3,$S$60:$S$276,C10)-SUM(SUMIFS($Z$60:$Z$276,$D$60:$D$276,Table!$D$3,$S$60:$S$276,C10,$AA$60:$AA$276,{"Ongoing","N/A",""})))</f>
        <v>0</v>
      </c>
      <c r="G10" s="50" t="str">
        <f t="shared" si="4"/>
        <v>N/A</v>
      </c>
      <c r="H10" s="96" t="str">
        <f t="shared" si="5"/>
        <v>N/A</v>
      </c>
      <c r="I10" s="93">
        <v>0</v>
      </c>
      <c r="J10" s="3">
        <f t="shared" si="0"/>
        <v>0</v>
      </c>
      <c r="K10" s="50" t="str">
        <f t="shared" si="1"/>
        <v>N/A</v>
      </c>
    </row>
    <row r="11" spans="1:17" x14ac:dyDescent="0.25">
      <c r="B11" s="48">
        <v>8</v>
      </c>
      <c r="C11" s="105" t="s">
        <v>66</v>
      </c>
      <c r="D11" s="50">
        <f>SUMIFS($W$60:$W$276,$D$60:$D$276,Table!$D$3,$S$60:$S$276,C11)</f>
        <v>0</v>
      </c>
      <c r="E11" s="50">
        <f>SUMIFS($X$60:$X$276,$D$60:$D$276,Table!$D$3,$S$60:$S$276,C11)-SUM(SUMIFS($X$60:$X$276,$D$60:$D$276,Table!$D$3,$S$60:$S$276,C11,$AA$60:$AA$276,{"Ongoing","N\A",""}))</f>
        <v>0</v>
      </c>
      <c r="F11" s="50">
        <f>1/8*(SUMIFS($Z$60:$Z$276,$D$60:$D$276,Table!$D$3,$S$60:$S$276,C11)-SUM(SUMIFS($Z$60:$Z$276,$D$60:$D$276,Table!$D$3,$S$60:$S$276,C11,$AA$60:$AA$276,{"Ongoing","N/A",""})))</f>
        <v>0</v>
      </c>
      <c r="G11" s="50" t="str">
        <f t="shared" si="4"/>
        <v>N/A</v>
      </c>
      <c r="H11" s="96" t="str">
        <f t="shared" si="5"/>
        <v>N/A</v>
      </c>
      <c r="I11" s="93">
        <v>0</v>
      </c>
      <c r="J11" s="3">
        <f t="shared" si="0"/>
        <v>0</v>
      </c>
      <c r="K11" s="50" t="str">
        <f t="shared" si="1"/>
        <v>N/A</v>
      </c>
    </row>
    <row r="12" spans="1:17" x14ac:dyDescent="0.25">
      <c r="B12" s="48">
        <v>9</v>
      </c>
      <c r="C12" s="49" t="s">
        <v>109</v>
      </c>
      <c r="D12" s="50">
        <f>SUMIFS($W$60:$W$276,$D$60:$D$276,Table!$D$3,$S$60:$S$276,C12)</f>
        <v>0</v>
      </c>
      <c r="E12" s="50">
        <f>SUMIFS($X$60:$X$276,$D$60:$D$276,Table!$D$3,$S$60:$S$276,C12)-SUM(SUMIFS($X$60:$X$276,$D$60:$D$276,Table!$D$3,$S$60:$S$276,C12,$AA$60:$AA$276,{"Ongoing","N\A",""}))</f>
        <v>0</v>
      </c>
      <c r="F12" s="50">
        <f>1/8*(SUMIFS($Z$60:$Z$276,$D$60:$D$276,Table!$D$3,$S$60:$S$276,C12)-SUM(SUMIFS($Z$60:$Z$276,$D$60:$D$276,Table!$D$3,$S$60:$S$276,C12,$AA$60:$AA$276,{"Ongoing","N/A",""})))</f>
        <v>0</v>
      </c>
      <c r="G12" s="50" t="str">
        <f t="shared" si="4"/>
        <v>N/A</v>
      </c>
      <c r="H12" s="96" t="str">
        <f t="shared" si="5"/>
        <v>N/A</v>
      </c>
      <c r="I12" s="93">
        <v>0</v>
      </c>
      <c r="J12" s="3">
        <f t="shared" si="0"/>
        <v>0</v>
      </c>
      <c r="K12" s="50" t="str">
        <f t="shared" si="1"/>
        <v>N/A</v>
      </c>
    </row>
    <row r="13" spans="1:17" x14ac:dyDescent="0.25">
      <c r="B13" s="48">
        <v>10</v>
      </c>
      <c r="C13" s="61" t="s">
        <v>110</v>
      </c>
      <c r="D13" s="50">
        <f>SUMIFS($W$60:$W$276,$D$60:$D$276,Table!$D$3,$S$60:$S$276,C13)</f>
        <v>0</v>
      </c>
      <c r="E13" s="50">
        <f>SUMIFS($X$60:$X$276,$D$60:$D$276,Table!$D$3,$S$60:$S$276,C13)-SUM(SUMIFS($X$60:$X$276,$D$60:$D$276,Table!$D$3,$S$60:$S$276,C13,$AA$60:$AA$276,{"Ongoing","N\A",""}))</f>
        <v>0</v>
      </c>
      <c r="F13" s="50">
        <f>1/8*(SUMIFS($Z$60:$Z$276,$D$60:$D$276,Table!$D$3,$S$60:$S$276,C13)-SUM(SUMIFS($Z$60:$Z$276,$D$60:$D$276,Table!$D$3,$S$60:$S$276,C13,$AA$60:$AA$276,{"Ongoing","N/A",""})))</f>
        <v>0</v>
      </c>
      <c r="G13" s="50" t="str">
        <f t="shared" ref="G13:G16" si="6">IF(ISERROR(E13/(F13)),"N/A",E13/F13)</f>
        <v>N/A</v>
      </c>
      <c r="H13" s="96" t="str">
        <f t="shared" ref="H13:H16" si="7">IF(ISERROR(E13/D13),"N/A",E13/D13)</f>
        <v>N/A</v>
      </c>
      <c r="I13" s="93">
        <v>0</v>
      </c>
      <c r="J13" s="3">
        <f t="shared" si="0"/>
        <v>0</v>
      </c>
      <c r="K13" s="50" t="str">
        <f t="shared" si="1"/>
        <v>N/A</v>
      </c>
    </row>
    <row r="14" spans="1:17" x14ac:dyDescent="0.25">
      <c r="B14" s="48">
        <v>11</v>
      </c>
      <c r="C14" s="49" t="s">
        <v>147</v>
      </c>
      <c r="D14" s="50">
        <f>SUMIFS($W$60:$W$276,$D$60:$D$276,Table!$D$3,$S$60:$S$276,C14)</f>
        <v>0</v>
      </c>
      <c r="E14" s="50">
        <f>SUMIFS($X$60:$X$276,$D$60:$D$276,Table!$D$3,$S$60:$S$276,C14)-SUM(SUMIFS($X$60:$X$276,$D$60:$D$276,Table!$D$3,$S$60:$S$276,C14,$AA$60:$AA$276,{"Ongoing","N\A",""}))</f>
        <v>0</v>
      </c>
      <c r="F14" s="50">
        <f>1/8*(SUMIFS($Z$60:$Z$276,$D$60:$D$276,Table!$D$3,$S$60:$S$276,C14)-SUM(SUMIFS($Z$60:$Z$276,$D$60:$D$276,Table!$D$3,$S$60:$S$276,C14,$AA$60:$AA$276,{"Ongoing","N/A",""})))</f>
        <v>0</v>
      </c>
      <c r="G14" s="50" t="str">
        <f t="shared" si="6"/>
        <v>N/A</v>
      </c>
      <c r="H14" s="96" t="str">
        <f t="shared" si="7"/>
        <v>N/A</v>
      </c>
      <c r="I14" s="93">
        <v>0</v>
      </c>
      <c r="J14" s="3">
        <f t="shared" si="0"/>
        <v>0</v>
      </c>
      <c r="K14" s="50" t="str">
        <f t="shared" si="1"/>
        <v>N/A</v>
      </c>
    </row>
    <row r="15" spans="1:17" x14ac:dyDescent="0.25">
      <c r="B15" s="48">
        <v>12</v>
      </c>
      <c r="C15" s="58" t="s">
        <v>141</v>
      </c>
      <c r="D15" s="50">
        <f>SUMIFS($W$60:$W$276,$D$60:$D$276,Table!$D$3,$S$60:$S$276,C15)</f>
        <v>9742</v>
      </c>
      <c r="E15" s="50">
        <f>SUMIFS($X$60:$X$276,$D$60:$D$276,Table!$D$3,$S$60:$S$276,C15)-SUM(SUMIFS($X$60:$X$276,$D$60:$D$276,Table!$D$3,$S$60:$S$276,C15,$AA$60:$AA$276,{"Ongoing","N\A",""}))</f>
        <v>9742</v>
      </c>
      <c r="F15" s="50">
        <f>1/8*(SUMIFS($Z$60:$Z$276,$D$60:$D$276,Table!$D$3,$S$60:$S$276,C15)-SUM(SUMIFS($Z$60:$Z$276,$D$60:$D$276,Table!$D$3,$S$60:$S$276,C15,$AA$60:$AA$276,{"Ongoing","N/A",""})))</f>
        <v>20.707500000000003</v>
      </c>
      <c r="G15" s="50">
        <f t="shared" si="6"/>
        <v>470.45756368465527</v>
      </c>
      <c r="H15" s="96">
        <f t="shared" si="7"/>
        <v>1</v>
      </c>
      <c r="I15" s="93">
        <v>0</v>
      </c>
      <c r="J15" s="3">
        <f t="shared" si="0"/>
        <v>9742</v>
      </c>
      <c r="K15" s="50">
        <f t="shared" ca="1" si="1"/>
        <v>442.81818181818181</v>
      </c>
    </row>
    <row r="16" spans="1:17" x14ac:dyDescent="0.25">
      <c r="B16" s="48">
        <v>13</v>
      </c>
      <c r="C16" s="58" t="s">
        <v>142</v>
      </c>
      <c r="D16" s="50">
        <f>SUMIFS($W$60:$W$276,$D$60:$D$276,Table!$D$3,$S$60:$S$276,C16)</f>
        <v>5778</v>
      </c>
      <c r="E16" s="50">
        <f>SUMIFS($X$60:$X$276,$D$60:$D$276,Table!$D$3,$S$60:$S$276,C16)-SUM(SUMIFS($X$60:$X$276,$D$60:$D$276,Table!$D$3,$S$60:$S$276,C16,$AA$60:$AA$276,{"Ongoing","N\A",""}))</f>
        <v>5778</v>
      </c>
      <c r="F16" s="50">
        <f>1/8*(SUMIFS($Z$60:$Z$276,$D$60:$D$276,Table!$D$3,$S$60:$S$276,C16)-SUM(SUMIFS($Z$60:$Z$276,$D$60:$D$276,Table!$D$3,$S$60:$S$276,C16,$AA$60:$AA$276,{"Ongoing","N/A",""})))</f>
        <v>9.9737500000000008</v>
      </c>
      <c r="G16" s="50">
        <f t="shared" si="6"/>
        <v>579.32071688181475</v>
      </c>
      <c r="H16" s="96">
        <f t="shared" si="7"/>
        <v>1</v>
      </c>
      <c r="I16" s="93">
        <v>0</v>
      </c>
      <c r="J16" s="3">
        <f t="shared" si="0"/>
        <v>5778</v>
      </c>
      <c r="K16" s="50">
        <f t="shared" ca="1" si="1"/>
        <v>262.63636363636363</v>
      </c>
    </row>
    <row r="17" spans="2:18" x14ac:dyDescent="0.25">
      <c r="B17" s="48">
        <v>14</v>
      </c>
      <c r="C17" s="58" t="s">
        <v>143</v>
      </c>
      <c r="D17" s="50">
        <f>SUMIFS($W$60:$W$276,$D$60:$D$276,Table!$D$3,$S$60:$S$276,C17)</f>
        <v>8682</v>
      </c>
      <c r="E17" s="50">
        <f>SUMIFS($X$60:$X$276,$D$60:$D$276,Table!$D$3,$S$60:$S$276,C17)-SUM(SUMIFS($X$60:$X$276,$D$60:$D$276,Table!$D$3,$S$60:$S$276,C17,$AA$60:$AA$276,{"Ongoing","N\A",""}))</f>
        <v>8682</v>
      </c>
      <c r="F17" s="50">
        <f>1/8*(SUMIFS($Z$60:$Z$276,$D$60:$D$276,Table!$D$3,$S$60:$S$276,C17)-SUM(SUMIFS($Z$60:$Z$276,$D$60:$D$276,Table!$D$3,$S$60:$S$276,C17,$AA$60:$AA$276,{"Ongoing","N/A",""})))</f>
        <v>18.157499999999999</v>
      </c>
      <c r="G17" s="50">
        <f t="shared" si="4"/>
        <v>478.14952498967369</v>
      </c>
      <c r="H17" s="96">
        <f t="shared" si="5"/>
        <v>1</v>
      </c>
      <c r="I17" s="93">
        <v>0</v>
      </c>
      <c r="J17" s="3">
        <f t="shared" si="0"/>
        <v>8682</v>
      </c>
      <c r="K17" s="50">
        <f t="shared" ca="1" si="1"/>
        <v>394.63636363636363</v>
      </c>
      <c r="O17" s="53" t="s">
        <v>38</v>
      </c>
      <c r="P17" s="55">
        <f>Template_Total_Report!$L$19</f>
        <v>44120</v>
      </c>
      <c r="R17" s="55">
        <f>Template_Total_Report!$N$19</f>
        <v>44151</v>
      </c>
    </row>
    <row r="18" spans="2:18" x14ac:dyDescent="0.25">
      <c r="B18" s="46" t="s">
        <v>82</v>
      </c>
      <c r="C18" s="52"/>
      <c r="D18" s="54">
        <f>SUMIFS($W$60:$W$276,$D$60:$D$276,Table!$D$3)</f>
        <v>40144</v>
      </c>
      <c r="E18" s="54">
        <f>SUMIFS($W$60:$W$276,$D$60:$D$276,Table!$D$3)-SUM(SUMIFS($W$60:$W$276,$D$60:$D$276,Table!$D$3,$AA$60:$AA$276,{"Ongoing","N/A",""}))</f>
        <v>40144</v>
      </c>
      <c r="F18" s="54">
        <f>1/8*(SUMIFS($Z$60:$Z$276,$D$60:$D$276,Table!$D$3)-SUM(SUMIFS($Z$60:$Z$276,$D$60:$D$276,Table!$D$3,$AA$60:$AA$276,{"Ongoing","N/A",""})))</f>
        <v>80.087499999999963</v>
      </c>
      <c r="G18" s="50">
        <f>IF(ISERROR(E18/(F18)),"N/A",E18/F18)</f>
        <v>501.25175589199335</v>
      </c>
      <c r="H18" s="96">
        <f t="shared" si="3"/>
        <v>1</v>
      </c>
      <c r="I18" s="93">
        <f>SUM(I4:I17)</f>
        <v>0</v>
      </c>
      <c r="J18" s="3">
        <f>SUM(J4:J17)</f>
        <v>40144</v>
      </c>
      <c r="K18" s="50">
        <f ca="1">AVERAGE(K4:K17)</f>
        <v>364.94545454545448</v>
      </c>
      <c r="O18" s="53" t="s">
        <v>30</v>
      </c>
      <c r="P18" s="56">
        <f>Template_Total_Report!B20</f>
        <v>22</v>
      </c>
    </row>
    <row r="19" spans="2:18" x14ac:dyDescent="0.25">
      <c r="B19"/>
      <c r="O19" s="53" t="s">
        <v>104</v>
      </c>
      <c r="P19" s="56">
        <f>Template_Total_Report!B21</f>
        <v>0</v>
      </c>
      <c r="Q19" s="57"/>
    </row>
    <row r="20" spans="2:18" x14ac:dyDescent="0.25">
      <c r="B20"/>
      <c r="O20" s="53" t="s">
        <v>84</v>
      </c>
      <c r="P20" s="21">
        <f ca="1">Template_Total_Report!B22</f>
        <v>22</v>
      </c>
    </row>
    <row r="21" spans="2:18" x14ac:dyDescent="0.25">
      <c r="B21" s="53" t="s">
        <v>48</v>
      </c>
    </row>
    <row r="22" spans="2:18" x14ac:dyDescent="0.25">
      <c r="B22" s="46" t="s">
        <v>0</v>
      </c>
      <c r="C22" s="46" t="s">
        <v>8</v>
      </c>
      <c r="D22" s="46" t="s">
        <v>149</v>
      </c>
      <c r="E22" s="46" t="s">
        <v>50</v>
      </c>
      <c r="F22" s="46" t="s">
        <v>99</v>
      </c>
      <c r="G22" s="46" t="s">
        <v>22</v>
      </c>
      <c r="H22" s="47" t="s">
        <v>24</v>
      </c>
      <c r="I22" s="92" t="s">
        <v>153</v>
      </c>
      <c r="J22" s="2" t="s">
        <v>154</v>
      </c>
      <c r="K22" s="2" t="s">
        <v>22</v>
      </c>
    </row>
    <row r="23" spans="2:18" x14ac:dyDescent="0.25">
      <c r="B23" s="48">
        <v>1</v>
      </c>
      <c r="C23" s="61" t="s">
        <v>6</v>
      </c>
      <c r="D23" s="50">
        <f>SUMIFS($W$60:$W$276,$D$60:$D$276,Table!$C$3,$S$60:$S$276,C23)</f>
        <v>0</v>
      </c>
      <c r="E23" s="50">
        <f>SUMIFS($X$60:$X$276,$D$60:$D$276,Table!$C$3,$S$60:$S$276,C23)-SUM(SUMIFS($X$60:$X$276,$D$60:$D$276,Table!$C$3,$S$60:$S$276,C23,$AA$60:$AA$276,{"Ongoing","N/A",""}))</f>
        <v>0</v>
      </c>
      <c r="F23" s="50">
        <f>1/8*(SUMIFS($Z$60:$Z$276,$D$60:$D$276,Table!$C$3,$S$60:$S$276,C23)-SUM(SUMIFS($Z$60:$Z$276,$D$60:$D$276,Table!$C$3,$S$60:$S$276,C23,$AA$60:$AA$276,{"Ongoing","N/A",""})))</f>
        <v>0</v>
      </c>
      <c r="G23" s="50" t="str">
        <f>IF(ISERROR(E23/(F23)),"N/A",E23/F23)</f>
        <v>N/A</v>
      </c>
      <c r="H23" s="96" t="str">
        <f>IF(ISERROR(E23/D23),"N/A",E23/D23)</f>
        <v>N/A</v>
      </c>
      <c r="I23" s="93">
        <v>0</v>
      </c>
      <c r="J23" s="3">
        <f t="shared" ref="J23:J36" si="8">E23-I23</f>
        <v>0</v>
      </c>
      <c r="K23" s="50" t="str">
        <f t="shared" ref="K23:K36" si="9">IF(J23&lt;&gt;0,J23/$P$20,G23)</f>
        <v>N/A</v>
      </c>
      <c r="M23" s="55"/>
    </row>
    <row r="24" spans="2:18" x14ac:dyDescent="0.25">
      <c r="B24" s="48">
        <v>2</v>
      </c>
      <c r="C24" s="105" t="s">
        <v>61</v>
      </c>
      <c r="D24" s="50">
        <f>SUMIFS($W$60:$W$276,$D$60:$D$276,Table!$C$3,$S$60:$S$276,C24)</f>
        <v>0</v>
      </c>
      <c r="E24" s="50">
        <f>SUMIFS($X$60:$X$276,$D$60:$D$276,Table!$C$3,$S$60:$S$276,C24)-SUM(SUMIFS($X$60:$X$276,$D$60:$D$276,Table!$C$3,$S$60:$S$276,C24,$AA$60:$AA$276,{"Ongoing","N/A",""}))</f>
        <v>0</v>
      </c>
      <c r="F24" s="50">
        <f>1/8*(SUMIFS($Z$60:$Z$276,$D$60:$D$276,Table!$C$3,$S$60:$S$276,C24)-SUM(SUMIFS($Z$60:$Z$276,$D$60:$D$276,Table!$C$3,$S$60:$S$276,C24,$AA$60:$AA$276,{"Ongoing","N/A",""})))</f>
        <v>0</v>
      </c>
      <c r="G24" s="50" t="str">
        <f t="shared" ref="G24:G37" si="10">IF(ISERROR(E24/(F24)),"N/A",E24/F24)</f>
        <v>N/A</v>
      </c>
      <c r="H24" s="96" t="str">
        <f t="shared" ref="H24:H37" si="11">IF(ISERROR(E24/D24),"N/A",E24/D24)</f>
        <v>N/A</v>
      </c>
      <c r="I24" s="93">
        <v>0</v>
      </c>
      <c r="J24" s="3">
        <f t="shared" si="8"/>
        <v>0</v>
      </c>
      <c r="K24" s="50" t="str">
        <f t="shared" si="9"/>
        <v>N/A</v>
      </c>
    </row>
    <row r="25" spans="2:18" x14ac:dyDescent="0.25">
      <c r="B25" s="48">
        <v>3</v>
      </c>
      <c r="C25" s="105" t="s">
        <v>62</v>
      </c>
      <c r="D25" s="50">
        <f>SUMIFS($W$60:$W$276,$D$60:$D$276,Table!$C$3,$S$60:$S$276,C25)</f>
        <v>0</v>
      </c>
      <c r="E25" s="50">
        <f>SUMIFS($X$60:$X$276,$D$60:$D$276,Table!$C$3,$S$60:$S$276,C25)-SUM(SUMIFS($X$60:$X$276,$D$60:$D$276,Table!$C$3,$S$60:$S$276,C25,$AA$60:$AA$276,{"Ongoing","N/A",""}))</f>
        <v>0</v>
      </c>
      <c r="F25" s="50">
        <f>1/8*(SUMIFS($Z$60:$Z$276,$D$60:$D$276,Table!$C$3,$S$60:$S$276,C25)-SUM(SUMIFS($Z$60:$Z$276,$D$60:$D$276,Table!$C$3,$S$60:$S$276,C25,$AA$60:$AA$276,{"Ongoing","N/A",""})))</f>
        <v>0</v>
      </c>
      <c r="G25" s="50" t="str">
        <f t="shared" si="10"/>
        <v>N/A</v>
      </c>
      <c r="H25" s="96" t="str">
        <f t="shared" si="11"/>
        <v>N/A</v>
      </c>
      <c r="I25" s="93">
        <v>0</v>
      </c>
      <c r="J25" s="3">
        <f t="shared" si="8"/>
        <v>0</v>
      </c>
      <c r="K25" s="50" t="str">
        <f t="shared" si="9"/>
        <v>N/A</v>
      </c>
      <c r="L25" s="57"/>
    </row>
    <row r="26" spans="2:18" x14ac:dyDescent="0.25">
      <c r="B26" s="48">
        <v>4</v>
      </c>
      <c r="C26" s="61" t="s">
        <v>63</v>
      </c>
      <c r="D26" s="50">
        <f>SUMIFS($W$60:$W$276,$D$60:$D$276,Table!$C$3,$S$60:$S$276,C26)</f>
        <v>0</v>
      </c>
      <c r="E26" s="50">
        <f>SUMIFS($X$60:$X$276,$D$60:$D$276,Table!$C$3,$S$60:$S$276,C26)-SUM(SUMIFS($X$60:$X$276,$D$60:$D$276,Table!$C$3,$S$60:$S$276,C26,$AA$60:$AA$276,{"Ongoing","N/A",""}))</f>
        <v>0</v>
      </c>
      <c r="F26" s="50">
        <f>1/8*(SUMIFS($Z$60:$Z$276,$D$60:$D$276,Table!$C$3,$S$60:$S$276,C26)-SUM(SUMIFS($Z$60:$Z$276,$D$60:$D$276,Table!$C$3,$S$60:$S$276,C26,$AA$60:$AA$276,{"Ongoing","N/A",""})))</f>
        <v>0</v>
      </c>
      <c r="G26" s="50" t="str">
        <f t="shared" ref="G26:G31" si="12">IF(ISERROR(E26/(F26)),"N/A",E26/F26)</f>
        <v>N/A</v>
      </c>
      <c r="H26" s="96" t="str">
        <f t="shared" si="11"/>
        <v>N/A</v>
      </c>
      <c r="I26" s="93">
        <v>0</v>
      </c>
      <c r="J26" s="3">
        <f t="shared" si="8"/>
        <v>0</v>
      </c>
      <c r="K26" s="50" t="str">
        <f t="shared" si="9"/>
        <v>N/A</v>
      </c>
    </row>
    <row r="27" spans="2:18" x14ac:dyDescent="0.25">
      <c r="B27" s="48">
        <v>5</v>
      </c>
      <c r="C27" s="106" t="s">
        <v>152</v>
      </c>
      <c r="D27" s="50">
        <f>SUMIFS($W$60:$W$276,$D$60:$D$276,Table!$C$3,$S$60:$S$276,C27)</f>
        <v>769</v>
      </c>
      <c r="E27" s="50">
        <f>SUMIFS($X$60:$X$276,$D$60:$D$276,Table!$C$3,$S$60:$S$276,C27)-SUM(SUMIFS($X$60:$X$276,$D$60:$D$276,Table!$C$3,$S$60:$S$276,C27,$AA$60:$AA$276,{"Ongoing","N/A",""}))</f>
        <v>769</v>
      </c>
      <c r="F27" s="50">
        <f>1/8*(SUMIFS($Z$60:$Z$276,$D$60:$D$276,Table!$C$3,$S$60:$S$276,C27)-SUM(SUMIFS($Z$60:$Z$276,$D$60:$D$276,Table!$C$3,$S$60:$S$276,C27,$AA$60:$AA$276,{"Ongoing","N/A",""})))</f>
        <v>5.0674999999999999</v>
      </c>
      <c r="G27" s="50">
        <f t="shared" si="12"/>
        <v>151.75135668475579</v>
      </c>
      <c r="H27" s="96">
        <f t="shared" si="11"/>
        <v>1</v>
      </c>
      <c r="I27" s="93">
        <v>0</v>
      </c>
      <c r="J27" s="3">
        <f t="shared" si="8"/>
        <v>769</v>
      </c>
      <c r="K27" s="50">
        <f t="shared" ca="1" si="9"/>
        <v>34.954545454545453</v>
      </c>
    </row>
    <row r="28" spans="2:18" x14ac:dyDescent="0.25">
      <c r="B28" s="48">
        <v>6</v>
      </c>
      <c r="C28" s="58" t="s">
        <v>64</v>
      </c>
      <c r="D28" s="50">
        <f>SUMIFS($W$60:$W$276,$D$60:$D$276,Table!$C$3,$S$60:$S$276,C28)</f>
        <v>655</v>
      </c>
      <c r="E28" s="50">
        <f>SUMIFS($X$60:$X$276,$D$60:$D$276,Table!$C$3,$S$60:$S$276,C28)-SUM(SUMIFS($X$60:$X$276,$D$60:$D$276,Table!$C$3,$S$60:$S$276,C28,$AA$60:$AA$276,{"Ongoing","N/A",""}))</f>
        <v>655</v>
      </c>
      <c r="F28" s="50">
        <f>1/8*(SUMIFS($Z$60:$Z$276,$D$60:$D$276,Table!$C$3,$S$60:$S$276,C28)-SUM(SUMIFS($Z$60:$Z$276,$D$60:$D$276,Table!$C$3,$S$60:$S$276,C28,$AA$60:$AA$276,{"Ongoing","N/A",""})))</f>
        <v>6.875</v>
      </c>
      <c r="G28" s="50">
        <f t="shared" si="12"/>
        <v>95.272727272727266</v>
      </c>
      <c r="H28" s="96">
        <f t="shared" si="11"/>
        <v>1</v>
      </c>
      <c r="I28" s="93">
        <v>0</v>
      </c>
      <c r="J28" s="3">
        <f t="shared" si="8"/>
        <v>655</v>
      </c>
      <c r="K28" s="50">
        <f t="shared" ca="1" si="9"/>
        <v>29.772727272727273</v>
      </c>
    </row>
    <row r="29" spans="2:18" x14ac:dyDescent="0.25">
      <c r="B29" s="48">
        <v>7</v>
      </c>
      <c r="C29" s="61" t="s">
        <v>65</v>
      </c>
      <c r="D29" s="50">
        <f>SUMIFS($W$60:$W$276,$D$60:$D$276,Table!$C$3,$S$60:$S$276,C29)</f>
        <v>0</v>
      </c>
      <c r="E29" s="50">
        <f>SUMIFS($X$60:$X$276,$D$60:$D$276,Table!$C$3,$S$60:$S$276,C29)-SUM(SUMIFS($X$60:$X$276,$D$60:$D$276,Table!$C$3,$S$60:$S$276,C29,$AA$60:$AA$276,{"Ongoing","N/A",""}))</f>
        <v>0</v>
      </c>
      <c r="F29" s="50">
        <f>1/8*(SUMIFS($Z$60:$Z$276,$D$60:$D$276,Table!$C$3,$S$60:$S$276,C29)-SUM(SUMIFS($Z$60:$Z$276,$D$60:$D$276,Table!$C$3,$S$60:$S$276,C29,$AA$60:$AA$276,{"Ongoing","N/A",""})))</f>
        <v>0</v>
      </c>
      <c r="G29" s="50" t="str">
        <f t="shared" si="12"/>
        <v>N/A</v>
      </c>
      <c r="H29" s="96" t="str">
        <f t="shared" si="11"/>
        <v>N/A</v>
      </c>
      <c r="I29" s="93">
        <v>0</v>
      </c>
      <c r="J29" s="3">
        <f t="shared" si="8"/>
        <v>0</v>
      </c>
      <c r="K29" s="50" t="str">
        <f t="shared" si="9"/>
        <v>N/A</v>
      </c>
      <c r="P29" s="221"/>
      <c r="Q29" s="75"/>
    </row>
    <row r="30" spans="2:18" x14ac:dyDescent="0.25">
      <c r="B30" s="48">
        <v>8</v>
      </c>
      <c r="C30" s="61" t="s">
        <v>66</v>
      </c>
      <c r="D30" s="50">
        <f>SUMIFS($W$60:$W$276,$D$60:$D$276,Table!$C$3,$S$60:$S$276,C30)</f>
        <v>0</v>
      </c>
      <c r="E30" s="50">
        <f>SUMIFS($X$60:$X$276,$D$60:$D$276,Table!$C$3,$S$60:$S$276,C30)-SUM(SUMIFS($X$60:$X$276,$D$60:$D$276,Table!$C$3,$S$60:$S$276,C30,$AA$60:$AA$276,{"Ongoing","N/A",""}))</f>
        <v>0</v>
      </c>
      <c r="F30" s="50">
        <f>1/8*(SUMIFS($Z$60:$Z$276,$D$60:$D$276,Table!$C$3,$S$60:$S$276,C30)-SUM(SUMIFS($Z$60:$Z$276,$D$60:$D$276,Table!$C$3,$S$60:$S$276,C30,$AA$60:$AA$276,{"Ongoing","N/A",""})))</f>
        <v>0</v>
      </c>
      <c r="G30" s="50" t="str">
        <f t="shared" si="12"/>
        <v>N/A</v>
      </c>
      <c r="H30" s="96" t="str">
        <f t="shared" si="11"/>
        <v>N/A</v>
      </c>
      <c r="I30" s="93">
        <v>0</v>
      </c>
      <c r="J30" s="3">
        <f t="shared" si="8"/>
        <v>0</v>
      </c>
      <c r="K30" s="50" t="str">
        <f t="shared" si="9"/>
        <v>N/A</v>
      </c>
      <c r="P30" s="221"/>
      <c r="Q30" s="75"/>
    </row>
    <row r="31" spans="2:18" x14ac:dyDescent="0.25">
      <c r="B31" s="48">
        <v>9</v>
      </c>
      <c r="C31" s="49" t="s">
        <v>109</v>
      </c>
      <c r="D31" s="50">
        <f>SUMIFS($W$60:$W$276,$D$60:$D$276,Table!$C$3,$S$60:$S$276,C31)</f>
        <v>0</v>
      </c>
      <c r="E31" s="50">
        <f>SUMIFS($X$60:$X$276,$D$60:$D$276,Table!$C$3,$S$60:$S$276,C31)-SUM(SUMIFS($X$60:$X$276,$D$60:$D$276,Table!$C$3,$S$60:$S$276,C31,$AA$60:$AA$276,{"Ongoing","N/A",""}))</f>
        <v>0</v>
      </c>
      <c r="F31" s="50">
        <f>1/8*(SUMIFS($Z$60:$Z$276,$D$60:$D$276,Table!$C$3,$S$60:$S$276,C31)-SUM(SUMIFS($Z$60:$Z$276,$D$60:$D$276,Table!$C$3,$S$60:$S$276,C31,$AA$60:$AA$276,{"Ongoing","N/A",""})))</f>
        <v>0</v>
      </c>
      <c r="G31" s="50" t="str">
        <f t="shared" si="12"/>
        <v>N/A</v>
      </c>
      <c r="H31" s="96" t="str">
        <f t="shared" si="11"/>
        <v>N/A</v>
      </c>
      <c r="I31" s="93">
        <v>0</v>
      </c>
      <c r="J31" s="3">
        <f t="shared" si="8"/>
        <v>0</v>
      </c>
      <c r="K31" s="50" t="str">
        <f t="shared" si="9"/>
        <v>N/A</v>
      </c>
      <c r="P31" s="222"/>
      <c r="Q31" s="75"/>
    </row>
    <row r="32" spans="2:18" x14ac:dyDescent="0.25">
      <c r="B32" s="48">
        <v>10</v>
      </c>
      <c r="C32" s="61" t="s">
        <v>110</v>
      </c>
      <c r="D32" s="50">
        <f>SUMIFS($W$60:$W$276,$D$60:$D$276,Table!$C$3,$S$60:$S$276,C32)</f>
        <v>0</v>
      </c>
      <c r="E32" s="50">
        <f>SUMIFS($X$60:$X$276,$D$60:$D$276,Table!$C$3,$S$60:$S$276,C32)-SUM(SUMIFS($X$60:$X$276,$D$60:$D$276,Table!$C$3,$S$60:$S$276,C32,$AA$60:$AA$276,{"Ongoing","N/A",""}))</f>
        <v>0</v>
      </c>
      <c r="F32" s="50">
        <f>1/8*(SUMIFS($Z$60:$Z$276,$D$60:$D$276,Table!$C$3,$S$60:$S$276,C32)-SUM(SUMIFS($Z$60:$Z$276,$D$60:$D$276,Table!$C$3,$S$60:$S$276,C32,$AA$60:$AA$276,{"Ongoing","N/A",""})))</f>
        <v>0</v>
      </c>
      <c r="G32" s="50" t="str">
        <f t="shared" ref="G32:G36" si="13">IF(ISERROR(E32/(F32)),"N/A",E32/F32)</f>
        <v>N/A</v>
      </c>
      <c r="H32" s="96" t="str">
        <f t="shared" si="11"/>
        <v>N/A</v>
      </c>
      <c r="I32" s="93">
        <v>0</v>
      </c>
      <c r="J32" s="3">
        <f t="shared" si="8"/>
        <v>0</v>
      </c>
      <c r="K32" s="50" t="str">
        <f t="shared" si="9"/>
        <v>N/A</v>
      </c>
      <c r="P32" s="221"/>
      <c r="Q32" s="75"/>
    </row>
    <row r="33" spans="1:17" x14ac:dyDescent="0.25">
      <c r="B33" s="48">
        <v>11</v>
      </c>
      <c r="C33" s="49" t="s">
        <v>147</v>
      </c>
      <c r="D33" s="50">
        <f>SUMIFS($W$60:$W$276,$D$60:$D$276,Table!$C$3,$S$60:$S$276,C33)</f>
        <v>0</v>
      </c>
      <c r="E33" s="50">
        <f>SUMIFS($X$60:$X$276,$D$60:$D$276,Table!$C$3,$S$60:$S$276,C33)-SUM(SUMIFS($X$60:$X$276,$D$60:$D$276,Table!$C$3,$S$60:$S$276,C33,$AA$60:$AA$276,{"Ongoing","N/A",""}))</f>
        <v>0</v>
      </c>
      <c r="F33" s="50">
        <f>1/8*(SUMIFS($Z$60:$Z$276,$D$60:$D$276,Table!$C$3,$S$60:$S$276,C33)-SUM(SUMIFS($Z$60:$Z$276,$D$60:$D$276,Table!$C$3,$S$60:$S$276,C33,$AA$60:$AA$276,{"Ongoing","N/A",""})))</f>
        <v>0</v>
      </c>
      <c r="G33" s="50" t="str">
        <f t="shared" si="13"/>
        <v>N/A</v>
      </c>
      <c r="H33" s="96" t="str">
        <f t="shared" si="11"/>
        <v>N/A</v>
      </c>
      <c r="I33" s="93">
        <v>0</v>
      </c>
      <c r="J33" s="3">
        <f t="shared" si="8"/>
        <v>0</v>
      </c>
      <c r="K33" s="50" t="str">
        <f t="shared" si="9"/>
        <v>N/A</v>
      </c>
      <c r="P33" s="222"/>
      <c r="Q33" s="75"/>
    </row>
    <row r="34" spans="1:17" x14ac:dyDescent="0.25">
      <c r="B34" s="48">
        <v>12</v>
      </c>
      <c r="C34" s="58" t="s">
        <v>141</v>
      </c>
      <c r="D34" s="50">
        <f>SUMIFS($W$60:$W$276,$D$60:$D$276,Table!$C$3,$S$60:$S$276,C34)</f>
        <v>202</v>
      </c>
      <c r="E34" s="50">
        <f>SUMIFS($X$60:$X$276,$D$60:$D$276,Table!$C$3,$S$60:$S$276,C34)-SUM(SUMIFS($X$60:$X$276,$D$60:$D$276,Table!$C$3,$S$60:$S$276,C34,$AA$60:$AA$276,{"Ongoing","N/A",""}))</f>
        <v>202</v>
      </c>
      <c r="F34" s="50">
        <f>1/8*(SUMIFS($Z$60:$Z$276,$D$60:$D$276,Table!$C$3,$S$60:$S$276,C34)-SUM(SUMIFS($Z$60:$Z$276,$D$60:$D$276,Table!$C$3,$S$60:$S$276,C34,$AA$60:$AA$276,{"Ongoing","N/A",""})))</f>
        <v>2.3425000000000002</v>
      </c>
      <c r="G34" s="50">
        <f t="shared" si="13"/>
        <v>86.232657417289218</v>
      </c>
      <c r="H34" s="96">
        <f t="shared" si="11"/>
        <v>1</v>
      </c>
      <c r="I34" s="93">
        <v>0</v>
      </c>
      <c r="J34" s="3">
        <f t="shared" si="8"/>
        <v>202</v>
      </c>
      <c r="K34" s="50">
        <f t="shared" ca="1" si="9"/>
        <v>9.1818181818181817</v>
      </c>
      <c r="P34" s="222"/>
      <c r="Q34" s="75"/>
    </row>
    <row r="35" spans="1:17" x14ac:dyDescent="0.25">
      <c r="B35" s="48">
        <v>13</v>
      </c>
      <c r="C35" s="58" t="s">
        <v>142</v>
      </c>
      <c r="D35" s="50">
        <f>SUMIFS($W$60:$W$276,$D$60:$D$276,Table!$C$3,$S$60:$S$276,C35)</f>
        <v>781</v>
      </c>
      <c r="E35" s="50">
        <f>SUMIFS($X$60:$X$276,$D$60:$D$276,Table!$C$3,$S$60:$S$276,C35)-SUM(SUMIFS($X$60:$X$276,$D$60:$D$276,Table!$C$3,$S$60:$S$276,C35,$AA$60:$AA$276,{"Ongoing","N/A",""}))</f>
        <v>781</v>
      </c>
      <c r="F35" s="50">
        <f>1/8*(SUMIFS($Z$60:$Z$276,$D$60:$D$276,Table!$C$3,$S$60:$S$276,C35)-SUM(SUMIFS($Z$60:$Z$276,$D$60:$D$276,Table!$C$3,$S$60:$S$276,C35,$AA$60:$AA$276,{"Ongoing","N/A",""})))</f>
        <v>3.25</v>
      </c>
      <c r="G35" s="50">
        <f t="shared" si="13"/>
        <v>240.30769230769232</v>
      </c>
      <c r="H35" s="96">
        <f t="shared" si="11"/>
        <v>1</v>
      </c>
      <c r="I35" s="93">
        <v>0</v>
      </c>
      <c r="J35" s="3">
        <f t="shared" si="8"/>
        <v>781</v>
      </c>
      <c r="K35" s="50">
        <f t="shared" ca="1" si="9"/>
        <v>35.5</v>
      </c>
      <c r="P35" s="221"/>
      <c r="Q35" s="75"/>
    </row>
    <row r="36" spans="1:17" x14ac:dyDescent="0.25">
      <c r="B36" s="48">
        <v>14</v>
      </c>
      <c r="C36" s="58" t="s">
        <v>143</v>
      </c>
      <c r="D36" s="50">
        <f>SUMIFS($W$60:$W$276,$D$60:$D$276,Table!$C$3,$S$60:$S$276,C36)</f>
        <v>308</v>
      </c>
      <c r="E36" s="50">
        <f>SUMIFS($X$60:$X$276,$D$60:$D$276,Table!$C$3,$S$60:$S$276,C36)-SUM(SUMIFS($X$60:$X$276,$D$60:$D$276,Table!$C$3,$S$60:$S$276,C36,$AA$60:$AA$276,{"Ongoing","N/A",""}))</f>
        <v>308</v>
      </c>
      <c r="F36" s="50">
        <f>1/8*(SUMIFS($Z$60:$Z$276,$D$60:$D$276,Table!$C$3,$S$60:$S$276,C36)-SUM(SUMIFS($Z$60:$Z$276,$D$60:$D$276,Table!$C$3,$S$60:$S$276,C36,$AA$60:$AA$276,{"Ongoing","N/A",""})))</f>
        <v>3.94</v>
      </c>
      <c r="G36" s="50">
        <f t="shared" si="13"/>
        <v>78.172588832487307</v>
      </c>
      <c r="H36" s="96">
        <f t="shared" si="11"/>
        <v>1</v>
      </c>
      <c r="I36" s="93">
        <v>0</v>
      </c>
      <c r="J36" s="3">
        <f t="shared" si="8"/>
        <v>308</v>
      </c>
      <c r="K36" s="50">
        <f t="shared" ca="1" si="9"/>
        <v>14</v>
      </c>
      <c r="P36" s="221"/>
      <c r="Q36" s="75"/>
    </row>
    <row r="37" spans="1:17" x14ac:dyDescent="0.25">
      <c r="B37" s="46" t="s">
        <v>82</v>
      </c>
      <c r="C37" s="52"/>
      <c r="D37" s="54">
        <f>ROUND(SUMIFS($W$60:$W$276,$D$60:$D$276,Table!$C$3),3)</f>
        <v>2715</v>
      </c>
      <c r="E37" s="54">
        <f>ROUND(SUMIFS($W$60:$W$276,$D$60:$D$276,Table!$C$3)-SUM(SUMIFS($W$60:$W$276,$D$60:$D$276,Table!$C$3,$AA$60:$AA$276,{"Ongoing","N/A",""})),3)</f>
        <v>2715</v>
      </c>
      <c r="F37" s="88">
        <f>1/8*(SUMIFS($Z$60:$Z$276,$D$60:$D$276,Table!$C$3)-SUM(SUMIFS($Z$60:$Z$276,$D$60:$D$276,Table!$C$3,$AA$60:$AA$276,{"Ongoing","N/A",""})))</f>
        <v>21.474999999999998</v>
      </c>
      <c r="G37" s="50">
        <f t="shared" si="10"/>
        <v>126.42607683352738</v>
      </c>
      <c r="H37" s="96">
        <f t="shared" si="11"/>
        <v>1</v>
      </c>
      <c r="I37" s="3">
        <f>SUM(I23:I36)</f>
        <v>0</v>
      </c>
      <c r="J37" s="3">
        <f>SUM(J23:J36)</f>
        <v>2715</v>
      </c>
      <c r="K37" s="50">
        <f ca="1">AVERAGE(K23:K36)</f>
        <v>24.68181818181818</v>
      </c>
      <c r="L37" s="6"/>
      <c r="P37" s="221"/>
      <c r="Q37" s="75"/>
    </row>
    <row r="38" spans="1:17" x14ac:dyDescent="0.25">
      <c r="B38"/>
      <c r="P38" s="221"/>
      <c r="Q38" s="75"/>
    </row>
    <row r="39" spans="1:17" ht="19.5" customHeight="1" x14ac:dyDescent="0.25">
      <c r="B39"/>
      <c r="P39" s="221"/>
      <c r="Q39" s="75"/>
    </row>
    <row r="40" spans="1:17" x14ac:dyDescent="0.25">
      <c r="A40" s="1" t="s">
        <v>137</v>
      </c>
      <c r="B40" s="53" t="s">
        <v>83</v>
      </c>
      <c r="P40" s="222"/>
      <c r="Q40" s="75"/>
    </row>
    <row r="41" spans="1:17" x14ac:dyDescent="0.25">
      <c r="B41" s="46" t="s">
        <v>0</v>
      </c>
      <c r="C41" s="46" t="s">
        <v>8</v>
      </c>
      <c r="D41" s="46" t="s">
        <v>149</v>
      </c>
      <c r="E41" s="46" t="s">
        <v>50</v>
      </c>
      <c r="F41" s="46" t="s">
        <v>81</v>
      </c>
      <c r="G41" s="46" t="s">
        <v>22</v>
      </c>
      <c r="H41" s="47" t="s">
        <v>24</v>
      </c>
      <c r="I41" s="2" t="s">
        <v>153</v>
      </c>
      <c r="J41" s="2" t="s">
        <v>154</v>
      </c>
      <c r="K41" s="2" t="s">
        <v>22</v>
      </c>
      <c r="L41" s="64" t="s">
        <v>107</v>
      </c>
      <c r="M41" s="65" t="s">
        <v>116</v>
      </c>
      <c r="P41" s="222"/>
      <c r="Q41" s="75"/>
    </row>
    <row r="42" spans="1:17" ht="15.75" x14ac:dyDescent="0.25">
      <c r="B42" s="48">
        <v>1</v>
      </c>
      <c r="C42" s="61" t="s">
        <v>6</v>
      </c>
      <c r="D42" s="50">
        <f>SUM(D23*Table!$D$4/Table!$C$4,D4)</f>
        <v>0</v>
      </c>
      <c r="E42" s="50">
        <f>SUM(E23*Table!$D$4/Table!$C$4,E4)</f>
        <v>0</v>
      </c>
      <c r="F42" s="50">
        <v>0</v>
      </c>
      <c r="G42" s="50" t="str">
        <f t="shared" ref="G42" si="14">IF(ISERROR(E42/(F42)),"N/A",E42/F42)</f>
        <v>N/A</v>
      </c>
      <c r="H42" s="96" t="str">
        <f t="shared" ref="H42:H56" si="15">IF(ISERROR(E42/D42),"N/A",E42/D42)</f>
        <v>N/A</v>
      </c>
      <c r="I42" s="3">
        <v>0</v>
      </c>
      <c r="J42" s="3">
        <f>SUM(J23*Table!$D$4/Table!$C$4,J4)</f>
        <v>0</v>
      </c>
      <c r="K42" s="50" t="str">
        <f t="shared" ref="K42:K55" si="16">IF(J42&lt;&gt;0,J42/$P$20,"N/A")</f>
        <v>N/A</v>
      </c>
      <c r="L42" s="66">
        <f>COUNTIFS($S$60:$S$276,C42,$AK$60:$AK$276,Table!$C$37)</f>
        <v>0</v>
      </c>
      <c r="M42" s="66">
        <f>COUNTIFS($S$60:$S$276,C42,$AK$60:$AK$276,Table!$C$38)</f>
        <v>0</v>
      </c>
      <c r="P42" s="222"/>
      <c r="Q42" s="75"/>
    </row>
    <row r="43" spans="1:17" ht="15.75" x14ac:dyDescent="0.25">
      <c r="B43" s="48">
        <v>2</v>
      </c>
      <c r="C43" s="61" t="s">
        <v>61</v>
      </c>
      <c r="D43" s="50">
        <f>SUM(D24*Table!$D$4/Table!$C$4,D5)</f>
        <v>0</v>
      </c>
      <c r="E43" s="50">
        <f>SUM(E24*Table!$D$4/Table!$C$4,E5)</f>
        <v>0</v>
      </c>
      <c r="F43" s="50">
        <v>0</v>
      </c>
      <c r="G43" s="50" t="str">
        <f>IF(ISERROR(E43/(F43)),"N/A",E43/F43)</f>
        <v>N/A</v>
      </c>
      <c r="H43" s="96" t="str">
        <f t="shared" si="15"/>
        <v>N/A</v>
      </c>
      <c r="I43" s="3">
        <v>0</v>
      </c>
      <c r="J43" s="3">
        <f>SUM(J24*Table!$D$4/Table!$C$4,J5)</f>
        <v>0</v>
      </c>
      <c r="K43" s="50" t="str">
        <f t="shared" si="16"/>
        <v>N/A</v>
      </c>
      <c r="L43" s="66">
        <f>COUNTIFS($S$60:$S$276,C43,$AK$60:$AK$276,Table!$C$37)</f>
        <v>0</v>
      </c>
      <c r="M43" s="66">
        <f>COUNTIFS($S$60:$S$276,C43,$AK$60:$AK$276,Table!$C$38)</f>
        <v>0</v>
      </c>
    </row>
    <row r="44" spans="1:17" ht="15.75" x14ac:dyDescent="0.25">
      <c r="B44" s="48">
        <v>3</v>
      </c>
      <c r="C44" s="78" t="s">
        <v>62</v>
      </c>
      <c r="D44" s="50">
        <f>SUM(D25*Table!$D$4/Table!$C$4,D6)</f>
        <v>0</v>
      </c>
      <c r="E44" s="50">
        <f>SUM(E25*Table!$D$4/Table!$C$4,E6)</f>
        <v>0</v>
      </c>
      <c r="F44" s="50">
        <v>0</v>
      </c>
      <c r="G44" s="50" t="str">
        <f t="shared" ref="G44:G50" si="17">IF(ISERROR(E44/(F44)),"N/A",E44/F44)</f>
        <v>N/A</v>
      </c>
      <c r="H44" s="96" t="str">
        <f t="shared" si="15"/>
        <v>N/A</v>
      </c>
      <c r="I44" s="3">
        <v>0</v>
      </c>
      <c r="J44" s="3">
        <f>SUM(J25*Table!$D$4/Table!$C$4,J6)</f>
        <v>0</v>
      </c>
      <c r="K44" s="50" t="str">
        <f t="shared" si="16"/>
        <v>N/A</v>
      </c>
      <c r="L44" s="66">
        <f>COUNTIFS($S$60:$S$276,C44,$AK$60:$AK$276,Table!$C$37)</f>
        <v>0</v>
      </c>
      <c r="M44" s="66">
        <f>COUNTIFS($S$60:$S$276,C44,$AK$60:$AK$276,Table!$C$38)</f>
        <v>0</v>
      </c>
    </row>
    <row r="45" spans="1:17" ht="15.75" x14ac:dyDescent="0.25">
      <c r="B45" s="48">
        <v>4</v>
      </c>
      <c r="C45" s="61" t="s">
        <v>63</v>
      </c>
      <c r="D45" s="50">
        <f>SUM(D26*Table!$D$4/Table!$C$4,D7)</f>
        <v>0</v>
      </c>
      <c r="E45" s="50">
        <f>SUM(E26*Table!$D$4/Table!$C$4,E7)</f>
        <v>0</v>
      </c>
      <c r="F45" s="50">
        <v>0</v>
      </c>
      <c r="G45" s="50" t="str">
        <f t="shared" si="17"/>
        <v>N/A</v>
      </c>
      <c r="H45" s="96" t="str">
        <f t="shared" si="15"/>
        <v>N/A</v>
      </c>
      <c r="I45" s="3">
        <v>0</v>
      </c>
      <c r="J45" s="3">
        <f>SUM(J26*Table!$D$4/Table!$C$4,J7)</f>
        <v>0</v>
      </c>
      <c r="K45" s="50" t="str">
        <f t="shared" si="16"/>
        <v>N/A</v>
      </c>
      <c r="L45" s="66">
        <f>COUNTIFS($S$60:$S$276,C45,$AK$60:$AK$276,Table!$C$37)</f>
        <v>0</v>
      </c>
      <c r="M45" s="66">
        <f>COUNTIFS($S$60:$S$276,C45,$AK$60:$AK$276,Table!$C$38)</f>
        <v>0</v>
      </c>
    </row>
    <row r="46" spans="1:17" ht="16.5" customHeight="1" x14ac:dyDescent="0.25">
      <c r="B46" s="48">
        <v>5</v>
      </c>
      <c r="C46" s="58" t="s">
        <v>152</v>
      </c>
      <c r="D46" s="50">
        <f>SUM(D27*Table!$D$4/Table!$C$4,D8)+55</f>
        <v>10198.923076923078</v>
      </c>
      <c r="E46" s="50">
        <f>SUM(E27*Table!$D$4/Table!$C$4,E8)+55</f>
        <v>10198.923076923078</v>
      </c>
      <c r="F46" s="50">
        <f t="shared" ref="F46:F55" ca="1" si="18">$P$20</f>
        <v>22</v>
      </c>
      <c r="G46" s="50">
        <f t="shared" ca="1" si="17"/>
        <v>463.58741258741264</v>
      </c>
      <c r="H46" s="96">
        <f t="shared" si="15"/>
        <v>1</v>
      </c>
      <c r="I46" s="3">
        <v>0</v>
      </c>
      <c r="J46" s="3">
        <f>SUM(J27*Table!$D$4/Table!$C$4,J8)</f>
        <v>10143.923076923078</v>
      </c>
      <c r="K46" s="50">
        <f t="shared" ca="1" si="16"/>
        <v>461.08741258741264</v>
      </c>
      <c r="L46" s="66">
        <f>COUNTIFS($S$60:$S$276,C46,$AK$60:$AK$276,Table!$C$37)</f>
        <v>4</v>
      </c>
      <c r="M46" s="66">
        <f>COUNTIFS($S$60:$S$276,C46,$AK$60:$AK$276,Table!$C$38)</f>
        <v>3</v>
      </c>
      <c r="N46" s="5" t="s">
        <v>681</v>
      </c>
    </row>
    <row r="47" spans="1:17" ht="409.5" x14ac:dyDescent="0.25">
      <c r="B47" s="48">
        <v>6</v>
      </c>
      <c r="C47" s="58" t="s">
        <v>64</v>
      </c>
      <c r="D47" s="50">
        <f>SUM(D28*Table!$D$4/Table!$C$4,D9)+2334</f>
        <v>13061.307692307691</v>
      </c>
      <c r="E47" s="50">
        <f>SUM(E28*Table!$D$4/Table!$C$4,E9)+2334</f>
        <v>13061.307692307691</v>
      </c>
      <c r="F47" s="50">
        <f ca="1">$P$20</f>
        <v>22</v>
      </c>
      <c r="G47" s="50">
        <f t="shared" ca="1" si="17"/>
        <v>593.69580419580416</v>
      </c>
      <c r="H47" s="96">
        <f>IF(ISERROR(E47/D47),"N/A",E47/D47)</f>
        <v>1</v>
      </c>
      <c r="I47" s="3">
        <v>0</v>
      </c>
      <c r="J47" s="3">
        <f>SUM(J28*Table!$D$4/Table!$C$4,J9)</f>
        <v>10727.307692307691</v>
      </c>
      <c r="K47" s="50">
        <f t="shared" ca="1" si="16"/>
        <v>487.60489510489509</v>
      </c>
      <c r="L47" s="66">
        <f>COUNTIFS($S$60:$S$276,C47,$AK$60:$AK$276,Table!$C$37)</f>
        <v>4</v>
      </c>
      <c r="M47" s="66">
        <f>COUNTIFS($S$60:$S$276,C47,$AK$60:$AK$276,Table!$C$38)</f>
        <v>3</v>
      </c>
      <c r="N47" s="229" t="s">
        <v>1568</v>
      </c>
    </row>
    <row r="48" spans="1:17" ht="15.75" x14ac:dyDescent="0.25">
      <c r="A48" t="s">
        <v>144</v>
      </c>
      <c r="B48" s="48">
        <v>7</v>
      </c>
      <c r="C48" s="61" t="s">
        <v>65</v>
      </c>
      <c r="D48" s="50">
        <f>SUM(D29*Table!$D$4/Table!$C$4,D10)</f>
        <v>0</v>
      </c>
      <c r="E48" s="50">
        <f>SUM(E29*Table!$D$4/Table!$C$4,E10)</f>
        <v>0</v>
      </c>
      <c r="F48" s="50">
        <f t="shared" ca="1" si="18"/>
        <v>22</v>
      </c>
      <c r="G48" s="50">
        <f t="shared" ca="1" si="17"/>
        <v>0</v>
      </c>
      <c r="H48" s="96" t="str">
        <f t="shared" si="15"/>
        <v>N/A</v>
      </c>
      <c r="I48" s="3">
        <v>0</v>
      </c>
      <c r="J48" s="3">
        <f>SUM(J29*Table!$D$4/Table!$C$4,J10)</f>
        <v>0</v>
      </c>
      <c r="K48" s="50" t="str">
        <f t="shared" si="16"/>
        <v>N/A</v>
      </c>
      <c r="L48" s="66">
        <f>COUNTIFS($S$60:$S$276,C48,$AK$60:$AK$276,Table!$C$37)</f>
        <v>0</v>
      </c>
      <c r="M48" s="66">
        <f>COUNTIFS($S$60:$S$276,C48,$AK$60:$AK$276,Table!$C$38)</f>
        <v>0</v>
      </c>
      <c r="N48" s="5"/>
    </row>
    <row r="49" spans="2:40" ht="15.75" x14ac:dyDescent="0.25">
      <c r="B49" s="48">
        <v>8</v>
      </c>
      <c r="C49" s="61" t="s">
        <v>66</v>
      </c>
      <c r="D49" s="50">
        <f>SUM(D30*Table!$D$4/Table!$C$4,D11)</f>
        <v>0</v>
      </c>
      <c r="E49" s="50">
        <f>SUM(E30*Table!$D$4/Table!$C$4,E11)</f>
        <v>0</v>
      </c>
      <c r="F49" s="50">
        <f t="shared" ca="1" si="18"/>
        <v>22</v>
      </c>
      <c r="G49" s="50">
        <f ca="1">IF(ISERROR(E49/(F49)),"N/A",E49/F49)</f>
        <v>0</v>
      </c>
      <c r="H49" s="96" t="str">
        <f t="shared" si="15"/>
        <v>N/A</v>
      </c>
      <c r="I49" s="3">
        <v>0</v>
      </c>
      <c r="J49" s="3">
        <f>SUM(J30*Table!$D$4/Table!$C$4,J11)</f>
        <v>0</v>
      </c>
      <c r="K49" s="50" t="str">
        <f t="shared" si="16"/>
        <v>N/A</v>
      </c>
      <c r="L49" s="66">
        <f>COUNTIFS($S$60:$S$276,C49,$AK$60:$AK$276,Table!$C$37)</f>
        <v>0</v>
      </c>
      <c r="M49" s="66">
        <f>COUNTIFS($S$60:$S$276,C49,$AK$60:$AK$276,Table!$C$38)</f>
        <v>0</v>
      </c>
    </row>
    <row r="50" spans="2:40" ht="15.75" x14ac:dyDescent="0.25">
      <c r="B50" s="48">
        <v>9</v>
      </c>
      <c r="C50" s="61" t="s">
        <v>109</v>
      </c>
      <c r="D50" s="50">
        <f>SUM(D31*Table!$D$4/Table!$C$4,D12)</f>
        <v>0</v>
      </c>
      <c r="E50" s="50">
        <f>SUM(E31*Table!$D$4/Table!$C$4,E12)</f>
        <v>0</v>
      </c>
      <c r="F50" s="50">
        <v>0</v>
      </c>
      <c r="G50" s="50" t="str">
        <f t="shared" si="17"/>
        <v>N/A</v>
      </c>
      <c r="H50" s="96" t="str">
        <f t="shared" si="15"/>
        <v>N/A</v>
      </c>
      <c r="I50" s="3">
        <v>0</v>
      </c>
      <c r="J50" s="3">
        <f>SUM(J31*Table!$D$4/Table!$C$4,J12)</f>
        <v>0</v>
      </c>
      <c r="K50" s="50" t="str">
        <f t="shared" si="16"/>
        <v>N/A</v>
      </c>
      <c r="L50" s="66">
        <f>COUNTIFS($S$60:$S$276,C50,$AK$60:$AK$276,Table!$C$37)</f>
        <v>0</v>
      </c>
      <c r="M50" s="66">
        <f>COUNTIFS($S$60:$S$276,C50,$AK$60:$AK$276,Table!$C$38)</f>
        <v>0</v>
      </c>
    </row>
    <row r="51" spans="2:40" ht="15.75" x14ac:dyDescent="0.25">
      <c r="B51" s="48">
        <v>10</v>
      </c>
      <c r="C51" s="61" t="s">
        <v>110</v>
      </c>
      <c r="D51" s="50">
        <f>SUM(D32*Table!$D$4/Table!$C$4,D13)</f>
        <v>0</v>
      </c>
      <c r="E51" s="50">
        <f>SUM(E32*Table!$D$4/Table!$C$4,E13)</f>
        <v>0</v>
      </c>
      <c r="F51" s="50">
        <v>0</v>
      </c>
      <c r="G51" s="50" t="str">
        <f t="shared" ref="G51:G55" si="19">IF(ISERROR(E51/(F51)),"N/A",E51/F51)</f>
        <v>N/A</v>
      </c>
      <c r="H51" s="96" t="str">
        <f t="shared" si="15"/>
        <v>N/A</v>
      </c>
      <c r="I51" s="3">
        <v>0</v>
      </c>
      <c r="J51" s="3">
        <f>SUM(J32*Table!$D$4/Table!$C$4,J13)</f>
        <v>0</v>
      </c>
      <c r="K51" s="50" t="str">
        <f t="shared" si="16"/>
        <v>N/A</v>
      </c>
      <c r="L51" s="66">
        <f>COUNTIFS($S$60:$S$276,C51,$AK$60:$AK$276,Table!$C$37)</f>
        <v>0</v>
      </c>
      <c r="M51" s="66">
        <f>COUNTIFS($S$60:$S$276,C51,$AK$60:$AK$276,Table!$C$38)</f>
        <v>0</v>
      </c>
    </row>
    <row r="52" spans="2:40" ht="15.75" x14ac:dyDescent="0.25">
      <c r="B52" s="48">
        <v>11</v>
      </c>
      <c r="C52" s="61" t="s">
        <v>147</v>
      </c>
      <c r="D52" s="50">
        <f>SUM(D33*Table!$D$4/Table!$C$4,D14)</f>
        <v>0</v>
      </c>
      <c r="E52" s="50">
        <f>SUM(E33*Table!$D$4/Table!$C$4,E14)</f>
        <v>0</v>
      </c>
      <c r="F52" s="50">
        <v>0</v>
      </c>
      <c r="G52" s="50" t="str">
        <f t="shared" si="19"/>
        <v>N/A</v>
      </c>
      <c r="H52" s="96" t="str">
        <f t="shared" si="15"/>
        <v>N/A</v>
      </c>
      <c r="I52" s="3">
        <v>0</v>
      </c>
      <c r="J52" s="3">
        <f>SUM(J33*Table!$D$4/Table!$C$4,J14)</f>
        <v>0</v>
      </c>
      <c r="K52" s="50" t="str">
        <f t="shared" si="16"/>
        <v>N/A</v>
      </c>
      <c r="L52" s="66">
        <f>COUNTIFS($S$60:$S$276,C52,$AK$60:$AK$276,Table!$C$37)</f>
        <v>0</v>
      </c>
      <c r="M52" s="66">
        <f>COUNTIFS($S$60:$S$276,C52,$AK$60:$AK$276,Table!$C$38)</f>
        <v>0</v>
      </c>
    </row>
    <row r="53" spans="2:40" ht="15.75" x14ac:dyDescent="0.25">
      <c r="B53" s="48">
        <v>12</v>
      </c>
      <c r="C53" s="58" t="s">
        <v>141</v>
      </c>
      <c r="D53" s="50">
        <f>SUM(D34*Table!$D$4/Table!$C$4,D15)</f>
        <v>10441.23076923077</v>
      </c>
      <c r="E53" s="50">
        <f>SUM(E34*Table!$D$4/Table!$C$4,E15)</f>
        <v>10441.23076923077</v>
      </c>
      <c r="F53" s="50">
        <f t="shared" ca="1" si="18"/>
        <v>22</v>
      </c>
      <c r="G53" s="50">
        <f t="shared" ca="1" si="19"/>
        <v>474.60139860139861</v>
      </c>
      <c r="H53" s="96">
        <f t="shared" si="15"/>
        <v>1</v>
      </c>
      <c r="I53" s="3">
        <v>0</v>
      </c>
      <c r="J53" s="3">
        <f>SUM(J34*Table!$D$4/Table!$C$4,J15)</f>
        <v>10441.23076923077</v>
      </c>
      <c r="K53" s="50">
        <f t="shared" ca="1" si="16"/>
        <v>474.60139860139861</v>
      </c>
      <c r="L53" s="66">
        <f>COUNTIFS($S$60:$S$276,C53,$AK$60:$AK$276,Table!$C$37)</f>
        <v>5</v>
      </c>
      <c r="M53" s="66">
        <f>COUNTIFS($S$60:$S$276,C53,$AK$60:$AK$276,Table!$C$38)</f>
        <v>0</v>
      </c>
    </row>
    <row r="54" spans="2:40" ht="15.75" x14ac:dyDescent="0.25">
      <c r="B54" s="48">
        <v>13</v>
      </c>
      <c r="C54" s="58" t="s">
        <v>142</v>
      </c>
      <c r="D54" s="50">
        <f>SUM(D35*Table!$D$4/Table!$C$4,D16)</f>
        <v>8481.461538461539</v>
      </c>
      <c r="E54" s="50">
        <f>SUM(E35*Table!$D$4/Table!$C$4,E16)</f>
        <v>8481.461538461539</v>
      </c>
      <c r="F54" s="50">
        <f t="shared" ca="1" si="18"/>
        <v>22</v>
      </c>
      <c r="G54" s="50">
        <f t="shared" ca="1" si="19"/>
        <v>385.52097902097904</v>
      </c>
      <c r="H54" s="96">
        <f t="shared" si="15"/>
        <v>1</v>
      </c>
      <c r="I54" s="3">
        <v>0</v>
      </c>
      <c r="J54" s="3">
        <f>SUM(J35*Table!$D$4/Table!$C$4,J16)</f>
        <v>8481.461538461539</v>
      </c>
      <c r="K54" s="50">
        <f t="shared" ca="1" si="16"/>
        <v>385.52097902097904</v>
      </c>
      <c r="L54" s="66">
        <f>COUNTIFS($S$60:$S$276,C54,$AK$60:$AK$276,Table!$C$37)</f>
        <v>4</v>
      </c>
      <c r="M54" s="66">
        <f>COUNTIFS($S$60:$S$276,C54,$AK$60:$AK$276,Table!$C$38)</f>
        <v>1</v>
      </c>
      <c r="V54" s="83"/>
      <c r="W54" s="83"/>
    </row>
    <row r="55" spans="2:40" ht="15.75" x14ac:dyDescent="0.25">
      <c r="B55" s="48">
        <v>14</v>
      </c>
      <c r="C55" s="58" t="s">
        <v>143</v>
      </c>
      <c r="D55" s="50">
        <f>SUM(D36*Table!$D$4/Table!$C$4,D17)</f>
        <v>9748.1538461538457</v>
      </c>
      <c r="E55" s="50">
        <f>SUM(E36*Table!$D$4/Table!$C$4,E17)</f>
        <v>9748.1538461538457</v>
      </c>
      <c r="F55" s="50">
        <f t="shared" ca="1" si="18"/>
        <v>22</v>
      </c>
      <c r="G55" s="50">
        <f t="shared" ca="1" si="19"/>
        <v>443.09790209790208</v>
      </c>
      <c r="H55" s="96">
        <f t="shared" si="15"/>
        <v>1</v>
      </c>
      <c r="I55" s="3">
        <v>0</v>
      </c>
      <c r="J55" s="3">
        <f>SUM(J36*Table!$D$4/Table!$C$4,J17)</f>
        <v>9748.1538461538457</v>
      </c>
      <c r="K55" s="50">
        <f t="shared" ca="1" si="16"/>
        <v>443.09790209790208</v>
      </c>
      <c r="L55" s="66">
        <f>COUNTIFS($S$60:$S$276,C55,$AK$60:$AK$276,Table!$C$37)</f>
        <v>8</v>
      </c>
      <c r="M55" s="66">
        <f>COUNTIFS($S$60:$S$276,C55,$AK$60:$AK$276,Table!$C$38)</f>
        <v>0</v>
      </c>
      <c r="V55" s="5"/>
      <c r="W55" s="5"/>
    </row>
    <row r="56" spans="2:40" ht="15.75" x14ac:dyDescent="0.25">
      <c r="B56" s="46" t="s">
        <v>82</v>
      </c>
      <c r="C56" s="52"/>
      <c r="D56" s="50">
        <f>SUM(D42:D55)</f>
        <v>51931.076923076922</v>
      </c>
      <c r="E56" s="50">
        <f>SUM(E42:E55)</f>
        <v>51931.076923076922</v>
      </c>
      <c r="F56" s="50">
        <f ca="1">SUM(F42:F55)</f>
        <v>154</v>
      </c>
      <c r="G56" s="50">
        <f ca="1">IF(ISERROR(E56/(F56)),"N/A",E56/F56)</f>
        <v>337.21478521478519</v>
      </c>
      <c r="H56" s="96">
        <f t="shared" si="15"/>
        <v>1</v>
      </c>
      <c r="I56" s="3">
        <v>0</v>
      </c>
      <c r="J56" s="3">
        <f>SUM(J37*Table!$D$4/Table!$C$4,J18)</f>
        <v>49542.076923076922</v>
      </c>
      <c r="K56" s="50">
        <f ca="1">AVERAGE(K42:K55)</f>
        <v>450.38251748251753</v>
      </c>
      <c r="L56" s="66">
        <f>SUM(L42:L55)</f>
        <v>25</v>
      </c>
      <c r="M56" s="66">
        <f>SUM(M42:M55)</f>
        <v>7</v>
      </c>
      <c r="V56" s="83"/>
      <c r="W56" s="83"/>
      <c r="X56" s="5"/>
      <c r="Y56" s="5"/>
      <c r="Z56" s="5"/>
    </row>
    <row r="57" spans="2:40" x14ac:dyDescent="0.25">
      <c r="B57"/>
    </row>
    <row r="58" spans="2:40" x14ac:dyDescent="0.25">
      <c r="B58"/>
    </row>
    <row r="59" spans="2:40" x14ac:dyDescent="0.25">
      <c r="B59" s="41" t="s">
        <v>0</v>
      </c>
      <c r="C59" s="41" t="s">
        <v>60</v>
      </c>
      <c r="D59" s="41" t="s">
        <v>1</v>
      </c>
      <c r="E59" s="41" t="s">
        <v>53</v>
      </c>
      <c r="F59" s="41" t="s">
        <v>54</v>
      </c>
      <c r="G59" s="41" t="s">
        <v>111</v>
      </c>
      <c r="H59" s="41" t="s">
        <v>86</v>
      </c>
      <c r="I59" s="41" t="s">
        <v>55</v>
      </c>
      <c r="J59" s="41" t="s">
        <v>85</v>
      </c>
      <c r="K59" s="41" t="s">
        <v>112</v>
      </c>
      <c r="L59" s="41" t="s">
        <v>68</v>
      </c>
      <c r="M59" s="41" t="s">
        <v>114</v>
      </c>
      <c r="N59" s="41" t="s">
        <v>67</v>
      </c>
      <c r="O59" s="41" t="s">
        <v>59</v>
      </c>
      <c r="P59" s="41" t="s">
        <v>76</v>
      </c>
      <c r="Q59" s="38" t="s">
        <v>52</v>
      </c>
      <c r="R59" s="42" t="s">
        <v>7</v>
      </c>
      <c r="S59" s="42" t="s">
        <v>8</v>
      </c>
      <c r="T59" s="42" t="s">
        <v>74</v>
      </c>
      <c r="U59" s="42" t="s">
        <v>78</v>
      </c>
      <c r="V59" s="42" t="s">
        <v>71</v>
      </c>
      <c r="W59" s="42" t="s">
        <v>72</v>
      </c>
      <c r="X59" s="42" t="s">
        <v>50</v>
      </c>
      <c r="Y59" s="42" t="s">
        <v>75</v>
      </c>
      <c r="Z59" s="42" t="s">
        <v>51</v>
      </c>
      <c r="AA59" s="42" t="s">
        <v>17</v>
      </c>
      <c r="AB59" s="42" t="s">
        <v>120</v>
      </c>
      <c r="AC59" s="42" t="s">
        <v>56</v>
      </c>
      <c r="AD59" s="42" t="s">
        <v>57</v>
      </c>
      <c r="AE59" s="41" t="s">
        <v>12</v>
      </c>
      <c r="AF59" s="41" t="s">
        <v>13</v>
      </c>
      <c r="AG59" s="41" t="s">
        <v>73</v>
      </c>
      <c r="AH59" s="41" t="s">
        <v>14</v>
      </c>
      <c r="AI59" s="41" t="s">
        <v>15</v>
      </c>
      <c r="AJ59" s="42" t="s">
        <v>16</v>
      </c>
      <c r="AK59" s="41" t="s">
        <v>113</v>
      </c>
      <c r="AL59" s="42" t="s">
        <v>106</v>
      </c>
      <c r="AM59" s="42" t="s">
        <v>105</v>
      </c>
      <c r="AN59" s="42" t="s">
        <v>77</v>
      </c>
    </row>
    <row r="60" spans="2:40" ht="60" x14ac:dyDescent="0.25">
      <c r="B60" s="98">
        <v>1</v>
      </c>
      <c r="C60" s="16">
        <v>20201015</v>
      </c>
      <c r="D60" s="63" t="s">
        <v>2</v>
      </c>
      <c r="E60" s="62" t="s">
        <v>253</v>
      </c>
      <c r="F60" s="133" t="s">
        <v>515</v>
      </c>
      <c r="G60" s="63">
        <v>1730505</v>
      </c>
      <c r="H60" s="37" t="s">
        <v>58</v>
      </c>
      <c r="I60" s="63" t="s">
        <v>467</v>
      </c>
      <c r="J60" s="124" t="s">
        <v>58</v>
      </c>
      <c r="K60" s="15" t="s">
        <v>167</v>
      </c>
      <c r="L60" s="15" t="s">
        <v>117</v>
      </c>
      <c r="M60" s="63" t="s">
        <v>474</v>
      </c>
      <c r="N60" s="63" t="s">
        <v>471</v>
      </c>
      <c r="O60" s="63">
        <v>1.2</v>
      </c>
      <c r="P60" s="185" t="s">
        <v>477</v>
      </c>
      <c r="Q60" s="18"/>
      <c r="R60" s="37"/>
      <c r="S60" s="15" t="s">
        <v>152</v>
      </c>
      <c r="T60" s="15" t="s">
        <v>142</v>
      </c>
      <c r="U60" s="15" t="s">
        <v>546</v>
      </c>
      <c r="V60" s="63">
        <v>32</v>
      </c>
      <c r="W60" s="15">
        <f t="shared" ref="W60:W67" si="20">V60</f>
        <v>32</v>
      </c>
      <c r="X60" s="15">
        <f>W60</f>
        <v>32</v>
      </c>
      <c r="Y60" s="15">
        <f>ROUNDDOWN(W60/HLOOKUP(D60,Table!$C$3:$D$4,2,0)*8,2)</f>
        <v>1.96</v>
      </c>
      <c r="Z60" s="15">
        <v>3</v>
      </c>
      <c r="AA60" s="15" t="s">
        <v>21</v>
      </c>
      <c r="AB60" s="19">
        <v>44124</v>
      </c>
      <c r="AC60" s="19">
        <v>44120</v>
      </c>
      <c r="AD60" s="67">
        <v>44124</v>
      </c>
      <c r="AE60" s="19">
        <v>44120</v>
      </c>
      <c r="AF60" s="19">
        <v>44123</v>
      </c>
      <c r="AG60" s="19" t="s">
        <v>131</v>
      </c>
      <c r="AH60" s="25">
        <v>0.95799999999999996</v>
      </c>
      <c r="AI60" s="25">
        <v>0.96</v>
      </c>
      <c r="AJ60" s="91">
        <v>1</v>
      </c>
      <c r="AK60" s="19" t="s">
        <v>107</v>
      </c>
      <c r="AL60" s="17" t="s">
        <v>498</v>
      </c>
      <c r="AM60" s="17" t="s">
        <v>58</v>
      </c>
      <c r="AN60" s="137" t="s">
        <v>497</v>
      </c>
    </row>
    <row r="61" spans="2:40" x14ac:dyDescent="0.25">
      <c r="B61" s="98">
        <f t="shared" ref="B61:B117" si="21">B60+1</f>
        <v>2</v>
      </c>
      <c r="C61" s="16">
        <v>20201015</v>
      </c>
      <c r="D61" s="63" t="s">
        <v>3</v>
      </c>
      <c r="E61" s="62" t="s">
        <v>465</v>
      </c>
      <c r="F61" s="104" t="s">
        <v>486</v>
      </c>
      <c r="G61" s="63">
        <v>1730372</v>
      </c>
      <c r="H61" s="37" t="s">
        <v>58</v>
      </c>
      <c r="I61" s="63" t="s">
        <v>177</v>
      </c>
      <c r="J61" s="124" t="s">
        <v>58</v>
      </c>
      <c r="K61" s="15" t="s">
        <v>165</v>
      </c>
      <c r="L61" s="134" t="s">
        <v>476</v>
      </c>
      <c r="M61" s="63" t="s">
        <v>475</v>
      </c>
      <c r="N61" s="63" t="s">
        <v>472</v>
      </c>
      <c r="O61" s="62" t="s">
        <v>58</v>
      </c>
      <c r="P61" s="185" t="s">
        <v>478</v>
      </c>
      <c r="Q61" s="18"/>
      <c r="R61" s="37"/>
      <c r="S61" s="15" t="s">
        <v>141</v>
      </c>
      <c r="T61" s="15" t="s">
        <v>64</v>
      </c>
      <c r="U61" s="15" t="s">
        <v>546</v>
      </c>
      <c r="V61" s="63">
        <v>280</v>
      </c>
      <c r="W61" s="15">
        <f t="shared" si="20"/>
        <v>280</v>
      </c>
      <c r="X61" s="15">
        <f>W61</f>
        <v>280</v>
      </c>
      <c r="Y61" s="15">
        <f>ROUNDDOWN(W61/HLOOKUP(D61,Table!$C$3:$D$4,2,0)*8,2)</f>
        <v>4.97</v>
      </c>
      <c r="Z61" s="15">
        <f>Y61</f>
        <v>4.97</v>
      </c>
      <c r="AA61" s="15" t="s">
        <v>21</v>
      </c>
      <c r="AB61" s="19">
        <v>44124</v>
      </c>
      <c r="AC61" s="19">
        <v>44120</v>
      </c>
      <c r="AD61" s="67">
        <v>44124</v>
      </c>
      <c r="AE61" s="19">
        <v>44120</v>
      </c>
      <c r="AF61" s="19">
        <v>44120</v>
      </c>
      <c r="AG61" s="19" t="s">
        <v>130</v>
      </c>
      <c r="AH61" s="25">
        <v>1</v>
      </c>
      <c r="AI61" s="25">
        <v>1</v>
      </c>
      <c r="AJ61" s="25">
        <v>1</v>
      </c>
      <c r="AK61" s="19" t="s">
        <v>117</v>
      </c>
      <c r="AL61" s="17" t="s">
        <v>58</v>
      </c>
      <c r="AM61" s="17" t="s">
        <v>58</v>
      </c>
      <c r="AN61" s="17" t="s">
        <v>58</v>
      </c>
    </row>
    <row r="62" spans="2:40" x14ac:dyDescent="0.25">
      <c r="B62" s="98">
        <f t="shared" si="21"/>
        <v>3</v>
      </c>
      <c r="C62" s="16">
        <v>20201015</v>
      </c>
      <c r="D62" s="63" t="s">
        <v>3</v>
      </c>
      <c r="E62" s="62" t="s">
        <v>465</v>
      </c>
      <c r="F62" s="104" t="s">
        <v>486</v>
      </c>
      <c r="G62" s="63">
        <v>1730372</v>
      </c>
      <c r="H62" s="37" t="s">
        <v>58</v>
      </c>
      <c r="I62" s="63" t="s">
        <v>232</v>
      </c>
      <c r="J62" s="124" t="s">
        <v>58</v>
      </c>
      <c r="K62" s="15" t="s">
        <v>165</v>
      </c>
      <c r="L62" s="134" t="s">
        <v>476</v>
      </c>
      <c r="M62" s="63" t="s">
        <v>475</v>
      </c>
      <c r="N62" s="63" t="s">
        <v>472</v>
      </c>
      <c r="O62" s="62" t="s">
        <v>58</v>
      </c>
      <c r="P62" s="185" t="s">
        <v>478</v>
      </c>
      <c r="Q62" s="18"/>
      <c r="R62" s="37"/>
      <c r="S62" s="15" t="s">
        <v>143</v>
      </c>
      <c r="T62" s="15" t="s">
        <v>152</v>
      </c>
      <c r="U62" s="15" t="s">
        <v>546</v>
      </c>
      <c r="V62" s="63">
        <v>238</v>
      </c>
      <c r="W62" s="15">
        <f t="shared" si="20"/>
        <v>238</v>
      </c>
      <c r="X62" s="15">
        <f>W62</f>
        <v>238</v>
      </c>
      <c r="Y62" s="15">
        <f>ROUNDDOWN(W62/HLOOKUP(D62,Table!$C$3:$D$4,2,0)*8,2)</f>
        <v>4.2300000000000004</v>
      </c>
      <c r="Z62" s="15">
        <v>4</v>
      </c>
      <c r="AA62" s="15" t="s">
        <v>21</v>
      </c>
      <c r="AB62" s="19">
        <v>44124</v>
      </c>
      <c r="AC62" s="19">
        <v>44120</v>
      </c>
      <c r="AD62" s="67">
        <v>44124</v>
      </c>
      <c r="AE62" s="19">
        <v>44123</v>
      </c>
      <c r="AF62" s="19">
        <v>44123</v>
      </c>
      <c r="AG62" s="19" t="s">
        <v>130</v>
      </c>
      <c r="AH62" s="25">
        <v>1</v>
      </c>
      <c r="AI62" s="25">
        <v>1</v>
      </c>
      <c r="AJ62" s="91">
        <v>1</v>
      </c>
      <c r="AK62" s="19" t="s">
        <v>117</v>
      </c>
      <c r="AL62" s="17" t="s">
        <v>58</v>
      </c>
      <c r="AM62" s="17" t="s">
        <v>58</v>
      </c>
      <c r="AN62" s="133" t="s">
        <v>487</v>
      </c>
    </row>
    <row r="63" spans="2:40" x14ac:dyDescent="0.25">
      <c r="B63" s="98">
        <f t="shared" si="21"/>
        <v>4</v>
      </c>
      <c r="C63" s="16">
        <v>20201015</v>
      </c>
      <c r="D63" s="63" t="s">
        <v>3</v>
      </c>
      <c r="E63" s="62" t="s">
        <v>465</v>
      </c>
      <c r="F63" s="104" t="s">
        <v>486</v>
      </c>
      <c r="G63" s="63">
        <v>1730372</v>
      </c>
      <c r="H63" s="37" t="s">
        <v>58</v>
      </c>
      <c r="I63" s="63" t="s">
        <v>234</v>
      </c>
      <c r="J63" s="124" t="s">
        <v>58</v>
      </c>
      <c r="K63" s="15" t="s">
        <v>165</v>
      </c>
      <c r="L63" s="134" t="s">
        <v>476</v>
      </c>
      <c r="M63" s="63" t="s">
        <v>475</v>
      </c>
      <c r="N63" s="63" t="s">
        <v>472</v>
      </c>
      <c r="O63" s="62" t="s">
        <v>58</v>
      </c>
      <c r="P63" s="185" t="s">
        <v>478</v>
      </c>
      <c r="Q63" s="18"/>
      <c r="R63" s="37"/>
      <c r="S63" s="15" t="s">
        <v>142</v>
      </c>
      <c r="T63" s="15" t="s">
        <v>141</v>
      </c>
      <c r="U63" s="15" t="s">
        <v>546</v>
      </c>
      <c r="V63" s="63">
        <v>1585</v>
      </c>
      <c r="W63" s="18">
        <v>0</v>
      </c>
      <c r="X63" s="15">
        <f>W63</f>
        <v>0</v>
      </c>
      <c r="Y63" s="15">
        <f>ROUNDDOWN(W63/HLOOKUP(D63,Table!$C$3:$D$4,2,0)*8,2)</f>
        <v>0</v>
      </c>
      <c r="Z63" s="15">
        <v>0</v>
      </c>
      <c r="AA63" s="15" t="s">
        <v>21</v>
      </c>
      <c r="AB63" s="19">
        <v>44124</v>
      </c>
      <c r="AC63" s="19">
        <v>44120</v>
      </c>
      <c r="AD63" s="67">
        <v>44124</v>
      </c>
      <c r="AE63" s="19">
        <v>44120</v>
      </c>
      <c r="AF63" s="19">
        <v>44120</v>
      </c>
      <c r="AG63" s="19" t="s">
        <v>130</v>
      </c>
      <c r="AH63" s="91" t="s">
        <v>58</v>
      </c>
      <c r="AI63" s="91" t="s">
        <v>58</v>
      </c>
      <c r="AJ63" s="91" t="s">
        <v>58</v>
      </c>
      <c r="AK63" s="19" t="s">
        <v>117</v>
      </c>
      <c r="AL63" s="17" t="s">
        <v>58</v>
      </c>
      <c r="AM63" s="17" t="s">
        <v>58</v>
      </c>
      <c r="AN63" s="69" t="s">
        <v>481</v>
      </c>
    </row>
    <row r="64" spans="2:40" x14ac:dyDescent="0.25">
      <c r="B64" s="98">
        <f t="shared" si="21"/>
        <v>5</v>
      </c>
      <c r="C64" s="16">
        <v>20201015</v>
      </c>
      <c r="D64" s="63" t="s">
        <v>3</v>
      </c>
      <c r="E64" s="62" t="s">
        <v>465</v>
      </c>
      <c r="F64" s="104" t="s">
        <v>486</v>
      </c>
      <c r="G64" s="63">
        <v>1730372</v>
      </c>
      <c r="H64" s="37" t="s">
        <v>58</v>
      </c>
      <c r="I64" s="63" t="s">
        <v>233</v>
      </c>
      <c r="J64" s="124" t="s">
        <v>58</v>
      </c>
      <c r="K64" s="15" t="s">
        <v>165</v>
      </c>
      <c r="L64" s="134" t="s">
        <v>476</v>
      </c>
      <c r="M64" s="63" t="s">
        <v>475</v>
      </c>
      <c r="N64" s="63" t="s">
        <v>472</v>
      </c>
      <c r="O64" s="62" t="s">
        <v>58</v>
      </c>
      <c r="P64" s="185" t="s">
        <v>478</v>
      </c>
      <c r="Q64" s="18"/>
      <c r="R64" s="37"/>
      <c r="S64" s="15" t="s">
        <v>64</v>
      </c>
      <c r="T64" s="15" t="s">
        <v>143</v>
      </c>
      <c r="U64" s="15" t="s">
        <v>546</v>
      </c>
      <c r="V64" s="63">
        <v>259</v>
      </c>
      <c r="W64" s="15">
        <f t="shared" si="20"/>
        <v>259</v>
      </c>
      <c r="X64" s="15">
        <f>W64</f>
        <v>259</v>
      </c>
      <c r="Y64" s="15">
        <f>ROUNDDOWN(W64/HLOOKUP(D64,Table!$C$3:$D$4,2,0)*8,2)</f>
        <v>4.5999999999999996</v>
      </c>
      <c r="Z64" s="15">
        <v>5</v>
      </c>
      <c r="AA64" s="15" t="s">
        <v>21</v>
      </c>
      <c r="AB64" s="19">
        <v>44124</v>
      </c>
      <c r="AC64" s="19">
        <v>44120</v>
      </c>
      <c r="AD64" s="67">
        <v>44124</v>
      </c>
      <c r="AE64" s="19">
        <v>44120</v>
      </c>
      <c r="AF64" s="19">
        <v>44120</v>
      </c>
      <c r="AG64" s="19" t="s">
        <v>130</v>
      </c>
      <c r="AH64" s="25">
        <v>1</v>
      </c>
      <c r="AI64" s="25">
        <v>1</v>
      </c>
      <c r="AJ64" s="25">
        <v>1</v>
      </c>
      <c r="AK64" s="19" t="s">
        <v>117</v>
      </c>
      <c r="AL64" s="17" t="s">
        <v>58</v>
      </c>
      <c r="AM64" s="17" t="s">
        <v>58</v>
      </c>
      <c r="AN64" s="17" t="s">
        <v>482</v>
      </c>
    </row>
    <row r="65" spans="2:40" ht="18.75" customHeight="1" x14ac:dyDescent="0.25">
      <c r="B65" s="98">
        <f t="shared" si="21"/>
        <v>6</v>
      </c>
      <c r="C65" s="16">
        <v>20201015</v>
      </c>
      <c r="D65" s="63" t="s">
        <v>3</v>
      </c>
      <c r="E65" s="62" t="s">
        <v>465</v>
      </c>
      <c r="F65" s="104" t="s">
        <v>486</v>
      </c>
      <c r="G65" s="63">
        <v>1730372</v>
      </c>
      <c r="H65" s="37" t="s">
        <v>58</v>
      </c>
      <c r="I65" s="63" t="s">
        <v>231</v>
      </c>
      <c r="J65" s="124" t="s">
        <v>58</v>
      </c>
      <c r="K65" s="15" t="s">
        <v>165</v>
      </c>
      <c r="L65" s="134" t="s">
        <v>476</v>
      </c>
      <c r="M65" s="63" t="s">
        <v>475</v>
      </c>
      <c r="N65" s="63" t="s">
        <v>472</v>
      </c>
      <c r="O65" s="62" t="s">
        <v>58</v>
      </c>
      <c r="P65" s="185" t="s">
        <v>478</v>
      </c>
      <c r="Q65" s="18"/>
      <c r="R65" s="37"/>
      <c r="S65" s="15" t="s">
        <v>64</v>
      </c>
      <c r="T65" s="15" t="s">
        <v>143</v>
      </c>
      <c r="U65" s="15" t="s">
        <v>546</v>
      </c>
      <c r="V65" s="63">
        <v>27</v>
      </c>
      <c r="W65" s="18">
        <v>0</v>
      </c>
      <c r="X65" s="15">
        <v>0</v>
      </c>
      <c r="Y65" s="15">
        <f>ROUNDDOWN(W65/HLOOKUP(D65,Table!$C$3:$D$4,2,0)*8,2)</f>
        <v>0</v>
      </c>
      <c r="Z65" s="15">
        <v>0</v>
      </c>
      <c r="AA65" s="16" t="s">
        <v>21</v>
      </c>
      <c r="AB65" s="19">
        <v>44124</v>
      </c>
      <c r="AC65" s="19">
        <v>44120</v>
      </c>
      <c r="AD65" s="67">
        <v>44124</v>
      </c>
      <c r="AE65" s="19">
        <v>44120</v>
      </c>
      <c r="AF65" s="19">
        <v>44120</v>
      </c>
      <c r="AG65" s="19" t="s">
        <v>130</v>
      </c>
      <c r="AH65" s="25" t="s">
        <v>58</v>
      </c>
      <c r="AI65" s="25" t="s">
        <v>58</v>
      </c>
      <c r="AJ65" s="25" t="s">
        <v>58</v>
      </c>
      <c r="AK65" s="19" t="s">
        <v>117</v>
      </c>
      <c r="AL65" s="17" t="s">
        <v>58</v>
      </c>
      <c r="AM65" s="17" t="s">
        <v>58</v>
      </c>
      <c r="AN65" s="17" t="s">
        <v>481</v>
      </c>
    </row>
    <row r="66" spans="2:40" ht="20.25" customHeight="1" x14ac:dyDescent="0.25">
      <c r="B66" s="98">
        <f t="shared" si="21"/>
        <v>7</v>
      </c>
      <c r="C66" s="16">
        <v>20201015</v>
      </c>
      <c r="D66" s="63" t="s">
        <v>3</v>
      </c>
      <c r="E66" s="62" t="s">
        <v>465</v>
      </c>
      <c r="F66" s="104" t="s">
        <v>486</v>
      </c>
      <c r="G66" s="63">
        <v>1730372</v>
      </c>
      <c r="H66" s="37" t="s">
        <v>58</v>
      </c>
      <c r="I66" s="63" t="s">
        <v>235</v>
      </c>
      <c r="J66" s="124" t="s">
        <v>58</v>
      </c>
      <c r="K66" s="15" t="s">
        <v>165</v>
      </c>
      <c r="L66" s="134" t="s">
        <v>476</v>
      </c>
      <c r="M66" s="63" t="s">
        <v>475</v>
      </c>
      <c r="N66" s="63" t="s">
        <v>472</v>
      </c>
      <c r="O66" s="62" t="s">
        <v>58</v>
      </c>
      <c r="P66" s="185" t="s">
        <v>478</v>
      </c>
      <c r="Q66" s="18"/>
      <c r="R66" s="37"/>
      <c r="S66" s="15" t="s">
        <v>64</v>
      </c>
      <c r="T66" s="15" t="s">
        <v>143</v>
      </c>
      <c r="U66" s="15" t="s">
        <v>546</v>
      </c>
      <c r="V66" s="63">
        <v>109</v>
      </c>
      <c r="W66" s="16">
        <f t="shared" si="20"/>
        <v>109</v>
      </c>
      <c r="X66" s="15">
        <f t="shared" ref="X66:X76" si="22">W66</f>
        <v>109</v>
      </c>
      <c r="Y66" s="15">
        <f>ROUNDDOWN(W66/HLOOKUP(D66,Table!$C$3:$D$4,2,0)*8,2)</f>
        <v>1.93</v>
      </c>
      <c r="Z66" s="15">
        <v>2</v>
      </c>
      <c r="AA66" s="16" t="s">
        <v>21</v>
      </c>
      <c r="AB66" s="19">
        <v>44124</v>
      </c>
      <c r="AC66" s="19">
        <v>44120</v>
      </c>
      <c r="AD66" s="67">
        <v>44124</v>
      </c>
      <c r="AE66" s="19">
        <v>44120</v>
      </c>
      <c r="AF66" s="19">
        <v>44120</v>
      </c>
      <c r="AG66" s="19" t="s">
        <v>131</v>
      </c>
      <c r="AH66" s="25">
        <v>1</v>
      </c>
      <c r="AI66" s="25">
        <v>0.87</v>
      </c>
      <c r="AJ66" s="25">
        <v>1</v>
      </c>
      <c r="AK66" s="19" t="s">
        <v>107</v>
      </c>
      <c r="AL66" s="17" t="s">
        <v>483</v>
      </c>
      <c r="AM66" s="17" t="s">
        <v>58</v>
      </c>
      <c r="AN66" s="136" t="s">
        <v>484</v>
      </c>
    </row>
    <row r="67" spans="2:40" x14ac:dyDescent="0.25">
      <c r="B67" s="98">
        <f t="shared" si="21"/>
        <v>8</v>
      </c>
      <c r="C67" s="16">
        <v>20201015</v>
      </c>
      <c r="D67" s="63" t="s">
        <v>2</v>
      </c>
      <c r="E67" s="62" t="s">
        <v>466</v>
      </c>
      <c r="F67" s="104" t="s">
        <v>58</v>
      </c>
      <c r="G67" s="63">
        <v>1732033</v>
      </c>
      <c r="H67" s="37" t="s">
        <v>58</v>
      </c>
      <c r="I67" s="63" t="s">
        <v>468</v>
      </c>
      <c r="J67" s="124" t="s">
        <v>58</v>
      </c>
      <c r="K67" s="15" t="s">
        <v>165</v>
      </c>
      <c r="L67" s="15" t="s">
        <v>117</v>
      </c>
      <c r="M67" s="63" t="s">
        <v>475</v>
      </c>
      <c r="N67" s="63" t="s">
        <v>473</v>
      </c>
      <c r="O67" s="62" t="s">
        <v>469</v>
      </c>
      <c r="P67" s="185" t="s">
        <v>479</v>
      </c>
      <c r="Q67" s="18"/>
      <c r="R67" s="37"/>
      <c r="S67" s="15" t="s">
        <v>152</v>
      </c>
      <c r="T67" s="15" t="s">
        <v>142</v>
      </c>
      <c r="U67" s="15" t="s">
        <v>546</v>
      </c>
      <c r="V67" s="63">
        <v>40</v>
      </c>
      <c r="W67" s="16">
        <f t="shared" si="20"/>
        <v>40</v>
      </c>
      <c r="X67" s="15">
        <f t="shared" si="22"/>
        <v>40</v>
      </c>
      <c r="Y67" s="15">
        <f>ROUNDDOWN(W67/HLOOKUP(D67,Table!$C$3:$D$4,2,0)*8,2)</f>
        <v>2.46</v>
      </c>
      <c r="Z67" s="15">
        <v>2.5</v>
      </c>
      <c r="AA67" s="15" t="s">
        <v>21</v>
      </c>
      <c r="AB67" s="19">
        <v>44124</v>
      </c>
      <c r="AC67" s="19">
        <v>44120</v>
      </c>
      <c r="AD67" s="67">
        <v>44124</v>
      </c>
      <c r="AE67" s="19">
        <v>44123</v>
      </c>
      <c r="AF67" s="19">
        <v>44123</v>
      </c>
      <c r="AG67" s="19" t="s">
        <v>130</v>
      </c>
      <c r="AH67" s="25">
        <v>1</v>
      </c>
      <c r="AI67" s="25">
        <v>1</v>
      </c>
      <c r="AJ67" s="91" t="s">
        <v>58</v>
      </c>
      <c r="AK67" s="19" t="s">
        <v>117</v>
      </c>
      <c r="AL67" s="17" t="s">
        <v>58</v>
      </c>
      <c r="AM67" s="17" t="s">
        <v>58</v>
      </c>
      <c r="AN67" s="62" t="s">
        <v>58</v>
      </c>
    </row>
    <row r="68" spans="2:40" s="84" customFormat="1" ht="75" x14ac:dyDescent="0.25">
      <c r="B68" s="98">
        <f t="shared" si="21"/>
        <v>9</v>
      </c>
      <c r="C68" s="16">
        <v>20201015</v>
      </c>
      <c r="D68" s="63" t="s">
        <v>2</v>
      </c>
      <c r="E68" s="62" t="s">
        <v>466</v>
      </c>
      <c r="F68" s="104" t="s">
        <v>58</v>
      </c>
      <c r="G68" s="63">
        <v>1732033</v>
      </c>
      <c r="H68" s="37" t="s">
        <v>58</v>
      </c>
      <c r="I68" s="63" t="s">
        <v>242</v>
      </c>
      <c r="J68" s="124" t="s">
        <v>58</v>
      </c>
      <c r="K68" s="15" t="s">
        <v>165</v>
      </c>
      <c r="L68" s="15" t="s">
        <v>117</v>
      </c>
      <c r="M68" s="63" t="s">
        <v>475</v>
      </c>
      <c r="N68" s="63" t="s">
        <v>473</v>
      </c>
      <c r="O68" s="62" t="s">
        <v>470</v>
      </c>
      <c r="P68" s="185" t="s">
        <v>479</v>
      </c>
      <c r="Q68" s="18"/>
      <c r="R68" s="37"/>
      <c r="S68" s="15" t="s">
        <v>142</v>
      </c>
      <c r="T68" s="15" t="s">
        <v>141</v>
      </c>
      <c r="U68" s="15" t="s">
        <v>546</v>
      </c>
      <c r="V68" s="63">
        <v>235</v>
      </c>
      <c r="W68" s="16">
        <f t="shared" ref="W68:W74" si="23">V68*2</f>
        <v>470</v>
      </c>
      <c r="X68" s="15">
        <f t="shared" si="22"/>
        <v>470</v>
      </c>
      <c r="Y68" s="15">
        <f>ROUNDDOWN(W68/HLOOKUP(D68,Table!$C$3:$D$4,2,0)*8,2)</f>
        <v>28.92</v>
      </c>
      <c r="Z68" s="15">
        <v>8</v>
      </c>
      <c r="AA68" s="15" t="s">
        <v>21</v>
      </c>
      <c r="AB68" s="19">
        <v>44124</v>
      </c>
      <c r="AC68" s="19">
        <v>44120</v>
      </c>
      <c r="AD68" s="67">
        <v>44124</v>
      </c>
      <c r="AE68" s="19">
        <v>44120</v>
      </c>
      <c r="AF68" s="19">
        <v>44123</v>
      </c>
      <c r="AG68" s="19" t="s">
        <v>131</v>
      </c>
      <c r="AH68" s="25">
        <v>0.90900000000000003</v>
      </c>
      <c r="AI68" s="25">
        <v>0.91100000000000003</v>
      </c>
      <c r="AJ68" s="91">
        <v>1</v>
      </c>
      <c r="AK68" s="19" t="s">
        <v>116</v>
      </c>
      <c r="AL68" s="17" t="s">
        <v>489</v>
      </c>
      <c r="AM68" s="17"/>
      <c r="AN68" s="194" t="s">
        <v>1352</v>
      </c>
    </row>
    <row r="69" spans="2:40" ht="90" x14ac:dyDescent="0.25">
      <c r="B69" s="138">
        <f t="shared" si="21"/>
        <v>10</v>
      </c>
      <c r="C69" s="16">
        <v>20201019</v>
      </c>
      <c r="D69" s="63" t="s">
        <v>2</v>
      </c>
      <c r="E69" s="62" t="s">
        <v>499</v>
      </c>
      <c r="F69" s="104" t="s">
        <v>58</v>
      </c>
      <c r="G69" s="63">
        <v>1734668</v>
      </c>
      <c r="H69" s="37" t="s">
        <v>58</v>
      </c>
      <c r="I69" s="63" t="s">
        <v>501</v>
      </c>
      <c r="J69" s="124" t="s">
        <v>58</v>
      </c>
      <c r="K69" s="15" t="s">
        <v>165</v>
      </c>
      <c r="L69" s="15" t="s">
        <v>117</v>
      </c>
      <c r="M69" s="15" t="s">
        <v>513</v>
      </c>
      <c r="N69" s="63" t="s">
        <v>510</v>
      </c>
      <c r="O69" s="62" t="s">
        <v>504</v>
      </c>
      <c r="P69" s="48" t="s">
        <v>506</v>
      </c>
      <c r="Q69" s="18"/>
      <c r="R69" s="37"/>
      <c r="S69" s="15" t="s">
        <v>152</v>
      </c>
      <c r="T69" s="15" t="s">
        <v>142</v>
      </c>
      <c r="U69" s="15" t="s">
        <v>546</v>
      </c>
      <c r="V69" s="63">
        <v>44</v>
      </c>
      <c r="W69" s="16">
        <f t="shared" si="23"/>
        <v>88</v>
      </c>
      <c r="X69" s="15">
        <f t="shared" si="22"/>
        <v>88</v>
      </c>
      <c r="Y69" s="15">
        <f>ROUNDDOWN(W69/HLOOKUP(D69,Table!$C$3:$D$4,2,0)*8,2)</f>
        <v>5.41</v>
      </c>
      <c r="Z69" s="15">
        <v>3</v>
      </c>
      <c r="AA69" s="15" t="s">
        <v>21</v>
      </c>
      <c r="AB69" s="19">
        <v>44126</v>
      </c>
      <c r="AC69" s="19">
        <v>44124</v>
      </c>
      <c r="AD69" s="70">
        <v>44126</v>
      </c>
      <c r="AE69" s="19">
        <v>44124</v>
      </c>
      <c r="AF69" s="19">
        <v>44125</v>
      </c>
      <c r="AG69" s="19" t="s">
        <v>130</v>
      </c>
      <c r="AH69" s="25">
        <v>0.81799999999999995</v>
      </c>
      <c r="AI69" s="25">
        <v>0.81799999999999995</v>
      </c>
      <c r="AJ69" s="91" t="s">
        <v>58</v>
      </c>
      <c r="AK69" s="19" t="s">
        <v>116</v>
      </c>
      <c r="AL69" s="136" t="s">
        <v>552</v>
      </c>
      <c r="AM69" s="17" t="s">
        <v>58</v>
      </c>
      <c r="AN69" s="175" t="s">
        <v>547</v>
      </c>
    </row>
    <row r="70" spans="2:40" x14ac:dyDescent="0.25">
      <c r="B70" s="138">
        <f t="shared" si="21"/>
        <v>11</v>
      </c>
      <c r="C70" s="16">
        <v>20201019</v>
      </c>
      <c r="D70" s="63" t="s">
        <v>2</v>
      </c>
      <c r="E70" s="62" t="s">
        <v>499</v>
      </c>
      <c r="F70" s="104" t="s">
        <v>58</v>
      </c>
      <c r="G70" s="63">
        <v>1734668</v>
      </c>
      <c r="H70" s="37" t="s">
        <v>58</v>
      </c>
      <c r="I70" s="74" t="s">
        <v>242</v>
      </c>
      <c r="J70" s="124" t="s">
        <v>58</v>
      </c>
      <c r="K70" s="15" t="s">
        <v>165</v>
      </c>
      <c r="L70" s="15" t="s">
        <v>117</v>
      </c>
      <c r="M70" s="15" t="s">
        <v>513</v>
      </c>
      <c r="N70" s="63" t="s">
        <v>510</v>
      </c>
      <c r="O70" s="62" t="s">
        <v>505</v>
      </c>
      <c r="P70" s="48" t="s">
        <v>506</v>
      </c>
      <c r="Q70" s="18"/>
      <c r="R70" s="37"/>
      <c r="S70" s="15" t="s">
        <v>64</v>
      </c>
      <c r="T70" s="15" t="s">
        <v>143</v>
      </c>
      <c r="U70" s="15" t="s">
        <v>546</v>
      </c>
      <c r="V70" s="63">
        <v>264</v>
      </c>
      <c r="W70" s="16">
        <f t="shared" si="23"/>
        <v>528</v>
      </c>
      <c r="X70" s="15">
        <f t="shared" si="22"/>
        <v>528</v>
      </c>
      <c r="Y70" s="15">
        <f>ROUNDDOWN(W70/HLOOKUP(D70,Table!$C$3:$D$4,2,0)*8,2)</f>
        <v>32.49</v>
      </c>
      <c r="Z70" s="15">
        <v>42</v>
      </c>
      <c r="AA70" s="15" t="s">
        <v>21</v>
      </c>
      <c r="AB70" s="19">
        <v>44126</v>
      </c>
      <c r="AC70" s="19">
        <v>44124</v>
      </c>
      <c r="AD70" s="70">
        <v>44126</v>
      </c>
      <c r="AE70" s="19">
        <v>44126</v>
      </c>
      <c r="AF70" s="19">
        <v>44126</v>
      </c>
      <c r="AG70" s="19" t="s">
        <v>131</v>
      </c>
      <c r="AH70" s="25">
        <v>0.85399999999999998</v>
      </c>
      <c r="AI70" s="25">
        <v>0.85699999999999998</v>
      </c>
      <c r="AJ70" s="91">
        <v>1</v>
      </c>
      <c r="AK70" s="19" t="s">
        <v>116</v>
      </c>
      <c r="AL70" s="17" t="s">
        <v>618</v>
      </c>
      <c r="AM70" s="17" t="s">
        <v>58</v>
      </c>
      <c r="AN70" s="133" t="s">
        <v>548</v>
      </c>
    </row>
    <row r="71" spans="2:40" ht="30" x14ac:dyDescent="0.25">
      <c r="B71" s="138">
        <f t="shared" si="21"/>
        <v>12</v>
      </c>
      <c r="C71" s="16">
        <v>20201019</v>
      </c>
      <c r="D71" s="63" t="s">
        <v>3</v>
      </c>
      <c r="E71" s="62" t="s">
        <v>253</v>
      </c>
      <c r="F71" s="104" t="s">
        <v>606</v>
      </c>
      <c r="G71" s="63">
        <v>1736143</v>
      </c>
      <c r="H71" s="37" t="s">
        <v>58</v>
      </c>
      <c r="I71" s="74" t="s">
        <v>502</v>
      </c>
      <c r="J71" s="124" t="s">
        <v>58</v>
      </c>
      <c r="K71" s="15" t="s">
        <v>167</v>
      </c>
      <c r="L71" s="15" t="s">
        <v>117</v>
      </c>
      <c r="M71" s="15" t="s">
        <v>474</v>
      </c>
      <c r="N71" s="63" t="s">
        <v>511</v>
      </c>
      <c r="O71" s="62" t="s">
        <v>58</v>
      </c>
      <c r="P71" s="48" t="s">
        <v>507</v>
      </c>
      <c r="Q71" s="18"/>
      <c r="R71" s="37"/>
      <c r="S71" s="15" t="s">
        <v>141</v>
      </c>
      <c r="T71" s="15" t="s">
        <v>64</v>
      </c>
      <c r="U71" s="15" t="s">
        <v>546</v>
      </c>
      <c r="V71" s="63">
        <v>150</v>
      </c>
      <c r="W71" s="146">
        <f t="shared" si="23"/>
        <v>300</v>
      </c>
      <c r="X71" s="15">
        <f t="shared" si="22"/>
        <v>300</v>
      </c>
      <c r="Y71" s="15">
        <f>ROUNDDOWN(W71/HLOOKUP(D71,Table!$C$3:$D$4,2,0)*8,2)</f>
        <v>5.33</v>
      </c>
      <c r="Z71" s="15">
        <f>Y71</f>
        <v>5.33</v>
      </c>
      <c r="AA71" s="15" t="s">
        <v>21</v>
      </c>
      <c r="AB71" s="19">
        <v>44126</v>
      </c>
      <c r="AC71" s="19">
        <v>44124</v>
      </c>
      <c r="AD71" s="70">
        <v>44126</v>
      </c>
      <c r="AE71" s="19">
        <v>44125</v>
      </c>
      <c r="AF71" s="19">
        <v>44125</v>
      </c>
      <c r="AG71" s="19" t="s">
        <v>130</v>
      </c>
      <c r="AH71" s="25">
        <v>1</v>
      </c>
      <c r="AI71" s="25">
        <v>1</v>
      </c>
      <c r="AJ71" s="25">
        <v>1</v>
      </c>
      <c r="AK71" s="19" t="s">
        <v>117</v>
      </c>
      <c r="AL71" s="17" t="s">
        <v>58</v>
      </c>
      <c r="AM71" s="17" t="s">
        <v>58</v>
      </c>
      <c r="AN71" s="137" t="s">
        <v>509</v>
      </c>
    </row>
    <row r="72" spans="2:40" ht="75" x14ac:dyDescent="0.25">
      <c r="B72" s="138">
        <f t="shared" si="21"/>
        <v>13</v>
      </c>
      <c r="C72" s="16">
        <v>20201019</v>
      </c>
      <c r="D72" s="63" t="s">
        <v>3</v>
      </c>
      <c r="E72" s="62" t="s">
        <v>500</v>
      </c>
      <c r="F72" s="104" t="s">
        <v>553</v>
      </c>
      <c r="G72" s="63">
        <v>1734397</v>
      </c>
      <c r="H72" s="37" t="s">
        <v>58</v>
      </c>
      <c r="I72" s="74" t="s">
        <v>503</v>
      </c>
      <c r="J72" s="124" t="s">
        <v>58</v>
      </c>
      <c r="K72" s="15" t="s">
        <v>167</v>
      </c>
      <c r="L72" s="15" t="s">
        <v>117</v>
      </c>
      <c r="M72" s="15" t="s">
        <v>514</v>
      </c>
      <c r="N72" s="63" t="s">
        <v>512</v>
      </c>
      <c r="O72" s="62" t="s">
        <v>58</v>
      </c>
      <c r="P72" s="48" t="s">
        <v>508</v>
      </c>
      <c r="Q72" s="18"/>
      <c r="R72" s="37"/>
      <c r="S72" s="15" t="s">
        <v>143</v>
      </c>
      <c r="T72" s="15" t="s">
        <v>152</v>
      </c>
      <c r="U72" s="15" t="s">
        <v>546</v>
      </c>
      <c r="V72" s="63">
        <v>42</v>
      </c>
      <c r="W72" s="146">
        <f t="shared" si="23"/>
        <v>84</v>
      </c>
      <c r="X72" s="15">
        <f t="shared" si="22"/>
        <v>84</v>
      </c>
      <c r="Y72" s="15">
        <f>ROUNDDOWN(W72/HLOOKUP(D72,Table!$C$3:$D$4,2,0)*8,2)</f>
        <v>1.49</v>
      </c>
      <c r="Z72" s="15">
        <f>Y72</f>
        <v>1.49</v>
      </c>
      <c r="AA72" s="15" t="s">
        <v>21</v>
      </c>
      <c r="AB72" s="19">
        <v>44126</v>
      </c>
      <c r="AC72" s="19">
        <v>44124</v>
      </c>
      <c r="AD72" s="70">
        <v>44126</v>
      </c>
      <c r="AE72" s="19">
        <v>44125</v>
      </c>
      <c r="AF72" s="19">
        <v>44125</v>
      </c>
      <c r="AG72" s="19" t="s">
        <v>130</v>
      </c>
      <c r="AH72" s="25">
        <v>1</v>
      </c>
      <c r="AI72" s="25">
        <v>1</v>
      </c>
      <c r="AJ72" s="25">
        <v>1</v>
      </c>
      <c r="AK72" s="19" t="s">
        <v>117</v>
      </c>
      <c r="AL72" s="17" t="s">
        <v>58</v>
      </c>
      <c r="AM72" s="17" t="s">
        <v>58</v>
      </c>
      <c r="AN72" s="137" t="s">
        <v>636</v>
      </c>
    </row>
    <row r="73" spans="2:40" ht="30" x14ac:dyDescent="0.25">
      <c r="B73" s="143">
        <f t="shared" si="21"/>
        <v>14</v>
      </c>
      <c r="C73" s="16">
        <v>20201020</v>
      </c>
      <c r="D73" s="63" t="s">
        <v>3</v>
      </c>
      <c r="E73" s="62" t="s">
        <v>253</v>
      </c>
      <c r="F73" s="104" t="s">
        <v>640</v>
      </c>
      <c r="G73" s="63">
        <v>1731845</v>
      </c>
      <c r="H73" s="37" t="s">
        <v>58</v>
      </c>
      <c r="I73" s="74" t="s">
        <v>549</v>
      </c>
      <c r="J73" s="124" t="s">
        <v>58</v>
      </c>
      <c r="K73" s="15" t="s">
        <v>167</v>
      </c>
      <c r="L73" s="15" t="s">
        <v>117</v>
      </c>
      <c r="M73" s="15" t="s">
        <v>474</v>
      </c>
      <c r="N73" s="63" t="s">
        <v>551</v>
      </c>
      <c r="O73" s="62" t="s">
        <v>58</v>
      </c>
      <c r="P73" s="63" t="s">
        <v>508</v>
      </c>
      <c r="Q73" s="18"/>
      <c r="R73" s="37"/>
      <c r="S73" s="15" t="s">
        <v>141</v>
      </c>
      <c r="T73" s="15" t="s">
        <v>64</v>
      </c>
      <c r="U73" s="15" t="s">
        <v>546</v>
      </c>
      <c r="V73" s="63">
        <v>237</v>
      </c>
      <c r="W73" s="146">
        <f t="shared" si="23"/>
        <v>474</v>
      </c>
      <c r="X73" s="15">
        <f t="shared" si="22"/>
        <v>474</v>
      </c>
      <c r="Y73" s="15">
        <f>ROUNDDOWN(W73/HLOOKUP(D73,Table!$C$3:$D$4,2,0)*8,2)</f>
        <v>8.42</v>
      </c>
      <c r="Z73" s="15">
        <f>Y73</f>
        <v>8.42</v>
      </c>
      <c r="AA73" s="15" t="s">
        <v>21</v>
      </c>
      <c r="AB73" s="19">
        <v>44131</v>
      </c>
      <c r="AC73" s="19">
        <v>44125</v>
      </c>
      <c r="AD73" s="70">
        <v>44132</v>
      </c>
      <c r="AE73" s="19">
        <v>44125</v>
      </c>
      <c r="AF73" s="19">
        <v>44125</v>
      </c>
      <c r="AG73" s="19" t="s">
        <v>130</v>
      </c>
      <c r="AH73" s="25">
        <v>1</v>
      </c>
      <c r="AI73" s="25">
        <v>1</v>
      </c>
      <c r="AJ73" s="25">
        <v>1</v>
      </c>
      <c r="AK73" s="19" t="s">
        <v>117</v>
      </c>
      <c r="AL73" s="17" t="s">
        <v>58</v>
      </c>
      <c r="AM73" s="17" t="s">
        <v>58</v>
      </c>
      <c r="AN73" s="137" t="s">
        <v>509</v>
      </c>
    </row>
    <row r="74" spans="2:40" ht="45" x14ac:dyDescent="0.25">
      <c r="B74" s="143">
        <f t="shared" si="21"/>
        <v>15</v>
      </c>
      <c r="C74" s="16">
        <v>20201020</v>
      </c>
      <c r="D74" s="63" t="s">
        <v>3</v>
      </c>
      <c r="E74" s="62" t="s">
        <v>253</v>
      </c>
      <c r="F74" s="104" t="s">
        <v>597</v>
      </c>
      <c r="G74" s="63">
        <v>1738478</v>
      </c>
      <c r="H74" s="37" t="s">
        <v>58</v>
      </c>
      <c r="I74" s="74" t="s">
        <v>550</v>
      </c>
      <c r="J74" s="124" t="s">
        <v>58</v>
      </c>
      <c r="K74" s="15" t="s">
        <v>167</v>
      </c>
      <c r="L74" s="15" t="s">
        <v>117</v>
      </c>
      <c r="M74" s="15" t="s">
        <v>474</v>
      </c>
      <c r="N74" s="63" t="s">
        <v>551</v>
      </c>
      <c r="O74" s="62" t="s">
        <v>58</v>
      </c>
      <c r="P74" s="63" t="s">
        <v>507</v>
      </c>
      <c r="Q74" s="18"/>
      <c r="R74" s="37"/>
      <c r="S74" s="15" t="s">
        <v>143</v>
      </c>
      <c r="T74" s="15" t="s">
        <v>152</v>
      </c>
      <c r="U74" s="15" t="s">
        <v>546</v>
      </c>
      <c r="V74" s="63">
        <v>250</v>
      </c>
      <c r="W74" s="146">
        <f t="shared" si="23"/>
        <v>500</v>
      </c>
      <c r="X74" s="15">
        <f t="shared" si="22"/>
        <v>500</v>
      </c>
      <c r="Y74" s="15">
        <f>ROUNDDOWN(W74/HLOOKUP(D74,Table!$C$3:$D$4,2,0)*8,2)</f>
        <v>8.8800000000000008</v>
      </c>
      <c r="Z74" s="15">
        <v>2</v>
      </c>
      <c r="AA74" s="15" t="s">
        <v>21</v>
      </c>
      <c r="AB74" s="19">
        <v>44131</v>
      </c>
      <c r="AC74" s="19">
        <v>44125</v>
      </c>
      <c r="AD74" s="70">
        <v>44132</v>
      </c>
      <c r="AE74" s="19">
        <v>44126</v>
      </c>
      <c r="AF74" s="19">
        <v>44126</v>
      </c>
      <c r="AG74" s="19" t="s">
        <v>130</v>
      </c>
      <c r="AH74" s="25">
        <v>1</v>
      </c>
      <c r="AI74" s="25">
        <v>1</v>
      </c>
      <c r="AJ74" s="91">
        <v>1</v>
      </c>
      <c r="AK74" s="19" t="s">
        <v>117</v>
      </c>
      <c r="AL74" s="17" t="s">
        <v>58</v>
      </c>
      <c r="AM74" s="17" t="s">
        <v>58</v>
      </c>
      <c r="AN74" s="137" t="s">
        <v>615</v>
      </c>
    </row>
    <row r="75" spans="2:40" x14ac:dyDescent="0.25">
      <c r="B75" s="145">
        <f t="shared" si="21"/>
        <v>16</v>
      </c>
      <c r="C75" s="16">
        <v>20201021</v>
      </c>
      <c r="D75" s="63" t="s">
        <v>3</v>
      </c>
      <c r="E75" s="62" t="s">
        <v>575</v>
      </c>
      <c r="F75" s="104" t="s">
        <v>602</v>
      </c>
      <c r="G75" s="63">
        <v>1736545</v>
      </c>
      <c r="H75" s="37" t="s">
        <v>58</v>
      </c>
      <c r="I75" s="74" t="s">
        <v>577</v>
      </c>
      <c r="J75" s="124" t="s">
        <v>58</v>
      </c>
      <c r="K75" s="15" t="s">
        <v>165</v>
      </c>
      <c r="L75" s="15" t="s">
        <v>117</v>
      </c>
      <c r="M75" s="15" t="s">
        <v>590</v>
      </c>
      <c r="N75" s="135" t="s">
        <v>593</v>
      </c>
      <c r="O75" s="62" t="s">
        <v>58</v>
      </c>
      <c r="P75" s="185" t="s">
        <v>591</v>
      </c>
      <c r="Q75" s="18"/>
      <c r="R75" s="37"/>
      <c r="S75" s="15" t="s">
        <v>152</v>
      </c>
      <c r="T75" s="15" t="s">
        <v>142</v>
      </c>
      <c r="U75" s="15" t="s">
        <v>546</v>
      </c>
      <c r="V75" s="63">
        <v>132</v>
      </c>
      <c r="W75" s="146">
        <v>277</v>
      </c>
      <c r="X75" s="15">
        <f t="shared" si="22"/>
        <v>277</v>
      </c>
      <c r="Y75" s="15">
        <f>ROUNDDOWN(W75/HLOOKUP(D75,Table!$C$3:$D$4,2,0)*8,2)</f>
        <v>4.92</v>
      </c>
      <c r="Z75" s="15">
        <v>3</v>
      </c>
      <c r="AA75" s="15" t="s">
        <v>21</v>
      </c>
      <c r="AB75" s="19">
        <v>44126</v>
      </c>
      <c r="AC75" s="19">
        <v>44125</v>
      </c>
      <c r="AD75" s="70">
        <v>44126</v>
      </c>
      <c r="AE75" s="19">
        <v>44125</v>
      </c>
      <c r="AF75" s="19">
        <v>44125</v>
      </c>
      <c r="AG75" s="19" t="s">
        <v>130</v>
      </c>
      <c r="AH75" s="25">
        <v>1</v>
      </c>
      <c r="AI75" s="25">
        <v>1</v>
      </c>
      <c r="AJ75" s="25">
        <v>1</v>
      </c>
      <c r="AK75" s="19" t="s">
        <v>117</v>
      </c>
      <c r="AL75" s="17" t="s">
        <v>58</v>
      </c>
      <c r="AM75" s="17" t="s">
        <v>58</v>
      </c>
      <c r="AN75" s="17" t="s">
        <v>58</v>
      </c>
    </row>
    <row r="76" spans="2:40" x14ac:dyDescent="0.25">
      <c r="B76" s="145">
        <f t="shared" si="21"/>
        <v>17</v>
      </c>
      <c r="C76" s="16">
        <v>20201021</v>
      </c>
      <c r="D76" s="63" t="s">
        <v>3</v>
      </c>
      <c r="E76" s="62" t="s">
        <v>576</v>
      </c>
      <c r="F76" s="104" t="s">
        <v>607</v>
      </c>
      <c r="G76" s="63">
        <v>1739917</v>
      </c>
      <c r="H76" s="37" t="s">
        <v>58</v>
      </c>
      <c r="I76" s="151" t="s">
        <v>578</v>
      </c>
      <c r="J76" s="124" t="s">
        <v>58</v>
      </c>
      <c r="K76" s="15" t="s">
        <v>165</v>
      </c>
      <c r="L76" s="15" t="s">
        <v>588</v>
      </c>
      <c r="M76" s="15" t="s">
        <v>589</v>
      </c>
      <c r="N76" s="135" t="s">
        <v>594</v>
      </c>
      <c r="O76" s="62" t="s">
        <v>58</v>
      </c>
      <c r="P76" s="185" t="s">
        <v>592</v>
      </c>
      <c r="Q76" s="18"/>
      <c r="R76" s="37"/>
      <c r="S76" s="15" t="s">
        <v>152</v>
      </c>
      <c r="T76" s="15" t="s">
        <v>142</v>
      </c>
      <c r="U76" s="15" t="s">
        <v>546</v>
      </c>
      <c r="V76" s="63">
        <v>145</v>
      </c>
      <c r="W76" s="150">
        <v>211</v>
      </c>
      <c r="X76" s="15">
        <f t="shared" si="22"/>
        <v>211</v>
      </c>
      <c r="Y76" s="15">
        <f>ROUNDDOWN(W76/HLOOKUP(D76,Table!$C$3:$D$4,2,0)*8,2)</f>
        <v>3.75</v>
      </c>
      <c r="Z76" s="15">
        <v>2</v>
      </c>
      <c r="AA76" s="15" t="s">
        <v>21</v>
      </c>
      <c r="AB76" s="19">
        <v>44132</v>
      </c>
      <c r="AC76" s="19">
        <v>44125</v>
      </c>
      <c r="AD76" s="70">
        <v>44132</v>
      </c>
      <c r="AE76" s="19">
        <v>44127</v>
      </c>
      <c r="AF76" s="19">
        <v>44127</v>
      </c>
      <c r="AG76" s="19" t="s">
        <v>130</v>
      </c>
      <c r="AH76" s="25">
        <v>1</v>
      </c>
      <c r="AI76" s="25">
        <v>1</v>
      </c>
      <c r="AJ76" s="25">
        <v>1</v>
      </c>
      <c r="AK76" s="19" t="s">
        <v>117</v>
      </c>
      <c r="AL76" s="17" t="s">
        <v>58</v>
      </c>
      <c r="AM76" s="17" t="s">
        <v>58</v>
      </c>
      <c r="AN76" s="17" t="s">
        <v>58</v>
      </c>
    </row>
    <row r="77" spans="2:40" x14ac:dyDescent="0.25">
      <c r="B77" s="145">
        <f t="shared" si="21"/>
        <v>18</v>
      </c>
      <c r="C77" s="16">
        <v>20201021</v>
      </c>
      <c r="D77" s="63" t="s">
        <v>3</v>
      </c>
      <c r="E77" s="62" t="s">
        <v>576</v>
      </c>
      <c r="F77" s="104" t="s">
        <v>607</v>
      </c>
      <c r="G77" s="63">
        <v>1739917</v>
      </c>
      <c r="H77" s="37" t="s">
        <v>58</v>
      </c>
      <c r="I77" s="74" t="s">
        <v>579</v>
      </c>
      <c r="J77" s="124" t="s">
        <v>58</v>
      </c>
      <c r="K77" s="15" t="s">
        <v>165</v>
      </c>
      <c r="L77" s="15" t="s">
        <v>588</v>
      </c>
      <c r="M77" s="15" t="s">
        <v>589</v>
      </c>
      <c r="N77" s="135" t="s">
        <v>594</v>
      </c>
      <c r="O77" s="62" t="s">
        <v>58</v>
      </c>
      <c r="P77" s="185" t="s">
        <v>592</v>
      </c>
      <c r="Q77" s="18"/>
      <c r="R77" s="37"/>
      <c r="S77" s="15" t="s">
        <v>152</v>
      </c>
      <c r="T77" s="15" t="s">
        <v>142</v>
      </c>
      <c r="U77" s="15" t="s">
        <v>546</v>
      </c>
      <c r="V77" s="63">
        <v>124</v>
      </c>
      <c r="W77" s="15">
        <f t="shared" ref="W77:W85" si="24">V77</f>
        <v>124</v>
      </c>
      <c r="X77" s="15">
        <f>W77</f>
        <v>124</v>
      </c>
      <c r="Y77" s="15">
        <f>ROUNDDOWN(W77/HLOOKUP(D77,Table!$C$3:$D$4,2,0)*8,2)</f>
        <v>2.2000000000000002</v>
      </c>
      <c r="Z77" s="15">
        <v>1.5</v>
      </c>
      <c r="AA77" s="15" t="s">
        <v>21</v>
      </c>
      <c r="AB77" s="19">
        <v>44132</v>
      </c>
      <c r="AC77" s="19">
        <v>44125</v>
      </c>
      <c r="AD77" s="70">
        <v>44132</v>
      </c>
      <c r="AE77" s="19">
        <v>44127</v>
      </c>
      <c r="AF77" s="19">
        <v>44127</v>
      </c>
      <c r="AG77" s="19" t="s">
        <v>130</v>
      </c>
      <c r="AH77" s="25">
        <v>1</v>
      </c>
      <c r="AI77" s="25">
        <v>1</v>
      </c>
      <c r="AJ77" s="25">
        <v>1</v>
      </c>
      <c r="AK77" s="19" t="s">
        <v>117</v>
      </c>
      <c r="AL77" s="17" t="s">
        <v>58</v>
      </c>
      <c r="AM77" s="17" t="s">
        <v>58</v>
      </c>
      <c r="AN77" s="17" t="s">
        <v>58</v>
      </c>
    </row>
    <row r="78" spans="2:40" x14ac:dyDescent="0.25">
      <c r="B78" s="145">
        <f t="shared" si="21"/>
        <v>19</v>
      </c>
      <c r="C78" s="16">
        <v>20201021</v>
      </c>
      <c r="D78" s="63" t="s">
        <v>3</v>
      </c>
      <c r="E78" s="62" t="s">
        <v>576</v>
      </c>
      <c r="F78" s="104" t="s">
        <v>616</v>
      </c>
      <c r="G78" s="63">
        <v>1739917</v>
      </c>
      <c r="H78" s="37" t="s">
        <v>58</v>
      </c>
      <c r="I78" s="74" t="s">
        <v>580</v>
      </c>
      <c r="J78" s="124" t="s">
        <v>58</v>
      </c>
      <c r="K78" s="15" t="s">
        <v>165</v>
      </c>
      <c r="L78" s="15" t="s">
        <v>588</v>
      </c>
      <c r="M78" s="15" t="s">
        <v>589</v>
      </c>
      <c r="N78" s="135" t="s">
        <v>594</v>
      </c>
      <c r="O78" s="62" t="s">
        <v>58</v>
      </c>
      <c r="P78" s="185" t="s">
        <v>592</v>
      </c>
      <c r="Q78" s="18"/>
      <c r="R78" s="37"/>
      <c r="S78" s="15" t="s">
        <v>143</v>
      </c>
      <c r="T78" s="15" t="s">
        <v>152</v>
      </c>
      <c r="U78" s="63" t="s">
        <v>546</v>
      </c>
      <c r="V78" s="63">
        <v>134</v>
      </c>
      <c r="W78" s="15">
        <f t="shared" si="24"/>
        <v>134</v>
      </c>
      <c r="X78" s="15">
        <f t="shared" ref="X78:X85" si="25">W78</f>
        <v>134</v>
      </c>
      <c r="Y78" s="15">
        <f>ROUNDDOWN(W78/HLOOKUP(D78,Table!$C$3:$D$4,2,0)*8,2)</f>
        <v>2.38</v>
      </c>
      <c r="Z78" s="15">
        <f>1.5</f>
        <v>1.5</v>
      </c>
      <c r="AA78" s="15" t="s">
        <v>21</v>
      </c>
      <c r="AB78" s="19">
        <v>44132</v>
      </c>
      <c r="AC78" s="19">
        <v>44125</v>
      </c>
      <c r="AD78" s="70">
        <v>44132</v>
      </c>
      <c r="AE78" s="19">
        <v>44126</v>
      </c>
      <c r="AF78" s="19">
        <v>44126</v>
      </c>
      <c r="AG78" s="19" t="s">
        <v>130</v>
      </c>
      <c r="AH78" s="91">
        <v>1</v>
      </c>
      <c r="AI78" s="91">
        <v>1</v>
      </c>
      <c r="AJ78" s="91">
        <v>1</v>
      </c>
      <c r="AK78" s="19" t="s">
        <v>117</v>
      </c>
      <c r="AL78" s="17" t="s">
        <v>58</v>
      </c>
      <c r="AM78" s="17" t="s">
        <v>58</v>
      </c>
      <c r="AN78" s="137" t="s">
        <v>617</v>
      </c>
    </row>
    <row r="79" spans="2:40" x14ac:dyDescent="0.25">
      <c r="B79" s="145">
        <f t="shared" si="21"/>
        <v>20</v>
      </c>
      <c r="C79" s="16">
        <v>20201021</v>
      </c>
      <c r="D79" s="63" t="s">
        <v>3</v>
      </c>
      <c r="E79" s="62" t="s">
        <v>576</v>
      </c>
      <c r="F79" s="104" t="s">
        <v>607</v>
      </c>
      <c r="G79" s="63">
        <v>1739917</v>
      </c>
      <c r="H79" s="37" t="s">
        <v>58</v>
      </c>
      <c r="I79" s="74" t="s">
        <v>581</v>
      </c>
      <c r="J79" s="124" t="s">
        <v>58</v>
      </c>
      <c r="K79" s="15" t="s">
        <v>165</v>
      </c>
      <c r="L79" s="15" t="s">
        <v>588</v>
      </c>
      <c r="M79" s="15" t="s">
        <v>589</v>
      </c>
      <c r="N79" s="135" t="s">
        <v>594</v>
      </c>
      <c r="O79" s="62" t="s">
        <v>58</v>
      </c>
      <c r="P79" s="185" t="s">
        <v>592</v>
      </c>
      <c r="Q79" s="18"/>
      <c r="R79" s="37"/>
      <c r="S79" s="15" t="s">
        <v>143</v>
      </c>
      <c r="T79" s="15" t="s">
        <v>152</v>
      </c>
      <c r="U79" s="15" t="s">
        <v>546</v>
      </c>
      <c r="V79" s="63">
        <v>71</v>
      </c>
      <c r="W79" s="146">
        <f>108</f>
        <v>108</v>
      </c>
      <c r="X79" s="15">
        <f t="shared" si="25"/>
        <v>108</v>
      </c>
      <c r="Y79" s="15">
        <f>ROUNDDOWN(W79/HLOOKUP(D79,Table!$C$3:$D$4,2,0)*8,2)</f>
        <v>1.92</v>
      </c>
      <c r="Z79" s="15">
        <v>1</v>
      </c>
      <c r="AA79" s="15" t="s">
        <v>21</v>
      </c>
      <c r="AB79" s="19">
        <v>44132</v>
      </c>
      <c r="AC79" s="19">
        <v>44125</v>
      </c>
      <c r="AD79" s="70">
        <v>44132</v>
      </c>
      <c r="AE79" s="19">
        <v>44126</v>
      </c>
      <c r="AF79" s="19">
        <v>44126</v>
      </c>
      <c r="AG79" s="19" t="s">
        <v>130</v>
      </c>
      <c r="AH79" s="91">
        <v>1</v>
      </c>
      <c r="AI79" s="91">
        <v>1</v>
      </c>
      <c r="AJ79" s="91">
        <v>1</v>
      </c>
      <c r="AK79" s="19" t="s">
        <v>117</v>
      </c>
      <c r="AL79" s="17" t="s">
        <v>58</v>
      </c>
      <c r="AM79" s="17" t="s">
        <v>58</v>
      </c>
      <c r="AN79" s="137" t="s">
        <v>620</v>
      </c>
    </row>
    <row r="80" spans="2:40" x14ac:dyDescent="0.25">
      <c r="B80" s="145">
        <f t="shared" si="21"/>
        <v>21</v>
      </c>
      <c r="C80" s="16">
        <v>20201021</v>
      </c>
      <c r="D80" s="63" t="s">
        <v>3</v>
      </c>
      <c r="E80" s="62" t="s">
        <v>576</v>
      </c>
      <c r="F80" s="104" t="s">
        <v>607</v>
      </c>
      <c r="G80" s="63">
        <v>1739917</v>
      </c>
      <c r="H80" s="37" t="s">
        <v>58</v>
      </c>
      <c r="I80" s="16" t="s">
        <v>582</v>
      </c>
      <c r="J80" s="124" t="s">
        <v>58</v>
      </c>
      <c r="K80" s="15" t="s">
        <v>165</v>
      </c>
      <c r="L80" s="15" t="s">
        <v>588</v>
      </c>
      <c r="M80" s="15" t="s">
        <v>589</v>
      </c>
      <c r="N80" s="135" t="s">
        <v>594</v>
      </c>
      <c r="O80" s="62" t="s">
        <v>58</v>
      </c>
      <c r="P80" s="185" t="s">
        <v>592</v>
      </c>
      <c r="Q80" s="18"/>
      <c r="R80" s="37"/>
      <c r="S80" s="15" t="s">
        <v>141</v>
      </c>
      <c r="T80" s="15" t="s">
        <v>64</v>
      </c>
      <c r="U80" s="15" t="s">
        <v>546</v>
      </c>
      <c r="V80" s="63">
        <v>154</v>
      </c>
      <c r="W80" s="15">
        <f t="shared" si="24"/>
        <v>154</v>
      </c>
      <c r="X80" s="15">
        <f t="shared" si="25"/>
        <v>154</v>
      </c>
      <c r="Y80" s="15">
        <f>ROUNDDOWN(W80/HLOOKUP(D80,Table!$C$3:$D$4,2,0)*8,2)</f>
        <v>2.73</v>
      </c>
      <c r="Z80" s="15">
        <f>Y80</f>
        <v>2.73</v>
      </c>
      <c r="AA80" s="15" t="s">
        <v>21</v>
      </c>
      <c r="AB80" s="19">
        <v>44132</v>
      </c>
      <c r="AC80" s="19">
        <v>44125</v>
      </c>
      <c r="AD80" s="70">
        <v>44132</v>
      </c>
      <c r="AE80" s="19">
        <v>44126</v>
      </c>
      <c r="AF80" s="19">
        <v>44126</v>
      </c>
      <c r="AG80" s="19" t="s">
        <v>130</v>
      </c>
      <c r="AH80" s="91">
        <v>1</v>
      </c>
      <c r="AI80" s="91">
        <v>1</v>
      </c>
      <c r="AJ80" s="91">
        <v>1</v>
      </c>
      <c r="AK80" s="19" t="s">
        <v>117</v>
      </c>
      <c r="AL80" s="17" t="s">
        <v>58</v>
      </c>
      <c r="AM80" s="17" t="s">
        <v>58</v>
      </c>
      <c r="AN80" s="17" t="s">
        <v>58</v>
      </c>
    </row>
    <row r="81" spans="2:40" x14ac:dyDescent="0.25">
      <c r="B81" s="145">
        <f t="shared" si="21"/>
        <v>22</v>
      </c>
      <c r="C81" s="16">
        <v>20201021</v>
      </c>
      <c r="D81" s="63" t="s">
        <v>3</v>
      </c>
      <c r="E81" s="62" t="s">
        <v>576</v>
      </c>
      <c r="F81" s="104" t="s">
        <v>871</v>
      </c>
      <c r="G81" s="63">
        <v>1739917</v>
      </c>
      <c r="H81" s="37" t="s">
        <v>58</v>
      </c>
      <c r="I81" s="74" t="s">
        <v>583</v>
      </c>
      <c r="J81" s="124" t="s">
        <v>58</v>
      </c>
      <c r="K81" s="15" t="s">
        <v>165</v>
      </c>
      <c r="L81" s="15" t="s">
        <v>588</v>
      </c>
      <c r="M81" s="15" t="s">
        <v>589</v>
      </c>
      <c r="N81" s="135" t="s">
        <v>594</v>
      </c>
      <c r="O81" s="62" t="s">
        <v>58</v>
      </c>
      <c r="P81" s="185" t="s">
        <v>592</v>
      </c>
      <c r="Q81" s="18"/>
      <c r="R81" s="37"/>
      <c r="S81" s="15" t="s">
        <v>141</v>
      </c>
      <c r="T81" s="15" t="s">
        <v>64</v>
      </c>
      <c r="U81" s="15" t="s">
        <v>546</v>
      </c>
      <c r="V81" s="63">
        <v>82</v>
      </c>
      <c r="W81" s="146">
        <v>92</v>
      </c>
      <c r="X81" s="15">
        <f t="shared" si="25"/>
        <v>92</v>
      </c>
      <c r="Y81" s="15">
        <f>ROUNDDOWN(W81/HLOOKUP(D81,Table!$C$3:$D$4,2,0)*8,2)</f>
        <v>1.63</v>
      </c>
      <c r="Z81" s="15">
        <f>Y81</f>
        <v>1.63</v>
      </c>
      <c r="AA81" s="15" t="s">
        <v>21</v>
      </c>
      <c r="AB81" s="19">
        <v>44132</v>
      </c>
      <c r="AC81" s="19">
        <v>44125</v>
      </c>
      <c r="AD81" s="70">
        <v>44132</v>
      </c>
      <c r="AE81" s="19">
        <v>44126</v>
      </c>
      <c r="AF81" s="19">
        <v>44126</v>
      </c>
      <c r="AG81" s="19" t="s">
        <v>130</v>
      </c>
      <c r="AH81" s="91">
        <v>1</v>
      </c>
      <c r="AI81" s="91">
        <v>1</v>
      </c>
      <c r="AJ81" s="91">
        <v>1</v>
      </c>
      <c r="AK81" s="19" t="s">
        <v>117</v>
      </c>
      <c r="AL81" s="17" t="s">
        <v>58</v>
      </c>
      <c r="AM81" s="17" t="s">
        <v>58</v>
      </c>
      <c r="AN81" s="17" t="s">
        <v>58</v>
      </c>
    </row>
    <row r="82" spans="2:40" ht="30" x14ac:dyDescent="0.25">
      <c r="B82" s="145">
        <f t="shared" si="21"/>
        <v>23</v>
      </c>
      <c r="C82" s="16">
        <v>20201021</v>
      </c>
      <c r="D82" s="63" t="s">
        <v>3</v>
      </c>
      <c r="E82" s="62" t="s">
        <v>576</v>
      </c>
      <c r="F82" s="104" t="s">
        <v>625</v>
      </c>
      <c r="G82" s="63">
        <v>1739917</v>
      </c>
      <c r="H82" s="37" t="s">
        <v>58</v>
      </c>
      <c r="I82" s="74" t="s">
        <v>584</v>
      </c>
      <c r="J82" s="124" t="s">
        <v>58</v>
      </c>
      <c r="K82" s="15" t="s">
        <v>165</v>
      </c>
      <c r="L82" s="15" t="s">
        <v>588</v>
      </c>
      <c r="M82" s="15" t="s">
        <v>589</v>
      </c>
      <c r="N82" s="135" t="s">
        <v>594</v>
      </c>
      <c r="O82" s="62" t="s">
        <v>58</v>
      </c>
      <c r="P82" s="185" t="s">
        <v>592</v>
      </c>
      <c r="Q82" s="18"/>
      <c r="R82" s="37"/>
      <c r="S82" s="15" t="s">
        <v>142</v>
      </c>
      <c r="T82" s="15" t="s">
        <v>141</v>
      </c>
      <c r="U82" s="15" t="s">
        <v>546</v>
      </c>
      <c r="V82" s="63">
        <v>39</v>
      </c>
      <c r="W82" s="15">
        <f t="shared" si="24"/>
        <v>39</v>
      </c>
      <c r="X82" s="15">
        <f t="shared" si="25"/>
        <v>39</v>
      </c>
      <c r="Y82" s="15">
        <f>ROUNDDOWN(W82/HLOOKUP(D82,Table!$C$3:$D$4,2,0)*8,2)</f>
        <v>0.69</v>
      </c>
      <c r="Z82" s="15">
        <v>1</v>
      </c>
      <c r="AA82" s="15" t="s">
        <v>21</v>
      </c>
      <c r="AB82" s="19">
        <v>44132</v>
      </c>
      <c r="AC82" s="19">
        <v>44125</v>
      </c>
      <c r="AD82" s="70">
        <v>44132</v>
      </c>
      <c r="AE82" s="19">
        <v>44125</v>
      </c>
      <c r="AF82" s="19">
        <v>44125</v>
      </c>
      <c r="AG82" s="19" t="s">
        <v>131</v>
      </c>
      <c r="AH82" s="91">
        <v>0.64</v>
      </c>
      <c r="AI82" s="91">
        <v>1</v>
      </c>
      <c r="AJ82" s="91">
        <v>1</v>
      </c>
      <c r="AK82" s="19" t="s">
        <v>107</v>
      </c>
      <c r="AL82" s="17" t="s">
        <v>603</v>
      </c>
      <c r="AM82" s="17" t="s">
        <v>58</v>
      </c>
      <c r="AN82" s="136" t="s">
        <v>604</v>
      </c>
    </row>
    <row r="83" spans="2:40" x14ac:dyDescent="0.25">
      <c r="B83" s="145">
        <f t="shared" si="21"/>
        <v>24</v>
      </c>
      <c r="C83" s="16">
        <v>20201021</v>
      </c>
      <c r="D83" s="63" t="s">
        <v>3</v>
      </c>
      <c r="E83" s="62" t="s">
        <v>576</v>
      </c>
      <c r="F83" s="197" t="s">
        <v>676</v>
      </c>
      <c r="G83" s="63">
        <v>1739917</v>
      </c>
      <c r="H83" s="37" t="s">
        <v>58</v>
      </c>
      <c r="I83" s="74" t="s">
        <v>585</v>
      </c>
      <c r="J83" s="124" t="s">
        <v>58</v>
      </c>
      <c r="K83" s="15" t="s">
        <v>165</v>
      </c>
      <c r="L83" s="15" t="s">
        <v>588</v>
      </c>
      <c r="M83" s="15" t="s">
        <v>589</v>
      </c>
      <c r="N83" s="135" t="s">
        <v>594</v>
      </c>
      <c r="O83" s="62" t="s">
        <v>58</v>
      </c>
      <c r="P83" s="185" t="s">
        <v>592</v>
      </c>
      <c r="Q83" s="18"/>
      <c r="R83" s="37"/>
      <c r="S83" s="15" t="s">
        <v>64</v>
      </c>
      <c r="T83" s="15" t="s">
        <v>143</v>
      </c>
      <c r="U83" s="15" t="s">
        <v>546</v>
      </c>
      <c r="V83" s="63">
        <v>200</v>
      </c>
      <c r="W83" s="15">
        <v>209</v>
      </c>
      <c r="X83" s="15">
        <f t="shared" si="25"/>
        <v>209</v>
      </c>
      <c r="Y83" s="15">
        <f>ROUNDDOWN(W83/HLOOKUP(D83,Table!$C$3:$D$4,2,0)*8,2)</f>
        <v>3.71</v>
      </c>
      <c r="Z83" s="15">
        <v>4</v>
      </c>
      <c r="AA83" s="15" t="s">
        <v>21</v>
      </c>
      <c r="AB83" s="19">
        <v>44132</v>
      </c>
      <c r="AC83" s="19">
        <v>44125</v>
      </c>
      <c r="AD83" s="70">
        <v>44132</v>
      </c>
      <c r="AE83" s="19">
        <v>44126</v>
      </c>
      <c r="AF83" s="19">
        <v>44126</v>
      </c>
      <c r="AG83" s="19" t="s">
        <v>130</v>
      </c>
      <c r="AH83" s="91">
        <v>1</v>
      </c>
      <c r="AI83" s="91">
        <v>1</v>
      </c>
      <c r="AJ83" s="91">
        <v>1</v>
      </c>
      <c r="AK83" s="19" t="s">
        <v>117</v>
      </c>
      <c r="AL83" s="17" t="s">
        <v>58</v>
      </c>
      <c r="AM83" s="17" t="s">
        <v>58</v>
      </c>
      <c r="AN83" s="17" t="s">
        <v>633</v>
      </c>
    </row>
    <row r="84" spans="2:40" ht="90" x14ac:dyDescent="0.25">
      <c r="B84" s="145">
        <f t="shared" si="21"/>
        <v>25</v>
      </c>
      <c r="C84" s="16">
        <v>20201021</v>
      </c>
      <c r="D84" s="63" t="s">
        <v>3</v>
      </c>
      <c r="E84" s="62" t="s">
        <v>576</v>
      </c>
      <c r="F84" s="104" t="s">
        <v>626</v>
      </c>
      <c r="G84" s="63">
        <v>1739917</v>
      </c>
      <c r="H84" s="37" t="s">
        <v>58</v>
      </c>
      <c r="I84" s="74" t="s">
        <v>586</v>
      </c>
      <c r="J84" s="124" t="s">
        <v>58</v>
      </c>
      <c r="K84" s="15" t="s">
        <v>165</v>
      </c>
      <c r="L84" s="15" t="s">
        <v>588</v>
      </c>
      <c r="M84" s="15" t="s">
        <v>589</v>
      </c>
      <c r="N84" s="135" t="s">
        <v>594</v>
      </c>
      <c r="O84" s="62" t="s">
        <v>58</v>
      </c>
      <c r="P84" s="185" t="s">
        <v>592</v>
      </c>
      <c r="Q84" s="18"/>
      <c r="R84" s="37"/>
      <c r="S84" s="15" t="s">
        <v>142</v>
      </c>
      <c r="T84" s="15" t="s">
        <v>141</v>
      </c>
      <c r="U84" s="15" t="s">
        <v>546</v>
      </c>
      <c r="V84" s="63">
        <v>54</v>
      </c>
      <c r="W84" s="15">
        <f t="shared" si="24"/>
        <v>54</v>
      </c>
      <c r="X84" s="15">
        <f t="shared" si="25"/>
        <v>54</v>
      </c>
      <c r="Y84" s="15">
        <f>ROUNDDOWN(W84/HLOOKUP(D84,Table!$C$3:$D$4,2,0)*8,2)</f>
        <v>0.96</v>
      </c>
      <c r="Z84" s="15">
        <v>1</v>
      </c>
      <c r="AA84" s="15" t="s">
        <v>21</v>
      </c>
      <c r="AB84" s="19">
        <v>44132</v>
      </c>
      <c r="AC84" s="19">
        <v>44125</v>
      </c>
      <c r="AD84" s="70">
        <v>44132</v>
      </c>
      <c r="AE84" s="19">
        <v>44125</v>
      </c>
      <c r="AF84" s="19">
        <v>44125</v>
      </c>
      <c r="AG84" s="19" t="s">
        <v>131</v>
      </c>
      <c r="AH84" s="91">
        <v>1</v>
      </c>
      <c r="AI84" s="91">
        <v>0.9</v>
      </c>
      <c r="AJ84" s="91">
        <v>1</v>
      </c>
      <c r="AK84" s="19" t="s">
        <v>107</v>
      </c>
      <c r="AL84" s="17" t="s">
        <v>639</v>
      </c>
      <c r="AM84" s="17" t="s">
        <v>58</v>
      </c>
      <c r="AN84" s="136" t="s">
        <v>917</v>
      </c>
    </row>
    <row r="85" spans="2:40" x14ac:dyDescent="0.25">
      <c r="B85" s="145">
        <f t="shared" si="21"/>
        <v>26</v>
      </c>
      <c r="C85" s="16">
        <v>20201021</v>
      </c>
      <c r="D85" s="63" t="s">
        <v>3</v>
      </c>
      <c r="E85" s="62" t="s">
        <v>576</v>
      </c>
      <c r="F85" s="104" t="s">
        <v>627</v>
      </c>
      <c r="G85" s="63">
        <v>1739917</v>
      </c>
      <c r="H85" s="37" t="s">
        <v>58</v>
      </c>
      <c r="I85" s="74" t="s">
        <v>587</v>
      </c>
      <c r="J85" s="124" t="s">
        <v>58</v>
      </c>
      <c r="K85" s="15" t="s">
        <v>165</v>
      </c>
      <c r="L85" s="15" t="s">
        <v>588</v>
      </c>
      <c r="M85" s="15" t="s">
        <v>589</v>
      </c>
      <c r="N85" s="135" t="s">
        <v>594</v>
      </c>
      <c r="O85" s="62" t="s">
        <v>58</v>
      </c>
      <c r="P85" s="185" t="s">
        <v>592</v>
      </c>
      <c r="Q85" s="18"/>
      <c r="R85" s="37"/>
      <c r="S85" s="15" t="s">
        <v>142</v>
      </c>
      <c r="T85" s="15" t="s">
        <v>141</v>
      </c>
      <c r="U85" s="15" t="s">
        <v>546</v>
      </c>
      <c r="V85" s="63">
        <v>96</v>
      </c>
      <c r="W85" s="15">
        <f t="shared" si="24"/>
        <v>96</v>
      </c>
      <c r="X85" s="15">
        <f t="shared" si="25"/>
        <v>96</v>
      </c>
      <c r="Y85" s="15">
        <f>ROUNDDOWN(W85/HLOOKUP(D85,Table!$C$3:$D$4,2,0)*8,2)</f>
        <v>1.7</v>
      </c>
      <c r="Z85" s="15">
        <v>2</v>
      </c>
      <c r="AA85" s="15" t="s">
        <v>21</v>
      </c>
      <c r="AB85" s="19">
        <v>44132</v>
      </c>
      <c r="AC85" s="19">
        <v>44125</v>
      </c>
      <c r="AD85" s="70">
        <v>44132</v>
      </c>
      <c r="AE85" s="19">
        <v>44126</v>
      </c>
      <c r="AF85" s="19">
        <v>44126</v>
      </c>
      <c r="AG85" s="19" t="s">
        <v>130</v>
      </c>
      <c r="AH85" s="91">
        <v>1</v>
      </c>
      <c r="AI85" s="91">
        <v>1</v>
      </c>
      <c r="AJ85" s="91">
        <v>1</v>
      </c>
      <c r="AK85" s="19" t="s">
        <v>117</v>
      </c>
      <c r="AL85" s="17" t="s">
        <v>58</v>
      </c>
      <c r="AM85" s="17" t="s">
        <v>58</v>
      </c>
      <c r="AN85" s="17" t="s">
        <v>619</v>
      </c>
    </row>
    <row r="86" spans="2:40" x14ac:dyDescent="0.25">
      <c r="B86" s="153">
        <f t="shared" si="21"/>
        <v>27</v>
      </c>
      <c r="C86" s="16">
        <v>20201021</v>
      </c>
      <c r="D86" s="63" t="s">
        <v>3</v>
      </c>
      <c r="E86" s="62" t="s">
        <v>576</v>
      </c>
      <c r="F86" s="104" t="s">
        <v>607</v>
      </c>
      <c r="G86" s="155">
        <v>1739917</v>
      </c>
      <c r="H86" s="37" t="s">
        <v>58</v>
      </c>
      <c r="I86" s="74" t="s">
        <v>578</v>
      </c>
      <c r="J86" s="124" t="s">
        <v>58</v>
      </c>
      <c r="K86" s="15" t="s">
        <v>165</v>
      </c>
      <c r="L86" s="15" t="s">
        <v>588</v>
      </c>
      <c r="M86" s="15" t="s">
        <v>589</v>
      </c>
      <c r="N86" s="156" t="s">
        <v>594</v>
      </c>
      <c r="O86" s="62" t="s">
        <v>58</v>
      </c>
      <c r="P86" s="185" t="s">
        <v>592</v>
      </c>
      <c r="Q86" s="18"/>
      <c r="R86" s="37"/>
      <c r="S86" s="15" t="s">
        <v>152</v>
      </c>
      <c r="T86" s="15" t="s">
        <v>142</v>
      </c>
      <c r="U86" s="15" t="s">
        <v>546</v>
      </c>
      <c r="V86" s="63">
        <v>145</v>
      </c>
      <c r="W86" s="146">
        <v>211</v>
      </c>
      <c r="X86" s="15">
        <f t="shared" ref="X86:X91" si="26">W86</f>
        <v>211</v>
      </c>
      <c r="Y86" s="15">
        <f>ROUNDDOWN(W86/HLOOKUP(D86,Table!$C$3:$D$4,2,0)*8,2)</f>
        <v>3.75</v>
      </c>
      <c r="Z86" s="15">
        <v>1</v>
      </c>
      <c r="AA86" s="15" t="s">
        <v>21</v>
      </c>
      <c r="AB86" s="19">
        <v>44132</v>
      </c>
      <c r="AC86" s="19">
        <v>44130</v>
      </c>
      <c r="AD86" s="70">
        <v>44132</v>
      </c>
      <c r="AE86" s="19">
        <v>44131</v>
      </c>
      <c r="AF86" s="19">
        <v>44131</v>
      </c>
      <c r="AG86" s="19" t="s">
        <v>130</v>
      </c>
      <c r="AH86" s="25">
        <v>1</v>
      </c>
      <c r="AI86" s="25">
        <v>1</v>
      </c>
      <c r="AJ86" s="25">
        <v>1</v>
      </c>
      <c r="AK86" s="19" t="s">
        <v>117</v>
      </c>
      <c r="AL86" s="17" t="s">
        <v>58</v>
      </c>
      <c r="AM86" s="17" t="s">
        <v>58</v>
      </c>
      <c r="AN86" s="17" t="s">
        <v>58</v>
      </c>
    </row>
    <row r="87" spans="2:40" x14ac:dyDescent="0.25">
      <c r="B87" s="153">
        <f t="shared" si="21"/>
        <v>28</v>
      </c>
      <c r="C87" s="16">
        <v>20201021</v>
      </c>
      <c r="D87" s="63" t="s">
        <v>3</v>
      </c>
      <c r="E87" s="62" t="s">
        <v>576</v>
      </c>
      <c r="F87" s="104" t="s">
        <v>607</v>
      </c>
      <c r="G87" s="74">
        <v>1739917</v>
      </c>
      <c r="H87" s="37" t="s">
        <v>58</v>
      </c>
      <c r="I87" s="16" t="s">
        <v>582</v>
      </c>
      <c r="J87" s="124" t="s">
        <v>58</v>
      </c>
      <c r="K87" s="15" t="s">
        <v>165</v>
      </c>
      <c r="L87" s="15" t="s">
        <v>588</v>
      </c>
      <c r="M87" s="15" t="s">
        <v>589</v>
      </c>
      <c r="N87" s="225" t="s">
        <v>594</v>
      </c>
      <c r="O87" s="62" t="s">
        <v>58</v>
      </c>
      <c r="P87" s="185" t="s">
        <v>592</v>
      </c>
      <c r="Q87" s="18"/>
      <c r="R87" s="37"/>
      <c r="S87" s="15" t="s">
        <v>141</v>
      </c>
      <c r="T87" s="15" t="s">
        <v>64</v>
      </c>
      <c r="U87" s="15" t="s">
        <v>546</v>
      </c>
      <c r="V87" s="63">
        <v>154</v>
      </c>
      <c r="W87" s="15">
        <f t="shared" ref="W87:W88" si="27">V87</f>
        <v>154</v>
      </c>
      <c r="X87" s="15">
        <f t="shared" si="26"/>
        <v>154</v>
      </c>
      <c r="Y87" s="15">
        <f>ROUNDDOWN(W87/HLOOKUP(D87,Table!$C$3:$D$4,2,0)*8,2)</f>
        <v>2.73</v>
      </c>
      <c r="Z87" s="15">
        <f>Y87</f>
        <v>2.73</v>
      </c>
      <c r="AA87" s="15" t="s">
        <v>21</v>
      </c>
      <c r="AB87" s="19">
        <v>44132</v>
      </c>
      <c r="AC87" s="19">
        <v>44130</v>
      </c>
      <c r="AD87" s="70">
        <v>44132</v>
      </c>
      <c r="AE87" s="19">
        <v>44130</v>
      </c>
      <c r="AF87" s="19">
        <v>44130</v>
      </c>
      <c r="AG87" s="19" t="s">
        <v>130</v>
      </c>
      <c r="AH87" s="91">
        <v>1</v>
      </c>
      <c r="AI87" s="91">
        <v>1</v>
      </c>
      <c r="AJ87" s="91">
        <v>1</v>
      </c>
      <c r="AK87" s="19" t="s">
        <v>117</v>
      </c>
      <c r="AL87" s="17" t="s">
        <v>58</v>
      </c>
      <c r="AM87" s="17" t="s">
        <v>58</v>
      </c>
      <c r="AN87" s="17" t="s">
        <v>58</v>
      </c>
    </row>
    <row r="88" spans="2:40" x14ac:dyDescent="0.25">
      <c r="B88" s="153">
        <f t="shared" si="21"/>
        <v>29</v>
      </c>
      <c r="C88" s="16">
        <v>20201021</v>
      </c>
      <c r="D88" s="63" t="s">
        <v>3</v>
      </c>
      <c r="E88" s="62" t="s">
        <v>576</v>
      </c>
      <c r="F88" s="104" t="s">
        <v>626</v>
      </c>
      <c r="G88" s="74">
        <v>1739917</v>
      </c>
      <c r="H88" s="37" t="s">
        <v>58</v>
      </c>
      <c r="I88" s="74" t="s">
        <v>586</v>
      </c>
      <c r="J88" s="124" t="s">
        <v>58</v>
      </c>
      <c r="K88" s="15" t="s">
        <v>165</v>
      </c>
      <c r="L88" s="15" t="s">
        <v>588</v>
      </c>
      <c r="M88" s="15" t="s">
        <v>589</v>
      </c>
      <c r="N88" s="225" t="s">
        <v>594</v>
      </c>
      <c r="O88" s="62" t="s">
        <v>58</v>
      </c>
      <c r="P88" s="185" t="s">
        <v>592</v>
      </c>
      <c r="Q88" s="18"/>
      <c r="R88" s="37"/>
      <c r="S88" s="15" t="s">
        <v>142</v>
      </c>
      <c r="T88" s="15" t="s">
        <v>141</v>
      </c>
      <c r="U88" s="15" t="s">
        <v>546</v>
      </c>
      <c r="V88" s="63">
        <v>54</v>
      </c>
      <c r="W88" s="15">
        <f t="shared" si="27"/>
        <v>54</v>
      </c>
      <c r="X88" s="15">
        <f t="shared" si="26"/>
        <v>54</v>
      </c>
      <c r="Y88" s="15">
        <f>ROUNDDOWN(W88/HLOOKUP(D88,Table!$C$3:$D$4,2,0)*8,2)</f>
        <v>0.96</v>
      </c>
      <c r="Z88" s="15">
        <v>1</v>
      </c>
      <c r="AA88" s="15" t="s">
        <v>21</v>
      </c>
      <c r="AB88" s="19">
        <v>44132</v>
      </c>
      <c r="AC88" s="19">
        <v>44130</v>
      </c>
      <c r="AD88" s="70">
        <v>44132</v>
      </c>
      <c r="AE88" s="19">
        <v>44130</v>
      </c>
      <c r="AF88" s="19">
        <v>44130</v>
      </c>
      <c r="AG88" s="19" t="s">
        <v>130</v>
      </c>
      <c r="AH88" s="91">
        <v>1</v>
      </c>
      <c r="AI88" s="91">
        <v>1</v>
      </c>
      <c r="AJ88" s="91">
        <v>1</v>
      </c>
      <c r="AK88" s="19" t="s">
        <v>117</v>
      </c>
      <c r="AL88" s="17" t="s">
        <v>58</v>
      </c>
      <c r="AM88" s="17" t="s">
        <v>58</v>
      </c>
      <c r="AN88" s="17" t="s">
        <v>678</v>
      </c>
    </row>
    <row r="89" spans="2:40" x14ac:dyDescent="0.25">
      <c r="B89" s="153">
        <f t="shared" si="21"/>
        <v>30</v>
      </c>
      <c r="C89" s="16">
        <v>20201021</v>
      </c>
      <c r="D89" s="63" t="s">
        <v>3</v>
      </c>
      <c r="E89" s="62" t="s">
        <v>576</v>
      </c>
      <c r="F89" s="104" t="s">
        <v>680</v>
      </c>
      <c r="G89" s="74">
        <v>1739917</v>
      </c>
      <c r="H89" s="37" t="s">
        <v>58</v>
      </c>
      <c r="I89" s="74" t="s">
        <v>679</v>
      </c>
      <c r="J89" s="124" t="s">
        <v>58</v>
      </c>
      <c r="K89" s="15" t="s">
        <v>165</v>
      </c>
      <c r="L89" s="15" t="s">
        <v>588</v>
      </c>
      <c r="M89" s="15" t="s">
        <v>589</v>
      </c>
      <c r="N89" s="225" t="s">
        <v>594</v>
      </c>
      <c r="O89" s="62" t="s">
        <v>58</v>
      </c>
      <c r="P89" s="185" t="s">
        <v>592</v>
      </c>
      <c r="Q89" s="18"/>
      <c r="R89" s="37"/>
      <c r="S89" s="15" t="s">
        <v>142</v>
      </c>
      <c r="T89" s="15" t="s">
        <v>141</v>
      </c>
      <c r="U89" s="15" t="s">
        <v>546</v>
      </c>
      <c r="V89" s="63">
        <v>162</v>
      </c>
      <c r="W89" s="15">
        <v>162</v>
      </c>
      <c r="X89" s="15">
        <f t="shared" si="26"/>
        <v>162</v>
      </c>
      <c r="Y89" s="15">
        <f>ROUNDDOWN(W89/HLOOKUP(D89,Table!$C$3:$D$4,2,0)*8,2)</f>
        <v>2.88</v>
      </c>
      <c r="Z89" s="15">
        <v>2</v>
      </c>
      <c r="AA89" s="15" t="s">
        <v>21</v>
      </c>
      <c r="AB89" s="19">
        <v>44132</v>
      </c>
      <c r="AC89" s="19">
        <v>44130</v>
      </c>
      <c r="AD89" s="70">
        <v>44132</v>
      </c>
      <c r="AE89" s="19">
        <v>44130</v>
      </c>
      <c r="AF89" s="19">
        <v>44130</v>
      </c>
      <c r="AG89" s="19" t="s">
        <v>130</v>
      </c>
      <c r="AH89" s="91">
        <v>1</v>
      </c>
      <c r="AI89" s="91">
        <v>1</v>
      </c>
      <c r="AJ89" s="91">
        <v>1</v>
      </c>
      <c r="AK89" s="19" t="s">
        <v>117</v>
      </c>
      <c r="AL89" s="17" t="s">
        <v>58</v>
      </c>
      <c r="AM89" s="17" t="s">
        <v>58</v>
      </c>
      <c r="AN89" s="17" t="s">
        <v>58</v>
      </c>
    </row>
    <row r="90" spans="2:40" ht="60" x14ac:dyDescent="0.25">
      <c r="B90" s="144">
        <f t="shared" si="21"/>
        <v>31</v>
      </c>
      <c r="C90" s="16">
        <v>20201022</v>
      </c>
      <c r="D90" s="63" t="s">
        <v>3</v>
      </c>
      <c r="E90" s="62" t="s">
        <v>253</v>
      </c>
      <c r="F90" s="104" t="s">
        <v>635</v>
      </c>
      <c r="G90" s="63">
        <v>1741133</v>
      </c>
      <c r="H90" s="37" t="s">
        <v>58</v>
      </c>
      <c r="I90" s="74" t="s">
        <v>610</v>
      </c>
      <c r="J90" s="124" t="s">
        <v>58</v>
      </c>
      <c r="K90" s="15" t="s">
        <v>167</v>
      </c>
      <c r="L90" s="15" t="s">
        <v>117</v>
      </c>
      <c r="M90" s="15" t="s">
        <v>474</v>
      </c>
      <c r="N90" s="190" t="s">
        <v>511</v>
      </c>
      <c r="O90" s="62" t="s">
        <v>58</v>
      </c>
      <c r="P90" s="63" t="s">
        <v>628</v>
      </c>
      <c r="Q90" s="18"/>
      <c r="R90" s="37"/>
      <c r="S90" s="15" t="s">
        <v>143</v>
      </c>
      <c r="T90" s="15" t="s">
        <v>152</v>
      </c>
      <c r="U90" s="15" t="s">
        <v>546</v>
      </c>
      <c r="V90" s="63">
        <v>810</v>
      </c>
      <c r="W90" s="146">
        <f>V90*2</f>
        <v>1620</v>
      </c>
      <c r="X90" s="15">
        <f t="shared" si="26"/>
        <v>1620</v>
      </c>
      <c r="Y90" s="15">
        <f>ROUNDDOWN(W90/HLOOKUP(D90,Table!$C$3:$D$4,2,0)*8,2)</f>
        <v>28.8</v>
      </c>
      <c r="Z90" s="15">
        <f>Y90</f>
        <v>28.8</v>
      </c>
      <c r="AA90" s="15" t="s">
        <v>21</v>
      </c>
      <c r="AB90" s="19">
        <v>44133</v>
      </c>
      <c r="AC90" s="19">
        <v>44126</v>
      </c>
      <c r="AD90" s="108">
        <v>44133</v>
      </c>
      <c r="AE90" s="19">
        <v>44130</v>
      </c>
      <c r="AF90" s="19">
        <v>44132</v>
      </c>
      <c r="AG90" s="19" t="s">
        <v>130</v>
      </c>
      <c r="AH90" s="91">
        <v>1</v>
      </c>
      <c r="AI90" s="91">
        <v>1</v>
      </c>
      <c r="AJ90" s="91">
        <v>1</v>
      </c>
      <c r="AK90" s="19" t="s">
        <v>117</v>
      </c>
      <c r="AL90" s="17" t="s">
        <v>58</v>
      </c>
      <c r="AM90" s="17" t="s">
        <v>58</v>
      </c>
      <c r="AN90" s="137" t="s">
        <v>918</v>
      </c>
    </row>
    <row r="91" spans="2:40" ht="45" x14ac:dyDescent="0.25">
      <c r="B91" s="144">
        <f t="shared" si="21"/>
        <v>32</v>
      </c>
      <c r="C91" s="16">
        <v>20201022</v>
      </c>
      <c r="D91" s="63" t="s">
        <v>3</v>
      </c>
      <c r="E91" s="62" t="s">
        <v>253</v>
      </c>
      <c r="F91" s="104" t="s">
        <v>634</v>
      </c>
      <c r="G91" s="63">
        <v>1741133</v>
      </c>
      <c r="H91" s="37" t="s">
        <v>58</v>
      </c>
      <c r="I91" s="74" t="s">
        <v>611</v>
      </c>
      <c r="J91" s="124" t="s">
        <v>58</v>
      </c>
      <c r="K91" s="15" t="s">
        <v>167</v>
      </c>
      <c r="L91" s="15" t="s">
        <v>117</v>
      </c>
      <c r="M91" s="15" t="s">
        <v>474</v>
      </c>
      <c r="N91" s="190" t="s">
        <v>511</v>
      </c>
      <c r="O91" s="62" t="s">
        <v>58</v>
      </c>
      <c r="P91" s="63" t="s">
        <v>628</v>
      </c>
      <c r="Q91" s="18"/>
      <c r="R91" s="37"/>
      <c r="S91" s="15" t="s">
        <v>142</v>
      </c>
      <c r="T91" s="15" t="s">
        <v>141</v>
      </c>
      <c r="U91" s="15" t="s">
        <v>546</v>
      </c>
      <c r="V91" s="63">
        <v>240</v>
      </c>
      <c r="W91" s="18">
        <f>V91*1.5</f>
        <v>360</v>
      </c>
      <c r="X91" s="15">
        <f t="shared" si="26"/>
        <v>360</v>
      </c>
      <c r="Y91" s="15">
        <f>ROUNDDOWN(W91/HLOOKUP(D91,Table!$C$3:$D$4,2,0)*8,2)</f>
        <v>6.4</v>
      </c>
      <c r="Z91" s="15">
        <v>3</v>
      </c>
      <c r="AA91" s="15" t="s">
        <v>21</v>
      </c>
      <c r="AB91" s="19">
        <v>44133</v>
      </c>
      <c r="AC91" s="19">
        <v>44126</v>
      </c>
      <c r="AD91" s="108">
        <v>44133</v>
      </c>
      <c r="AE91" s="19">
        <v>44127</v>
      </c>
      <c r="AF91" s="19">
        <v>44127</v>
      </c>
      <c r="AG91" s="19" t="s">
        <v>130</v>
      </c>
      <c r="AH91" s="91">
        <v>1</v>
      </c>
      <c r="AI91" s="91">
        <v>1</v>
      </c>
      <c r="AJ91" s="91">
        <v>1</v>
      </c>
      <c r="AK91" s="19" t="s">
        <v>117</v>
      </c>
      <c r="AL91" s="17" t="s">
        <v>58</v>
      </c>
      <c r="AM91" s="17" t="s">
        <v>58</v>
      </c>
      <c r="AN91" s="137" t="s">
        <v>638</v>
      </c>
    </row>
    <row r="92" spans="2:40" ht="30" x14ac:dyDescent="0.25">
      <c r="B92" s="144">
        <f t="shared" si="21"/>
        <v>33</v>
      </c>
      <c r="C92" s="16">
        <v>20201022</v>
      </c>
      <c r="D92" s="63" t="s">
        <v>3</v>
      </c>
      <c r="E92" s="62" t="s">
        <v>253</v>
      </c>
      <c r="F92" s="104" t="s">
        <v>671</v>
      </c>
      <c r="G92" s="63">
        <v>1741133</v>
      </c>
      <c r="H92" s="37" t="s">
        <v>58</v>
      </c>
      <c r="I92" s="74" t="s">
        <v>612</v>
      </c>
      <c r="J92" s="124" t="s">
        <v>58</v>
      </c>
      <c r="K92" s="15" t="s">
        <v>167</v>
      </c>
      <c r="L92" s="15" t="s">
        <v>117</v>
      </c>
      <c r="M92" s="15" t="s">
        <v>474</v>
      </c>
      <c r="N92" s="190" t="s">
        <v>511</v>
      </c>
      <c r="O92" s="62" t="s">
        <v>58</v>
      </c>
      <c r="P92" s="63" t="s">
        <v>628</v>
      </c>
      <c r="Q92" s="18"/>
      <c r="R92" s="37"/>
      <c r="S92" s="15" t="s">
        <v>152</v>
      </c>
      <c r="T92" s="15" t="s">
        <v>142</v>
      </c>
      <c r="U92" s="15" t="s">
        <v>546</v>
      </c>
      <c r="V92" s="63">
        <v>4</v>
      </c>
      <c r="W92" s="146">
        <v>0</v>
      </c>
      <c r="X92" s="15">
        <v>0</v>
      </c>
      <c r="Y92" s="15">
        <f>ROUNDDOWN(W92/HLOOKUP(D92,Table!$C$3:$D$4,2,0)*8,2)</f>
        <v>0</v>
      </c>
      <c r="Z92" s="15">
        <v>0</v>
      </c>
      <c r="AA92" s="15" t="s">
        <v>21</v>
      </c>
      <c r="AB92" s="19">
        <v>44133</v>
      </c>
      <c r="AC92" s="19">
        <v>44126</v>
      </c>
      <c r="AD92" s="108">
        <v>44133</v>
      </c>
      <c r="AE92" s="19">
        <v>44127</v>
      </c>
      <c r="AF92" s="19">
        <v>44127</v>
      </c>
      <c r="AG92" s="19" t="s">
        <v>130</v>
      </c>
      <c r="AH92" s="91" t="s">
        <v>58</v>
      </c>
      <c r="AI92" s="91" t="s">
        <v>58</v>
      </c>
      <c r="AJ92" s="91" t="s">
        <v>58</v>
      </c>
      <c r="AK92" s="19" t="s">
        <v>117</v>
      </c>
      <c r="AL92" s="17" t="s">
        <v>481</v>
      </c>
      <c r="AM92" s="17" t="s">
        <v>58</v>
      </c>
      <c r="AN92" s="137" t="s">
        <v>509</v>
      </c>
    </row>
    <row r="93" spans="2:40" ht="45" x14ac:dyDescent="0.25">
      <c r="B93" s="144">
        <f t="shared" si="21"/>
        <v>34</v>
      </c>
      <c r="C93" s="16">
        <v>20201022</v>
      </c>
      <c r="D93" s="63" t="s">
        <v>2</v>
      </c>
      <c r="E93" s="62" t="s">
        <v>608</v>
      </c>
      <c r="F93" s="17" t="s">
        <v>58</v>
      </c>
      <c r="G93" s="63">
        <v>1740881</v>
      </c>
      <c r="H93" s="37" t="s">
        <v>58</v>
      </c>
      <c r="I93" s="74" t="s">
        <v>613</v>
      </c>
      <c r="J93" s="124" t="s">
        <v>58</v>
      </c>
      <c r="K93" s="15" t="s">
        <v>167</v>
      </c>
      <c r="L93" s="15" t="s">
        <v>117</v>
      </c>
      <c r="M93" s="15" t="s">
        <v>623</v>
      </c>
      <c r="N93" s="190" t="s">
        <v>621</v>
      </c>
      <c r="O93" s="62" t="s">
        <v>672</v>
      </c>
      <c r="P93" s="186" t="s">
        <v>629</v>
      </c>
      <c r="Q93" s="18"/>
      <c r="R93" s="37"/>
      <c r="S93" s="15" t="s">
        <v>152</v>
      </c>
      <c r="T93" s="15" t="s">
        <v>142</v>
      </c>
      <c r="U93" s="15" t="s">
        <v>546</v>
      </c>
      <c r="V93" s="63">
        <v>40</v>
      </c>
      <c r="W93" s="15">
        <f t="shared" ref="W93" si="28">V93</f>
        <v>40</v>
      </c>
      <c r="X93" s="15">
        <f>W93</f>
        <v>40</v>
      </c>
      <c r="Y93" s="15">
        <f>ROUNDDOWN(W93/HLOOKUP(D93,Table!$C$3:$D$4,2,0)*8,2)</f>
        <v>2.46</v>
      </c>
      <c r="Z93" s="15">
        <v>2</v>
      </c>
      <c r="AA93" s="15" t="s">
        <v>21</v>
      </c>
      <c r="AB93" s="19">
        <v>44133</v>
      </c>
      <c r="AC93" s="19">
        <v>44126</v>
      </c>
      <c r="AD93" s="108">
        <v>44133</v>
      </c>
      <c r="AE93" s="19">
        <v>44131</v>
      </c>
      <c r="AF93" s="19">
        <v>44131</v>
      </c>
      <c r="AG93" s="19" t="s">
        <v>130</v>
      </c>
      <c r="AH93" s="91">
        <v>1</v>
      </c>
      <c r="AI93" s="91">
        <v>1</v>
      </c>
      <c r="AJ93" s="91">
        <v>1</v>
      </c>
      <c r="AK93" s="19" t="s">
        <v>116</v>
      </c>
      <c r="AL93" s="17" t="s">
        <v>58</v>
      </c>
      <c r="AM93" s="17" t="s">
        <v>58</v>
      </c>
      <c r="AN93" s="137" t="s">
        <v>935</v>
      </c>
    </row>
    <row r="94" spans="2:40" ht="75" x14ac:dyDescent="0.25">
      <c r="B94" s="144">
        <f t="shared" si="21"/>
        <v>35</v>
      </c>
      <c r="C94" s="16">
        <v>20201022</v>
      </c>
      <c r="D94" s="63" t="s">
        <v>3</v>
      </c>
      <c r="E94" s="62" t="s">
        <v>609</v>
      </c>
      <c r="F94" s="104" t="s">
        <v>953</v>
      </c>
      <c r="G94" s="63">
        <v>1736928</v>
      </c>
      <c r="H94" s="37" t="s">
        <v>58</v>
      </c>
      <c r="I94" s="74" t="s">
        <v>614</v>
      </c>
      <c r="J94" s="124" t="s">
        <v>58</v>
      </c>
      <c r="K94" s="15" t="s">
        <v>165</v>
      </c>
      <c r="L94" s="15" t="s">
        <v>117</v>
      </c>
      <c r="M94" s="15" t="s">
        <v>624</v>
      </c>
      <c r="N94" s="226" t="s">
        <v>622</v>
      </c>
      <c r="O94" s="62" t="s">
        <v>58</v>
      </c>
      <c r="P94" s="185" t="s">
        <v>630</v>
      </c>
      <c r="Q94" s="18"/>
      <c r="R94" s="37"/>
      <c r="S94" s="15" t="s">
        <v>141</v>
      </c>
      <c r="T94" s="15" t="s">
        <v>64</v>
      </c>
      <c r="U94" s="15" t="s">
        <v>546</v>
      </c>
      <c r="V94" s="63">
        <v>2021</v>
      </c>
      <c r="W94" s="146">
        <f>ROUND(V94*0.7,0)</f>
        <v>1415</v>
      </c>
      <c r="X94" s="15">
        <f t="shared" ref="X94:X105" si="29">W94</f>
        <v>1415</v>
      </c>
      <c r="Y94" s="15">
        <f>ROUNDDOWN(W94/HLOOKUP(D94,Table!$C$3:$D$4,2,0)*8,2)</f>
        <v>25.15</v>
      </c>
      <c r="Z94" s="15">
        <f>Y94</f>
        <v>25.15</v>
      </c>
      <c r="AA94" s="15" t="s">
        <v>21</v>
      </c>
      <c r="AB94" s="19">
        <v>44133</v>
      </c>
      <c r="AC94" s="19">
        <v>44126</v>
      </c>
      <c r="AD94" s="108">
        <v>44133</v>
      </c>
      <c r="AE94" s="19">
        <v>44130</v>
      </c>
      <c r="AF94" s="19">
        <v>44130</v>
      </c>
      <c r="AG94" s="19" t="s">
        <v>130</v>
      </c>
      <c r="AH94" s="91">
        <v>1</v>
      </c>
      <c r="AI94" s="91">
        <v>1</v>
      </c>
      <c r="AJ94" s="91">
        <v>1</v>
      </c>
      <c r="AK94" s="19" t="s">
        <v>117</v>
      </c>
      <c r="AL94" s="109" t="s">
        <v>774</v>
      </c>
      <c r="AM94" s="17" t="s">
        <v>58</v>
      </c>
      <c r="AN94" s="136" t="s">
        <v>773</v>
      </c>
    </row>
    <row r="95" spans="2:40" x14ac:dyDescent="0.25">
      <c r="B95" s="152">
        <f t="shared" si="21"/>
        <v>36</v>
      </c>
      <c r="C95" s="16">
        <v>20201023</v>
      </c>
      <c r="D95" s="63" t="s">
        <v>3</v>
      </c>
      <c r="E95" s="62" t="s">
        <v>653</v>
      </c>
      <c r="F95" s="46" t="s">
        <v>673</v>
      </c>
      <c r="G95" s="63">
        <v>1721635</v>
      </c>
      <c r="H95" s="37" t="s">
        <v>58</v>
      </c>
      <c r="I95" s="62" t="s">
        <v>655</v>
      </c>
      <c r="J95" s="124" t="s">
        <v>58</v>
      </c>
      <c r="K95" s="15" t="s">
        <v>165</v>
      </c>
      <c r="L95" s="15" t="s">
        <v>117</v>
      </c>
      <c r="M95" s="15" t="s">
        <v>667</v>
      </c>
      <c r="N95" s="226" t="s">
        <v>622</v>
      </c>
      <c r="O95" s="62" t="s">
        <v>58</v>
      </c>
      <c r="P95" s="48" t="s">
        <v>668</v>
      </c>
      <c r="Q95" s="18"/>
      <c r="R95" s="37"/>
      <c r="S95" s="15" t="s">
        <v>152</v>
      </c>
      <c r="T95" s="15" t="s">
        <v>142</v>
      </c>
      <c r="U95" s="15" t="s">
        <v>546</v>
      </c>
      <c r="V95" s="63">
        <v>137</v>
      </c>
      <c r="W95" s="16">
        <f>V95</f>
        <v>137</v>
      </c>
      <c r="X95" s="15">
        <f t="shared" si="29"/>
        <v>137</v>
      </c>
      <c r="Y95" s="15">
        <f>ROUNDDOWN(W95/HLOOKUP(D95,Table!$C$3:$D$4,2,0)*8,2)</f>
        <v>2.4300000000000002</v>
      </c>
      <c r="Z95" s="15">
        <v>2</v>
      </c>
      <c r="AA95" s="15" t="s">
        <v>21</v>
      </c>
      <c r="AB95" s="19">
        <v>44131</v>
      </c>
      <c r="AC95" s="19">
        <v>44127</v>
      </c>
      <c r="AD95" s="70">
        <v>44131</v>
      </c>
      <c r="AE95" s="19">
        <v>44130</v>
      </c>
      <c r="AF95" s="19">
        <v>44130</v>
      </c>
      <c r="AG95" s="19" t="s">
        <v>130</v>
      </c>
      <c r="AH95" s="25">
        <v>1</v>
      </c>
      <c r="AI95" s="25">
        <v>1</v>
      </c>
      <c r="AJ95" s="25">
        <v>1</v>
      </c>
      <c r="AK95" s="19" t="s">
        <v>117</v>
      </c>
      <c r="AL95" s="17" t="s">
        <v>58</v>
      </c>
      <c r="AM95" s="17" t="s">
        <v>58</v>
      </c>
      <c r="AN95" s="17" t="s">
        <v>58</v>
      </c>
    </row>
    <row r="96" spans="2:40" x14ac:dyDescent="0.25">
      <c r="B96" s="152">
        <f t="shared" si="21"/>
        <v>37</v>
      </c>
      <c r="C96" s="16">
        <v>20201023</v>
      </c>
      <c r="D96" s="63" t="s">
        <v>3</v>
      </c>
      <c r="E96" s="62" t="s">
        <v>654</v>
      </c>
      <c r="F96" s="46" t="s">
        <v>775</v>
      </c>
      <c r="G96" s="63">
        <v>1740880</v>
      </c>
      <c r="H96" s="37" t="s">
        <v>58</v>
      </c>
      <c r="I96" s="62" t="s">
        <v>656</v>
      </c>
      <c r="J96" s="124" t="s">
        <v>58</v>
      </c>
      <c r="K96" s="15" t="s">
        <v>165</v>
      </c>
      <c r="L96" s="15" t="s">
        <v>117</v>
      </c>
      <c r="M96" s="15" t="s">
        <v>666</v>
      </c>
      <c r="N96" s="226" t="s">
        <v>665</v>
      </c>
      <c r="O96" s="62" t="s">
        <v>58</v>
      </c>
      <c r="P96" s="48" t="s">
        <v>669</v>
      </c>
      <c r="Q96" s="18"/>
      <c r="R96" s="37"/>
      <c r="S96" s="15" t="s">
        <v>143</v>
      </c>
      <c r="T96" s="15" t="s">
        <v>152</v>
      </c>
      <c r="U96" s="15" t="s">
        <v>546</v>
      </c>
      <c r="V96" s="63">
        <v>63</v>
      </c>
      <c r="W96" s="16">
        <f t="shared" ref="W96:W105" si="30">V96</f>
        <v>63</v>
      </c>
      <c r="X96" s="15">
        <f t="shared" si="29"/>
        <v>63</v>
      </c>
      <c r="Y96" s="15">
        <f>ROUNDDOWN(W96/HLOOKUP(D96,Table!$C$3:$D$4,2,0)*8,2)</f>
        <v>1.1200000000000001</v>
      </c>
      <c r="Z96" s="15">
        <f>Y96</f>
        <v>1.1200000000000001</v>
      </c>
      <c r="AA96" s="15" t="s">
        <v>21</v>
      </c>
      <c r="AB96" s="19">
        <v>44131</v>
      </c>
      <c r="AC96" s="19">
        <v>44127</v>
      </c>
      <c r="AD96" s="70">
        <v>44131</v>
      </c>
      <c r="AE96" s="19">
        <v>44131</v>
      </c>
      <c r="AF96" s="19">
        <v>44131</v>
      </c>
      <c r="AG96" s="19" t="s">
        <v>130</v>
      </c>
      <c r="AH96" s="91">
        <v>1</v>
      </c>
      <c r="AI96" s="91">
        <v>1</v>
      </c>
      <c r="AJ96" s="91">
        <v>1</v>
      </c>
      <c r="AK96" s="19" t="s">
        <v>117</v>
      </c>
      <c r="AL96" s="17" t="s">
        <v>58</v>
      </c>
      <c r="AM96" s="17" t="s">
        <v>58</v>
      </c>
      <c r="AN96" s="137" t="s">
        <v>776</v>
      </c>
    </row>
    <row r="97" spans="2:40" x14ac:dyDescent="0.25">
      <c r="B97" s="152">
        <f t="shared" si="21"/>
        <v>38</v>
      </c>
      <c r="C97" s="16">
        <v>20201023</v>
      </c>
      <c r="D97" s="63" t="s">
        <v>3</v>
      </c>
      <c r="E97" s="62" t="s">
        <v>654</v>
      </c>
      <c r="F97" s="46" t="s">
        <v>775</v>
      </c>
      <c r="G97" s="63">
        <v>1740880</v>
      </c>
      <c r="H97" s="37" t="s">
        <v>58</v>
      </c>
      <c r="I97" s="62" t="s">
        <v>657</v>
      </c>
      <c r="J97" s="124" t="s">
        <v>58</v>
      </c>
      <c r="K97" s="15" t="s">
        <v>165</v>
      </c>
      <c r="L97" s="15" t="s">
        <v>117</v>
      </c>
      <c r="M97" s="15" t="s">
        <v>666</v>
      </c>
      <c r="N97" s="226" t="s">
        <v>665</v>
      </c>
      <c r="O97" s="62" t="s">
        <v>58</v>
      </c>
      <c r="P97" s="48" t="s">
        <v>669</v>
      </c>
      <c r="Q97" s="18"/>
      <c r="R97" s="37"/>
      <c r="S97" s="15" t="s">
        <v>143</v>
      </c>
      <c r="T97" s="15" t="s">
        <v>152</v>
      </c>
      <c r="U97" s="15" t="s">
        <v>546</v>
      </c>
      <c r="V97" s="63">
        <v>276</v>
      </c>
      <c r="W97" s="146">
        <f>V97/2</f>
        <v>138</v>
      </c>
      <c r="X97" s="15">
        <f t="shared" si="29"/>
        <v>138</v>
      </c>
      <c r="Y97" s="15">
        <f>ROUNDDOWN(W97/HLOOKUP(D97,Table!$C$3:$D$4,2,0)*8,2)</f>
        <v>2.4500000000000002</v>
      </c>
      <c r="Z97" s="15">
        <f>Y97</f>
        <v>2.4500000000000002</v>
      </c>
      <c r="AA97" s="15" t="s">
        <v>21</v>
      </c>
      <c r="AB97" s="19">
        <v>44131</v>
      </c>
      <c r="AC97" s="19">
        <v>44127</v>
      </c>
      <c r="AD97" s="70">
        <v>44131</v>
      </c>
      <c r="AE97" s="19">
        <v>44131</v>
      </c>
      <c r="AF97" s="19">
        <v>44131</v>
      </c>
      <c r="AG97" s="19" t="s">
        <v>130</v>
      </c>
      <c r="AH97" s="91">
        <v>1</v>
      </c>
      <c r="AI97" s="91">
        <v>1</v>
      </c>
      <c r="AJ97" s="91">
        <v>1</v>
      </c>
      <c r="AK97" s="19" t="s">
        <v>117</v>
      </c>
      <c r="AL97" s="17" t="s">
        <v>58</v>
      </c>
      <c r="AM97" s="17" t="s">
        <v>58</v>
      </c>
      <c r="AN97" s="137" t="s">
        <v>777</v>
      </c>
    </row>
    <row r="98" spans="2:40" x14ac:dyDescent="0.25">
      <c r="B98" s="152">
        <f t="shared" si="21"/>
        <v>39</v>
      </c>
      <c r="C98" s="16">
        <v>20201023</v>
      </c>
      <c r="D98" s="63" t="s">
        <v>3</v>
      </c>
      <c r="E98" s="62" t="s">
        <v>654</v>
      </c>
      <c r="F98" s="46" t="s">
        <v>675</v>
      </c>
      <c r="G98" s="63">
        <v>1745779</v>
      </c>
      <c r="H98" s="37" t="s">
        <v>58</v>
      </c>
      <c r="I98" s="62" t="s">
        <v>658</v>
      </c>
      <c r="J98" s="124" t="s">
        <v>58</v>
      </c>
      <c r="K98" s="15" t="s">
        <v>165</v>
      </c>
      <c r="L98" s="15" t="s">
        <v>117</v>
      </c>
      <c r="M98" s="15" t="s">
        <v>666</v>
      </c>
      <c r="N98" s="226" t="s">
        <v>665</v>
      </c>
      <c r="O98" s="62" t="s">
        <v>58</v>
      </c>
      <c r="P98" s="48" t="s">
        <v>670</v>
      </c>
      <c r="Q98" s="18"/>
      <c r="R98" s="37"/>
      <c r="S98" s="15" t="s">
        <v>143</v>
      </c>
      <c r="T98" s="15" t="s">
        <v>152</v>
      </c>
      <c r="U98" s="15" t="s">
        <v>546</v>
      </c>
      <c r="V98" s="63">
        <v>40</v>
      </c>
      <c r="W98" s="16">
        <f t="shared" si="30"/>
        <v>40</v>
      </c>
      <c r="X98" s="15">
        <f t="shared" si="29"/>
        <v>40</v>
      </c>
      <c r="Y98" s="15">
        <f>ROUNDDOWN(W98/HLOOKUP(D98,Table!$C$3:$D$4,2,0)*8,2)</f>
        <v>0.71</v>
      </c>
      <c r="Z98" s="15">
        <f>Y98</f>
        <v>0.71</v>
      </c>
      <c r="AA98" s="15" t="s">
        <v>21</v>
      </c>
      <c r="AB98" s="19">
        <v>44131</v>
      </c>
      <c r="AC98" s="19">
        <v>44127</v>
      </c>
      <c r="AD98" s="70">
        <v>44131</v>
      </c>
      <c r="AE98" s="19">
        <v>44131</v>
      </c>
      <c r="AF98" s="19">
        <v>44131</v>
      </c>
      <c r="AG98" s="19" t="s">
        <v>130</v>
      </c>
      <c r="AH98" s="91">
        <v>1</v>
      </c>
      <c r="AI98" s="91">
        <v>1</v>
      </c>
      <c r="AJ98" s="91">
        <v>1</v>
      </c>
      <c r="AK98" s="19" t="s">
        <v>117</v>
      </c>
      <c r="AL98" s="17" t="s">
        <v>58</v>
      </c>
      <c r="AM98" s="17" t="s">
        <v>58</v>
      </c>
      <c r="AN98" s="137" t="s">
        <v>776</v>
      </c>
    </row>
    <row r="99" spans="2:40" x14ac:dyDescent="0.25">
      <c r="B99" s="152">
        <f t="shared" si="21"/>
        <v>40</v>
      </c>
      <c r="C99" s="16">
        <v>20201023</v>
      </c>
      <c r="D99" s="63" t="s">
        <v>3</v>
      </c>
      <c r="E99" s="62" t="s">
        <v>654</v>
      </c>
      <c r="F99" s="198" t="s">
        <v>675</v>
      </c>
      <c r="G99" s="63">
        <v>1745779</v>
      </c>
      <c r="H99" s="37" t="s">
        <v>58</v>
      </c>
      <c r="I99" s="62" t="s">
        <v>659</v>
      </c>
      <c r="J99" s="124" t="s">
        <v>58</v>
      </c>
      <c r="K99" s="15" t="s">
        <v>165</v>
      </c>
      <c r="L99" s="15" t="s">
        <v>117</v>
      </c>
      <c r="M99" s="15" t="s">
        <v>666</v>
      </c>
      <c r="N99" s="226" t="s">
        <v>665</v>
      </c>
      <c r="O99" s="62" t="s">
        <v>58</v>
      </c>
      <c r="P99" s="48" t="s">
        <v>670</v>
      </c>
      <c r="Q99" s="18"/>
      <c r="R99" s="37"/>
      <c r="S99" s="15" t="s">
        <v>142</v>
      </c>
      <c r="T99" s="15" t="s">
        <v>141</v>
      </c>
      <c r="U99" s="15" t="s">
        <v>546</v>
      </c>
      <c r="V99" s="63">
        <v>155</v>
      </c>
      <c r="W99" s="16">
        <f t="shared" si="30"/>
        <v>155</v>
      </c>
      <c r="X99" s="15">
        <f t="shared" si="29"/>
        <v>155</v>
      </c>
      <c r="Y99" s="15">
        <f>ROUNDDOWN(W99/HLOOKUP(D99,Table!$C$3:$D$4,2,0)*8,2)</f>
        <v>2.75</v>
      </c>
      <c r="Z99" s="15">
        <v>2</v>
      </c>
      <c r="AA99" s="15" t="s">
        <v>21</v>
      </c>
      <c r="AB99" s="19">
        <v>44131</v>
      </c>
      <c r="AC99" s="19">
        <v>44127</v>
      </c>
      <c r="AD99" s="70">
        <v>44131</v>
      </c>
      <c r="AE99" s="19">
        <v>44130</v>
      </c>
      <c r="AF99" s="19">
        <v>44130</v>
      </c>
      <c r="AG99" s="19" t="s">
        <v>130</v>
      </c>
      <c r="AH99" s="91">
        <v>1</v>
      </c>
      <c r="AI99" s="91">
        <v>1</v>
      </c>
      <c r="AJ99" s="91">
        <v>1</v>
      </c>
      <c r="AK99" s="19" t="s">
        <v>117</v>
      </c>
      <c r="AL99" s="17" t="s">
        <v>58</v>
      </c>
      <c r="AM99" s="17" t="s">
        <v>58</v>
      </c>
      <c r="AN99" s="62" t="s">
        <v>677</v>
      </c>
    </row>
    <row r="100" spans="2:40" x14ac:dyDescent="0.25">
      <c r="B100" s="152">
        <f t="shared" si="21"/>
        <v>41</v>
      </c>
      <c r="C100" s="16">
        <v>20201023</v>
      </c>
      <c r="D100" s="63" t="s">
        <v>3</v>
      </c>
      <c r="E100" s="62" t="s">
        <v>654</v>
      </c>
      <c r="F100" s="198" t="s">
        <v>674</v>
      </c>
      <c r="G100" s="63">
        <v>1745779</v>
      </c>
      <c r="H100" s="37" t="s">
        <v>58</v>
      </c>
      <c r="I100" s="62" t="s">
        <v>660</v>
      </c>
      <c r="J100" s="124" t="s">
        <v>58</v>
      </c>
      <c r="K100" s="15" t="s">
        <v>165</v>
      </c>
      <c r="L100" s="15" t="s">
        <v>117</v>
      </c>
      <c r="M100" s="15" t="s">
        <v>666</v>
      </c>
      <c r="N100" s="226" t="s">
        <v>665</v>
      </c>
      <c r="O100" s="62" t="s">
        <v>58</v>
      </c>
      <c r="P100" s="48" t="s">
        <v>670</v>
      </c>
      <c r="Q100" s="18"/>
      <c r="R100" s="37"/>
      <c r="S100" s="15" t="s">
        <v>142</v>
      </c>
      <c r="T100" s="15" t="s">
        <v>141</v>
      </c>
      <c r="U100" s="15" t="s">
        <v>546</v>
      </c>
      <c r="V100" s="63">
        <v>31</v>
      </c>
      <c r="W100" s="16">
        <f t="shared" si="30"/>
        <v>31</v>
      </c>
      <c r="X100" s="15">
        <f t="shared" si="29"/>
        <v>31</v>
      </c>
      <c r="Y100" s="15">
        <f>ROUNDDOWN(W100/HLOOKUP(D100,Table!$C$3:$D$4,2,0)*8,2)</f>
        <v>0.55000000000000004</v>
      </c>
      <c r="Z100" s="15">
        <v>1</v>
      </c>
      <c r="AA100" s="15" t="s">
        <v>21</v>
      </c>
      <c r="AB100" s="19">
        <v>44131</v>
      </c>
      <c r="AC100" s="19">
        <v>44127</v>
      </c>
      <c r="AD100" s="70">
        <v>44131</v>
      </c>
      <c r="AE100" s="19">
        <v>44130</v>
      </c>
      <c r="AF100" s="19">
        <v>44130</v>
      </c>
      <c r="AG100" s="19" t="s">
        <v>130</v>
      </c>
      <c r="AH100" s="91">
        <v>1</v>
      </c>
      <c r="AI100" s="91">
        <v>1</v>
      </c>
      <c r="AJ100" s="91">
        <v>1</v>
      </c>
      <c r="AK100" s="19" t="s">
        <v>117</v>
      </c>
      <c r="AL100" s="17" t="s">
        <v>58</v>
      </c>
      <c r="AM100" s="17" t="s">
        <v>58</v>
      </c>
      <c r="AN100" s="62" t="s">
        <v>677</v>
      </c>
    </row>
    <row r="101" spans="2:40" x14ac:dyDescent="0.25">
      <c r="B101" s="152">
        <f t="shared" si="21"/>
        <v>42</v>
      </c>
      <c r="C101" s="16">
        <v>20201023</v>
      </c>
      <c r="D101" s="63" t="s">
        <v>3</v>
      </c>
      <c r="E101" s="62" t="s">
        <v>654</v>
      </c>
      <c r="F101" s="46" t="s">
        <v>674</v>
      </c>
      <c r="G101" s="63">
        <v>1745779</v>
      </c>
      <c r="H101" s="37" t="s">
        <v>58</v>
      </c>
      <c r="I101" s="62" t="s">
        <v>610</v>
      </c>
      <c r="J101" s="124" t="s">
        <v>58</v>
      </c>
      <c r="K101" s="15" t="s">
        <v>165</v>
      </c>
      <c r="L101" s="15" t="s">
        <v>117</v>
      </c>
      <c r="M101" s="15" t="s">
        <v>666</v>
      </c>
      <c r="N101" s="226" t="s">
        <v>665</v>
      </c>
      <c r="O101" s="62" t="s">
        <v>58</v>
      </c>
      <c r="P101" s="48" t="s">
        <v>670</v>
      </c>
      <c r="Q101" s="18"/>
      <c r="R101" s="37"/>
      <c r="S101" s="15" t="s">
        <v>64</v>
      </c>
      <c r="T101" s="15" t="s">
        <v>143</v>
      </c>
      <c r="U101" s="15" t="s">
        <v>546</v>
      </c>
      <c r="V101" s="63">
        <v>805</v>
      </c>
      <c r="W101" s="16">
        <f t="shared" si="30"/>
        <v>805</v>
      </c>
      <c r="X101" s="15">
        <f t="shared" si="29"/>
        <v>805</v>
      </c>
      <c r="Y101" s="15">
        <f>ROUNDDOWN(W101/HLOOKUP(D101,Table!$C$3:$D$4,2,0)*8,2)</f>
        <v>14.31</v>
      </c>
      <c r="Z101" s="15">
        <v>16</v>
      </c>
      <c r="AA101" s="15" t="s">
        <v>21</v>
      </c>
      <c r="AB101" s="19">
        <v>44131</v>
      </c>
      <c r="AC101" s="19">
        <v>44127</v>
      </c>
      <c r="AD101" s="70">
        <v>44131</v>
      </c>
      <c r="AE101" s="19">
        <v>44130</v>
      </c>
      <c r="AF101" s="19">
        <v>44130</v>
      </c>
      <c r="AG101" s="19" t="s">
        <v>130</v>
      </c>
      <c r="AH101" s="91">
        <v>1</v>
      </c>
      <c r="AI101" s="91">
        <v>1</v>
      </c>
      <c r="AJ101" s="91">
        <v>1</v>
      </c>
      <c r="AK101" s="19" t="s">
        <v>117</v>
      </c>
      <c r="AL101" s="17" t="s">
        <v>58</v>
      </c>
      <c r="AM101" s="17" t="s">
        <v>58</v>
      </c>
      <c r="AN101" s="17" t="s">
        <v>633</v>
      </c>
    </row>
    <row r="102" spans="2:40" ht="75" x14ac:dyDescent="0.25">
      <c r="B102" s="152">
        <f t="shared" si="21"/>
        <v>43</v>
      </c>
      <c r="C102" s="16">
        <v>20201023</v>
      </c>
      <c r="D102" s="63" t="s">
        <v>3</v>
      </c>
      <c r="E102" s="62" t="s">
        <v>654</v>
      </c>
      <c r="F102" s="46" t="s">
        <v>674</v>
      </c>
      <c r="G102" s="63">
        <v>1745779</v>
      </c>
      <c r="H102" s="37" t="s">
        <v>58</v>
      </c>
      <c r="I102" s="62" t="s">
        <v>661</v>
      </c>
      <c r="J102" s="124" t="s">
        <v>58</v>
      </c>
      <c r="K102" s="15" t="s">
        <v>165</v>
      </c>
      <c r="L102" s="15" t="s">
        <v>117</v>
      </c>
      <c r="M102" s="15" t="s">
        <v>666</v>
      </c>
      <c r="N102" s="226" t="s">
        <v>665</v>
      </c>
      <c r="O102" s="62" t="s">
        <v>58</v>
      </c>
      <c r="P102" s="48" t="s">
        <v>670</v>
      </c>
      <c r="Q102" s="18"/>
      <c r="R102" s="37"/>
      <c r="S102" s="15" t="s">
        <v>143</v>
      </c>
      <c r="T102" s="15" t="s">
        <v>152</v>
      </c>
      <c r="U102" s="15" t="s">
        <v>546</v>
      </c>
      <c r="V102" s="63">
        <v>33</v>
      </c>
      <c r="W102" s="16">
        <f t="shared" si="30"/>
        <v>33</v>
      </c>
      <c r="X102" s="15">
        <f t="shared" si="29"/>
        <v>33</v>
      </c>
      <c r="Y102" s="15">
        <f>ROUNDDOWN(W102/HLOOKUP(D102,Table!$C$3:$D$4,2,0)*8,2)</f>
        <v>0.57999999999999996</v>
      </c>
      <c r="Z102" s="15">
        <f>Y102</f>
        <v>0.57999999999999996</v>
      </c>
      <c r="AA102" s="15" t="s">
        <v>21</v>
      </c>
      <c r="AB102" s="19">
        <v>44131</v>
      </c>
      <c r="AC102" s="19">
        <v>44127</v>
      </c>
      <c r="AD102" s="70">
        <v>44131</v>
      </c>
      <c r="AE102" s="19">
        <v>44131</v>
      </c>
      <c r="AF102" s="19">
        <v>44131</v>
      </c>
      <c r="AG102" s="19" t="s">
        <v>130</v>
      </c>
      <c r="AH102" s="91">
        <v>1</v>
      </c>
      <c r="AI102" s="91">
        <v>1</v>
      </c>
      <c r="AJ102" s="91">
        <v>1</v>
      </c>
      <c r="AK102" s="19" t="s">
        <v>117</v>
      </c>
      <c r="AL102" s="17" t="s">
        <v>58</v>
      </c>
      <c r="AM102" s="17" t="s">
        <v>58</v>
      </c>
      <c r="AN102" s="137" t="s">
        <v>778</v>
      </c>
    </row>
    <row r="103" spans="2:40" ht="75" x14ac:dyDescent="0.25">
      <c r="B103" s="152">
        <f t="shared" si="21"/>
        <v>44</v>
      </c>
      <c r="C103" s="16">
        <v>20201023</v>
      </c>
      <c r="D103" s="63" t="s">
        <v>3</v>
      </c>
      <c r="E103" s="62" t="s">
        <v>654</v>
      </c>
      <c r="F103" s="46" t="s">
        <v>674</v>
      </c>
      <c r="G103" s="63">
        <v>1745779</v>
      </c>
      <c r="H103" s="37" t="s">
        <v>58</v>
      </c>
      <c r="I103" s="62" t="s">
        <v>662</v>
      </c>
      <c r="J103" s="124" t="s">
        <v>58</v>
      </c>
      <c r="K103" s="15" t="s">
        <v>165</v>
      </c>
      <c r="L103" s="15" t="s">
        <v>117</v>
      </c>
      <c r="M103" s="15" t="s">
        <v>666</v>
      </c>
      <c r="N103" s="226" t="s">
        <v>665</v>
      </c>
      <c r="O103" s="62" t="s">
        <v>58</v>
      </c>
      <c r="P103" s="48" t="s">
        <v>670</v>
      </c>
      <c r="Q103" s="18"/>
      <c r="R103" s="37"/>
      <c r="S103" s="15" t="s">
        <v>143</v>
      </c>
      <c r="T103" s="15" t="s">
        <v>152</v>
      </c>
      <c r="U103" s="15" t="s">
        <v>546</v>
      </c>
      <c r="V103" s="63">
        <v>73</v>
      </c>
      <c r="W103" s="16">
        <f t="shared" si="30"/>
        <v>73</v>
      </c>
      <c r="X103" s="15">
        <f t="shared" si="29"/>
        <v>73</v>
      </c>
      <c r="Y103" s="15">
        <f>ROUNDDOWN(W103/HLOOKUP(D103,Table!$C$3:$D$4,2,0)*8,2)</f>
        <v>1.29</v>
      </c>
      <c r="Z103" s="15">
        <f>Y103</f>
        <v>1.29</v>
      </c>
      <c r="AA103" s="15" t="s">
        <v>21</v>
      </c>
      <c r="AB103" s="19">
        <v>44131</v>
      </c>
      <c r="AC103" s="19">
        <v>44127</v>
      </c>
      <c r="AD103" s="70">
        <v>44131</v>
      </c>
      <c r="AE103" s="19">
        <v>44131</v>
      </c>
      <c r="AF103" s="19">
        <v>44131</v>
      </c>
      <c r="AG103" s="19" t="s">
        <v>130</v>
      </c>
      <c r="AH103" s="91">
        <v>1</v>
      </c>
      <c r="AI103" s="91">
        <v>1</v>
      </c>
      <c r="AJ103" s="91">
        <v>1</v>
      </c>
      <c r="AK103" s="19" t="s">
        <v>117</v>
      </c>
      <c r="AL103" s="17" t="s">
        <v>58</v>
      </c>
      <c r="AM103" s="17" t="s">
        <v>58</v>
      </c>
      <c r="AN103" s="137" t="s">
        <v>778</v>
      </c>
    </row>
    <row r="104" spans="2:40" x14ac:dyDescent="0.25">
      <c r="B104" s="152">
        <f t="shared" si="21"/>
        <v>45</v>
      </c>
      <c r="C104" s="16">
        <v>20201023</v>
      </c>
      <c r="D104" s="63" t="s">
        <v>3</v>
      </c>
      <c r="E104" s="62" t="s">
        <v>654</v>
      </c>
      <c r="F104" s="46" t="s">
        <v>1004</v>
      </c>
      <c r="G104" s="63">
        <v>1745779</v>
      </c>
      <c r="H104" s="37" t="s">
        <v>58</v>
      </c>
      <c r="I104" s="62" t="s">
        <v>663</v>
      </c>
      <c r="J104" s="124" t="s">
        <v>58</v>
      </c>
      <c r="K104" s="15" t="s">
        <v>165</v>
      </c>
      <c r="L104" s="15" t="s">
        <v>117</v>
      </c>
      <c r="M104" s="15" t="s">
        <v>666</v>
      </c>
      <c r="N104" s="226" t="s">
        <v>665</v>
      </c>
      <c r="O104" s="62" t="s">
        <v>58</v>
      </c>
      <c r="P104" s="48" t="s">
        <v>670</v>
      </c>
      <c r="Q104" s="18"/>
      <c r="R104" s="37"/>
      <c r="S104" s="15" t="s">
        <v>141</v>
      </c>
      <c r="T104" s="15" t="s">
        <v>64</v>
      </c>
      <c r="U104" s="15" t="s">
        <v>546</v>
      </c>
      <c r="V104" s="63">
        <v>65</v>
      </c>
      <c r="W104" s="16">
        <f t="shared" si="30"/>
        <v>65</v>
      </c>
      <c r="X104" s="15">
        <f t="shared" si="29"/>
        <v>65</v>
      </c>
      <c r="Y104" s="15">
        <f>ROUNDDOWN(W104/HLOOKUP(D104,Table!$C$3:$D$4,2,0)*8,2)</f>
        <v>1.1499999999999999</v>
      </c>
      <c r="Z104" s="15">
        <f>Y104</f>
        <v>1.1499999999999999</v>
      </c>
      <c r="AA104" s="15" t="s">
        <v>21</v>
      </c>
      <c r="AB104" s="19">
        <v>44131</v>
      </c>
      <c r="AC104" s="19">
        <v>44127</v>
      </c>
      <c r="AD104" s="70">
        <v>44131</v>
      </c>
      <c r="AE104" s="19">
        <v>44130</v>
      </c>
      <c r="AF104" s="19">
        <v>44130</v>
      </c>
      <c r="AG104" s="19" t="s">
        <v>130</v>
      </c>
      <c r="AH104" s="91">
        <v>1</v>
      </c>
      <c r="AI104" s="91">
        <v>1</v>
      </c>
      <c r="AJ104" s="91">
        <v>1</v>
      </c>
      <c r="AK104" s="19" t="s">
        <v>117</v>
      </c>
      <c r="AL104" s="17" t="s">
        <v>58</v>
      </c>
      <c r="AM104" s="17" t="s">
        <v>58</v>
      </c>
      <c r="AN104" s="17" t="s">
        <v>58</v>
      </c>
    </row>
    <row r="105" spans="2:40" x14ac:dyDescent="0.25">
      <c r="B105" s="152">
        <f t="shared" si="21"/>
        <v>46</v>
      </c>
      <c r="C105" s="16">
        <v>20201023</v>
      </c>
      <c r="D105" s="63" t="s">
        <v>3</v>
      </c>
      <c r="E105" s="62" t="s">
        <v>654</v>
      </c>
      <c r="F105" s="46" t="s">
        <v>1004</v>
      </c>
      <c r="G105" s="63">
        <v>1745779</v>
      </c>
      <c r="H105" s="37" t="s">
        <v>58</v>
      </c>
      <c r="I105" s="62" t="s">
        <v>664</v>
      </c>
      <c r="J105" s="124" t="s">
        <v>58</v>
      </c>
      <c r="K105" s="15" t="s">
        <v>165</v>
      </c>
      <c r="L105" s="15" t="s">
        <v>117</v>
      </c>
      <c r="M105" s="15" t="s">
        <v>666</v>
      </c>
      <c r="N105" s="226" t="s">
        <v>665</v>
      </c>
      <c r="O105" s="62" t="s">
        <v>58</v>
      </c>
      <c r="P105" s="48" t="s">
        <v>670</v>
      </c>
      <c r="Q105" s="18"/>
      <c r="R105" s="37"/>
      <c r="S105" s="15" t="s">
        <v>141</v>
      </c>
      <c r="T105" s="15" t="s">
        <v>64</v>
      </c>
      <c r="U105" s="15" t="s">
        <v>546</v>
      </c>
      <c r="V105" s="63">
        <v>175</v>
      </c>
      <c r="W105" s="16">
        <f t="shared" si="30"/>
        <v>175</v>
      </c>
      <c r="X105" s="15">
        <f t="shared" si="29"/>
        <v>175</v>
      </c>
      <c r="Y105" s="15">
        <f>ROUNDDOWN(W105/HLOOKUP(D105,Table!$C$3:$D$4,2,0)*8,2)</f>
        <v>3.11</v>
      </c>
      <c r="Z105" s="15">
        <f>Y105</f>
        <v>3.11</v>
      </c>
      <c r="AA105" s="15" t="s">
        <v>21</v>
      </c>
      <c r="AB105" s="19">
        <v>44131</v>
      </c>
      <c r="AC105" s="19">
        <v>44127</v>
      </c>
      <c r="AD105" s="70">
        <v>44131</v>
      </c>
      <c r="AE105" s="19">
        <v>44130</v>
      </c>
      <c r="AF105" s="19">
        <v>44130</v>
      </c>
      <c r="AG105" s="19" t="s">
        <v>130</v>
      </c>
      <c r="AH105" s="91">
        <v>1</v>
      </c>
      <c r="AI105" s="91">
        <v>1</v>
      </c>
      <c r="AJ105" s="91">
        <v>1</v>
      </c>
      <c r="AK105" s="19" t="s">
        <v>117</v>
      </c>
      <c r="AL105" s="17" t="s">
        <v>58</v>
      </c>
      <c r="AM105" s="17" t="s">
        <v>58</v>
      </c>
      <c r="AN105" s="17" t="s">
        <v>58</v>
      </c>
    </row>
    <row r="106" spans="2:40" ht="45" x14ac:dyDescent="0.25">
      <c r="B106" s="157">
        <f t="shared" si="21"/>
        <v>47</v>
      </c>
      <c r="C106" s="16">
        <v>20201026</v>
      </c>
      <c r="D106" s="63" t="s">
        <v>3</v>
      </c>
      <c r="E106" s="62" t="s">
        <v>740</v>
      </c>
      <c r="F106" s="104" t="s">
        <v>771</v>
      </c>
      <c r="G106" s="63">
        <v>1744137</v>
      </c>
      <c r="H106" s="37" t="s">
        <v>58</v>
      </c>
      <c r="I106" s="63" t="s">
        <v>744</v>
      </c>
      <c r="J106" s="124" t="s">
        <v>58</v>
      </c>
      <c r="K106" s="15" t="s">
        <v>165</v>
      </c>
      <c r="L106" s="15" t="s">
        <v>117</v>
      </c>
      <c r="M106" s="15" t="s">
        <v>667</v>
      </c>
      <c r="N106" s="63" t="s">
        <v>622</v>
      </c>
      <c r="O106" s="62" t="s">
        <v>58</v>
      </c>
      <c r="P106" s="185" t="s">
        <v>756</v>
      </c>
      <c r="Q106" s="18"/>
      <c r="R106" s="37"/>
      <c r="S106" s="15" t="s">
        <v>142</v>
      </c>
      <c r="T106" s="15" t="s">
        <v>141</v>
      </c>
      <c r="U106" s="15" t="s">
        <v>546</v>
      </c>
      <c r="V106" s="173">
        <v>91</v>
      </c>
      <c r="W106" s="146">
        <v>203</v>
      </c>
      <c r="X106" s="15">
        <f>W106</f>
        <v>203</v>
      </c>
      <c r="Y106" s="15">
        <f>ROUNDDOWN(W106/HLOOKUP(D106,Table!$C$3:$D$4,2,0)*8,2)</f>
        <v>3.6</v>
      </c>
      <c r="Z106" s="15">
        <v>2</v>
      </c>
      <c r="AA106" s="15" t="s">
        <v>21</v>
      </c>
      <c r="AB106" s="19">
        <v>44134</v>
      </c>
      <c r="AC106" s="19">
        <v>44130</v>
      </c>
      <c r="AD106" s="108">
        <v>44134</v>
      </c>
      <c r="AE106" s="19">
        <v>44131</v>
      </c>
      <c r="AF106" s="19">
        <v>44131</v>
      </c>
      <c r="AG106" s="19" t="s">
        <v>130</v>
      </c>
      <c r="AH106" s="91">
        <v>1</v>
      </c>
      <c r="AI106" s="91">
        <v>1</v>
      </c>
      <c r="AJ106" s="91">
        <v>1</v>
      </c>
      <c r="AK106" s="19" t="s">
        <v>117</v>
      </c>
      <c r="AL106" s="17" t="s">
        <v>58</v>
      </c>
      <c r="AM106" s="17" t="s">
        <v>58</v>
      </c>
      <c r="AN106" s="136" t="s">
        <v>1005</v>
      </c>
    </row>
    <row r="107" spans="2:40" ht="45" x14ac:dyDescent="0.25">
      <c r="B107" s="157">
        <f t="shared" si="21"/>
        <v>48</v>
      </c>
      <c r="C107" s="16">
        <v>20201026</v>
      </c>
      <c r="D107" s="63" t="s">
        <v>3</v>
      </c>
      <c r="E107" s="62" t="s">
        <v>740</v>
      </c>
      <c r="F107" s="104" t="s">
        <v>772</v>
      </c>
      <c r="G107" s="63">
        <v>1744137</v>
      </c>
      <c r="H107" s="37" t="s">
        <v>58</v>
      </c>
      <c r="I107" s="63" t="s">
        <v>664</v>
      </c>
      <c r="J107" s="124" t="s">
        <v>58</v>
      </c>
      <c r="K107" s="15" t="s">
        <v>165</v>
      </c>
      <c r="L107" s="15" t="s">
        <v>117</v>
      </c>
      <c r="M107" s="15" t="s">
        <v>667</v>
      </c>
      <c r="N107" s="63" t="s">
        <v>622</v>
      </c>
      <c r="O107" s="62" t="s">
        <v>58</v>
      </c>
      <c r="P107" s="185" t="s">
        <v>756</v>
      </c>
      <c r="Q107" s="18"/>
      <c r="R107" s="37"/>
      <c r="S107" s="15" t="s">
        <v>142</v>
      </c>
      <c r="T107" s="15" t="s">
        <v>141</v>
      </c>
      <c r="U107" s="15" t="s">
        <v>546</v>
      </c>
      <c r="V107" s="173">
        <v>175</v>
      </c>
      <c r="W107" s="16">
        <f t="shared" ref="W107:W116" si="31">V107</f>
        <v>175</v>
      </c>
      <c r="X107" s="15">
        <f>W107</f>
        <v>175</v>
      </c>
      <c r="Y107" s="15">
        <f>ROUNDDOWN(W107/HLOOKUP(D107,Table!$C$3:$D$4,2,0)*8,2)</f>
        <v>3.11</v>
      </c>
      <c r="Z107" s="15">
        <v>3</v>
      </c>
      <c r="AA107" s="15" t="s">
        <v>21</v>
      </c>
      <c r="AB107" s="19">
        <v>44134</v>
      </c>
      <c r="AC107" s="19">
        <v>44130</v>
      </c>
      <c r="AD107" s="108">
        <v>44134</v>
      </c>
      <c r="AE107" s="19">
        <v>44132</v>
      </c>
      <c r="AF107" s="19">
        <v>44132</v>
      </c>
      <c r="AG107" s="19" t="s">
        <v>130</v>
      </c>
      <c r="AH107" s="91">
        <v>1</v>
      </c>
      <c r="AI107" s="91">
        <v>1</v>
      </c>
      <c r="AJ107" s="91">
        <v>1</v>
      </c>
      <c r="AK107" s="19" t="s">
        <v>117</v>
      </c>
      <c r="AL107" s="17" t="s">
        <v>58</v>
      </c>
      <c r="AM107" s="17" t="s">
        <v>58</v>
      </c>
      <c r="AN107" s="136" t="s">
        <v>1006</v>
      </c>
    </row>
    <row r="108" spans="2:40" x14ac:dyDescent="0.25">
      <c r="B108" s="157">
        <f t="shared" si="21"/>
        <v>49</v>
      </c>
      <c r="C108" s="16">
        <v>20201026</v>
      </c>
      <c r="D108" s="63" t="s">
        <v>3</v>
      </c>
      <c r="E108" s="62" t="s">
        <v>741</v>
      </c>
      <c r="F108" s="104" t="s">
        <v>944</v>
      </c>
      <c r="G108" s="63">
        <v>1731705</v>
      </c>
      <c r="H108" s="37" t="s">
        <v>58</v>
      </c>
      <c r="I108" s="63" t="s">
        <v>745</v>
      </c>
      <c r="J108" s="124" t="s">
        <v>58</v>
      </c>
      <c r="K108" s="15" t="s">
        <v>165</v>
      </c>
      <c r="L108" s="15" t="s">
        <v>764</v>
      </c>
      <c r="M108" s="15" t="s">
        <v>755</v>
      </c>
      <c r="N108" s="63" t="s">
        <v>767</v>
      </c>
      <c r="O108" s="62" t="s">
        <v>58</v>
      </c>
      <c r="P108" s="185" t="s">
        <v>757</v>
      </c>
      <c r="Q108" s="18"/>
      <c r="R108" s="37"/>
      <c r="S108" s="15" t="s">
        <v>143</v>
      </c>
      <c r="T108" s="15" t="s">
        <v>152</v>
      </c>
      <c r="U108" s="15" t="s">
        <v>546</v>
      </c>
      <c r="V108" s="173">
        <v>78</v>
      </c>
      <c r="W108" s="16">
        <f t="shared" si="31"/>
        <v>78</v>
      </c>
      <c r="X108" s="15">
        <f>W108</f>
        <v>78</v>
      </c>
      <c r="Y108" s="15">
        <f>ROUNDDOWN(W108/HLOOKUP(D108,Table!$C$3:$D$4,2,0)*8,2)</f>
        <v>1.38</v>
      </c>
      <c r="Z108" s="15">
        <f>Y108</f>
        <v>1.38</v>
      </c>
      <c r="AA108" s="15" t="s">
        <v>21</v>
      </c>
      <c r="AB108" s="19">
        <v>44133</v>
      </c>
      <c r="AC108" s="19">
        <v>44130</v>
      </c>
      <c r="AD108" s="108">
        <v>44133</v>
      </c>
      <c r="AE108" s="19">
        <v>44133</v>
      </c>
      <c r="AF108" s="19">
        <v>44133</v>
      </c>
      <c r="AG108" s="19" t="s">
        <v>130</v>
      </c>
      <c r="AH108" s="91">
        <v>1</v>
      </c>
      <c r="AI108" s="91">
        <v>1</v>
      </c>
      <c r="AJ108" s="91">
        <v>1</v>
      </c>
      <c r="AK108" s="19" t="s">
        <v>117</v>
      </c>
      <c r="AL108" s="17" t="s">
        <v>58</v>
      </c>
      <c r="AM108" s="17" t="s">
        <v>58</v>
      </c>
      <c r="AN108" s="175" t="s">
        <v>919</v>
      </c>
    </row>
    <row r="109" spans="2:40" x14ac:dyDescent="0.25">
      <c r="B109" s="157">
        <f t="shared" si="21"/>
        <v>50</v>
      </c>
      <c r="C109" s="16">
        <v>20201026</v>
      </c>
      <c r="D109" s="63" t="s">
        <v>3</v>
      </c>
      <c r="E109" s="62" t="s">
        <v>741</v>
      </c>
      <c r="F109" s="104" t="s">
        <v>944</v>
      </c>
      <c r="G109" s="63">
        <v>1731705</v>
      </c>
      <c r="H109" s="37" t="s">
        <v>58</v>
      </c>
      <c r="I109" s="63" t="s">
        <v>746</v>
      </c>
      <c r="J109" s="124" t="s">
        <v>58</v>
      </c>
      <c r="K109" s="15" t="s">
        <v>165</v>
      </c>
      <c r="L109" s="15" t="s">
        <v>764</v>
      </c>
      <c r="M109" s="15" t="s">
        <v>755</v>
      </c>
      <c r="N109" s="63" t="s">
        <v>767</v>
      </c>
      <c r="O109" s="62" t="s">
        <v>58</v>
      </c>
      <c r="P109" s="185" t="s">
        <v>757</v>
      </c>
      <c r="Q109" s="18"/>
      <c r="R109" s="37"/>
      <c r="S109" s="15" t="s">
        <v>143</v>
      </c>
      <c r="T109" s="15" t="s">
        <v>152</v>
      </c>
      <c r="U109" s="15" t="s">
        <v>546</v>
      </c>
      <c r="V109" s="173">
        <v>63</v>
      </c>
      <c r="W109" s="16">
        <f t="shared" si="31"/>
        <v>63</v>
      </c>
      <c r="X109" s="15">
        <f>W109</f>
        <v>63</v>
      </c>
      <c r="Y109" s="15">
        <f>ROUNDDOWN(W109/HLOOKUP(D109,Table!$C$3:$D$4,2,0)*8,2)</f>
        <v>1.1200000000000001</v>
      </c>
      <c r="Z109" s="15">
        <f>Y109</f>
        <v>1.1200000000000001</v>
      </c>
      <c r="AA109" s="15" t="s">
        <v>21</v>
      </c>
      <c r="AB109" s="19">
        <v>44133</v>
      </c>
      <c r="AC109" s="19">
        <v>44130</v>
      </c>
      <c r="AD109" s="108">
        <v>44133</v>
      </c>
      <c r="AE109" s="19">
        <v>44133</v>
      </c>
      <c r="AF109" s="19">
        <v>44133</v>
      </c>
      <c r="AG109" s="19" t="s">
        <v>130</v>
      </c>
      <c r="AH109" s="91">
        <v>1</v>
      </c>
      <c r="AI109" s="91">
        <v>1</v>
      </c>
      <c r="AJ109" s="91">
        <v>1</v>
      </c>
      <c r="AK109" s="19" t="s">
        <v>117</v>
      </c>
      <c r="AL109" s="17" t="s">
        <v>58</v>
      </c>
      <c r="AM109" s="17" t="s">
        <v>58</v>
      </c>
      <c r="AN109" s="175" t="s">
        <v>919</v>
      </c>
    </row>
    <row r="110" spans="2:40" x14ac:dyDescent="0.25">
      <c r="B110" s="157">
        <f t="shared" si="21"/>
        <v>51</v>
      </c>
      <c r="C110" s="16">
        <v>20201026</v>
      </c>
      <c r="D110" s="63" t="s">
        <v>3</v>
      </c>
      <c r="E110" s="62" t="s">
        <v>742</v>
      </c>
      <c r="F110" s="104" t="s">
        <v>872</v>
      </c>
      <c r="G110" s="63">
        <v>1741178</v>
      </c>
      <c r="H110" s="37" t="s">
        <v>58</v>
      </c>
      <c r="I110" s="63" t="s">
        <v>747</v>
      </c>
      <c r="J110" s="124" t="s">
        <v>58</v>
      </c>
      <c r="K110" s="15" t="s">
        <v>165</v>
      </c>
      <c r="L110" s="15" t="s">
        <v>765</v>
      </c>
      <c r="M110" s="15" t="s">
        <v>762</v>
      </c>
      <c r="N110" s="63" t="s">
        <v>768</v>
      </c>
      <c r="O110" s="62" t="s">
        <v>58</v>
      </c>
      <c r="P110" s="185" t="s">
        <v>758</v>
      </c>
      <c r="Q110" s="18"/>
      <c r="R110" s="37"/>
      <c r="S110" s="15" t="s">
        <v>152</v>
      </c>
      <c r="T110" s="15" t="s">
        <v>142</v>
      </c>
      <c r="U110" s="15" t="s">
        <v>546</v>
      </c>
      <c r="V110" s="173">
        <v>431</v>
      </c>
      <c r="W110" s="146">
        <v>512</v>
      </c>
      <c r="X110" s="15">
        <f t="shared" ref="X110:X115" si="32">W110</f>
        <v>512</v>
      </c>
      <c r="Y110" s="15">
        <f>ROUNDDOWN(W110/HLOOKUP(D110,Table!$C$3:$D$4,2,0)*8,2)</f>
        <v>9.1</v>
      </c>
      <c r="Z110" s="15">
        <v>4</v>
      </c>
      <c r="AA110" s="15" t="s">
        <v>21</v>
      </c>
      <c r="AB110" s="19">
        <v>44132</v>
      </c>
      <c r="AC110" s="19">
        <v>44130</v>
      </c>
      <c r="AD110" s="70">
        <v>44132</v>
      </c>
      <c r="AE110" s="19">
        <v>44132</v>
      </c>
      <c r="AF110" s="19">
        <v>44132</v>
      </c>
      <c r="AG110" s="19" t="s">
        <v>130</v>
      </c>
      <c r="AH110" s="91">
        <v>1</v>
      </c>
      <c r="AI110" s="91">
        <v>1</v>
      </c>
      <c r="AJ110" s="91">
        <v>0.93</v>
      </c>
      <c r="AK110" s="19" t="s">
        <v>117</v>
      </c>
      <c r="AL110" s="17" t="s">
        <v>58</v>
      </c>
      <c r="AM110" s="17" t="s">
        <v>58</v>
      </c>
      <c r="AN110" s="17" t="s">
        <v>910</v>
      </c>
    </row>
    <row r="111" spans="2:40" x14ac:dyDescent="0.25">
      <c r="B111" s="157">
        <f t="shared" si="21"/>
        <v>52</v>
      </c>
      <c r="C111" s="16">
        <v>20201026</v>
      </c>
      <c r="D111" s="63" t="s">
        <v>3</v>
      </c>
      <c r="E111" s="62" t="s">
        <v>742</v>
      </c>
      <c r="F111" s="104" t="s">
        <v>911</v>
      </c>
      <c r="G111" s="63">
        <v>1741178</v>
      </c>
      <c r="H111" s="37" t="s">
        <v>58</v>
      </c>
      <c r="I111" s="63" t="s">
        <v>748</v>
      </c>
      <c r="J111" s="124" t="s">
        <v>58</v>
      </c>
      <c r="K111" s="15" t="s">
        <v>165</v>
      </c>
      <c r="L111" s="15" t="s">
        <v>765</v>
      </c>
      <c r="M111" s="15" t="s">
        <v>762</v>
      </c>
      <c r="N111" s="63" t="s">
        <v>768</v>
      </c>
      <c r="O111" s="62" t="s">
        <v>58</v>
      </c>
      <c r="P111" s="185" t="s">
        <v>758</v>
      </c>
      <c r="Q111" s="18"/>
      <c r="R111" s="37"/>
      <c r="S111" s="15" t="s">
        <v>152</v>
      </c>
      <c r="T111" s="15" t="s">
        <v>142</v>
      </c>
      <c r="U111" s="15" t="s">
        <v>546</v>
      </c>
      <c r="V111" s="173">
        <v>55</v>
      </c>
      <c r="W111" s="146">
        <v>133</v>
      </c>
      <c r="X111" s="15">
        <f t="shared" si="32"/>
        <v>133</v>
      </c>
      <c r="Y111" s="15">
        <f>ROUNDDOWN(W111/HLOOKUP(D111,Table!$C$3:$D$4,2,0)*8,2)</f>
        <v>2.36</v>
      </c>
      <c r="Z111" s="15">
        <v>1</v>
      </c>
      <c r="AA111" s="15" t="s">
        <v>21</v>
      </c>
      <c r="AB111" s="19">
        <v>44132</v>
      </c>
      <c r="AC111" s="19">
        <v>44130</v>
      </c>
      <c r="AD111" s="70">
        <v>44132</v>
      </c>
      <c r="AE111" s="19">
        <v>44130</v>
      </c>
      <c r="AF111" s="19">
        <v>44130</v>
      </c>
      <c r="AG111" s="19" t="s">
        <v>130</v>
      </c>
      <c r="AH111" s="91">
        <v>1</v>
      </c>
      <c r="AI111" s="91">
        <v>1</v>
      </c>
      <c r="AJ111" s="91">
        <v>1</v>
      </c>
      <c r="AK111" s="19" t="s">
        <v>117</v>
      </c>
      <c r="AL111" s="17" t="s">
        <v>58</v>
      </c>
      <c r="AM111" s="17" t="s">
        <v>58</v>
      </c>
      <c r="AN111" s="17" t="s">
        <v>58</v>
      </c>
    </row>
    <row r="112" spans="2:40" x14ac:dyDescent="0.25">
      <c r="B112" s="157">
        <f t="shared" si="21"/>
        <v>53</v>
      </c>
      <c r="C112" s="16">
        <v>20201026</v>
      </c>
      <c r="D112" s="63" t="s">
        <v>3</v>
      </c>
      <c r="E112" s="62" t="s">
        <v>742</v>
      </c>
      <c r="F112" s="104" t="s">
        <v>872</v>
      </c>
      <c r="G112" s="63">
        <v>1741178</v>
      </c>
      <c r="H112" s="37" t="s">
        <v>58</v>
      </c>
      <c r="I112" s="63" t="s">
        <v>749</v>
      </c>
      <c r="J112" s="124" t="s">
        <v>58</v>
      </c>
      <c r="K112" s="15" t="s">
        <v>165</v>
      </c>
      <c r="L112" s="15" t="s">
        <v>765</v>
      </c>
      <c r="M112" s="15" t="s">
        <v>762</v>
      </c>
      <c r="N112" s="63" t="s">
        <v>768</v>
      </c>
      <c r="O112" s="62" t="s">
        <v>58</v>
      </c>
      <c r="P112" s="185" t="s">
        <v>758</v>
      </c>
      <c r="Q112" s="18"/>
      <c r="R112" s="37"/>
      <c r="S112" s="15" t="s">
        <v>152</v>
      </c>
      <c r="T112" s="15" t="s">
        <v>142</v>
      </c>
      <c r="U112" s="15" t="s">
        <v>546</v>
      </c>
      <c r="V112" s="173">
        <v>34</v>
      </c>
      <c r="W112" s="16">
        <f t="shared" si="31"/>
        <v>34</v>
      </c>
      <c r="X112" s="15">
        <f t="shared" si="32"/>
        <v>34</v>
      </c>
      <c r="Y112" s="15">
        <f>ROUNDDOWN(W112/HLOOKUP(D112,Table!$C$3:$D$4,2,0)*8,2)</f>
        <v>0.6</v>
      </c>
      <c r="Z112" s="15">
        <v>0.5</v>
      </c>
      <c r="AA112" s="15" t="s">
        <v>21</v>
      </c>
      <c r="AB112" s="19">
        <v>44132</v>
      </c>
      <c r="AC112" s="19">
        <v>44130</v>
      </c>
      <c r="AD112" s="70">
        <v>44132</v>
      </c>
      <c r="AE112" s="19">
        <v>44130</v>
      </c>
      <c r="AF112" s="19">
        <v>44130</v>
      </c>
      <c r="AG112" s="19" t="s">
        <v>130</v>
      </c>
      <c r="AH112" s="91">
        <v>1</v>
      </c>
      <c r="AI112" s="91">
        <v>1</v>
      </c>
      <c r="AJ112" s="91">
        <v>1</v>
      </c>
      <c r="AK112" s="19" t="s">
        <v>117</v>
      </c>
      <c r="AL112" s="17" t="s">
        <v>58</v>
      </c>
      <c r="AM112" s="17" t="s">
        <v>58</v>
      </c>
      <c r="AN112" s="17" t="s">
        <v>58</v>
      </c>
    </row>
    <row r="113" spans="2:40" x14ac:dyDescent="0.25">
      <c r="B113" s="157">
        <f t="shared" si="21"/>
        <v>54</v>
      </c>
      <c r="C113" s="16">
        <v>20201026</v>
      </c>
      <c r="D113" s="63" t="s">
        <v>3</v>
      </c>
      <c r="E113" s="62" t="s">
        <v>742</v>
      </c>
      <c r="F113" s="104" t="s">
        <v>872</v>
      </c>
      <c r="G113" s="63">
        <v>1741178</v>
      </c>
      <c r="H113" s="37" t="s">
        <v>58</v>
      </c>
      <c r="I113" s="63" t="s">
        <v>750</v>
      </c>
      <c r="J113" s="124" t="s">
        <v>58</v>
      </c>
      <c r="K113" s="15" t="s">
        <v>165</v>
      </c>
      <c r="L113" s="15" t="s">
        <v>765</v>
      </c>
      <c r="M113" s="15" t="s">
        <v>762</v>
      </c>
      <c r="N113" s="63" t="s">
        <v>768</v>
      </c>
      <c r="O113" s="62" t="s">
        <v>58</v>
      </c>
      <c r="P113" s="185" t="s">
        <v>758</v>
      </c>
      <c r="Q113" s="18"/>
      <c r="R113" s="37"/>
      <c r="S113" s="15" t="s">
        <v>143</v>
      </c>
      <c r="T113" s="15" t="s">
        <v>152</v>
      </c>
      <c r="U113" s="15" t="s">
        <v>546</v>
      </c>
      <c r="V113" s="173">
        <v>126</v>
      </c>
      <c r="W113" s="16">
        <f t="shared" si="31"/>
        <v>126</v>
      </c>
      <c r="X113" s="15">
        <f t="shared" si="32"/>
        <v>126</v>
      </c>
      <c r="Y113" s="15">
        <f>ROUNDDOWN(W113/HLOOKUP(D113,Table!$C$3:$D$4,2,0)*8,2)</f>
        <v>2.2400000000000002</v>
      </c>
      <c r="Z113" s="15">
        <f>Y113</f>
        <v>2.2400000000000002</v>
      </c>
      <c r="AA113" s="15" t="s">
        <v>21</v>
      </c>
      <c r="AB113" s="19">
        <v>44132</v>
      </c>
      <c r="AC113" s="19">
        <v>44130</v>
      </c>
      <c r="AD113" s="70">
        <v>44132</v>
      </c>
      <c r="AE113" s="19">
        <v>44132</v>
      </c>
      <c r="AF113" s="19">
        <v>44132</v>
      </c>
      <c r="AG113" s="19" t="s">
        <v>130</v>
      </c>
      <c r="AH113" s="91">
        <v>1</v>
      </c>
      <c r="AI113" s="91">
        <v>1</v>
      </c>
      <c r="AJ113" s="91">
        <v>1</v>
      </c>
      <c r="AK113" s="19" t="s">
        <v>117</v>
      </c>
      <c r="AL113" s="17" t="s">
        <v>58</v>
      </c>
      <c r="AM113" s="17" t="s">
        <v>58</v>
      </c>
      <c r="AN113" s="175" t="s">
        <v>919</v>
      </c>
    </row>
    <row r="114" spans="2:40" x14ac:dyDescent="0.25">
      <c r="B114" s="157">
        <f t="shared" si="21"/>
        <v>55</v>
      </c>
      <c r="C114" s="16">
        <v>20201026</v>
      </c>
      <c r="D114" s="63" t="s">
        <v>3</v>
      </c>
      <c r="E114" s="62" t="s">
        <v>742</v>
      </c>
      <c r="F114" s="104" t="s">
        <v>872</v>
      </c>
      <c r="G114" s="63">
        <v>1741178</v>
      </c>
      <c r="H114" s="37" t="s">
        <v>58</v>
      </c>
      <c r="I114" s="63" t="s">
        <v>751</v>
      </c>
      <c r="J114" s="124" t="s">
        <v>58</v>
      </c>
      <c r="K114" s="15" t="s">
        <v>165</v>
      </c>
      <c r="L114" s="15" t="s">
        <v>765</v>
      </c>
      <c r="M114" s="15" t="s">
        <v>762</v>
      </c>
      <c r="N114" s="63" t="s">
        <v>768</v>
      </c>
      <c r="O114" s="62" t="s">
        <v>58</v>
      </c>
      <c r="P114" s="185" t="s">
        <v>758</v>
      </c>
      <c r="Q114" s="18"/>
      <c r="R114" s="37"/>
      <c r="S114" s="15" t="s">
        <v>143</v>
      </c>
      <c r="T114" s="15" t="s">
        <v>152</v>
      </c>
      <c r="U114" s="15" t="s">
        <v>546</v>
      </c>
      <c r="V114" s="173">
        <v>34</v>
      </c>
      <c r="W114" s="146">
        <f>V114+10</f>
        <v>44</v>
      </c>
      <c r="X114" s="15">
        <f t="shared" si="32"/>
        <v>44</v>
      </c>
      <c r="Y114" s="15">
        <f>ROUNDDOWN(W114/HLOOKUP(D114,Table!$C$3:$D$4,2,0)*8,2)</f>
        <v>0.78</v>
      </c>
      <c r="Z114" s="15">
        <f>Y114</f>
        <v>0.78</v>
      </c>
      <c r="AA114" s="15" t="s">
        <v>21</v>
      </c>
      <c r="AB114" s="19">
        <v>44132</v>
      </c>
      <c r="AC114" s="19">
        <v>44130</v>
      </c>
      <c r="AD114" s="70">
        <v>44132</v>
      </c>
      <c r="AE114" s="19">
        <v>44132</v>
      </c>
      <c r="AF114" s="19">
        <v>44132</v>
      </c>
      <c r="AG114" s="19" t="s">
        <v>130</v>
      </c>
      <c r="AH114" s="91">
        <v>1</v>
      </c>
      <c r="AI114" s="91">
        <v>1</v>
      </c>
      <c r="AJ114" s="91">
        <v>1</v>
      </c>
      <c r="AK114" s="19" t="s">
        <v>117</v>
      </c>
      <c r="AL114" s="17" t="s">
        <v>58</v>
      </c>
      <c r="AM114" s="17" t="s">
        <v>58</v>
      </c>
      <c r="AN114" s="175" t="s">
        <v>919</v>
      </c>
    </row>
    <row r="115" spans="2:40" x14ac:dyDescent="0.25">
      <c r="B115" s="157">
        <f t="shared" si="21"/>
        <v>56</v>
      </c>
      <c r="C115" s="16">
        <v>20201026</v>
      </c>
      <c r="D115" s="63" t="s">
        <v>3</v>
      </c>
      <c r="E115" s="62" t="s">
        <v>742</v>
      </c>
      <c r="F115" s="104" t="s">
        <v>912</v>
      </c>
      <c r="G115" s="63">
        <v>1744818</v>
      </c>
      <c r="H115" s="37" t="s">
        <v>58</v>
      </c>
      <c r="I115" s="63" t="s">
        <v>752</v>
      </c>
      <c r="J115" s="124" t="s">
        <v>58</v>
      </c>
      <c r="K115" s="15" t="s">
        <v>165</v>
      </c>
      <c r="L115" s="15" t="s">
        <v>765</v>
      </c>
      <c r="M115" s="15" t="s">
        <v>762</v>
      </c>
      <c r="N115" s="63" t="s">
        <v>768</v>
      </c>
      <c r="O115" s="62" t="s">
        <v>58</v>
      </c>
      <c r="P115" s="185" t="s">
        <v>759</v>
      </c>
      <c r="Q115" s="18"/>
      <c r="R115" s="37"/>
      <c r="S115" s="15" t="s">
        <v>152</v>
      </c>
      <c r="T115" s="15" t="s">
        <v>142</v>
      </c>
      <c r="U115" s="15" t="s">
        <v>546</v>
      </c>
      <c r="V115" s="173">
        <v>117</v>
      </c>
      <c r="W115" s="146">
        <v>120</v>
      </c>
      <c r="X115" s="15">
        <f t="shared" si="32"/>
        <v>120</v>
      </c>
      <c r="Y115" s="15">
        <f>ROUNDDOWN(W115/HLOOKUP(D115,Table!$C$3:$D$4,2,0)*8,2)</f>
        <v>2.13</v>
      </c>
      <c r="Z115" s="15">
        <v>2</v>
      </c>
      <c r="AA115" s="15" t="s">
        <v>21</v>
      </c>
      <c r="AB115" s="19">
        <v>44132</v>
      </c>
      <c r="AC115" s="19">
        <v>44130</v>
      </c>
      <c r="AD115" s="70">
        <v>44132</v>
      </c>
      <c r="AE115" s="19">
        <v>44132</v>
      </c>
      <c r="AF115" s="19">
        <v>44132</v>
      </c>
      <c r="AG115" s="19" t="s">
        <v>130</v>
      </c>
      <c r="AH115" s="91">
        <v>1</v>
      </c>
      <c r="AI115" s="91">
        <v>1</v>
      </c>
      <c r="AJ115" s="91">
        <v>1</v>
      </c>
      <c r="AK115" s="19" t="s">
        <v>117</v>
      </c>
      <c r="AL115" s="17" t="s">
        <v>58</v>
      </c>
      <c r="AM115" s="17" t="s">
        <v>58</v>
      </c>
      <c r="AN115" s="17" t="s">
        <v>915</v>
      </c>
    </row>
    <row r="116" spans="2:40" x14ac:dyDescent="0.25">
      <c r="B116" s="157">
        <f t="shared" si="21"/>
        <v>57</v>
      </c>
      <c r="C116" s="16">
        <v>20201026</v>
      </c>
      <c r="D116" s="63" t="s">
        <v>2</v>
      </c>
      <c r="E116" s="62" t="s">
        <v>743</v>
      </c>
      <c r="F116" s="62" t="s">
        <v>58</v>
      </c>
      <c r="G116" s="63">
        <v>1748287</v>
      </c>
      <c r="H116" s="37" t="s">
        <v>58</v>
      </c>
      <c r="I116" s="63" t="s">
        <v>753</v>
      </c>
      <c r="J116" s="124" t="s">
        <v>58</v>
      </c>
      <c r="K116" s="15" t="s">
        <v>165</v>
      </c>
      <c r="L116" s="15" t="s">
        <v>117</v>
      </c>
      <c r="M116" s="15" t="s">
        <v>763</v>
      </c>
      <c r="N116" s="63" t="s">
        <v>769</v>
      </c>
      <c r="O116" s="62" t="s">
        <v>936</v>
      </c>
      <c r="P116" s="185" t="s">
        <v>760</v>
      </c>
      <c r="Q116" s="18"/>
      <c r="R116" s="37"/>
      <c r="S116" s="15" t="s">
        <v>152</v>
      </c>
      <c r="T116" s="15" t="s">
        <v>142</v>
      </c>
      <c r="U116" s="15" t="s">
        <v>546</v>
      </c>
      <c r="V116" s="173">
        <v>70</v>
      </c>
      <c r="W116" s="16">
        <f t="shared" si="31"/>
        <v>70</v>
      </c>
      <c r="X116" s="15">
        <f t="shared" ref="X116:X125" si="33">W116</f>
        <v>70</v>
      </c>
      <c r="Y116" s="15">
        <f>ROUNDDOWN(W116/HLOOKUP(D116,Table!$C$3:$D$4,2,0)*8,2)</f>
        <v>4.3</v>
      </c>
      <c r="Z116" s="15">
        <v>3</v>
      </c>
      <c r="AA116" s="15" t="s">
        <v>21</v>
      </c>
      <c r="AB116" s="19">
        <v>44133</v>
      </c>
      <c r="AC116" s="19">
        <v>44130</v>
      </c>
      <c r="AD116" s="108">
        <v>44133</v>
      </c>
      <c r="AE116" s="19">
        <v>44133</v>
      </c>
      <c r="AF116" s="19">
        <v>44133</v>
      </c>
      <c r="AG116" s="19" t="s">
        <v>130</v>
      </c>
      <c r="AH116" s="91">
        <v>0.86699999999999999</v>
      </c>
      <c r="AI116" s="91">
        <v>0.86699999999999999</v>
      </c>
      <c r="AJ116" s="91" t="s">
        <v>58</v>
      </c>
      <c r="AK116" s="19" t="s">
        <v>117</v>
      </c>
      <c r="AL116" s="17" t="s">
        <v>948</v>
      </c>
      <c r="AM116" s="17" t="s">
        <v>58</v>
      </c>
      <c r="AN116" s="17" t="s">
        <v>58</v>
      </c>
    </row>
    <row r="117" spans="2:40" ht="30" x14ac:dyDescent="0.25">
      <c r="B117" s="157">
        <f t="shared" si="21"/>
        <v>58</v>
      </c>
      <c r="C117" s="16">
        <v>20201026</v>
      </c>
      <c r="D117" s="63" t="s">
        <v>3</v>
      </c>
      <c r="E117" s="62" t="s">
        <v>253</v>
      </c>
      <c r="F117" s="104" t="s">
        <v>954</v>
      </c>
      <c r="G117" s="74">
        <v>1689282</v>
      </c>
      <c r="H117" s="37" t="s">
        <v>58</v>
      </c>
      <c r="I117" s="63" t="s">
        <v>754</v>
      </c>
      <c r="J117" s="124" t="s">
        <v>58</v>
      </c>
      <c r="K117" s="15" t="s">
        <v>167</v>
      </c>
      <c r="L117" s="15" t="s">
        <v>766</v>
      </c>
      <c r="M117" s="15" t="s">
        <v>474</v>
      </c>
      <c r="N117" s="63" t="s">
        <v>511</v>
      </c>
      <c r="O117" s="62" t="s">
        <v>58</v>
      </c>
      <c r="P117" s="185" t="s">
        <v>761</v>
      </c>
      <c r="Q117" s="18"/>
      <c r="R117" s="37"/>
      <c r="S117" s="15" t="s">
        <v>141</v>
      </c>
      <c r="T117" s="15" t="s">
        <v>64</v>
      </c>
      <c r="U117" s="15" t="s">
        <v>546</v>
      </c>
      <c r="V117" s="173">
        <v>140</v>
      </c>
      <c r="W117" s="146">
        <f>V117*2</f>
        <v>280</v>
      </c>
      <c r="X117" s="15">
        <f t="shared" si="33"/>
        <v>280</v>
      </c>
      <c r="Y117" s="15">
        <f>ROUNDDOWN(W117/HLOOKUP(D117,Table!$C$3:$D$4,2,0)*8,2)</f>
        <v>4.97</v>
      </c>
      <c r="Z117" s="15">
        <f>Y117</f>
        <v>4.97</v>
      </c>
      <c r="AA117" s="15" t="s">
        <v>21</v>
      </c>
      <c r="AB117" s="19">
        <v>44133</v>
      </c>
      <c r="AC117" s="19">
        <v>44130</v>
      </c>
      <c r="AD117" s="108">
        <v>44133</v>
      </c>
      <c r="AE117" s="19">
        <v>44132</v>
      </c>
      <c r="AF117" s="19">
        <v>44132</v>
      </c>
      <c r="AG117" s="19" t="s">
        <v>130</v>
      </c>
      <c r="AH117" s="91">
        <v>1</v>
      </c>
      <c r="AI117" s="91">
        <v>1</v>
      </c>
      <c r="AJ117" s="91">
        <v>1</v>
      </c>
      <c r="AK117" s="19" t="s">
        <v>117</v>
      </c>
      <c r="AL117" s="17" t="s">
        <v>58</v>
      </c>
      <c r="AM117" s="17" t="s">
        <v>58</v>
      </c>
      <c r="AN117" s="137" t="s">
        <v>509</v>
      </c>
    </row>
    <row r="118" spans="2:40" ht="30" x14ac:dyDescent="0.25">
      <c r="B118" s="157">
        <f t="shared" ref="B118:B149" si="34">B117+1</f>
        <v>59</v>
      </c>
      <c r="C118" s="16">
        <v>20201026</v>
      </c>
      <c r="D118" s="63" t="s">
        <v>3</v>
      </c>
      <c r="E118" s="62" t="s">
        <v>913</v>
      </c>
      <c r="F118" s="104" t="s">
        <v>954</v>
      </c>
      <c r="G118" s="74">
        <v>1752554</v>
      </c>
      <c r="H118" s="37" t="s">
        <v>58</v>
      </c>
      <c r="I118" s="63" t="s">
        <v>754</v>
      </c>
      <c r="J118" s="124" t="s">
        <v>58</v>
      </c>
      <c r="K118" s="15" t="s">
        <v>167</v>
      </c>
      <c r="L118" s="15" t="s">
        <v>766</v>
      </c>
      <c r="M118" s="15" t="s">
        <v>914</v>
      </c>
      <c r="N118" s="63" t="s">
        <v>511</v>
      </c>
      <c r="O118" s="62" t="s">
        <v>58</v>
      </c>
      <c r="P118" s="185" t="s">
        <v>761</v>
      </c>
      <c r="Q118" s="18"/>
      <c r="R118" s="37"/>
      <c r="S118" s="15" t="s">
        <v>141</v>
      </c>
      <c r="T118" s="15" t="s">
        <v>64</v>
      </c>
      <c r="U118" s="15" t="s">
        <v>546</v>
      </c>
      <c r="V118" s="173">
        <v>140</v>
      </c>
      <c r="W118" s="146">
        <f>V118*2</f>
        <v>280</v>
      </c>
      <c r="X118" s="15">
        <f t="shared" si="33"/>
        <v>280</v>
      </c>
      <c r="Y118" s="15">
        <f>ROUNDDOWN(W118/HLOOKUP(D118,Table!$C$3:$D$4,2,0)*8,2)</f>
        <v>4.97</v>
      </c>
      <c r="Z118" s="15">
        <f>Y118</f>
        <v>4.97</v>
      </c>
      <c r="AA118" s="15" t="s">
        <v>21</v>
      </c>
      <c r="AB118" s="19">
        <v>44133</v>
      </c>
      <c r="AC118" s="19">
        <v>44130</v>
      </c>
      <c r="AD118" s="108">
        <v>44133</v>
      </c>
      <c r="AE118" s="19">
        <v>44132</v>
      </c>
      <c r="AF118" s="19">
        <v>44132</v>
      </c>
      <c r="AG118" s="19" t="s">
        <v>130</v>
      </c>
      <c r="AH118" s="91">
        <v>1</v>
      </c>
      <c r="AI118" s="91">
        <v>1</v>
      </c>
      <c r="AJ118" s="91">
        <v>1</v>
      </c>
      <c r="AK118" s="19" t="s">
        <v>117</v>
      </c>
      <c r="AL118" s="17" t="s">
        <v>58</v>
      </c>
      <c r="AM118" s="17" t="s">
        <v>58</v>
      </c>
      <c r="AN118" s="137" t="s">
        <v>509</v>
      </c>
    </row>
    <row r="119" spans="2:40" x14ac:dyDescent="0.25">
      <c r="B119" s="98">
        <f t="shared" si="34"/>
        <v>60</v>
      </c>
      <c r="C119" s="16">
        <v>20201028</v>
      </c>
      <c r="D119" s="63" t="s">
        <v>2</v>
      </c>
      <c r="E119" s="62" t="s">
        <v>922</v>
      </c>
      <c r="F119" s="62" t="s">
        <v>58</v>
      </c>
      <c r="G119" s="63">
        <v>1752455</v>
      </c>
      <c r="H119" s="37" t="s">
        <v>58</v>
      </c>
      <c r="I119" s="63" t="s">
        <v>923</v>
      </c>
      <c r="J119" s="124" t="s">
        <v>58</v>
      </c>
      <c r="K119" s="15" t="s">
        <v>167</v>
      </c>
      <c r="L119" s="15" t="s">
        <v>117</v>
      </c>
      <c r="M119" s="15" t="s">
        <v>924</v>
      </c>
      <c r="N119" s="63" t="s">
        <v>925</v>
      </c>
      <c r="O119" s="62" t="s">
        <v>955</v>
      </c>
      <c r="P119" s="48" t="s">
        <v>932</v>
      </c>
      <c r="Q119" s="18"/>
      <c r="R119" s="37"/>
      <c r="S119" s="15" t="s">
        <v>143</v>
      </c>
      <c r="T119" s="15" t="s">
        <v>152</v>
      </c>
      <c r="U119" s="15" t="s">
        <v>546</v>
      </c>
      <c r="V119" s="63">
        <v>54</v>
      </c>
      <c r="W119" s="146">
        <f>V119+10</f>
        <v>64</v>
      </c>
      <c r="X119" s="15">
        <f t="shared" si="33"/>
        <v>64</v>
      </c>
      <c r="Y119" s="15">
        <f>ROUNDDOWN(W119/HLOOKUP(D119,Table!$C$3:$D$4,2,0)*8,2)</f>
        <v>3.93</v>
      </c>
      <c r="Z119" s="15">
        <f>8</f>
        <v>8</v>
      </c>
      <c r="AA119" s="15" t="s">
        <v>21</v>
      </c>
      <c r="AB119" s="19">
        <v>44139</v>
      </c>
      <c r="AC119" s="19">
        <v>44133</v>
      </c>
      <c r="AD119" s="108">
        <v>44139</v>
      </c>
      <c r="AE119" s="19">
        <v>44133</v>
      </c>
      <c r="AF119" s="19">
        <v>44138</v>
      </c>
      <c r="AG119" s="19" t="s">
        <v>131</v>
      </c>
      <c r="AH119" s="91">
        <v>0.77300000000000002</v>
      </c>
      <c r="AI119" s="91">
        <v>0.80900000000000005</v>
      </c>
      <c r="AJ119" s="91">
        <v>1</v>
      </c>
      <c r="AK119" s="19" t="s">
        <v>107</v>
      </c>
      <c r="AL119" s="17" t="s">
        <v>58</v>
      </c>
      <c r="AM119" s="17" t="s">
        <v>58</v>
      </c>
      <c r="AN119" s="175" t="s">
        <v>1203</v>
      </c>
    </row>
    <row r="120" spans="2:40" ht="45" x14ac:dyDescent="0.25">
      <c r="B120" s="98">
        <f t="shared" si="34"/>
        <v>61</v>
      </c>
      <c r="C120" s="16">
        <v>20201028</v>
      </c>
      <c r="D120" s="63" t="s">
        <v>2</v>
      </c>
      <c r="E120" s="62" t="s">
        <v>922</v>
      </c>
      <c r="F120" s="62" t="s">
        <v>58</v>
      </c>
      <c r="G120" s="63">
        <v>1752455</v>
      </c>
      <c r="H120" s="37" t="s">
        <v>58</v>
      </c>
      <c r="I120" s="63" t="s">
        <v>926</v>
      </c>
      <c r="J120" s="124" t="s">
        <v>58</v>
      </c>
      <c r="K120" s="15" t="s">
        <v>165</v>
      </c>
      <c r="L120" s="15" t="s">
        <v>117</v>
      </c>
      <c r="M120" s="15" t="s">
        <v>924</v>
      </c>
      <c r="N120" s="63" t="s">
        <v>925</v>
      </c>
      <c r="O120" s="62" t="s">
        <v>956</v>
      </c>
      <c r="P120" s="48" t="s">
        <v>932</v>
      </c>
      <c r="Q120" s="18"/>
      <c r="R120" s="37"/>
      <c r="S120" s="15" t="s">
        <v>152</v>
      </c>
      <c r="T120" s="15" t="s">
        <v>142</v>
      </c>
      <c r="U120" s="15" t="s">
        <v>546</v>
      </c>
      <c r="V120" s="63">
        <v>30</v>
      </c>
      <c r="W120" s="146">
        <v>70</v>
      </c>
      <c r="X120" s="15">
        <f t="shared" si="33"/>
        <v>70</v>
      </c>
      <c r="Y120" s="15">
        <f>ROUNDDOWN(W120/HLOOKUP(D120,Table!$C$3:$D$4,2,0)*8,2)</f>
        <v>4.3</v>
      </c>
      <c r="Z120" s="15">
        <v>2</v>
      </c>
      <c r="AA120" s="15" t="s">
        <v>21</v>
      </c>
      <c r="AB120" s="19">
        <v>44139</v>
      </c>
      <c r="AC120" s="19">
        <v>44133</v>
      </c>
      <c r="AD120" s="108">
        <v>44139</v>
      </c>
      <c r="AE120" s="19">
        <v>44137</v>
      </c>
      <c r="AF120" s="19">
        <v>44137</v>
      </c>
      <c r="AG120" s="19" t="s">
        <v>131</v>
      </c>
      <c r="AH120" s="91">
        <v>1</v>
      </c>
      <c r="AI120" s="91">
        <v>1</v>
      </c>
      <c r="AJ120" s="91">
        <v>1</v>
      </c>
      <c r="AK120" s="19" t="s">
        <v>116</v>
      </c>
      <c r="AL120" s="17" t="s">
        <v>58</v>
      </c>
      <c r="AM120" s="17" t="s">
        <v>58</v>
      </c>
      <c r="AN120" s="137" t="s">
        <v>1022</v>
      </c>
    </row>
    <row r="121" spans="2:40" x14ac:dyDescent="0.25">
      <c r="B121" s="98">
        <f t="shared" si="34"/>
        <v>62</v>
      </c>
      <c r="C121" s="16">
        <v>20201028</v>
      </c>
      <c r="D121" s="63" t="s">
        <v>3</v>
      </c>
      <c r="E121" s="62" t="s">
        <v>927</v>
      </c>
      <c r="F121" s="46" t="s">
        <v>952</v>
      </c>
      <c r="G121" s="63">
        <v>1745788</v>
      </c>
      <c r="H121" s="37" t="s">
        <v>58</v>
      </c>
      <c r="I121" s="63" t="s">
        <v>928</v>
      </c>
      <c r="J121" s="124" t="s">
        <v>58</v>
      </c>
      <c r="K121" s="15" t="s">
        <v>165</v>
      </c>
      <c r="L121" s="15" t="s">
        <v>934</v>
      </c>
      <c r="M121" s="15" t="s">
        <v>929</v>
      </c>
      <c r="N121" s="63" t="s">
        <v>930</v>
      </c>
      <c r="O121" s="62" t="s">
        <v>58</v>
      </c>
      <c r="P121" s="48" t="s">
        <v>933</v>
      </c>
      <c r="Q121" s="18"/>
      <c r="R121" s="37"/>
      <c r="S121" s="15" t="s">
        <v>142</v>
      </c>
      <c r="T121" s="15" t="s">
        <v>141</v>
      </c>
      <c r="U121" s="15" t="s">
        <v>546</v>
      </c>
      <c r="V121" s="63">
        <v>45</v>
      </c>
      <c r="W121" s="146">
        <v>0</v>
      </c>
      <c r="X121" s="15">
        <f t="shared" si="33"/>
        <v>0</v>
      </c>
      <c r="Y121" s="15">
        <f>ROUNDDOWN(W121/HLOOKUP(D121,Table!$C$3:$D$4,2,0)*8,2)</f>
        <v>0</v>
      </c>
      <c r="Z121" s="15">
        <v>0</v>
      </c>
      <c r="AA121" s="15" t="s">
        <v>21</v>
      </c>
      <c r="AB121" s="19">
        <v>44137</v>
      </c>
      <c r="AC121" s="19">
        <v>44133</v>
      </c>
      <c r="AD121" s="108">
        <v>44137</v>
      </c>
      <c r="AE121" s="19">
        <v>44133</v>
      </c>
      <c r="AF121" s="19">
        <v>44133</v>
      </c>
      <c r="AG121" s="19" t="s">
        <v>130</v>
      </c>
      <c r="AH121" s="91" t="s">
        <v>58</v>
      </c>
      <c r="AI121" s="91" t="s">
        <v>58</v>
      </c>
      <c r="AJ121" s="91" t="s">
        <v>58</v>
      </c>
      <c r="AK121" s="19" t="s">
        <v>117</v>
      </c>
      <c r="AL121" s="17" t="s">
        <v>58</v>
      </c>
      <c r="AM121" s="17" t="s">
        <v>58</v>
      </c>
      <c r="AN121" s="109" t="s">
        <v>481</v>
      </c>
    </row>
    <row r="122" spans="2:40" x14ac:dyDescent="0.25">
      <c r="B122" s="98">
        <f t="shared" si="34"/>
        <v>63</v>
      </c>
      <c r="C122" s="16">
        <v>20201028</v>
      </c>
      <c r="D122" s="63" t="s">
        <v>3</v>
      </c>
      <c r="E122" s="62" t="s">
        <v>927</v>
      </c>
      <c r="F122" s="46" t="s">
        <v>951</v>
      </c>
      <c r="G122" s="63">
        <v>1745788</v>
      </c>
      <c r="H122" s="37" t="s">
        <v>58</v>
      </c>
      <c r="I122" s="63" t="s">
        <v>931</v>
      </c>
      <c r="J122" s="124" t="s">
        <v>58</v>
      </c>
      <c r="K122" s="15" t="s">
        <v>164</v>
      </c>
      <c r="L122" s="15" t="s">
        <v>934</v>
      </c>
      <c r="M122" s="15" t="s">
        <v>929</v>
      </c>
      <c r="N122" s="63" t="s">
        <v>930</v>
      </c>
      <c r="O122" s="62" t="s">
        <v>58</v>
      </c>
      <c r="P122" s="48" t="s">
        <v>933</v>
      </c>
      <c r="Q122" s="18"/>
      <c r="R122" s="37"/>
      <c r="S122" s="15" t="s">
        <v>142</v>
      </c>
      <c r="T122" s="15" t="s">
        <v>141</v>
      </c>
      <c r="U122" s="15" t="s">
        <v>546</v>
      </c>
      <c r="V122" s="63">
        <v>1000</v>
      </c>
      <c r="W122" s="146">
        <v>1186</v>
      </c>
      <c r="X122" s="15">
        <f t="shared" si="33"/>
        <v>1186</v>
      </c>
      <c r="Y122" s="15">
        <f>ROUNDDOWN(W122/HLOOKUP(D122,Table!$C$3:$D$4,2,0)*8,2)</f>
        <v>21.08</v>
      </c>
      <c r="Z122" s="15">
        <v>10</v>
      </c>
      <c r="AA122" s="15" t="s">
        <v>21</v>
      </c>
      <c r="AB122" s="19">
        <v>44137</v>
      </c>
      <c r="AC122" s="19">
        <v>44133</v>
      </c>
      <c r="AD122" s="108">
        <v>44137</v>
      </c>
      <c r="AE122" s="19">
        <v>44133</v>
      </c>
      <c r="AF122" s="19">
        <v>44134</v>
      </c>
      <c r="AG122" s="19" t="s">
        <v>130</v>
      </c>
      <c r="AH122" s="91">
        <v>1</v>
      </c>
      <c r="AI122" s="91">
        <v>1</v>
      </c>
      <c r="AJ122" s="91">
        <v>1</v>
      </c>
      <c r="AK122" s="19" t="s">
        <v>117</v>
      </c>
      <c r="AL122" s="17" t="s">
        <v>58</v>
      </c>
      <c r="AM122" s="17" t="s">
        <v>58</v>
      </c>
      <c r="AN122" s="17" t="s">
        <v>989</v>
      </c>
    </row>
    <row r="123" spans="2:40" x14ac:dyDescent="0.25">
      <c r="B123" s="180">
        <f t="shared" si="34"/>
        <v>64</v>
      </c>
      <c r="C123" s="16">
        <v>20201030</v>
      </c>
      <c r="D123" s="63" t="s">
        <v>3</v>
      </c>
      <c r="E123" s="62" t="s">
        <v>957</v>
      </c>
      <c r="F123" s="104" t="s">
        <v>1003</v>
      </c>
      <c r="G123" s="63">
        <v>1741244</v>
      </c>
      <c r="H123" s="37" t="s">
        <v>58</v>
      </c>
      <c r="I123" s="63" t="s">
        <v>958</v>
      </c>
      <c r="J123" s="124" t="s">
        <v>58</v>
      </c>
      <c r="K123" s="15" t="s">
        <v>165</v>
      </c>
      <c r="L123" s="15" t="s">
        <v>117</v>
      </c>
      <c r="M123" s="63" t="s">
        <v>475</v>
      </c>
      <c r="N123" s="63" t="s">
        <v>986</v>
      </c>
      <c r="O123" s="62" t="s">
        <v>58</v>
      </c>
      <c r="P123" s="48" t="s">
        <v>987</v>
      </c>
      <c r="Q123" s="18"/>
      <c r="R123" s="37"/>
      <c r="S123" s="15" t="s">
        <v>142</v>
      </c>
      <c r="T123" s="15" t="s">
        <v>141</v>
      </c>
      <c r="U123" s="15" t="s">
        <v>546</v>
      </c>
      <c r="V123" s="63">
        <v>49</v>
      </c>
      <c r="W123" s="16">
        <f>V123</f>
        <v>49</v>
      </c>
      <c r="X123" s="15">
        <f t="shared" si="33"/>
        <v>49</v>
      </c>
      <c r="Y123" s="15">
        <f>ROUNDDOWN(W123/HLOOKUP(D123,Table!$C$3:$D$4,2,0)*8,2)</f>
        <v>0.87</v>
      </c>
      <c r="Z123" s="15">
        <v>1</v>
      </c>
      <c r="AA123" s="15" t="s">
        <v>21</v>
      </c>
      <c r="AB123" s="19">
        <v>44139</v>
      </c>
      <c r="AC123" s="19">
        <v>44134</v>
      </c>
      <c r="AD123" s="187">
        <v>44139</v>
      </c>
      <c r="AE123" s="19">
        <v>44134</v>
      </c>
      <c r="AF123" s="19">
        <v>44134</v>
      </c>
      <c r="AG123" s="19" t="s">
        <v>130</v>
      </c>
      <c r="AH123" s="91">
        <v>1</v>
      </c>
      <c r="AI123" s="91">
        <v>1</v>
      </c>
      <c r="AJ123" s="91">
        <v>1</v>
      </c>
      <c r="AK123" s="19" t="s">
        <v>117</v>
      </c>
      <c r="AL123" s="17" t="s">
        <v>58</v>
      </c>
      <c r="AM123" s="17" t="s">
        <v>58</v>
      </c>
      <c r="AN123" s="17" t="s">
        <v>1013</v>
      </c>
    </row>
    <row r="124" spans="2:40" x14ac:dyDescent="0.25">
      <c r="B124" s="180">
        <f t="shared" si="34"/>
        <v>65</v>
      </c>
      <c r="C124" s="16">
        <v>20201030</v>
      </c>
      <c r="D124" s="63" t="s">
        <v>3</v>
      </c>
      <c r="E124" s="62" t="s">
        <v>957</v>
      </c>
      <c r="F124" s="104" t="s">
        <v>991</v>
      </c>
      <c r="G124" s="63">
        <v>1514279</v>
      </c>
      <c r="H124" s="37" t="s">
        <v>58</v>
      </c>
      <c r="I124" s="63" t="s">
        <v>959</v>
      </c>
      <c r="J124" s="124" t="s">
        <v>58</v>
      </c>
      <c r="K124" s="15" t="s">
        <v>165</v>
      </c>
      <c r="L124" s="15" t="s">
        <v>117</v>
      </c>
      <c r="M124" s="15" t="s">
        <v>475</v>
      </c>
      <c r="N124" s="63" t="s">
        <v>986</v>
      </c>
      <c r="O124" s="62" t="s">
        <v>58</v>
      </c>
      <c r="P124" s="48" t="s">
        <v>987</v>
      </c>
      <c r="Q124" s="18"/>
      <c r="R124" s="37"/>
      <c r="S124" s="15" t="s">
        <v>64</v>
      </c>
      <c r="T124" s="15" t="s">
        <v>143</v>
      </c>
      <c r="U124" s="15" t="s">
        <v>546</v>
      </c>
      <c r="V124" s="63">
        <v>321</v>
      </c>
      <c r="W124" s="16">
        <f>V124</f>
        <v>321</v>
      </c>
      <c r="X124" s="15">
        <f t="shared" si="33"/>
        <v>321</v>
      </c>
      <c r="Y124" s="15">
        <f>ROUNDDOWN(W124/HLOOKUP(D124,Table!$C$3:$D$4,2,0)*8,2)</f>
        <v>5.7</v>
      </c>
      <c r="Z124" s="15">
        <v>6</v>
      </c>
      <c r="AA124" s="15" t="s">
        <v>21</v>
      </c>
      <c r="AB124" s="19">
        <v>44144</v>
      </c>
      <c r="AC124" s="19">
        <v>44134</v>
      </c>
      <c r="AD124" s="70">
        <v>44143</v>
      </c>
      <c r="AE124" s="19">
        <v>44137</v>
      </c>
      <c r="AF124" s="19">
        <v>44137</v>
      </c>
      <c r="AG124" s="19" t="s">
        <v>130</v>
      </c>
      <c r="AH124" s="91">
        <v>1</v>
      </c>
      <c r="AI124" s="91">
        <v>1</v>
      </c>
      <c r="AJ124" s="91">
        <v>1</v>
      </c>
      <c r="AK124" s="19" t="s">
        <v>117</v>
      </c>
      <c r="AL124" s="17" t="s">
        <v>58</v>
      </c>
      <c r="AM124" s="17" t="s">
        <v>58</v>
      </c>
      <c r="AN124" s="17" t="s">
        <v>1016</v>
      </c>
    </row>
    <row r="125" spans="2:40" x14ac:dyDescent="0.25">
      <c r="B125" s="180">
        <f t="shared" si="34"/>
        <v>66</v>
      </c>
      <c r="C125" s="16">
        <v>20201030</v>
      </c>
      <c r="D125" s="63" t="s">
        <v>3</v>
      </c>
      <c r="E125" s="62" t="s">
        <v>957</v>
      </c>
      <c r="F125" s="104" t="s">
        <v>990</v>
      </c>
      <c r="G125" s="63">
        <v>1514279</v>
      </c>
      <c r="H125" s="37" t="s">
        <v>58</v>
      </c>
      <c r="I125" s="63" t="s">
        <v>960</v>
      </c>
      <c r="J125" s="124" t="s">
        <v>58</v>
      </c>
      <c r="K125" s="15" t="s">
        <v>165</v>
      </c>
      <c r="L125" s="15" t="s">
        <v>117</v>
      </c>
      <c r="M125" s="15" t="s">
        <v>475</v>
      </c>
      <c r="N125" s="63" t="s">
        <v>986</v>
      </c>
      <c r="O125" s="62" t="s">
        <v>58</v>
      </c>
      <c r="P125" s="48" t="s">
        <v>987</v>
      </c>
      <c r="Q125" s="18"/>
      <c r="R125" s="37"/>
      <c r="S125" s="15" t="s">
        <v>64</v>
      </c>
      <c r="T125" s="15" t="s">
        <v>143</v>
      </c>
      <c r="U125" s="15" t="s">
        <v>546</v>
      </c>
      <c r="V125" s="63">
        <v>206</v>
      </c>
      <c r="W125" s="16">
        <f>V125</f>
        <v>206</v>
      </c>
      <c r="X125" s="15">
        <f t="shared" si="33"/>
        <v>206</v>
      </c>
      <c r="Y125" s="15">
        <f>ROUNDDOWN(W125/HLOOKUP(D125,Table!$C$3:$D$4,2,0)*8,2)</f>
        <v>3.66</v>
      </c>
      <c r="Z125" s="15">
        <v>5</v>
      </c>
      <c r="AA125" s="15" t="s">
        <v>21</v>
      </c>
      <c r="AB125" s="19">
        <v>44144</v>
      </c>
      <c r="AC125" s="19">
        <v>44134</v>
      </c>
      <c r="AD125" s="70">
        <v>44143</v>
      </c>
      <c r="AE125" s="19">
        <v>44137</v>
      </c>
      <c r="AF125" s="19">
        <v>44137</v>
      </c>
      <c r="AG125" s="19" t="s">
        <v>130</v>
      </c>
      <c r="AH125" s="91">
        <v>1</v>
      </c>
      <c r="AI125" s="91">
        <v>1</v>
      </c>
      <c r="AJ125" s="91">
        <v>1</v>
      </c>
      <c r="AK125" s="19" t="s">
        <v>117</v>
      </c>
      <c r="AL125" s="17" t="s">
        <v>58</v>
      </c>
      <c r="AM125" s="17" t="s">
        <v>58</v>
      </c>
      <c r="AN125" s="17" t="s">
        <v>1017</v>
      </c>
    </row>
    <row r="126" spans="2:40" x14ac:dyDescent="0.25">
      <c r="B126" s="180">
        <f t="shared" si="34"/>
        <v>67</v>
      </c>
      <c r="C126" s="16">
        <v>20201030</v>
      </c>
      <c r="D126" s="63" t="s">
        <v>3</v>
      </c>
      <c r="E126" s="62" t="s">
        <v>957</v>
      </c>
      <c r="F126" s="104" t="s">
        <v>990</v>
      </c>
      <c r="G126" s="63">
        <v>1514279</v>
      </c>
      <c r="H126" s="37" t="s">
        <v>58</v>
      </c>
      <c r="I126" s="63" t="s">
        <v>961</v>
      </c>
      <c r="J126" s="124" t="s">
        <v>58</v>
      </c>
      <c r="K126" s="15" t="s">
        <v>165</v>
      </c>
      <c r="L126" s="15" t="s">
        <v>117</v>
      </c>
      <c r="M126" s="15" t="s">
        <v>475</v>
      </c>
      <c r="N126" s="63" t="s">
        <v>986</v>
      </c>
      <c r="O126" s="62" t="s">
        <v>58</v>
      </c>
      <c r="P126" s="48" t="s">
        <v>987</v>
      </c>
      <c r="Q126" s="18"/>
      <c r="R126" s="37"/>
      <c r="S126" s="15" t="s">
        <v>64</v>
      </c>
      <c r="T126" s="15" t="s">
        <v>143</v>
      </c>
      <c r="U126" s="15" t="s">
        <v>546</v>
      </c>
      <c r="V126" s="63">
        <v>10</v>
      </c>
      <c r="W126" s="146">
        <v>0</v>
      </c>
      <c r="X126" s="15">
        <v>0</v>
      </c>
      <c r="Y126" s="15">
        <f>ROUNDDOWN(W126/HLOOKUP(D126,Table!$C$3:$D$4,2,0)*8,2)</f>
        <v>0</v>
      </c>
      <c r="Z126" s="15">
        <v>0</v>
      </c>
      <c r="AA126" s="15" t="s">
        <v>21</v>
      </c>
      <c r="AB126" s="19">
        <v>44144</v>
      </c>
      <c r="AC126" s="19">
        <v>44134</v>
      </c>
      <c r="AD126" s="70">
        <v>44143</v>
      </c>
      <c r="AE126" s="19">
        <v>44137</v>
      </c>
      <c r="AF126" s="19">
        <v>44137</v>
      </c>
      <c r="AG126" s="19" t="s">
        <v>130</v>
      </c>
      <c r="AH126" s="91" t="s">
        <v>58</v>
      </c>
      <c r="AI126" s="91" t="s">
        <v>58</v>
      </c>
      <c r="AJ126" s="91" t="s">
        <v>58</v>
      </c>
      <c r="AK126" s="19" t="s">
        <v>117</v>
      </c>
      <c r="AL126" s="17" t="s">
        <v>58</v>
      </c>
      <c r="AM126" s="17" t="s">
        <v>58</v>
      </c>
      <c r="AN126" s="109" t="s">
        <v>481</v>
      </c>
    </row>
    <row r="127" spans="2:40" x14ac:dyDescent="0.25">
      <c r="B127" s="180">
        <f t="shared" si="34"/>
        <v>68</v>
      </c>
      <c r="C127" s="16">
        <v>20201030</v>
      </c>
      <c r="D127" s="63" t="s">
        <v>3</v>
      </c>
      <c r="E127" s="62" t="s">
        <v>957</v>
      </c>
      <c r="F127" s="104" t="s">
        <v>990</v>
      </c>
      <c r="G127" s="63">
        <v>1514279</v>
      </c>
      <c r="H127" s="37" t="s">
        <v>58</v>
      </c>
      <c r="I127" s="63" t="s">
        <v>962</v>
      </c>
      <c r="J127" s="124" t="s">
        <v>58</v>
      </c>
      <c r="K127" s="15" t="s">
        <v>165</v>
      </c>
      <c r="L127" s="15" t="s">
        <v>117</v>
      </c>
      <c r="M127" s="15" t="s">
        <v>475</v>
      </c>
      <c r="N127" s="63" t="s">
        <v>986</v>
      </c>
      <c r="O127" s="62" t="s">
        <v>58</v>
      </c>
      <c r="P127" s="48" t="s">
        <v>987</v>
      </c>
      <c r="Q127" s="18"/>
      <c r="R127" s="37"/>
      <c r="S127" s="15" t="s">
        <v>64</v>
      </c>
      <c r="T127" s="15" t="s">
        <v>143</v>
      </c>
      <c r="U127" s="15" t="s">
        <v>546</v>
      </c>
      <c r="V127" s="63">
        <v>10</v>
      </c>
      <c r="W127" s="146">
        <v>5</v>
      </c>
      <c r="X127" s="15">
        <f t="shared" ref="X127:X138" si="35">W127</f>
        <v>5</v>
      </c>
      <c r="Y127" s="15">
        <f>ROUNDDOWN(W127/HLOOKUP(D127,Table!$C$3:$D$4,2,0)*8,2)</f>
        <v>0.08</v>
      </c>
      <c r="Z127" s="15">
        <v>1</v>
      </c>
      <c r="AA127" s="15" t="s">
        <v>21</v>
      </c>
      <c r="AB127" s="19">
        <v>44144</v>
      </c>
      <c r="AC127" s="19">
        <v>44134</v>
      </c>
      <c r="AD127" s="70">
        <v>44143</v>
      </c>
      <c r="AE127" s="19">
        <v>44137</v>
      </c>
      <c r="AF127" s="19">
        <v>44137</v>
      </c>
      <c r="AG127" s="19" t="s">
        <v>130</v>
      </c>
      <c r="AH127" s="91">
        <v>1</v>
      </c>
      <c r="AI127" s="91">
        <v>1</v>
      </c>
      <c r="AJ127" s="91">
        <v>1</v>
      </c>
      <c r="AK127" s="19" t="s">
        <v>117</v>
      </c>
      <c r="AL127" s="17" t="s">
        <v>58</v>
      </c>
      <c r="AM127" s="17" t="s">
        <v>58</v>
      </c>
      <c r="AN127" s="17" t="s">
        <v>1018</v>
      </c>
    </row>
    <row r="128" spans="2:40" x14ac:dyDescent="0.25">
      <c r="B128" s="180">
        <f t="shared" si="34"/>
        <v>69</v>
      </c>
      <c r="C128" s="16">
        <v>20201030</v>
      </c>
      <c r="D128" s="63" t="s">
        <v>3</v>
      </c>
      <c r="E128" s="62" t="s">
        <v>957</v>
      </c>
      <c r="F128" s="104" t="s">
        <v>990</v>
      </c>
      <c r="G128" s="63">
        <v>1514279</v>
      </c>
      <c r="H128" s="37" t="s">
        <v>58</v>
      </c>
      <c r="I128" s="63" t="s">
        <v>963</v>
      </c>
      <c r="J128" s="124" t="s">
        <v>58</v>
      </c>
      <c r="K128" s="15" t="s">
        <v>165</v>
      </c>
      <c r="L128" s="15" t="s">
        <v>117</v>
      </c>
      <c r="M128" s="15" t="s">
        <v>475</v>
      </c>
      <c r="N128" s="63" t="s">
        <v>986</v>
      </c>
      <c r="O128" s="62" t="s">
        <v>58</v>
      </c>
      <c r="P128" s="48" t="s">
        <v>987</v>
      </c>
      <c r="Q128" s="18"/>
      <c r="R128" s="37"/>
      <c r="S128" s="15" t="s">
        <v>64</v>
      </c>
      <c r="T128" s="15" t="s">
        <v>143</v>
      </c>
      <c r="U128" s="15" t="s">
        <v>546</v>
      </c>
      <c r="V128" s="63">
        <v>199</v>
      </c>
      <c r="W128" s="16">
        <f>V128</f>
        <v>199</v>
      </c>
      <c r="X128" s="15">
        <f t="shared" si="35"/>
        <v>199</v>
      </c>
      <c r="Y128" s="15">
        <f>ROUNDDOWN(W128/HLOOKUP(D128,Table!$C$3:$D$4,2,0)*8,2)</f>
        <v>3.53</v>
      </c>
      <c r="Z128" s="15">
        <v>5</v>
      </c>
      <c r="AA128" s="15" t="s">
        <v>21</v>
      </c>
      <c r="AB128" s="19">
        <v>44144</v>
      </c>
      <c r="AC128" s="19">
        <v>44134</v>
      </c>
      <c r="AD128" s="70">
        <v>44143</v>
      </c>
      <c r="AE128" s="19">
        <v>44137</v>
      </c>
      <c r="AF128" s="19">
        <v>44137</v>
      </c>
      <c r="AG128" s="19" t="s">
        <v>130</v>
      </c>
      <c r="AH128" s="91">
        <v>1</v>
      </c>
      <c r="AI128" s="91">
        <v>1</v>
      </c>
      <c r="AJ128" s="91">
        <v>1</v>
      </c>
      <c r="AK128" s="19" t="s">
        <v>117</v>
      </c>
      <c r="AL128" s="17" t="s">
        <v>58</v>
      </c>
      <c r="AM128" s="17" t="s">
        <v>58</v>
      </c>
      <c r="AN128" s="17" t="s">
        <v>1020</v>
      </c>
    </row>
    <row r="129" spans="2:40" x14ac:dyDescent="0.25">
      <c r="B129" s="180">
        <f t="shared" si="34"/>
        <v>70</v>
      </c>
      <c r="C129" s="16">
        <v>20201030</v>
      </c>
      <c r="D129" s="63" t="s">
        <v>3</v>
      </c>
      <c r="E129" s="62" t="s">
        <v>957</v>
      </c>
      <c r="F129" s="104" t="s">
        <v>992</v>
      </c>
      <c r="G129" s="63">
        <v>1514279</v>
      </c>
      <c r="H129" s="37" t="s">
        <v>58</v>
      </c>
      <c r="I129" s="63" t="s">
        <v>550</v>
      </c>
      <c r="J129" s="124" t="s">
        <v>58</v>
      </c>
      <c r="K129" s="15" t="s">
        <v>165</v>
      </c>
      <c r="L129" s="15" t="s">
        <v>117</v>
      </c>
      <c r="M129" s="15" t="s">
        <v>475</v>
      </c>
      <c r="N129" s="63" t="s">
        <v>986</v>
      </c>
      <c r="O129" s="62" t="s">
        <v>58</v>
      </c>
      <c r="P129" s="48" t="s">
        <v>987</v>
      </c>
      <c r="Q129" s="18"/>
      <c r="R129" s="37"/>
      <c r="S129" s="15" t="s">
        <v>64</v>
      </c>
      <c r="T129" s="15" t="s">
        <v>143</v>
      </c>
      <c r="U129" s="15" t="s">
        <v>546</v>
      </c>
      <c r="V129" s="63">
        <v>218</v>
      </c>
      <c r="W129" s="16">
        <f>V129</f>
        <v>218</v>
      </c>
      <c r="X129" s="15">
        <f t="shared" si="35"/>
        <v>218</v>
      </c>
      <c r="Y129" s="15">
        <f>ROUNDDOWN(W129/HLOOKUP(D129,Table!$C$3:$D$4,2,0)*8,2)</f>
        <v>3.87</v>
      </c>
      <c r="Z129" s="15">
        <v>4</v>
      </c>
      <c r="AA129" s="15" t="s">
        <v>21</v>
      </c>
      <c r="AB129" s="19">
        <v>44144</v>
      </c>
      <c r="AC129" s="19">
        <v>44134</v>
      </c>
      <c r="AD129" s="70">
        <v>44143</v>
      </c>
      <c r="AE129" s="19">
        <v>44137</v>
      </c>
      <c r="AF129" s="19">
        <v>44137</v>
      </c>
      <c r="AG129" s="19" t="s">
        <v>130</v>
      </c>
      <c r="AH129" s="91">
        <v>1</v>
      </c>
      <c r="AI129" s="91">
        <v>1</v>
      </c>
      <c r="AJ129" s="91">
        <v>1</v>
      </c>
      <c r="AK129" s="19" t="s">
        <v>117</v>
      </c>
      <c r="AL129" s="17" t="s">
        <v>58</v>
      </c>
      <c r="AM129" s="17" t="s">
        <v>58</v>
      </c>
      <c r="AN129" s="17" t="s">
        <v>1021</v>
      </c>
    </row>
    <row r="130" spans="2:40" x14ac:dyDescent="0.25">
      <c r="B130" s="180">
        <f t="shared" si="34"/>
        <v>71</v>
      </c>
      <c r="C130" s="16">
        <v>20201030</v>
      </c>
      <c r="D130" s="63" t="s">
        <v>3</v>
      </c>
      <c r="E130" s="62" t="s">
        <v>957</v>
      </c>
      <c r="F130" s="104" t="s">
        <v>1008</v>
      </c>
      <c r="G130" s="63">
        <v>1531668</v>
      </c>
      <c r="H130" s="37" t="s">
        <v>58</v>
      </c>
      <c r="I130" s="206" t="s">
        <v>964</v>
      </c>
      <c r="J130" s="124" t="s">
        <v>58</v>
      </c>
      <c r="K130" s="15" t="s">
        <v>165</v>
      </c>
      <c r="L130" s="15" t="s">
        <v>117</v>
      </c>
      <c r="M130" s="15" t="s">
        <v>475</v>
      </c>
      <c r="N130" s="63" t="s">
        <v>986</v>
      </c>
      <c r="O130" s="62" t="s">
        <v>58</v>
      </c>
      <c r="P130" s="48" t="s">
        <v>988</v>
      </c>
      <c r="Q130" s="18"/>
      <c r="R130" s="37"/>
      <c r="S130" s="15" t="s">
        <v>143</v>
      </c>
      <c r="T130" s="15" t="s">
        <v>152</v>
      </c>
      <c r="U130" s="15" t="s">
        <v>546</v>
      </c>
      <c r="V130" s="74">
        <v>54</v>
      </c>
      <c r="W130" s="146">
        <v>185</v>
      </c>
      <c r="X130" s="15">
        <f t="shared" si="35"/>
        <v>185</v>
      </c>
      <c r="Y130" s="15">
        <f>ROUNDDOWN(W130/HLOOKUP(D130,Table!$C$3:$D$4,2,0)*8,2)</f>
        <v>3.28</v>
      </c>
      <c r="Z130" s="15">
        <f t="shared" ref="Z130:Z142" si="36">Y130</f>
        <v>3.28</v>
      </c>
      <c r="AA130" s="15" t="s">
        <v>21</v>
      </c>
      <c r="AB130" s="19">
        <v>44145</v>
      </c>
      <c r="AC130" s="19">
        <v>44134</v>
      </c>
      <c r="AD130" s="67">
        <v>44145</v>
      </c>
      <c r="AE130" s="19">
        <v>44134</v>
      </c>
      <c r="AF130" s="19">
        <v>44134</v>
      </c>
      <c r="AG130" s="19" t="s">
        <v>130</v>
      </c>
      <c r="AH130" s="91">
        <v>1</v>
      </c>
      <c r="AI130" s="91">
        <v>1</v>
      </c>
      <c r="AJ130" s="91">
        <v>1</v>
      </c>
      <c r="AK130" s="19" t="s">
        <v>117</v>
      </c>
      <c r="AL130" s="17" t="s">
        <v>58</v>
      </c>
      <c r="AM130" s="17" t="s">
        <v>58</v>
      </c>
      <c r="AN130" s="175" t="s">
        <v>1012</v>
      </c>
    </row>
    <row r="131" spans="2:40" x14ac:dyDescent="0.25">
      <c r="B131" s="180">
        <f t="shared" si="34"/>
        <v>72</v>
      </c>
      <c r="C131" s="16">
        <v>20201030</v>
      </c>
      <c r="D131" s="63" t="s">
        <v>3</v>
      </c>
      <c r="E131" s="62" t="s">
        <v>957</v>
      </c>
      <c r="F131" s="104" t="s">
        <v>1008</v>
      </c>
      <c r="G131" s="63">
        <v>1531668</v>
      </c>
      <c r="H131" s="37" t="s">
        <v>58</v>
      </c>
      <c r="I131" s="206" t="s">
        <v>965</v>
      </c>
      <c r="J131" s="124" t="s">
        <v>58</v>
      </c>
      <c r="K131" s="15" t="s">
        <v>165</v>
      </c>
      <c r="L131" s="15" t="s">
        <v>117</v>
      </c>
      <c r="M131" s="15" t="s">
        <v>475</v>
      </c>
      <c r="N131" s="63" t="s">
        <v>986</v>
      </c>
      <c r="O131" s="62" t="s">
        <v>58</v>
      </c>
      <c r="P131" s="48" t="s">
        <v>988</v>
      </c>
      <c r="Q131" s="18"/>
      <c r="R131" s="37"/>
      <c r="S131" s="15" t="s">
        <v>143</v>
      </c>
      <c r="T131" s="15" t="s">
        <v>152</v>
      </c>
      <c r="U131" s="15" t="s">
        <v>546</v>
      </c>
      <c r="V131" s="63">
        <v>26</v>
      </c>
      <c r="W131" s="16">
        <f>V131</f>
        <v>26</v>
      </c>
      <c r="X131" s="15">
        <f t="shared" si="35"/>
        <v>26</v>
      </c>
      <c r="Y131" s="15">
        <f>ROUNDDOWN(W131/HLOOKUP(D131,Table!$C$3:$D$4,2,0)*8,2)</f>
        <v>0.46</v>
      </c>
      <c r="Z131" s="15">
        <f t="shared" si="36"/>
        <v>0.46</v>
      </c>
      <c r="AA131" s="15" t="s">
        <v>21</v>
      </c>
      <c r="AB131" s="19">
        <v>44145</v>
      </c>
      <c r="AC131" s="19">
        <v>44134</v>
      </c>
      <c r="AD131" s="67">
        <v>44145</v>
      </c>
      <c r="AE131" s="19">
        <v>44134</v>
      </c>
      <c r="AF131" s="19">
        <v>44134</v>
      </c>
      <c r="AG131" s="19" t="s">
        <v>130</v>
      </c>
      <c r="AH131" s="91">
        <v>1</v>
      </c>
      <c r="AI131" s="91">
        <v>1</v>
      </c>
      <c r="AJ131" s="91">
        <v>1</v>
      </c>
      <c r="AK131" s="19" t="s">
        <v>117</v>
      </c>
      <c r="AL131" s="17" t="s">
        <v>58</v>
      </c>
      <c r="AM131" s="17" t="s">
        <v>58</v>
      </c>
      <c r="AN131" s="175" t="s">
        <v>919</v>
      </c>
    </row>
    <row r="132" spans="2:40" x14ac:dyDescent="0.25">
      <c r="B132" s="180">
        <f t="shared" si="34"/>
        <v>73</v>
      </c>
      <c r="C132" s="16">
        <v>20201030</v>
      </c>
      <c r="D132" s="63" t="s">
        <v>3</v>
      </c>
      <c r="E132" s="62" t="s">
        <v>957</v>
      </c>
      <c r="F132" s="104" t="s">
        <v>1350</v>
      </c>
      <c r="G132" s="63">
        <v>1531668</v>
      </c>
      <c r="H132" s="37" t="s">
        <v>58</v>
      </c>
      <c r="I132" s="63" t="s">
        <v>966</v>
      </c>
      <c r="J132" s="124" t="s">
        <v>58</v>
      </c>
      <c r="K132" s="15" t="s">
        <v>165</v>
      </c>
      <c r="L132" s="15" t="s">
        <v>117</v>
      </c>
      <c r="M132" s="15" t="s">
        <v>475</v>
      </c>
      <c r="N132" s="63" t="s">
        <v>986</v>
      </c>
      <c r="O132" s="62" t="s">
        <v>58</v>
      </c>
      <c r="P132" s="48" t="s">
        <v>988</v>
      </c>
      <c r="Q132" s="18"/>
      <c r="R132" s="37"/>
      <c r="S132" s="15" t="s">
        <v>141</v>
      </c>
      <c r="T132" s="15" t="s">
        <v>64</v>
      </c>
      <c r="U132" s="15" t="s">
        <v>546</v>
      </c>
      <c r="V132" s="63">
        <v>441</v>
      </c>
      <c r="W132" s="146">
        <v>487</v>
      </c>
      <c r="X132" s="15">
        <f t="shared" si="35"/>
        <v>487</v>
      </c>
      <c r="Y132" s="15">
        <f>ROUNDDOWN(W132/HLOOKUP(D132,Table!$C$3:$D$4,2,0)*8,2)</f>
        <v>8.65</v>
      </c>
      <c r="Z132" s="15">
        <f t="shared" si="36"/>
        <v>8.65</v>
      </c>
      <c r="AA132" s="15" t="s">
        <v>21</v>
      </c>
      <c r="AB132" s="19">
        <v>44145</v>
      </c>
      <c r="AC132" s="19">
        <v>44134</v>
      </c>
      <c r="AD132" s="67">
        <v>44145</v>
      </c>
      <c r="AE132" s="19">
        <v>44137</v>
      </c>
      <c r="AF132" s="19">
        <v>44137</v>
      </c>
      <c r="AG132" s="19" t="s">
        <v>130</v>
      </c>
      <c r="AH132" s="91">
        <v>1</v>
      </c>
      <c r="AI132" s="91">
        <v>1</v>
      </c>
      <c r="AJ132" s="91">
        <v>1</v>
      </c>
      <c r="AK132" s="19" t="s">
        <v>117</v>
      </c>
      <c r="AL132" s="17" t="s">
        <v>58</v>
      </c>
      <c r="AM132" s="17" t="s">
        <v>58</v>
      </c>
      <c r="AN132" s="17" t="s">
        <v>58</v>
      </c>
    </row>
    <row r="133" spans="2:40" x14ac:dyDescent="0.25">
      <c r="B133" s="180">
        <f t="shared" si="34"/>
        <v>74</v>
      </c>
      <c r="C133" s="16">
        <v>20201030</v>
      </c>
      <c r="D133" s="63" t="s">
        <v>3</v>
      </c>
      <c r="E133" s="62" t="s">
        <v>957</v>
      </c>
      <c r="F133" s="104" t="s">
        <v>1350</v>
      </c>
      <c r="G133" s="63">
        <v>1531668</v>
      </c>
      <c r="H133" s="37" t="s">
        <v>58</v>
      </c>
      <c r="I133" s="63" t="s">
        <v>967</v>
      </c>
      <c r="J133" s="124" t="s">
        <v>58</v>
      </c>
      <c r="K133" s="15" t="s">
        <v>165</v>
      </c>
      <c r="L133" s="15" t="s">
        <v>117</v>
      </c>
      <c r="M133" s="15" t="s">
        <v>475</v>
      </c>
      <c r="N133" s="63" t="s">
        <v>986</v>
      </c>
      <c r="O133" s="62" t="s">
        <v>58</v>
      </c>
      <c r="P133" s="48" t="s">
        <v>988</v>
      </c>
      <c r="Q133" s="18"/>
      <c r="R133" s="37"/>
      <c r="S133" s="15" t="s">
        <v>141</v>
      </c>
      <c r="T133" s="15" t="s">
        <v>64</v>
      </c>
      <c r="U133" s="15" t="s">
        <v>546</v>
      </c>
      <c r="V133" s="63">
        <v>11</v>
      </c>
      <c r="W133" s="16">
        <f>V133</f>
        <v>11</v>
      </c>
      <c r="X133" s="15">
        <f t="shared" si="35"/>
        <v>11</v>
      </c>
      <c r="Y133" s="15">
        <f>ROUNDDOWN(W133/HLOOKUP(D133,Table!$C$3:$D$4,2,0)*8,2)</f>
        <v>0.19</v>
      </c>
      <c r="Z133" s="15">
        <f t="shared" si="36"/>
        <v>0.19</v>
      </c>
      <c r="AA133" s="15" t="s">
        <v>21</v>
      </c>
      <c r="AB133" s="19">
        <v>44145</v>
      </c>
      <c r="AC133" s="19">
        <v>44134</v>
      </c>
      <c r="AD133" s="67">
        <v>44145</v>
      </c>
      <c r="AE133" s="19">
        <v>44137</v>
      </c>
      <c r="AF133" s="19">
        <v>44137</v>
      </c>
      <c r="AG133" s="19" t="s">
        <v>130</v>
      </c>
      <c r="AH133" s="91">
        <v>1</v>
      </c>
      <c r="AI133" s="91">
        <v>1</v>
      </c>
      <c r="AJ133" s="91">
        <v>1</v>
      </c>
      <c r="AK133" s="19" t="s">
        <v>117</v>
      </c>
      <c r="AL133" s="17" t="s">
        <v>58</v>
      </c>
      <c r="AM133" s="17" t="s">
        <v>58</v>
      </c>
      <c r="AN133" s="17" t="s">
        <v>58</v>
      </c>
    </row>
    <row r="134" spans="2:40" x14ac:dyDescent="0.25">
      <c r="B134" s="180">
        <f t="shared" si="34"/>
        <v>75</v>
      </c>
      <c r="C134" s="16">
        <v>20201030</v>
      </c>
      <c r="D134" s="63" t="s">
        <v>3</v>
      </c>
      <c r="E134" s="62" t="s">
        <v>957</v>
      </c>
      <c r="F134" s="104" t="s">
        <v>1350</v>
      </c>
      <c r="G134" s="63">
        <v>1531668</v>
      </c>
      <c r="H134" s="37" t="s">
        <v>58</v>
      </c>
      <c r="I134" s="63" t="s">
        <v>968</v>
      </c>
      <c r="J134" s="124" t="s">
        <v>58</v>
      </c>
      <c r="K134" s="15" t="s">
        <v>165</v>
      </c>
      <c r="L134" s="15" t="s">
        <v>117</v>
      </c>
      <c r="M134" s="15" t="s">
        <v>475</v>
      </c>
      <c r="N134" s="63" t="s">
        <v>986</v>
      </c>
      <c r="O134" s="62" t="s">
        <v>58</v>
      </c>
      <c r="P134" s="48" t="s">
        <v>988</v>
      </c>
      <c r="Q134" s="18"/>
      <c r="R134" s="37"/>
      <c r="S134" s="15" t="s">
        <v>141</v>
      </c>
      <c r="T134" s="15" t="s">
        <v>64</v>
      </c>
      <c r="U134" s="15" t="s">
        <v>546</v>
      </c>
      <c r="V134" s="63">
        <v>46</v>
      </c>
      <c r="W134" s="16">
        <f>V134</f>
        <v>46</v>
      </c>
      <c r="X134" s="15">
        <f t="shared" si="35"/>
        <v>46</v>
      </c>
      <c r="Y134" s="15">
        <f>ROUNDDOWN(W134/HLOOKUP(D134,Table!$C$3:$D$4,2,0)*8,2)</f>
        <v>0.81</v>
      </c>
      <c r="Z134" s="15">
        <f t="shared" si="36"/>
        <v>0.81</v>
      </c>
      <c r="AA134" s="15" t="s">
        <v>21</v>
      </c>
      <c r="AB134" s="19">
        <v>44145</v>
      </c>
      <c r="AC134" s="19">
        <v>44134</v>
      </c>
      <c r="AD134" s="67">
        <v>44145</v>
      </c>
      <c r="AE134" s="19">
        <v>44137</v>
      </c>
      <c r="AF134" s="19">
        <v>44137</v>
      </c>
      <c r="AG134" s="19" t="s">
        <v>130</v>
      </c>
      <c r="AH134" s="91">
        <v>1</v>
      </c>
      <c r="AI134" s="91">
        <v>1</v>
      </c>
      <c r="AJ134" s="91">
        <v>1</v>
      </c>
      <c r="AK134" s="19" t="s">
        <v>117</v>
      </c>
      <c r="AL134" s="17" t="s">
        <v>58</v>
      </c>
      <c r="AM134" s="17" t="s">
        <v>58</v>
      </c>
      <c r="AN134" s="17" t="s">
        <v>58</v>
      </c>
    </row>
    <row r="135" spans="2:40" x14ac:dyDescent="0.25">
      <c r="B135" s="180">
        <f t="shared" si="34"/>
        <v>76</v>
      </c>
      <c r="C135" s="16">
        <v>20201030</v>
      </c>
      <c r="D135" s="63" t="s">
        <v>3</v>
      </c>
      <c r="E135" s="62" t="s">
        <v>957</v>
      </c>
      <c r="F135" s="104" t="s">
        <v>1011</v>
      </c>
      <c r="G135" s="63">
        <v>1531668</v>
      </c>
      <c r="H135" s="37" t="s">
        <v>58</v>
      </c>
      <c r="I135" s="63" t="s">
        <v>969</v>
      </c>
      <c r="J135" s="124" t="s">
        <v>58</v>
      </c>
      <c r="K135" s="15" t="s">
        <v>165</v>
      </c>
      <c r="L135" s="15" t="s">
        <v>117</v>
      </c>
      <c r="M135" s="15" t="s">
        <v>475</v>
      </c>
      <c r="N135" s="63" t="s">
        <v>986</v>
      </c>
      <c r="O135" s="62" t="s">
        <v>58</v>
      </c>
      <c r="P135" s="48" t="s">
        <v>988</v>
      </c>
      <c r="Q135" s="18"/>
      <c r="R135" s="37"/>
      <c r="S135" s="15" t="s">
        <v>141</v>
      </c>
      <c r="T135" s="15" t="s">
        <v>64</v>
      </c>
      <c r="U135" s="15" t="s">
        <v>546</v>
      </c>
      <c r="V135" s="63">
        <v>13</v>
      </c>
      <c r="W135" s="16">
        <f>V135</f>
        <v>13</v>
      </c>
      <c r="X135" s="15">
        <f t="shared" si="35"/>
        <v>13</v>
      </c>
      <c r="Y135" s="15">
        <f>ROUNDDOWN(W135/HLOOKUP(D135,Table!$C$3:$D$4,2,0)*8,2)</f>
        <v>0.23</v>
      </c>
      <c r="Z135" s="15">
        <f t="shared" si="36"/>
        <v>0.23</v>
      </c>
      <c r="AA135" s="15" t="s">
        <v>21</v>
      </c>
      <c r="AB135" s="19">
        <v>44145</v>
      </c>
      <c r="AC135" s="19">
        <v>44134</v>
      </c>
      <c r="AD135" s="67">
        <v>44145</v>
      </c>
      <c r="AE135" s="19">
        <v>44137</v>
      </c>
      <c r="AF135" s="19">
        <v>44137</v>
      </c>
      <c r="AG135" s="19" t="s">
        <v>130</v>
      </c>
      <c r="AH135" s="91">
        <v>1</v>
      </c>
      <c r="AI135" s="91">
        <v>1</v>
      </c>
      <c r="AJ135" s="91">
        <v>1</v>
      </c>
      <c r="AK135" s="19" t="s">
        <v>117</v>
      </c>
      <c r="AL135" s="17" t="s">
        <v>58</v>
      </c>
      <c r="AM135" s="17" t="s">
        <v>58</v>
      </c>
      <c r="AN135" s="17" t="s">
        <v>58</v>
      </c>
    </row>
    <row r="136" spans="2:40" x14ac:dyDescent="0.25">
      <c r="B136" s="180">
        <f t="shared" si="34"/>
        <v>77</v>
      </c>
      <c r="C136" s="16">
        <v>20201030</v>
      </c>
      <c r="D136" s="63" t="s">
        <v>3</v>
      </c>
      <c r="E136" s="62" t="s">
        <v>957</v>
      </c>
      <c r="F136" s="104" t="s">
        <v>1011</v>
      </c>
      <c r="G136" s="63">
        <v>1531668</v>
      </c>
      <c r="H136" s="37" t="s">
        <v>58</v>
      </c>
      <c r="I136" s="63" t="s">
        <v>970</v>
      </c>
      <c r="J136" s="124" t="s">
        <v>58</v>
      </c>
      <c r="K136" s="15" t="s">
        <v>165</v>
      </c>
      <c r="L136" s="15" t="s">
        <v>117</v>
      </c>
      <c r="M136" s="15" t="s">
        <v>475</v>
      </c>
      <c r="N136" s="63" t="s">
        <v>986</v>
      </c>
      <c r="O136" s="62" t="s">
        <v>58</v>
      </c>
      <c r="P136" s="48" t="s">
        <v>988</v>
      </c>
      <c r="Q136" s="18"/>
      <c r="R136" s="37"/>
      <c r="S136" s="15" t="s">
        <v>141</v>
      </c>
      <c r="T136" s="15" t="s">
        <v>64</v>
      </c>
      <c r="U136" s="15" t="s">
        <v>546</v>
      </c>
      <c r="V136" s="63">
        <v>88</v>
      </c>
      <c r="W136" s="16">
        <f>V136</f>
        <v>88</v>
      </c>
      <c r="X136" s="15">
        <f t="shared" si="35"/>
        <v>88</v>
      </c>
      <c r="Y136" s="15">
        <f>ROUNDDOWN(W136/HLOOKUP(D136,Table!$C$3:$D$4,2,0)*8,2)</f>
        <v>1.56</v>
      </c>
      <c r="Z136" s="15">
        <f t="shared" si="36"/>
        <v>1.56</v>
      </c>
      <c r="AA136" s="63" t="s">
        <v>21</v>
      </c>
      <c r="AB136" s="19">
        <v>44145</v>
      </c>
      <c r="AC136" s="19">
        <v>44134</v>
      </c>
      <c r="AD136" s="67">
        <v>44145</v>
      </c>
      <c r="AE136" s="19">
        <v>44137</v>
      </c>
      <c r="AF136" s="19">
        <v>44137</v>
      </c>
      <c r="AG136" s="19" t="s">
        <v>130</v>
      </c>
      <c r="AH136" s="91">
        <v>1</v>
      </c>
      <c r="AI136" s="91">
        <v>1</v>
      </c>
      <c r="AJ136" s="91">
        <v>1</v>
      </c>
      <c r="AK136" s="19" t="s">
        <v>117</v>
      </c>
      <c r="AL136" s="17" t="s">
        <v>58</v>
      </c>
      <c r="AM136" s="17" t="s">
        <v>58</v>
      </c>
      <c r="AN136" s="17" t="s">
        <v>58</v>
      </c>
    </row>
    <row r="137" spans="2:40" x14ac:dyDescent="0.25">
      <c r="B137" s="180">
        <f t="shared" si="34"/>
        <v>78</v>
      </c>
      <c r="C137" s="16">
        <v>20201030</v>
      </c>
      <c r="D137" s="63" t="s">
        <v>3</v>
      </c>
      <c r="E137" s="62" t="s">
        <v>957</v>
      </c>
      <c r="F137" s="104" t="s">
        <v>1011</v>
      </c>
      <c r="G137" s="63">
        <v>1531668</v>
      </c>
      <c r="H137" s="37" t="s">
        <v>58</v>
      </c>
      <c r="I137" s="63" t="s">
        <v>971</v>
      </c>
      <c r="J137" s="124" t="s">
        <v>58</v>
      </c>
      <c r="K137" s="15" t="s">
        <v>165</v>
      </c>
      <c r="L137" s="15" t="s">
        <v>117</v>
      </c>
      <c r="M137" s="15" t="s">
        <v>475</v>
      </c>
      <c r="N137" s="63" t="s">
        <v>986</v>
      </c>
      <c r="O137" s="62" t="s">
        <v>58</v>
      </c>
      <c r="P137" s="48" t="s">
        <v>988</v>
      </c>
      <c r="Q137" s="18"/>
      <c r="R137" s="37"/>
      <c r="S137" s="15" t="s">
        <v>141</v>
      </c>
      <c r="T137" s="15" t="s">
        <v>64</v>
      </c>
      <c r="U137" s="15" t="s">
        <v>546</v>
      </c>
      <c r="V137" s="63">
        <v>18</v>
      </c>
      <c r="W137" s="16">
        <f>V137</f>
        <v>18</v>
      </c>
      <c r="X137" s="15">
        <f t="shared" si="35"/>
        <v>18</v>
      </c>
      <c r="Y137" s="15">
        <f>ROUNDDOWN(W137/HLOOKUP(D137,Table!$C$3:$D$4,2,0)*8,2)</f>
        <v>0.32</v>
      </c>
      <c r="Z137" s="15">
        <f t="shared" si="36"/>
        <v>0.32</v>
      </c>
      <c r="AA137" s="15" t="s">
        <v>21</v>
      </c>
      <c r="AB137" s="19">
        <v>44145</v>
      </c>
      <c r="AC137" s="19">
        <v>44134</v>
      </c>
      <c r="AD137" s="67">
        <v>44145</v>
      </c>
      <c r="AE137" s="19">
        <v>44137</v>
      </c>
      <c r="AF137" s="19">
        <v>44137</v>
      </c>
      <c r="AG137" s="19" t="s">
        <v>130</v>
      </c>
      <c r="AH137" s="91">
        <v>1</v>
      </c>
      <c r="AI137" s="91">
        <v>1</v>
      </c>
      <c r="AJ137" s="91">
        <v>1</v>
      </c>
      <c r="AK137" s="19" t="s">
        <v>117</v>
      </c>
      <c r="AL137" s="17" t="s">
        <v>58</v>
      </c>
      <c r="AM137" s="17" t="s">
        <v>58</v>
      </c>
      <c r="AN137" s="17" t="s">
        <v>58</v>
      </c>
    </row>
    <row r="138" spans="2:40" x14ac:dyDescent="0.25">
      <c r="B138" s="180">
        <f t="shared" si="34"/>
        <v>79</v>
      </c>
      <c r="C138" s="16">
        <v>20201030</v>
      </c>
      <c r="D138" s="63" t="s">
        <v>3</v>
      </c>
      <c r="E138" s="62" t="s">
        <v>957</v>
      </c>
      <c r="F138" s="104" t="s">
        <v>1011</v>
      </c>
      <c r="G138" s="63">
        <v>1531668</v>
      </c>
      <c r="H138" s="37" t="s">
        <v>58</v>
      </c>
      <c r="I138" s="206" t="s">
        <v>972</v>
      </c>
      <c r="J138" s="124" t="s">
        <v>58</v>
      </c>
      <c r="K138" s="15" t="s">
        <v>165</v>
      </c>
      <c r="L138" s="15" t="s">
        <v>117</v>
      </c>
      <c r="M138" s="15" t="s">
        <v>475</v>
      </c>
      <c r="N138" s="63" t="s">
        <v>986</v>
      </c>
      <c r="O138" s="62" t="s">
        <v>58</v>
      </c>
      <c r="P138" s="48" t="s">
        <v>988</v>
      </c>
      <c r="Q138" s="18"/>
      <c r="R138" s="37"/>
      <c r="S138" s="15" t="s">
        <v>143</v>
      </c>
      <c r="T138" s="15" t="s">
        <v>152</v>
      </c>
      <c r="U138" s="15" t="s">
        <v>546</v>
      </c>
      <c r="V138" s="74">
        <v>259</v>
      </c>
      <c r="W138" s="146">
        <v>300</v>
      </c>
      <c r="X138" s="15">
        <f t="shared" si="35"/>
        <v>300</v>
      </c>
      <c r="Y138" s="15">
        <f>ROUNDDOWN(W138/HLOOKUP(D138,Table!$C$3:$D$4,2,0)*8,2)</f>
        <v>5.33</v>
      </c>
      <c r="Z138" s="15">
        <f t="shared" si="36"/>
        <v>5.33</v>
      </c>
      <c r="AA138" s="15" t="s">
        <v>21</v>
      </c>
      <c r="AB138" s="19">
        <v>44145</v>
      </c>
      <c r="AC138" s="19">
        <v>44134</v>
      </c>
      <c r="AD138" s="67">
        <v>44145</v>
      </c>
      <c r="AE138" s="19">
        <v>44145</v>
      </c>
      <c r="AF138" s="19">
        <v>44145</v>
      </c>
      <c r="AG138" s="19" t="s">
        <v>131</v>
      </c>
      <c r="AH138" s="91">
        <v>1</v>
      </c>
      <c r="AI138" s="91">
        <v>1</v>
      </c>
      <c r="AJ138" s="91">
        <v>0.95</v>
      </c>
      <c r="AK138" s="19" t="s">
        <v>107</v>
      </c>
      <c r="AL138" s="17" t="s">
        <v>58</v>
      </c>
      <c r="AM138" s="17" t="s">
        <v>58</v>
      </c>
      <c r="AN138" s="175" t="s">
        <v>1381</v>
      </c>
    </row>
    <row r="139" spans="2:40" x14ac:dyDescent="0.25">
      <c r="B139" s="180">
        <f t="shared" si="34"/>
        <v>80</v>
      </c>
      <c r="C139" s="16">
        <v>20201030</v>
      </c>
      <c r="D139" s="63" t="s">
        <v>3</v>
      </c>
      <c r="E139" s="62" t="s">
        <v>957</v>
      </c>
      <c r="F139" s="104" t="s">
        <v>1011</v>
      </c>
      <c r="G139" s="63">
        <v>1531668</v>
      </c>
      <c r="H139" s="37" t="s">
        <v>58</v>
      </c>
      <c r="I139" s="206" t="s">
        <v>973</v>
      </c>
      <c r="J139" s="124" t="s">
        <v>58</v>
      </c>
      <c r="K139" s="15" t="s">
        <v>165</v>
      </c>
      <c r="L139" s="15" t="s">
        <v>117</v>
      </c>
      <c r="M139" s="15" t="s">
        <v>475</v>
      </c>
      <c r="N139" s="63" t="s">
        <v>986</v>
      </c>
      <c r="O139" s="62" t="s">
        <v>58</v>
      </c>
      <c r="P139" s="48" t="s">
        <v>988</v>
      </c>
      <c r="Q139" s="18"/>
      <c r="R139" s="37"/>
      <c r="S139" s="15" t="s">
        <v>143</v>
      </c>
      <c r="T139" s="15" t="s">
        <v>152</v>
      </c>
      <c r="U139" s="15" t="s">
        <v>546</v>
      </c>
      <c r="V139" s="63">
        <v>124</v>
      </c>
      <c r="W139" s="16">
        <f t="shared" ref="W139:W148" si="37">V139</f>
        <v>124</v>
      </c>
      <c r="X139" s="15">
        <f>W139</f>
        <v>124</v>
      </c>
      <c r="Y139" s="15">
        <f>ROUNDDOWN(W139/HLOOKUP(D139,Table!$C$3:$D$4,2,0)*8,2)</f>
        <v>2.2000000000000002</v>
      </c>
      <c r="Z139" s="15">
        <f t="shared" si="36"/>
        <v>2.2000000000000002</v>
      </c>
      <c r="AA139" s="15" t="s">
        <v>21</v>
      </c>
      <c r="AB139" s="19">
        <v>44145</v>
      </c>
      <c r="AC139" s="19">
        <v>44134</v>
      </c>
      <c r="AD139" s="67">
        <v>44145</v>
      </c>
      <c r="AE139" s="19">
        <v>44134</v>
      </c>
      <c r="AF139" s="19">
        <v>44134</v>
      </c>
      <c r="AG139" s="19" t="s">
        <v>130</v>
      </c>
      <c r="AH139" s="91">
        <v>1</v>
      </c>
      <c r="AI139" s="91">
        <v>1</v>
      </c>
      <c r="AJ139" s="91">
        <v>1</v>
      </c>
      <c r="AK139" s="19" t="s">
        <v>117</v>
      </c>
      <c r="AL139" s="17" t="s">
        <v>58</v>
      </c>
      <c r="AM139" s="17" t="s">
        <v>58</v>
      </c>
      <c r="AN139" s="175" t="s">
        <v>919</v>
      </c>
    </row>
    <row r="140" spans="2:40" x14ac:dyDescent="0.25">
      <c r="B140" s="180">
        <f t="shared" si="34"/>
        <v>81</v>
      </c>
      <c r="C140" s="16">
        <v>20201030</v>
      </c>
      <c r="D140" s="63" t="s">
        <v>3</v>
      </c>
      <c r="E140" s="62" t="s">
        <v>957</v>
      </c>
      <c r="F140" s="104" t="s">
        <v>1011</v>
      </c>
      <c r="G140" s="63">
        <v>1531668</v>
      </c>
      <c r="H140" s="37" t="s">
        <v>58</v>
      </c>
      <c r="I140" s="206" t="s">
        <v>974</v>
      </c>
      <c r="J140" s="124" t="s">
        <v>58</v>
      </c>
      <c r="K140" s="15" t="s">
        <v>165</v>
      </c>
      <c r="L140" s="15" t="s">
        <v>117</v>
      </c>
      <c r="M140" s="15" t="s">
        <v>475</v>
      </c>
      <c r="N140" s="63" t="s">
        <v>986</v>
      </c>
      <c r="O140" s="62" t="s">
        <v>58</v>
      </c>
      <c r="P140" s="48" t="s">
        <v>988</v>
      </c>
      <c r="Q140" s="18"/>
      <c r="R140" s="37"/>
      <c r="S140" s="15" t="s">
        <v>143</v>
      </c>
      <c r="T140" s="15" t="s">
        <v>152</v>
      </c>
      <c r="U140" s="15" t="s">
        <v>546</v>
      </c>
      <c r="V140" s="63">
        <v>10</v>
      </c>
      <c r="W140" s="16">
        <f t="shared" si="37"/>
        <v>10</v>
      </c>
      <c r="X140" s="15">
        <f t="shared" ref="X140:X149" si="38">W140</f>
        <v>10</v>
      </c>
      <c r="Y140" s="15">
        <f>ROUNDDOWN(W140/HLOOKUP(D140,Table!$C$3:$D$4,2,0)*8,2)</f>
        <v>0.17</v>
      </c>
      <c r="Z140" s="15">
        <f t="shared" si="36"/>
        <v>0.17</v>
      </c>
      <c r="AA140" s="15" t="s">
        <v>21</v>
      </c>
      <c r="AB140" s="19">
        <v>44145</v>
      </c>
      <c r="AC140" s="19">
        <v>44134</v>
      </c>
      <c r="AD140" s="67">
        <v>44145</v>
      </c>
      <c r="AE140" s="19">
        <v>44134</v>
      </c>
      <c r="AF140" s="19">
        <v>44134</v>
      </c>
      <c r="AG140" s="19" t="s">
        <v>130</v>
      </c>
      <c r="AH140" s="91">
        <v>1</v>
      </c>
      <c r="AI140" s="91">
        <v>1</v>
      </c>
      <c r="AJ140" s="91">
        <v>1</v>
      </c>
      <c r="AK140" s="19" t="s">
        <v>117</v>
      </c>
      <c r="AL140" s="17" t="s">
        <v>58</v>
      </c>
      <c r="AM140" s="17" t="s">
        <v>58</v>
      </c>
      <c r="AN140" s="175" t="s">
        <v>919</v>
      </c>
    </row>
    <row r="141" spans="2:40" x14ac:dyDescent="0.25">
      <c r="B141" s="180">
        <f t="shared" si="34"/>
        <v>82</v>
      </c>
      <c r="C141" s="16">
        <v>20201030</v>
      </c>
      <c r="D141" s="63" t="s">
        <v>3</v>
      </c>
      <c r="E141" s="62" t="s">
        <v>957</v>
      </c>
      <c r="F141" s="104" t="s">
        <v>1011</v>
      </c>
      <c r="G141" s="63">
        <v>1531668</v>
      </c>
      <c r="H141" s="37" t="s">
        <v>58</v>
      </c>
      <c r="I141" s="206" t="s">
        <v>975</v>
      </c>
      <c r="J141" s="124" t="s">
        <v>58</v>
      </c>
      <c r="K141" s="15" t="s">
        <v>165</v>
      </c>
      <c r="L141" s="15" t="s">
        <v>117</v>
      </c>
      <c r="M141" s="15" t="s">
        <v>475</v>
      </c>
      <c r="N141" s="63" t="s">
        <v>986</v>
      </c>
      <c r="O141" s="62" t="s">
        <v>58</v>
      </c>
      <c r="P141" s="48" t="s">
        <v>988</v>
      </c>
      <c r="Q141" s="18"/>
      <c r="R141" s="37"/>
      <c r="S141" s="15" t="s">
        <v>143</v>
      </c>
      <c r="T141" s="15" t="s">
        <v>152</v>
      </c>
      <c r="U141" s="15" t="s">
        <v>546</v>
      </c>
      <c r="V141" s="63">
        <v>56</v>
      </c>
      <c r="W141" s="16">
        <f t="shared" si="37"/>
        <v>56</v>
      </c>
      <c r="X141" s="15">
        <f t="shared" si="38"/>
        <v>56</v>
      </c>
      <c r="Y141" s="15">
        <f>ROUNDDOWN(W141/HLOOKUP(D141,Table!$C$3:$D$4,2,0)*8,2)</f>
        <v>0.99</v>
      </c>
      <c r="Z141" s="15">
        <f t="shared" si="36"/>
        <v>0.99</v>
      </c>
      <c r="AA141" s="15" t="s">
        <v>21</v>
      </c>
      <c r="AB141" s="19">
        <v>44145</v>
      </c>
      <c r="AC141" s="19">
        <v>44134</v>
      </c>
      <c r="AD141" s="67">
        <v>44145</v>
      </c>
      <c r="AE141" s="19">
        <v>44134</v>
      </c>
      <c r="AF141" s="19">
        <v>44134</v>
      </c>
      <c r="AG141" s="19" t="s">
        <v>130</v>
      </c>
      <c r="AH141" s="91">
        <v>1</v>
      </c>
      <c r="AI141" s="91">
        <v>1</v>
      </c>
      <c r="AJ141" s="91">
        <v>1</v>
      </c>
      <c r="AK141" s="19" t="s">
        <v>117</v>
      </c>
      <c r="AL141" s="17" t="s">
        <v>58</v>
      </c>
      <c r="AM141" s="17" t="s">
        <v>58</v>
      </c>
      <c r="AN141" s="175" t="s">
        <v>919</v>
      </c>
    </row>
    <row r="142" spans="2:40" x14ac:dyDescent="0.25">
      <c r="B142" s="180">
        <f t="shared" si="34"/>
        <v>83</v>
      </c>
      <c r="C142" s="16">
        <v>20201030</v>
      </c>
      <c r="D142" s="63" t="s">
        <v>3</v>
      </c>
      <c r="E142" s="62" t="s">
        <v>957</v>
      </c>
      <c r="F142" s="104" t="s">
        <v>1011</v>
      </c>
      <c r="G142" s="63">
        <v>1531668</v>
      </c>
      <c r="H142" s="37" t="s">
        <v>58</v>
      </c>
      <c r="I142" s="206" t="s">
        <v>976</v>
      </c>
      <c r="J142" s="124" t="s">
        <v>58</v>
      </c>
      <c r="K142" s="15" t="s">
        <v>165</v>
      </c>
      <c r="L142" s="15" t="s">
        <v>117</v>
      </c>
      <c r="M142" s="15" t="s">
        <v>475</v>
      </c>
      <c r="N142" s="63" t="s">
        <v>986</v>
      </c>
      <c r="O142" s="62" t="s">
        <v>58</v>
      </c>
      <c r="P142" s="48" t="s">
        <v>988</v>
      </c>
      <c r="Q142" s="18"/>
      <c r="R142" s="37"/>
      <c r="S142" s="15" t="s">
        <v>143</v>
      </c>
      <c r="T142" s="15" t="s">
        <v>152</v>
      </c>
      <c r="U142" s="15" t="s">
        <v>546</v>
      </c>
      <c r="V142" s="63">
        <v>33</v>
      </c>
      <c r="W142" s="16">
        <f t="shared" si="37"/>
        <v>33</v>
      </c>
      <c r="X142" s="15">
        <f t="shared" si="38"/>
        <v>33</v>
      </c>
      <c r="Y142" s="15">
        <f>ROUNDDOWN(W142/HLOOKUP(D142,Table!$C$3:$D$4,2,0)*8,2)</f>
        <v>0.57999999999999996</v>
      </c>
      <c r="Z142" s="15">
        <f t="shared" si="36"/>
        <v>0.57999999999999996</v>
      </c>
      <c r="AA142" s="15" t="s">
        <v>21</v>
      </c>
      <c r="AB142" s="19">
        <v>44145</v>
      </c>
      <c r="AC142" s="19">
        <v>44134</v>
      </c>
      <c r="AD142" s="67">
        <v>44145</v>
      </c>
      <c r="AE142" s="19">
        <v>44134</v>
      </c>
      <c r="AF142" s="19">
        <v>44134</v>
      </c>
      <c r="AG142" s="19" t="s">
        <v>130</v>
      </c>
      <c r="AH142" s="91">
        <v>1</v>
      </c>
      <c r="AI142" s="91">
        <v>1</v>
      </c>
      <c r="AJ142" s="91">
        <v>1</v>
      </c>
      <c r="AK142" s="19" t="s">
        <v>117</v>
      </c>
      <c r="AL142" s="17" t="s">
        <v>58</v>
      </c>
      <c r="AM142" s="17" t="s">
        <v>58</v>
      </c>
      <c r="AN142" s="175" t="s">
        <v>919</v>
      </c>
    </row>
    <row r="143" spans="2:40" x14ac:dyDescent="0.25">
      <c r="B143" s="180">
        <f t="shared" si="34"/>
        <v>84</v>
      </c>
      <c r="C143" s="16">
        <v>20201030</v>
      </c>
      <c r="D143" s="63" t="s">
        <v>3</v>
      </c>
      <c r="E143" s="62" t="s">
        <v>957</v>
      </c>
      <c r="F143" s="104" t="s">
        <v>999</v>
      </c>
      <c r="G143" s="63">
        <v>1531668</v>
      </c>
      <c r="H143" s="37" t="s">
        <v>58</v>
      </c>
      <c r="I143" s="63" t="s">
        <v>977</v>
      </c>
      <c r="J143" s="124" t="s">
        <v>58</v>
      </c>
      <c r="K143" s="15" t="s">
        <v>165</v>
      </c>
      <c r="L143" s="15" t="s">
        <v>117</v>
      </c>
      <c r="M143" s="15" t="s">
        <v>475</v>
      </c>
      <c r="N143" s="63" t="s">
        <v>986</v>
      </c>
      <c r="O143" s="62" t="s">
        <v>58</v>
      </c>
      <c r="P143" s="48" t="s">
        <v>988</v>
      </c>
      <c r="Q143" s="18"/>
      <c r="R143" s="37"/>
      <c r="S143" s="15" t="s">
        <v>142</v>
      </c>
      <c r="T143" s="15" t="s">
        <v>141</v>
      </c>
      <c r="U143" s="15" t="s">
        <v>546</v>
      </c>
      <c r="V143" s="63">
        <v>39</v>
      </c>
      <c r="W143" s="16">
        <f t="shared" si="37"/>
        <v>39</v>
      </c>
      <c r="X143" s="15">
        <f t="shared" si="38"/>
        <v>39</v>
      </c>
      <c r="Y143" s="15">
        <f>ROUNDDOWN(W143/HLOOKUP(D143,Table!$C$3:$D$4,2,0)*8,2)</f>
        <v>0.69</v>
      </c>
      <c r="Z143" s="15">
        <v>1</v>
      </c>
      <c r="AA143" s="15" t="s">
        <v>21</v>
      </c>
      <c r="AB143" s="19">
        <v>44145</v>
      </c>
      <c r="AC143" s="19">
        <v>44134</v>
      </c>
      <c r="AD143" s="108">
        <v>44145</v>
      </c>
      <c r="AE143" s="19">
        <v>44134</v>
      </c>
      <c r="AF143" s="19">
        <v>44134</v>
      </c>
      <c r="AG143" s="19" t="s">
        <v>130</v>
      </c>
      <c r="AH143" s="91">
        <v>1</v>
      </c>
      <c r="AI143" s="91">
        <v>1</v>
      </c>
      <c r="AJ143" s="91">
        <v>1</v>
      </c>
      <c r="AK143" s="19" t="s">
        <v>117</v>
      </c>
      <c r="AL143" s="17" t="s">
        <v>58</v>
      </c>
      <c r="AM143" s="17" t="s">
        <v>58</v>
      </c>
      <c r="AN143" s="17" t="s">
        <v>1013</v>
      </c>
    </row>
    <row r="144" spans="2:40" x14ac:dyDescent="0.25">
      <c r="B144" s="180">
        <f t="shared" si="34"/>
        <v>85</v>
      </c>
      <c r="C144" s="16">
        <v>20201030</v>
      </c>
      <c r="D144" s="63" t="s">
        <v>3</v>
      </c>
      <c r="E144" s="62" t="s">
        <v>957</v>
      </c>
      <c r="F144" s="104" t="s">
        <v>1000</v>
      </c>
      <c r="G144" s="63">
        <v>1531668</v>
      </c>
      <c r="H144" s="37" t="s">
        <v>58</v>
      </c>
      <c r="I144" s="63" t="s">
        <v>978</v>
      </c>
      <c r="J144" s="124" t="s">
        <v>58</v>
      </c>
      <c r="K144" s="15" t="s">
        <v>165</v>
      </c>
      <c r="L144" s="15" t="s">
        <v>117</v>
      </c>
      <c r="M144" s="15" t="s">
        <v>475</v>
      </c>
      <c r="N144" s="63" t="s">
        <v>986</v>
      </c>
      <c r="O144" s="62" t="s">
        <v>58</v>
      </c>
      <c r="P144" s="48" t="s">
        <v>988</v>
      </c>
      <c r="Q144" s="18"/>
      <c r="R144" s="37"/>
      <c r="S144" s="15" t="s">
        <v>142</v>
      </c>
      <c r="T144" s="15" t="s">
        <v>141</v>
      </c>
      <c r="U144" s="15" t="s">
        <v>546</v>
      </c>
      <c r="V144" s="63">
        <v>34</v>
      </c>
      <c r="W144" s="16">
        <f t="shared" si="37"/>
        <v>34</v>
      </c>
      <c r="X144" s="15">
        <f t="shared" si="38"/>
        <v>34</v>
      </c>
      <c r="Y144" s="15">
        <f>ROUNDDOWN(W144/HLOOKUP(D144,Table!$C$3:$D$4,2,0)*8,2)</f>
        <v>0.6</v>
      </c>
      <c r="Z144" s="15">
        <v>0.5</v>
      </c>
      <c r="AA144" s="15" t="s">
        <v>21</v>
      </c>
      <c r="AB144" s="19">
        <v>44145</v>
      </c>
      <c r="AC144" s="19">
        <v>44134</v>
      </c>
      <c r="AD144" s="108">
        <v>44145</v>
      </c>
      <c r="AE144" s="19">
        <v>44134</v>
      </c>
      <c r="AF144" s="19">
        <v>44134</v>
      </c>
      <c r="AG144" s="19" t="s">
        <v>130</v>
      </c>
      <c r="AH144" s="91">
        <v>1</v>
      </c>
      <c r="AI144" s="91">
        <v>1</v>
      </c>
      <c r="AJ144" s="91">
        <v>1</v>
      </c>
      <c r="AK144" s="19" t="s">
        <v>117</v>
      </c>
      <c r="AL144" s="17" t="s">
        <v>58</v>
      </c>
      <c r="AM144" s="17" t="s">
        <v>58</v>
      </c>
      <c r="AN144" s="17" t="s">
        <v>1013</v>
      </c>
    </row>
    <row r="145" spans="2:40" x14ac:dyDescent="0.25">
      <c r="B145" s="180">
        <f t="shared" si="34"/>
        <v>86</v>
      </c>
      <c r="C145" s="16">
        <v>20201030</v>
      </c>
      <c r="D145" s="63" t="s">
        <v>3</v>
      </c>
      <c r="E145" s="62" t="s">
        <v>957</v>
      </c>
      <c r="F145" s="104" t="s">
        <v>1001</v>
      </c>
      <c r="G145" s="63">
        <v>1531668</v>
      </c>
      <c r="H145" s="37" t="s">
        <v>58</v>
      </c>
      <c r="I145" s="63" t="s">
        <v>656</v>
      </c>
      <c r="J145" s="124" t="s">
        <v>58</v>
      </c>
      <c r="K145" s="15" t="s">
        <v>165</v>
      </c>
      <c r="L145" s="15" t="s">
        <v>117</v>
      </c>
      <c r="M145" s="15" t="s">
        <v>475</v>
      </c>
      <c r="N145" s="63" t="s">
        <v>986</v>
      </c>
      <c r="O145" s="62" t="s">
        <v>58</v>
      </c>
      <c r="P145" s="48" t="s">
        <v>988</v>
      </c>
      <c r="Q145" s="18"/>
      <c r="R145" s="37"/>
      <c r="S145" s="15" t="s">
        <v>142</v>
      </c>
      <c r="T145" s="15" t="s">
        <v>141</v>
      </c>
      <c r="U145" s="15" t="s">
        <v>546</v>
      </c>
      <c r="V145" s="63">
        <v>132</v>
      </c>
      <c r="W145" s="16">
        <f t="shared" si="37"/>
        <v>132</v>
      </c>
      <c r="X145" s="15">
        <f t="shared" si="38"/>
        <v>132</v>
      </c>
      <c r="Y145" s="15">
        <f>ROUNDDOWN(W145/HLOOKUP(D145,Table!$C$3:$D$4,2,0)*8,2)</f>
        <v>2.34</v>
      </c>
      <c r="Z145" s="15">
        <v>2</v>
      </c>
      <c r="AA145" s="15" t="s">
        <v>21</v>
      </c>
      <c r="AB145" s="19">
        <v>44145</v>
      </c>
      <c r="AC145" s="19">
        <v>44134</v>
      </c>
      <c r="AD145" s="108">
        <v>44145</v>
      </c>
      <c r="AE145" s="19">
        <v>44134</v>
      </c>
      <c r="AF145" s="19">
        <v>44134</v>
      </c>
      <c r="AG145" s="19" t="s">
        <v>130</v>
      </c>
      <c r="AH145" s="91">
        <v>1</v>
      </c>
      <c r="AI145" s="91">
        <v>1</v>
      </c>
      <c r="AJ145" s="91">
        <v>1</v>
      </c>
      <c r="AK145" s="19" t="s">
        <v>117</v>
      </c>
      <c r="AL145" s="17" t="s">
        <v>58</v>
      </c>
      <c r="AM145" s="17" t="s">
        <v>58</v>
      </c>
      <c r="AN145" s="17" t="s">
        <v>1013</v>
      </c>
    </row>
    <row r="146" spans="2:40" x14ac:dyDescent="0.25">
      <c r="B146" s="180">
        <f t="shared" si="34"/>
        <v>87</v>
      </c>
      <c r="C146" s="16">
        <v>20201030</v>
      </c>
      <c r="D146" s="63" t="s">
        <v>3</v>
      </c>
      <c r="E146" s="62" t="s">
        <v>957</v>
      </c>
      <c r="F146" s="104" t="s">
        <v>1002</v>
      </c>
      <c r="G146" s="63">
        <v>1531668</v>
      </c>
      <c r="H146" s="37" t="s">
        <v>58</v>
      </c>
      <c r="I146" s="63" t="s">
        <v>979</v>
      </c>
      <c r="J146" s="124" t="s">
        <v>58</v>
      </c>
      <c r="K146" s="15" t="s">
        <v>165</v>
      </c>
      <c r="L146" s="15" t="s">
        <v>117</v>
      </c>
      <c r="M146" s="15" t="s">
        <v>475</v>
      </c>
      <c r="N146" s="63" t="s">
        <v>986</v>
      </c>
      <c r="O146" s="62" t="s">
        <v>58</v>
      </c>
      <c r="P146" s="48" t="s">
        <v>988</v>
      </c>
      <c r="Q146" s="18"/>
      <c r="R146" s="37"/>
      <c r="S146" s="15" t="s">
        <v>142</v>
      </c>
      <c r="T146" s="15" t="s">
        <v>141</v>
      </c>
      <c r="U146" s="15" t="s">
        <v>546</v>
      </c>
      <c r="V146" s="63">
        <v>15</v>
      </c>
      <c r="W146" s="16">
        <f t="shared" si="37"/>
        <v>15</v>
      </c>
      <c r="X146" s="15">
        <f t="shared" si="38"/>
        <v>15</v>
      </c>
      <c r="Y146" s="15">
        <f>ROUNDDOWN(W146/HLOOKUP(D146,Table!$C$3:$D$4,2,0)*8,2)</f>
        <v>0.26</v>
      </c>
      <c r="Z146" s="15">
        <v>0.5</v>
      </c>
      <c r="AA146" s="15" t="s">
        <v>21</v>
      </c>
      <c r="AB146" s="19">
        <v>44145</v>
      </c>
      <c r="AC146" s="19">
        <v>44134</v>
      </c>
      <c r="AD146" s="108">
        <v>44145</v>
      </c>
      <c r="AE146" s="19">
        <v>44134</v>
      </c>
      <c r="AF146" s="19">
        <v>44134</v>
      </c>
      <c r="AG146" s="19" t="s">
        <v>130</v>
      </c>
      <c r="AH146" s="91">
        <v>1</v>
      </c>
      <c r="AI146" s="91">
        <v>1</v>
      </c>
      <c r="AJ146" s="91">
        <v>1</v>
      </c>
      <c r="AK146" s="19" t="s">
        <v>117</v>
      </c>
      <c r="AL146" s="17" t="s">
        <v>58</v>
      </c>
      <c r="AM146" s="17" t="s">
        <v>58</v>
      </c>
      <c r="AN146" s="17" t="s">
        <v>1013</v>
      </c>
    </row>
    <row r="147" spans="2:40" x14ac:dyDescent="0.25">
      <c r="B147" s="180">
        <f t="shared" si="34"/>
        <v>88</v>
      </c>
      <c r="C147" s="16">
        <v>20201030</v>
      </c>
      <c r="D147" s="63" t="s">
        <v>3</v>
      </c>
      <c r="E147" s="62" t="s">
        <v>957</v>
      </c>
      <c r="F147" s="104" t="s">
        <v>1007</v>
      </c>
      <c r="G147" s="63">
        <v>1531668</v>
      </c>
      <c r="H147" s="37" t="s">
        <v>58</v>
      </c>
      <c r="I147" s="63" t="s">
        <v>980</v>
      </c>
      <c r="J147" s="124" t="s">
        <v>58</v>
      </c>
      <c r="K147" s="15" t="s">
        <v>165</v>
      </c>
      <c r="L147" s="15" t="s">
        <v>117</v>
      </c>
      <c r="M147" s="15" t="s">
        <v>475</v>
      </c>
      <c r="N147" s="63" t="s">
        <v>986</v>
      </c>
      <c r="O147" s="62" t="s">
        <v>58</v>
      </c>
      <c r="P147" s="48" t="s">
        <v>988</v>
      </c>
      <c r="Q147" s="18"/>
      <c r="R147" s="37"/>
      <c r="S147" s="15" t="s">
        <v>152</v>
      </c>
      <c r="T147" s="15" t="s">
        <v>142</v>
      </c>
      <c r="U147" s="63" t="s">
        <v>546</v>
      </c>
      <c r="V147" s="63">
        <v>100</v>
      </c>
      <c r="W147" s="16">
        <f t="shared" si="37"/>
        <v>100</v>
      </c>
      <c r="X147" s="15">
        <f t="shared" si="38"/>
        <v>100</v>
      </c>
      <c r="Y147" s="15">
        <f>ROUNDDOWN(W147/HLOOKUP(D147,Table!$C$3:$D$4,2,0)*8,2)</f>
        <v>1.77</v>
      </c>
      <c r="Z147" s="15">
        <v>1</v>
      </c>
      <c r="AA147" s="15" t="s">
        <v>21</v>
      </c>
      <c r="AB147" s="19">
        <v>44145</v>
      </c>
      <c r="AC147" s="19">
        <v>44134</v>
      </c>
      <c r="AD147" s="67">
        <v>44145</v>
      </c>
      <c r="AE147" s="19">
        <v>44134</v>
      </c>
      <c r="AF147" s="19">
        <v>44134</v>
      </c>
      <c r="AG147" s="19" t="s">
        <v>130</v>
      </c>
      <c r="AH147" s="91">
        <v>1</v>
      </c>
      <c r="AI147" s="91">
        <v>1</v>
      </c>
      <c r="AJ147" s="91">
        <v>1</v>
      </c>
      <c r="AK147" s="19" t="s">
        <v>117</v>
      </c>
      <c r="AL147" s="17" t="s">
        <v>58</v>
      </c>
      <c r="AM147" s="17" t="s">
        <v>58</v>
      </c>
      <c r="AN147" s="17" t="s">
        <v>58</v>
      </c>
    </row>
    <row r="148" spans="2:40" x14ac:dyDescent="0.25">
      <c r="B148" s="180">
        <f t="shared" si="34"/>
        <v>89</v>
      </c>
      <c r="C148" s="16">
        <v>20201030</v>
      </c>
      <c r="D148" s="63" t="s">
        <v>3</v>
      </c>
      <c r="E148" s="62" t="s">
        <v>957</v>
      </c>
      <c r="F148" s="104" t="s">
        <v>1007</v>
      </c>
      <c r="G148" s="63">
        <v>1531668</v>
      </c>
      <c r="H148" s="37" t="s">
        <v>58</v>
      </c>
      <c r="I148" s="63" t="s">
        <v>981</v>
      </c>
      <c r="J148" s="124" t="s">
        <v>58</v>
      </c>
      <c r="K148" s="15" t="s">
        <v>165</v>
      </c>
      <c r="L148" s="15" t="s">
        <v>117</v>
      </c>
      <c r="M148" s="15" t="s">
        <v>475</v>
      </c>
      <c r="N148" s="63" t="s">
        <v>986</v>
      </c>
      <c r="O148" s="62" t="s">
        <v>58</v>
      </c>
      <c r="P148" s="48" t="s">
        <v>988</v>
      </c>
      <c r="Q148" s="18"/>
      <c r="R148" s="37"/>
      <c r="S148" s="15" t="s">
        <v>152</v>
      </c>
      <c r="T148" s="15" t="s">
        <v>142</v>
      </c>
      <c r="U148" s="15" t="s">
        <v>546</v>
      </c>
      <c r="V148" s="63">
        <v>206</v>
      </c>
      <c r="W148" s="16">
        <f t="shared" si="37"/>
        <v>206</v>
      </c>
      <c r="X148" s="15">
        <f t="shared" si="38"/>
        <v>206</v>
      </c>
      <c r="Y148" s="15">
        <f>ROUNDDOWN(W148/HLOOKUP(D148,Table!$C$3:$D$4,2,0)*8,2)</f>
        <v>3.66</v>
      </c>
      <c r="Z148" s="15">
        <v>2</v>
      </c>
      <c r="AA148" s="15" t="s">
        <v>21</v>
      </c>
      <c r="AB148" s="19">
        <v>44145</v>
      </c>
      <c r="AC148" s="19">
        <v>44134</v>
      </c>
      <c r="AD148" s="67">
        <v>44145</v>
      </c>
      <c r="AE148" s="19">
        <v>44137</v>
      </c>
      <c r="AF148" s="19">
        <v>44137</v>
      </c>
      <c r="AG148" s="19" t="s">
        <v>130</v>
      </c>
      <c r="AH148" s="91">
        <v>1</v>
      </c>
      <c r="AI148" s="91">
        <v>1</v>
      </c>
      <c r="AJ148" s="91">
        <v>1</v>
      </c>
      <c r="AK148" s="19" t="s">
        <v>117</v>
      </c>
      <c r="AL148" s="17" t="s">
        <v>58</v>
      </c>
      <c r="AM148" s="17" t="s">
        <v>58</v>
      </c>
      <c r="AN148" s="17" t="s">
        <v>58</v>
      </c>
    </row>
    <row r="149" spans="2:40" x14ac:dyDescent="0.25">
      <c r="B149" s="180">
        <f t="shared" si="34"/>
        <v>90</v>
      </c>
      <c r="C149" s="16">
        <v>20201030</v>
      </c>
      <c r="D149" s="63" t="s">
        <v>3</v>
      </c>
      <c r="E149" s="62" t="s">
        <v>957</v>
      </c>
      <c r="F149" s="104" t="s">
        <v>1007</v>
      </c>
      <c r="G149" s="63">
        <v>1531668</v>
      </c>
      <c r="H149" s="37" t="s">
        <v>58</v>
      </c>
      <c r="I149" s="63" t="s">
        <v>982</v>
      </c>
      <c r="J149" s="124" t="s">
        <v>58</v>
      </c>
      <c r="K149" s="15" t="s">
        <v>165</v>
      </c>
      <c r="L149" s="15" t="s">
        <v>117</v>
      </c>
      <c r="M149" s="15" t="s">
        <v>475</v>
      </c>
      <c r="N149" s="63" t="s">
        <v>986</v>
      </c>
      <c r="O149" s="62" t="s">
        <v>58</v>
      </c>
      <c r="P149" s="48" t="s">
        <v>988</v>
      </c>
      <c r="Q149" s="18"/>
      <c r="R149" s="37"/>
      <c r="S149" s="15" t="s">
        <v>152</v>
      </c>
      <c r="T149" s="15" t="s">
        <v>142</v>
      </c>
      <c r="U149" s="15" t="s">
        <v>546</v>
      </c>
      <c r="V149" s="63">
        <v>160</v>
      </c>
      <c r="W149" s="146">
        <v>252</v>
      </c>
      <c r="X149" s="15">
        <f t="shared" si="38"/>
        <v>252</v>
      </c>
      <c r="Y149" s="15">
        <f>ROUNDDOWN(W149/HLOOKUP(D149,Table!$C$3:$D$4,2,0)*8,2)</f>
        <v>4.4800000000000004</v>
      </c>
      <c r="Z149" s="15">
        <v>3</v>
      </c>
      <c r="AA149" s="15" t="s">
        <v>21</v>
      </c>
      <c r="AB149" s="19">
        <v>44145</v>
      </c>
      <c r="AC149" s="19">
        <v>44134</v>
      </c>
      <c r="AD149" s="67">
        <v>44145</v>
      </c>
      <c r="AE149" s="19">
        <v>44138</v>
      </c>
      <c r="AF149" s="19">
        <v>44138</v>
      </c>
      <c r="AG149" s="19" t="s">
        <v>130</v>
      </c>
      <c r="AH149" s="91">
        <v>1</v>
      </c>
      <c r="AI149" s="91">
        <v>1</v>
      </c>
      <c r="AJ149" s="91">
        <v>1</v>
      </c>
      <c r="AK149" s="19" t="s">
        <v>117</v>
      </c>
      <c r="AL149" s="17" t="s">
        <v>58</v>
      </c>
      <c r="AM149" s="17" t="s">
        <v>58</v>
      </c>
      <c r="AN149" s="17" t="s">
        <v>58</v>
      </c>
    </row>
    <row r="150" spans="2:40" x14ac:dyDescent="0.25">
      <c r="B150" s="180">
        <f t="shared" ref="B150:B176" si="39">B149+1</f>
        <v>91</v>
      </c>
      <c r="C150" s="16">
        <v>20201030</v>
      </c>
      <c r="D150" s="63" t="s">
        <v>3</v>
      </c>
      <c r="E150" s="62" t="s">
        <v>957</v>
      </c>
      <c r="F150" s="104" t="s">
        <v>1007</v>
      </c>
      <c r="G150" s="63">
        <v>1531668</v>
      </c>
      <c r="H150" s="37" t="s">
        <v>58</v>
      </c>
      <c r="I150" s="63" t="s">
        <v>983</v>
      </c>
      <c r="J150" s="124" t="s">
        <v>58</v>
      </c>
      <c r="K150" s="15" t="s">
        <v>165</v>
      </c>
      <c r="L150" s="15" t="s">
        <v>117</v>
      </c>
      <c r="M150" s="15" t="s">
        <v>475</v>
      </c>
      <c r="N150" s="63" t="s">
        <v>986</v>
      </c>
      <c r="O150" s="62" t="s">
        <v>58</v>
      </c>
      <c r="P150" s="48" t="s">
        <v>988</v>
      </c>
      <c r="Q150" s="18"/>
      <c r="R150" s="37"/>
      <c r="S150" s="15" t="s">
        <v>152</v>
      </c>
      <c r="T150" s="15" t="s">
        <v>142</v>
      </c>
      <c r="U150" s="15" t="s">
        <v>546</v>
      </c>
      <c r="V150" s="63">
        <v>17</v>
      </c>
      <c r="W150" s="16">
        <f t="shared" ref="W150:W176" si="40">V150</f>
        <v>17</v>
      </c>
      <c r="X150" s="15">
        <f t="shared" ref="X150:X157" si="41">W150</f>
        <v>17</v>
      </c>
      <c r="Y150" s="15">
        <f>ROUNDDOWN(W150/HLOOKUP(D150,Table!$C$3:$D$4,2,0)*8,2)</f>
        <v>0.3</v>
      </c>
      <c r="Z150" s="15">
        <v>0.5</v>
      </c>
      <c r="AA150" s="15" t="s">
        <v>21</v>
      </c>
      <c r="AB150" s="19">
        <v>44145</v>
      </c>
      <c r="AC150" s="19">
        <v>44134</v>
      </c>
      <c r="AD150" s="67">
        <v>44145</v>
      </c>
      <c r="AE150" s="19">
        <v>44144</v>
      </c>
      <c r="AF150" s="19">
        <v>44144</v>
      </c>
      <c r="AG150" s="19" t="s">
        <v>130</v>
      </c>
      <c r="AH150" s="91">
        <v>1</v>
      </c>
      <c r="AI150" s="91">
        <v>1</v>
      </c>
      <c r="AJ150" s="91">
        <v>1</v>
      </c>
      <c r="AK150" s="19" t="s">
        <v>117</v>
      </c>
      <c r="AL150" s="17" t="s">
        <v>58</v>
      </c>
      <c r="AM150" s="17" t="s">
        <v>58</v>
      </c>
      <c r="AN150" s="17" t="s">
        <v>58</v>
      </c>
    </row>
    <row r="151" spans="2:40" x14ac:dyDescent="0.25">
      <c r="B151" s="180">
        <f t="shared" si="39"/>
        <v>92</v>
      </c>
      <c r="C151" s="16">
        <v>20201030</v>
      </c>
      <c r="D151" s="63" t="s">
        <v>3</v>
      </c>
      <c r="E151" s="62" t="s">
        <v>957</v>
      </c>
      <c r="F151" s="104" t="s">
        <v>1007</v>
      </c>
      <c r="G151" s="63">
        <v>1531668</v>
      </c>
      <c r="H151" s="37" t="s">
        <v>58</v>
      </c>
      <c r="I151" s="63" t="s">
        <v>984</v>
      </c>
      <c r="J151" s="124" t="s">
        <v>58</v>
      </c>
      <c r="K151" s="15" t="s">
        <v>165</v>
      </c>
      <c r="L151" s="15" t="s">
        <v>117</v>
      </c>
      <c r="M151" s="15" t="s">
        <v>475</v>
      </c>
      <c r="N151" s="63" t="s">
        <v>986</v>
      </c>
      <c r="O151" s="62" t="s">
        <v>58</v>
      </c>
      <c r="P151" s="48" t="s">
        <v>988</v>
      </c>
      <c r="Q151" s="18"/>
      <c r="R151" s="37"/>
      <c r="S151" s="15" t="s">
        <v>152</v>
      </c>
      <c r="T151" s="15" t="s">
        <v>142</v>
      </c>
      <c r="U151" s="15" t="s">
        <v>546</v>
      </c>
      <c r="V151" s="63">
        <v>79</v>
      </c>
      <c r="W151" s="16">
        <f t="shared" si="40"/>
        <v>79</v>
      </c>
      <c r="X151" s="15">
        <f t="shared" si="41"/>
        <v>79</v>
      </c>
      <c r="Y151" s="15">
        <f>ROUNDDOWN(W151/HLOOKUP(D151,Table!$C$3:$D$4,2,0)*8,2)</f>
        <v>1.4</v>
      </c>
      <c r="Z151" s="15">
        <v>1</v>
      </c>
      <c r="AA151" s="15" t="s">
        <v>21</v>
      </c>
      <c r="AB151" s="19">
        <v>44145</v>
      </c>
      <c r="AC151" s="19">
        <v>44134</v>
      </c>
      <c r="AD151" s="67">
        <v>44145</v>
      </c>
      <c r="AE151" s="19">
        <v>44144</v>
      </c>
      <c r="AF151" s="19">
        <v>44144</v>
      </c>
      <c r="AG151" s="19" t="s">
        <v>130</v>
      </c>
      <c r="AH151" s="91">
        <v>1</v>
      </c>
      <c r="AI151" s="91">
        <v>1</v>
      </c>
      <c r="AJ151" s="91">
        <v>1</v>
      </c>
      <c r="AK151" s="19" t="s">
        <v>117</v>
      </c>
      <c r="AL151" s="17" t="s">
        <v>58</v>
      </c>
      <c r="AM151" s="17" t="s">
        <v>58</v>
      </c>
      <c r="AN151" s="17" t="s">
        <v>58</v>
      </c>
    </row>
    <row r="152" spans="2:40" x14ac:dyDescent="0.25">
      <c r="B152" s="180">
        <f t="shared" si="39"/>
        <v>93</v>
      </c>
      <c r="C152" s="16">
        <v>20201030</v>
      </c>
      <c r="D152" s="63" t="s">
        <v>3</v>
      </c>
      <c r="E152" s="62" t="s">
        <v>957</v>
      </c>
      <c r="F152" s="104" t="s">
        <v>1007</v>
      </c>
      <c r="G152" s="63">
        <v>1531668</v>
      </c>
      <c r="H152" s="37" t="s">
        <v>58</v>
      </c>
      <c r="I152" s="63" t="s">
        <v>985</v>
      </c>
      <c r="J152" s="124" t="s">
        <v>58</v>
      </c>
      <c r="K152" s="15" t="s">
        <v>165</v>
      </c>
      <c r="L152" s="15" t="s">
        <v>117</v>
      </c>
      <c r="M152" s="15" t="s">
        <v>475</v>
      </c>
      <c r="N152" s="63" t="s">
        <v>986</v>
      </c>
      <c r="O152" s="62" t="s">
        <v>58</v>
      </c>
      <c r="P152" s="48" t="s">
        <v>988</v>
      </c>
      <c r="Q152" s="18"/>
      <c r="R152" s="37"/>
      <c r="S152" s="15" t="s">
        <v>152</v>
      </c>
      <c r="T152" s="15" t="s">
        <v>142</v>
      </c>
      <c r="U152" s="15" t="s">
        <v>546</v>
      </c>
      <c r="V152" s="63">
        <v>390</v>
      </c>
      <c r="W152" s="16">
        <f t="shared" si="40"/>
        <v>390</v>
      </c>
      <c r="X152" s="15">
        <f t="shared" si="41"/>
        <v>390</v>
      </c>
      <c r="Y152" s="15">
        <f>ROUNDDOWN(W152/HLOOKUP(D152,Table!$C$3:$D$4,2,0)*8,2)</f>
        <v>6.93</v>
      </c>
      <c r="Z152" s="15">
        <v>4</v>
      </c>
      <c r="AA152" s="15" t="s">
        <v>21</v>
      </c>
      <c r="AB152" s="19">
        <v>44145</v>
      </c>
      <c r="AC152" s="19">
        <v>44134</v>
      </c>
      <c r="AD152" s="67">
        <v>44145</v>
      </c>
      <c r="AE152" s="19">
        <v>44144</v>
      </c>
      <c r="AF152" s="19">
        <v>44144</v>
      </c>
      <c r="AG152" s="19" t="s">
        <v>130</v>
      </c>
      <c r="AH152" s="91">
        <v>1</v>
      </c>
      <c r="AI152" s="91">
        <v>1</v>
      </c>
      <c r="AJ152" s="91">
        <v>1</v>
      </c>
      <c r="AK152" s="19" t="s">
        <v>117</v>
      </c>
      <c r="AL152" s="17" t="s">
        <v>58</v>
      </c>
      <c r="AM152" s="17" t="s">
        <v>58</v>
      </c>
      <c r="AN152" s="17" t="s">
        <v>58</v>
      </c>
    </row>
    <row r="153" spans="2:40" ht="30" x14ac:dyDescent="0.25">
      <c r="B153" s="98">
        <f t="shared" si="39"/>
        <v>94</v>
      </c>
      <c r="C153" s="16">
        <v>20201102</v>
      </c>
      <c r="D153" s="63" t="s">
        <v>3</v>
      </c>
      <c r="E153" s="62" t="s">
        <v>1135</v>
      </c>
      <c r="F153" s="104" t="s">
        <v>1194</v>
      </c>
      <c r="G153" s="63">
        <v>1739185</v>
      </c>
      <c r="H153" s="37" t="s">
        <v>58</v>
      </c>
      <c r="I153" s="63" t="s">
        <v>1138</v>
      </c>
      <c r="J153" s="124" t="s">
        <v>58</v>
      </c>
      <c r="K153" s="15" t="s">
        <v>167</v>
      </c>
      <c r="L153" s="15" t="s">
        <v>117</v>
      </c>
      <c r="M153" s="63" t="s">
        <v>1156</v>
      </c>
      <c r="N153" s="63" t="s">
        <v>1159</v>
      </c>
      <c r="O153" s="62" t="s">
        <v>58</v>
      </c>
      <c r="P153" s="48" t="s">
        <v>1170</v>
      </c>
      <c r="Q153" s="18"/>
      <c r="R153" s="37"/>
      <c r="S153" s="15" t="s">
        <v>152</v>
      </c>
      <c r="T153" s="15" t="s">
        <v>142</v>
      </c>
      <c r="U153" s="15" t="s">
        <v>546</v>
      </c>
      <c r="V153" s="63">
        <v>351</v>
      </c>
      <c r="W153" s="146">
        <f>V153*2</f>
        <v>702</v>
      </c>
      <c r="X153" s="15">
        <f t="shared" si="41"/>
        <v>702</v>
      </c>
      <c r="Y153" s="15">
        <f>ROUNDDOWN(W153/HLOOKUP(D153,Table!$C$3:$D$4,2,0)*8,2)</f>
        <v>12.48</v>
      </c>
      <c r="Z153" s="15">
        <v>10</v>
      </c>
      <c r="AA153" s="15" t="s">
        <v>21</v>
      </c>
      <c r="AB153" s="19">
        <v>44140</v>
      </c>
      <c r="AC153" s="19">
        <v>44138</v>
      </c>
      <c r="AD153" s="70">
        <v>44140</v>
      </c>
      <c r="AE153" s="19">
        <v>44139</v>
      </c>
      <c r="AF153" s="19">
        <v>44140</v>
      </c>
      <c r="AG153" s="19" t="s">
        <v>130</v>
      </c>
      <c r="AH153" s="91">
        <v>1</v>
      </c>
      <c r="AI153" s="91">
        <v>1</v>
      </c>
      <c r="AJ153" s="91">
        <v>1</v>
      </c>
      <c r="AK153" s="19" t="s">
        <v>117</v>
      </c>
      <c r="AL153" s="17" t="s">
        <v>58</v>
      </c>
      <c r="AM153" s="17" t="s">
        <v>58</v>
      </c>
      <c r="AN153" s="137" t="s">
        <v>509</v>
      </c>
    </row>
    <row r="154" spans="2:40" ht="30" x14ac:dyDescent="0.25">
      <c r="B154" s="98">
        <f t="shared" si="39"/>
        <v>95</v>
      </c>
      <c r="C154" s="16">
        <v>20201102</v>
      </c>
      <c r="D154" s="63" t="s">
        <v>3</v>
      </c>
      <c r="E154" s="62" t="s">
        <v>1135</v>
      </c>
      <c r="F154" s="104" t="s">
        <v>1195</v>
      </c>
      <c r="G154" s="63">
        <v>1739185</v>
      </c>
      <c r="H154" s="37" t="s">
        <v>58</v>
      </c>
      <c r="I154" s="63" t="s">
        <v>966</v>
      </c>
      <c r="J154" s="124" t="s">
        <v>58</v>
      </c>
      <c r="K154" s="15" t="s">
        <v>167</v>
      </c>
      <c r="L154" s="15" t="s">
        <v>117</v>
      </c>
      <c r="M154" s="63" t="s">
        <v>1156</v>
      </c>
      <c r="N154" s="63" t="s">
        <v>1159</v>
      </c>
      <c r="O154" s="62" t="s">
        <v>58</v>
      </c>
      <c r="P154" s="48" t="s">
        <v>1170</v>
      </c>
      <c r="Q154" s="18"/>
      <c r="R154" s="37"/>
      <c r="S154" s="15" t="s">
        <v>152</v>
      </c>
      <c r="T154" s="15" t="s">
        <v>142</v>
      </c>
      <c r="U154" s="15" t="s">
        <v>546</v>
      </c>
      <c r="V154" s="63">
        <v>478</v>
      </c>
      <c r="W154" s="146">
        <f>488*2</f>
        <v>976</v>
      </c>
      <c r="X154" s="15">
        <f t="shared" si="41"/>
        <v>976</v>
      </c>
      <c r="Y154" s="15">
        <f>ROUNDDOWN(W154/HLOOKUP(D154,Table!$C$3:$D$4,2,0)*8,2)</f>
        <v>17.350000000000001</v>
      </c>
      <c r="Z154" s="15">
        <v>12</v>
      </c>
      <c r="AA154" s="15" t="s">
        <v>21</v>
      </c>
      <c r="AB154" s="19">
        <v>44140</v>
      </c>
      <c r="AC154" s="19">
        <v>44138</v>
      </c>
      <c r="AD154" s="70">
        <v>44140</v>
      </c>
      <c r="AE154" s="19">
        <v>44139</v>
      </c>
      <c r="AF154" s="19">
        <v>44140</v>
      </c>
      <c r="AG154" s="19" t="s">
        <v>130</v>
      </c>
      <c r="AH154" s="91">
        <v>1</v>
      </c>
      <c r="AI154" s="91">
        <v>1</v>
      </c>
      <c r="AJ154" s="91">
        <v>1</v>
      </c>
      <c r="AK154" s="19" t="s">
        <v>117</v>
      </c>
      <c r="AL154" s="17" t="s">
        <v>58</v>
      </c>
      <c r="AM154" s="17" t="s">
        <v>58</v>
      </c>
      <c r="AN154" s="137" t="s">
        <v>509</v>
      </c>
    </row>
    <row r="155" spans="2:40" ht="30" x14ac:dyDescent="0.25">
      <c r="B155" s="98">
        <f t="shared" si="39"/>
        <v>96</v>
      </c>
      <c r="C155" s="16">
        <v>20201102</v>
      </c>
      <c r="D155" s="63" t="s">
        <v>3</v>
      </c>
      <c r="E155" s="62" t="s">
        <v>913</v>
      </c>
      <c r="F155" s="104" t="s">
        <v>1238</v>
      </c>
      <c r="G155" s="63">
        <v>1737434</v>
      </c>
      <c r="H155" s="37" t="s">
        <v>58</v>
      </c>
      <c r="I155" s="74" t="s">
        <v>1139</v>
      </c>
      <c r="J155" s="124" t="s">
        <v>58</v>
      </c>
      <c r="K155" s="15" t="s">
        <v>167</v>
      </c>
      <c r="L155" s="15" t="s">
        <v>117</v>
      </c>
      <c r="M155" s="63" t="s">
        <v>914</v>
      </c>
      <c r="N155" s="63" t="s">
        <v>511</v>
      </c>
      <c r="O155" s="62" t="s">
        <v>58</v>
      </c>
      <c r="P155" s="48" t="s">
        <v>507</v>
      </c>
      <c r="Q155" s="18"/>
      <c r="R155" s="37"/>
      <c r="S155" s="15" t="s">
        <v>152</v>
      </c>
      <c r="T155" s="15" t="s">
        <v>142</v>
      </c>
      <c r="U155" s="15" t="s">
        <v>546</v>
      </c>
      <c r="V155" s="63">
        <v>47</v>
      </c>
      <c r="W155" s="146">
        <f>V155*2</f>
        <v>94</v>
      </c>
      <c r="X155" s="15">
        <f t="shared" si="41"/>
        <v>94</v>
      </c>
      <c r="Y155" s="15">
        <f>ROUNDDOWN(W155/HLOOKUP(D155,Table!$C$3:$D$4,2,0)*8,2)</f>
        <v>1.67</v>
      </c>
      <c r="Z155" s="15">
        <v>1.5</v>
      </c>
      <c r="AA155" s="15" t="s">
        <v>21</v>
      </c>
      <c r="AB155" s="19">
        <v>44141</v>
      </c>
      <c r="AC155" s="19">
        <v>44138</v>
      </c>
      <c r="AD155" s="70">
        <v>44141</v>
      </c>
      <c r="AE155" s="19">
        <v>44141</v>
      </c>
      <c r="AF155" s="19">
        <v>44141</v>
      </c>
      <c r="AG155" s="19" t="s">
        <v>130</v>
      </c>
      <c r="AH155" s="91">
        <v>1</v>
      </c>
      <c r="AI155" s="91">
        <v>1</v>
      </c>
      <c r="AJ155" s="91">
        <v>1</v>
      </c>
      <c r="AK155" s="19" t="s">
        <v>117</v>
      </c>
      <c r="AL155" s="17" t="s">
        <v>58</v>
      </c>
      <c r="AM155" s="17" t="s">
        <v>58</v>
      </c>
      <c r="AN155" s="137" t="s">
        <v>509</v>
      </c>
    </row>
    <row r="156" spans="2:40" ht="60" x14ac:dyDescent="0.25">
      <c r="B156" s="98">
        <f t="shared" si="39"/>
        <v>97</v>
      </c>
      <c r="C156" s="16">
        <v>20201102</v>
      </c>
      <c r="D156" s="63" t="s">
        <v>3</v>
      </c>
      <c r="E156" s="62" t="s">
        <v>1135</v>
      </c>
      <c r="F156" s="104" t="s">
        <v>1193</v>
      </c>
      <c r="G156" s="63">
        <v>1756668</v>
      </c>
      <c r="H156" s="37" t="s">
        <v>58</v>
      </c>
      <c r="I156" s="74" t="s">
        <v>1140</v>
      </c>
      <c r="J156" s="124" t="s">
        <v>58</v>
      </c>
      <c r="K156" s="15" t="s">
        <v>167</v>
      </c>
      <c r="L156" s="15" t="s">
        <v>117</v>
      </c>
      <c r="M156" s="63" t="s">
        <v>1156</v>
      </c>
      <c r="N156" s="63" t="s">
        <v>1159</v>
      </c>
      <c r="O156" s="62" t="s">
        <v>58</v>
      </c>
      <c r="P156" s="48" t="s">
        <v>1171</v>
      </c>
      <c r="Q156" s="18"/>
      <c r="R156" s="37"/>
      <c r="S156" s="15" t="s">
        <v>64</v>
      </c>
      <c r="T156" s="15" t="s">
        <v>143</v>
      </c>
      <c r="U156" s="15" t="s">
        <v>546</v>
      </c>
      <c r="V156" s="63">
        <v>593</v>
      </c>
      <c r="W156" s="18">
        <f>618*2*2</f>
        <v>2472</v>
      </c>
      <c r="X156" s="15">
        <f t="shared" si="41"/>
        <v>2472</v>
      </c>
      <c r="Y156" s="15">
        <f>ROUNDDOWN(W156/HLOOKUP(D156,Table!$C$3:$D$4,2,0)*8,2)</f>
        <v>43.94</v>
      </c>
      <c r="Z156" s="15">
        <v>40</v>
      </c>
      <c r="AA156" s="16" t="s">
        <v>21</v>
      </c>
      <c r="AB156" s="19">
        <v>44148</v>
      </c>
      <c r="AC156" s="19">
        <v>44138</v>
      </c>
      <c r="AD156" s="70">
        <v>44148</v>
      </c>
      <c r="AE156" s="19">
        <v>44146</v>
      </c>
      <c r="AF156" s="19">
        <v>44146</v>
      </c>
      <c r="AG156" s="19" t="s">
        <v>130</v>
      </c>
      <c r="AH156" s="91">
        <v>1</v>
      </c>
      <c r="AI156" s="91">
        <v>1</v>
      </c>
      <c r="AJ156" s="91">
        <v>1</v>
      </c>
      <c r="AK156" s="19" t="s">
        <v>116</v>
      </c>
      <c r="AL156" s="17" t="s">
        <v>1396</v>
      </c>
      <c r="AM156" s="17" t="s">
        <v>58</v>
      </c>
      <c r="AN156" s="137" t="s">
        <v>1438</v>
      </c>
    </row>
    <row r="157" spans="2:40" ht="45" x14ac:dyDescent="0.25">
      <c r="B157" s="98">
        <f t="shared" si="39"/>
        <v>98</v>
      </c>
      <c r="C157" s="16">
        <v>20201102</v>
      </c>
      <c r="D157" s="63" t="s">
        <v>2</v>
      </c>
      <c r="E157" s="62" t="s">
        <v>1136</v>
      </c>
      <c r="F157" s="62" t="s">
        <v>58</v>
      </c>
      <c r="G157" s="63">
        <v>1758944</v>
      </c>
      <c r="H157" s="37" t="s">
        <v>58</v>
      </c>
      <c r="I157" s="63" t="s">
        <v>1141</v>
      </c>
      <c r="J157" s="124" t="s">
        <v>58</v>
      </c>
      <c r="K157" s="15" t="s">
        <v>165</v>
      </c>
      <c r="L157" s="15" t="s">
        <v>117</v>
      </c>
      <c r="M157" s="63" t="s">
        <v>1157</v>
      </c>
      <c r="N157" s="63" t="s">
        <v>1160</v>
      </c>
      <c r="O157" s="63">
        <v>2.6</v>
      </c>
      <c r="P157" s="48" t="s">
        <v>1172</v>
      </c>
      <c r="Q157" s="18"/>
      <c r="R157" s="37"/>
      <c r="S157" s="15" t="s">
        <v>142</v>
      </c>
      <c r="T157" s="15" t="s">
        <v>141</v>
      </c>
      <c r="U157" s="15" t="s">
        <v>546</v>
      </c>
      <c r="V157" s="63">
        <v>130</v>
      </c>
      <c r="W157" s="16">
        <f t="shared" si="40"/>
        <v>130</v>
      </c>
      <c r="X157" s="15">
        <f t="shared" si="41"/>
        <v>130</v>
      </c>
      <c r="Y157" s="15">
        <f>ROUNDDOWN(W157/HLOOKUP(D157,Table!$C$3:$D$4,2,0)*8,2)</f>
        <v>8</v>
      </c>
      <c r="Z157" s="15">
        <v>7</v>
      </c>
      <c r="AA157" s="15" t="s">
        <v>21</v>
      </c>
      <c r="AB157" s="19">
        <v>44146</v>
      </c>
      <c r="AC157" s="19">
        <v>44138</v>
      </c>
      <c r="AD157" s="70">
        <v>44146</v>
      </c>
      <c r="AE157" s="19">
        <v>44138</v>
      </c>
      <c r="AF157" s="19">
        <v>44139</v>
      </c>
      <c r="AG157" s="19" t="s">
        <v>131</v>
      </c>
      <c r="AH157" s="91">
        <v>0.96</v>
      </c>
      <c r="AI157" s="91">
        <v>0.96599999999999997</v>
      </c>
      <c r="AJ157" s="91">
        <v>0.96199999999999997</v>
      </c>
      <c r="AK157" s="19" t="s">
        <v>107</v>
      </c>
      <c r="AL157" s="17" t="s">
        <v>1205</v>
      </c>
      <c r="AM157" s="17" t="s">
        <v>58</v>
      </c>
      <c r="AN157" s="136" t="s">
        <v>1206</v>
      </c>
    </row>
    <row r="158" spans="2:40" x14ac:dyDescent="0.25">
      <c r="B158" s="98">
        <f t="shared" si="39"/>
        <v>99</v>
      </c>
      <c r="C158" s="16">
        <v>20201102</v>
      </c>
      <c r="D158" s="63" t="s">
        <v>2</v>
      </c>
      <c r="E158" s="62" t="s">
        <v>1136</v>
      </c>
      <c r="F158" s="62" t="s">
        <v>58</v>
      </c>
      <c r="G158" s="63">
        <v>1758944</v>
      </c>
      <c r="H158" s="37" t="s">
        <v>58</v>
      </c>
      <c r="I158" s="63" t="s">
        <v>1142</v>
      </c>
      <c r="J158" s="124" t="s">
        <v>58</v>
      </c>
      <c r="K158" s="15" t="s">
        <v>165</v>
      </c>
      <c r="L158" s="15" t="s">
        <v>117</v>
      </c>
      <c r="M158" s="15" t="s">
        <v>1157</v>
      </c>
      <c r="N158" s="63" t="s">
        <v>1160</v>
      </c>
      <c r="O158" s="62" t="s">
        <v>1164</v>
      </c>
      <c r="P158" s="48" t="s">
        <v>1172</v>
      </c>
      <c r="Q158" s="18"/>
      <c r="R158" s="37"/>
      <c r="S158" s="15" t="s">
        <v>152</v>
      </c>
      <c r="T158" s="15" t="s">
        <v>142</v>
      </c>
      <c r="U158" s="15" t="s">
        <v>546</v>
      </c>
      <c r="V158" s="63">
        <v>111</v>
      </c>
      <c r="W158" s="16">
        <f t="shared" si="40"/>
        <v>111</v>
      </c>
      <c r="X158" s="15">
        <f t="shared" ref="X158:X165" si="42">W158</f>
        <v>111</v>
      </c>
      <c r="Y158" s="15">
        <f>ROUNDDOWN(W158/HLOOKUP(D158,Table!$C$3:$D$4,2,0)*8,2)</f>
        <v>6.83</v>
      </c>
      <c r="Z158" s="15">
        <v>6</v>
      </c>
      <c r="AA158" s="15" t="s">
        <v>21</v>
      </c>
      <c r="AB158" s="19">
        <v>44146</v>
      </c>
      <c r="AC158" s="19">
        <v>44138</v>
      </c>
      <c r="AD158" s="70">
        <v>44146</v>
      </c>
      <c r="AE158" s="19">
        <v>44145</v>
      </c>
      <c r="AF158" s="19">
        <v>44146</v>
      </c>
      <c r="AG158" s="19" t="s">
        <v>131</v>
      </c>
      <c r="AH158" s="91">
        <v>0.97299999999999998</v>
      </c>
      <c r="AI158" s="91">
        <v>0.97799999999999998</v>
      </c>
      <c r="AJ158" s="91">
        <v>1</v>
      </c>
      <c r="AK158" s="19" t="s">
        <v>107</v>
      </c>
      <c r="AL158" s="17" t="s">
        <v>1428</v>
      </c>
      <c r="AM158" s="17" t="s">
        <v>58</v>
      </c>
      <c r="AN158" s="17" t="s">
        <v>1431</v>
      </c>
    </row>
    <row r="159" spans="2:40" x14ac:dyDescent="0.25">
      <c r="B159" s="98">
        <f t="shared" si="39"/>
        <v>100</v>
      </c>
      <c r="C159" s="16">
        <v>20201102</v>
      </c>
      <c r="D159" s="63" t="s">
        <v>2</v>
      </c>
      <c r="E159" s="62" t="s">
        <v>1136</v>
      </c>
      <c r="F159" s="62" t="s">
        <v>58</v>
      </c>
      <c r="G159" s="63">
        <v>1758944</v>
      </c>
      <c r="H159" s="37" t="s">
        <v>58</v>
      </c>
      <c r="I159" s="63" t="s">
        <v>1143</v>
      </c>
      <c r="J159" s="124" t="s">
        <v>58</v>
      </c>
      <c r="K159" s="15" t="s">
        <v>165</v>
      </c>
      <c r="L159" s="15" t="s">
        <v>117</v>
      </c>
      <c r="M159" s="15" t="s">
        <v>1157</v>
      </c>
      <c r="N159" s="63" t="s">
        <v>1160</v>
      </c>
      <c r="O159" s="63">
        <v>2.1</v>
      </c>
      <c r="P159" s="48" t="s">
        <v>1172</v>
      </c>
      <c r="Q159" s="18"/>
      <c r="R159" s="37"/>
      <c r="S159" s="15" t="s">
        <v>142</v>
      </c>
      <c r="T159" s="15" t="s">
        <v>141</v>
      </c>
      <c r="U159" s="15" t="s">
        <v>546</v>
      </c>
      <c r="V159" s="63">
        <v>13</v>
      </c>
      <c r="W159" s="16">
        <f t="shared" si="40"/>
        <v>13</v>
      </c>
      <c r="X159" s="15">
        <f t="shared" si="42"/>
        <v>13</v>
      </c>
      <c r="Y159" s="15">
        <f>ROUNDDOWN(W159/HLOOKUP(D159,Table!$C$3:$D$4,2,0)*8,2)</f>
        <v>0.8</v>
      </c>
      <c r="Z159" s="15">
        <v>1</v>
      </c>
      <c r="AA159" s="15" t="s">
        <v>21</v>
      </c>
      <c r="AB159" s="19">
        <v>44146</v>
      </c>
      <c r="AC159" s="19">
        <v>44138</v>
      </c>
      <c r="AD159" s="70">
        <v>44146</v>
      </c>
      <c r="AE159" s="19">
        <v>44138</v>
      </c>
      <c r="AF159" s="19">
        <v>44138</v>
      </c>
      <c r="AG159" s="19" t="s">
        <v>130</v>
      </c>
      <c r="AH159" s="91">
        <v>1</v>
      </c>
      <c r="AI159" s="91">
        <v>1</v>
      </c>
      <c r="AJ159" s="91">
        <v>1</v>
      </c>
      <c r="AK159" s="19" t="s">
        <v>117</v>
      </c>
      <c r="AL159" s="17" t="s">
        <v>58</v>
      </c>
      <c r="AM159" s="17" t="s">
        <v>58</v>
      </c>
      <c r="AN159" s="17" t="s">
        <v>58</v>
      </c>
    </row>
    <row r="160" spans="2:40" x14ac:dyDescent="0.25">
      <c r="B160" s="98">
        <f t="shared" si="39"/>
        <v>101</v>
      </c>
      <c r="C160" s="16">
        <v>20201102</v>
      </c>
      <c r="D160" s="63" t="s">
        <v>2</v>
      </c>
      <c r="E160" s="62" t="s">
        <v>1136</v>
      </c>
      <c r="F160" s="62" t="s">
        <v>58</v>
      </c>
      <c r="G160" s="63">
        <v>1758944</v>
      </c>
      <c r="H160" s="37" t="s">
        <v>58</v>
      </c>
      <c r="I160" s="63" t="s">
        <v>1144</v>
      </c>
      <c r="J160" s="124" t="s">
        <v>58</v>
      </c>
      <c r="K160" s="15" t="s">
        <v>165</v>
      </c>
      <c r="L160" s="15" t="s">
        <v>117</v>
      </c>
      <c r="M160" s="15" t="s">
        <v>1157</v>
      </c>
      <c r="N160" s="63" t="s">
        <v>1160</v>
      </c>
      <c r="O160" s="63">
        <v>2.1</v>
      </c>
      <c r="P160" s="48" t="s">
        <v>1172</v>
      </c>
      <c r="Q160" s="18"/>
      <c r="R160" s="37"/>
      <c r="S160" s="15" t="s">
        <v>143</v>
      </c>
      <c r="T160" s="15" t="s">
        <v>152</v>
      </c>
      <c r="U160" s="15" t="s">
        <v>546</v>
      </c>
      <c r="V160" s="63">
        <v>70</v>
      </c>
      <c r="W160" s="16">
        <f t="shared" si="40"/>
        <v>70</v>
      </c>
      <c r="X160" s="15">
        <f t="shared" si="42"/>
        <v>70</v>
      </c>
      <c r="Y160" s="15">
        <f>ROUNDDOWN(W160/HLOOKUP(D160,Table!$C$3:$D$4,2,0)*8,2)</f>
        <v>4.3</v>
      </c>
      <c r="Z160" s="15">
        <v>8</v>
      </c>
      <c r="AA160" s="15" t="s">
        <v>21</v>
      </c>
      <c r="AB160" s="19">
        <v>44146</v>
      </c>
      <c r="AC160" s="19">
        <v>44138</v>
      </c>
      <c r="AD160" s="70">
        <v>44146</v>
      </c>
      <c r="AE160" s="19">
        <v>44139</v>
      </c>
      <c r="AF160" s="19">
        <v>44140</v>
      </c>
      <c r="AG160" s="19" t="s">
        <v>131</v>
      </c>
      <c r="AH160" s="91">
        <v>0.95699999999999996</v>
      </c>
      <c r="AI160" s="91">
        <v>0.96</v>
      </c>
      <c r="AJ160" s="91">
        <v>1</v>
      </c>
      <c r="AK160" s="19" t="s">
        <v>107</v>
      </c>
      <c r="AL160" s="17" t="s">
        <v>58</v>
      </c>
      <c r="AM160" s="17" t="s">
        <v>58</v>
      </c>
      <c r="AN160" s="175" t="s">
        <v>1240</v>
      </c>
    </row>
    <row r="161" spans="2:40" x14ac:dyDescent="0.25">
      <c r="B161" s="98">
        <f t="shared" si="39"/>
        <v>102</v>
      </c>
      <c r="C161" s="16">
        <v>20201102</v>
      </c>
      <c r="D161" s="63" t="s">
        <v>2</v>
      </c>
      <c r="E161" s="62" t="s">
        <v>1136</v>
      </c>
      <c r="F161" s="62" t="s">
        <v>58</v>
      </c>
      <c r="G161" s="63">
        <v>1758944</v>
      </c>
      <c r="H161" s="37" t="s">
        <v>58</v>
      </c>
      <c r="I161" s="63" t="s">
        <v>1145</v>
      </c>
      <c r="J161" s="124" t="s">
        <v>58</v>
      </c>
      <c r="K161" s="15" t="s">
        <v>165</v>
      </c>
      <c r="L161" s="15" t="s">
        <v>117</v>
      </c>
      <c r="M161" s="15" t="s">
        <v>1157</v>
      </c>
      <c r="N161" s="63" t="s">
        <v>1160</v>
      </c>
      <c r="O161" s="62" t="s">
        <v>203</v>
      </c>
      <c r="P161" s="48" t="s">
        <v>1172</v>
      </c>
      <c r="Q161" s="18"/>
      <c r="R161" s="37"/>
      <c r="S161" s="15" t="s">
        <v>141</v>
      </c>
      <c r="T161" s="15" t="s">
        <v>64</v>
      </c>
      <c r="U161" s="15" t="s">
        <v>546</v>
      </c>
      <c r="V161" s="63">
        <v>16</v>
      </c>
      <c r="W161" s="16">
        <f t="shared" si="40"/>
        <v>16</v>
      </c>
      <c r="X161" s="15">
        <f t="shared" si="42"/>
        <v>16</v>
      </c>
      <c r="Y161" s="15">
        <f>ROUNDDOWN(W161/HLOOKUP(D161,Table!$C$3:$D$4,2,0)*8,2)</f>
        <v>0.98</v>
      </c>
      <c r="Z161" s="15">
        <f>Y161</f>
        <v>0.98</v>
      </c>
      <c r="AA161" s="15" t="s">
        <v>21</v>
      </c>
      <c r="AB161" s="19">
        <v>44146</v>
      </c>
      <c r="AC161" s="19">
        <v>44138</v>
      </c>
      <c r="AD161" s="70">
        <v>44146</v>
      </c>
      <c r="AE161" s="19">
        <v>44138</v>
      </c>
      <c r="AF161" s="19">
        <v>44138</v>
      </c>
      <c r="AG161" s="19" t="s">
        <v>130</v>
      </c>
      <c r="AH161" s="91">
        <v>1</v>
      </c>
      <c r="AI161" s="91">
        <v>1</v>
      </c>
      <c r="AJ161" s="91" t="s">
        <v>58</v>
      </c>
      <c r="AK161" s="19" t="s">
        <v>117</v>
      </c>
      <c r="AL161" s="17" t="s">
        <v>58</v>
      </c>
      <c r="AM161" s="17" t="s">
        <v>58</v>
      </c>
      <c r="AN161" s="17" t="s">
        <v>58</v>
      </c>
    </row>
    <row r="162" spans="2:40" x14ac:dyDescent="0.25">
      <c r="B162" s="98">
        <f t="shared" si="39"/>
        <v>103</v>
      </c>
      <c r="C162" s="16">
        <v>20201102</v>
      </c>
      <c r="D162" s="63" t="s">
        <v>2</v>
      </c>
      <c r="E162" s="62" t="s">
        <v>1136</v>
      </c>
      <c r="F162" s="62" t="s">
        <v>58</v>
      </c>
      <c r="G162" s="63">
        <v>1758944</v>
      </c>
      <c r="H162" s="37" t="s">
        <v>58</v>
      </c>
      <c r="I162" s="63" t="s">
        <v>1146</v>
      </c>
      <c r="J162" s="124" t="s">
        <v>58</v>
      </c>
      <c r="K162" s="15" t="s">
        <v>165</v>
      </c>
      <c r="L162" s="15" t="s">
        <v>117</v>
      </c>
      <c r="M162" s="15" t="s">
        <v>1157</v>
      </c>
      <c r="N162" s="63" t="s">
        <v>1160</v>
      </c>
      <c r="O162" s="63">
        <v>1.2</v>
      </c>
      <c r="P162" s="48" t="s">
        <v>1172</v>
      </c>
      <c r="Q162" s="18"/>
      <c r="R162" s="37"/>
      <c r="S162" s="15" t="s">
        <v>143</v>
      </c>
      <c r="T162" s="15" t="s">
        <v>152</v>
      </c>
      <c r="U162" s="15" t="s">
        <v>546</v>
      </c>
      <c r="V162" s="63">
        <v>41</v>
      </c>
      <c r="W162" s="16">
        <f t="shared" si="40"/>
        <v>41</v>
      </c>
      <c r="X162" s="15">
        <f t="shared" si="42"/>
        <v>41</v>
      </c>
      <c r="Y162" s="15">
        <f>ROUNDDOWN(W162/HLOOKUP(D162,Table!$C$3:$D$4,2,0)*8,2)</f>
        <v>2.52</v>
      </c>
      <c r="Z162" s="15">
        <f>Y162</f>
        <v>2.52</v>
      </c>
      <c r="AA162" s="15" t="s">
        <v>21</v>
      </c>
      <c r="AB162" s="19">
        <v>44146</v>
      </c>
      <c r="AC162" s="19">
        <v>44138</v>
      </c>
      <c r="AD162" s="70">
        <v>44146</v>
      </c>
      <c r="AE162" s="19">
        <v>44144</v>
      </c>
      <c r="AF162" s="19">
        <v>44144</v>
      </c>
      <c r="AG162" s="19" t="s">
        <v>131</v>
      </c>
      <c r="AH162" s="91">
        <v>0.93799999999999994</v>
      </c>
      <c r="AI162" s="91">
        <v>0.93799999999999994</v>
      </c>
      <c r="AJ162" s="91">
        <v>0.75</v>
      </c>
      <c r="AK162" s="19" t="s">
        <v>107</v>
      </c>
      <c r="AL162" s="17" t="s">
        <v>58</v>
      </c>
      <c r="AM162" s="17" t="s">
        <v>58</v>
      </c>
      <c r="AN162" s="175" t="s">
        <v>1449</v>
      </c>
    </row>
    <row r="163" spans="2:40" x14ac:dyDescent="0.25">
      <c r="B163" s="98">
        <f t="shared" si="39"/>
        <v>104</v>
      </c>
      <c r="C163" s="16">
        <v>20201102</v>
      </c>
      <c r="D163" s="63" t="s">
        <v>2</v>
      </c>
      <c r="E163" s="62" t="s">
        <v>1136</v>
      </c>
      <c r="F163" s="62" t="s">
        <v>58</v>
      </c>
      <c r="G163" s="63">
        <v>1758944</v>
      </c>
      <c r="H163" s="37" t="s">
        <v>58</v>
      </c>
      <c r="I163" s="63" t="s">
        <v>1147</v>
      </c>
      <c r="J163" s="124" t="s">
        <v>58</v>
      </c>
      <c r="K163" s="15" t="s">
        <v>165</v>
      </c>
      <c r="L163" s="15" t="s">
        <v>117</v>
      </c>
      <c r="M163" s="15" t="s">
        <v>1157</v>
      </c>
      <c r="N163" s="63" t="s">
        <v>1160</v>
      </c>
      <c r="O163" s="62" t="s">
        <v>1165</v>
      </c>
      <c r="P163" s="48" t="s">
        <v>1172</v>
      </c>
      <c r="Q163" s="18"/>
      <c r="R163" s="37"/>
      <c r="S163" s="15" t="s">
        <v>141</v>
      </c>
      <c r="T163" s="15" t="s">
        <v>64</v>
      </c>
      <c r="U163" s="15" t="s">
        <v>546</v>
      </c>
      <c r="V163" s="63">
        <v>88</v>
      </c>
      <c r="W163" s="16">
        <f t="shared" si="40"/>
        <v>88</v>
      </c>
      <c r="X163" s="15">
        <f t="shared" si="42"/>
        <v>88</v>
      </c>
      <c r="Y163" s="15">
        <f>ROUNDDOWN(W163/HLOOKUP(D163,Table!$C$3:$D$4,2,0)*8,2)</f>
        <v>5.41</v>
      </c>
      <c r="Z163" s="15">
        <f>Y163+4</f>
        <v>9.41</v>
      </c>
      <c r="AA163" s="15" t="s">
        <v>21</v>
      </c>
      <c r="AB163" s="19">
        <v>44146</v>
      </c>
      <c r="AC163" s="19">
        <v>44138</v>
      </c>
      <c r="AD163" s="70">
        <v>44146</v>
      </c>
      <c r="AE163" s="19">
        <v>44136</v>
      </c>
      <c r="AF163" s="19">
        <v>44140</v>
      </c>
      <c r="AG163" s="19" t="s">
        <v>130</v>
      </c>
      <c r="AH163" s="91">
        <v>1</v>
      </c>
      <c r="AI163" s="91">
        <v>1</v>
      </c>
      <c r="AJ163" s="91">
        <v>1</v>
      </c>
      <c r="AK163" s="19" t="s">
        <v>117</v>
      </c>
      <c r="AL163" s="17" t="s">
        <v>58</v>
      </c>
      <c r="AM163" s="17" t="s">
        <v>58</v>
      </c>
      <c r="AN163" s="17" t="s">
        <v>1233</v>
      </c>
    </row>
    <row r="164" spans="2:40" x14ac:dyDescent="0.25">
      <c r="B164" s="98">
        <f t="shared" si="39"/>
        <v>105</v>
      </c>
      <c r="C164" s="16">
        <v>20201102</v>
      </c>
      <c r="D164" s="63" t="s">
        <v>2</v>
      </c>
      <c r="E164" s="62" t="s">
        <v>1136</v>
      </c>
      <c r="F164" s="62" t="s">
        <v>58</v>
      </c>
      <c r="G164" s="63">
        <v>1758944</v>
      </c>
      <c r="H164" s="37" t="s">
        <v>58</v>
      </c>
      <c r="I164" s="63" t="s">
        <v>1148</v>
      </c>
      <c r="J164" s="124" t="s">
        <v>58</v>
      </c>
      <c r="K164" s="15" t="s">
        <v>165</v>
      </c>
      <c r="L164" s="15" t="s">
        <v>117</v>
      </c>
      <c r="M164" s="15" t="s">
        <v>1157</v>
      </c>
      <c r="N164" s="63" t="s">
        <v>1160</v>
      </c>
      <c r="O164" s="62" t="s">
        <v>1166</v>
      </c>
      <c r="P164" s="48" t="s">
        <v>1172</v>
      </c>
      <c r="Q164" s="18"/>
      <c r="R164" s="37"/>
      <c r="S164" s="15" t="s">
        <v>143</v>
      </c>
      <c r="T164" s="15" t="s">
        <v>152</v>
      </c>
      <c r="U164" s="15" t="s">
        <v>546</v>
      </c>
      <c r="V164" s="63">
        <v>28</v>
      </c>
      <c r="W164" s="16">
        <f t="shared" si="40"/>
        <v>28</v>
      </c>
      <c r="X164" s="15">
        <f t="shared" si="42"/>
        <v>28</v>
      </c>
      <c r="Y164" s="15">
        <f>ROUNDDOWN(W164/HLOOKUP(D164,Table!$C$3:$D$4,2,0)*8,2)</f>
        <v>1.72</v>
      </c>
      <c r="Z164" s="15">
        <f>2</f>
        <v>2</v>
      </c>
      <c r="AA164" s="15" t="s">
        <v>21</v>
      </c>
      <c r="AB164" s="19">
        <v>44146</v>
      </c>
      <c r="AC164" s="19">
        <v>44138</v>
      </c>
      <c r="AD164" s="70">
        <v>44146</v>
      </c>
      <c r="AE164" s="19">
        <v>44144</v>
      </c>
      <c r="AF164" s="19">
        <v>44144</v>
      </c>
      <c r="AG164" s="19" t="s">
        <v>130</v>
      </c>
      <c r="AH164" s="91">
        <v>1</v>
      </c>
      <c r="AI164" s="91">
        <v>1</v>
      </c>
      <c r="AJ164" s="91">
        <v>1</v>
      </c>
      <c r="AK164" s="19" t="s">
        <v>117</v>
      </c>
      <c r="AL164" s="17" t="s">
        <v>58</v>
      </c>
      <c r="AM164" s="17" t="s">
        <v>58</v>
      </c>
      <c r="AN164" s="17" t="s">
        <v>58</v>
      </c>
    </row>
    <row r="165" spans="2:40" x14ac:dyDescent="0.25">
      <c r="B165" s="98">
        <f t="shared" si="39"/>
        <v>106</v>
      </c>
      <c r="C165" s="16">
        <v>20201102</v>
      </c>
      <c r="D165" s="63" t="s">
        <v>2</v>
      </c>
      <c r="E165" s="62" t="s">
        <v>1136</v>
      </c>
      <c r="F165" s="62" t="s">
        <v>58</v>
      </c>
      <c r="G165" s="63">
        <v>1758944</v>
      </c>
      <c r="H165" s="37" t="s">
        <v>58</v>
      </c>
      <c r="I165" s="63" t="s">
        <v>923</v>
      </c>
      <c r="J165" s="124" t="s">
        <v>58</v>
      </c>
      <c r="K165" s="15" t="s">
        <v>165</v>
      </c>
      <c r="L165" s="15" t="s">
        <v>117</v>
      </c>
      <c r="M165" s="15" t="s">
        <v>1157</v>
      </c>
      <c r="N165" s="63" t="s">
        <v>1161</v>
      </c>
      <c r="O165" s="62" t="s">
        <v>1167</v>
      </c>
      <c r="P165" s="48" t="s">
        <v>1172</v>
      </c>
      <c r="Q165" s="18"/>
      <c r="R165" s="37"/>
      <c r="S165" s="15" t="s">
        <v>143</v>
      </c>
      <c r="T165" s="15" t="s">
        <v>152</v>
      </c>
      <c r="U165" s="15" t="s">
        <v>546</v>
      </c>
      <c r="V165" s="63">
        <v>65</v>
      </c>
      <c r="W165" s="16">
        <f t="shared" si="40"/>
        <v>65</v>
      </c>
      <c r="X165" s="15">
        <f t="shared" si="42"/>
        <v>65</v>
      </c>
      <c r="Y165" s="15">
        <f>ROUNDDOWN(W165/HLOOKUP(D165,Table!$C$3:$D$4,2,0)*8,2)</f>
        <v>4</v>
      </c>
      <c r="Z165" s="15">
        <v>5</v>
      </c>
      <c r="AA165" s="15" t="s">
        <v>21</v>
      </c>
      <c r="AB165" s="19">
        <v>44146</v>
      </c>
      <c r="AC165" s="19">
        <v>44138</v>
      </c>
      <c r="AD165" s="70">
        <v>44146</v>
      </c>
      <c r="AE165" s="19">
        <v>44145</v>
      </c>
      <c r="AF165" s="19">
        <v>44145</v>
      </c>
      <c r="AG165" s="19" t="s">
        <v>131</v>
      </c>
      <c r="AH165" s="91">
        <v>0.81200000000000006</v>
      </c>
      <c r="AI165" s="91">
        <v>0.84699999999999998</v>
      </c>
      <c r="AJ165" s="91">
        <v>1</v>
      </c>
      <c r="AK165" s="19" t="s">
        <v>107</v>
      </c>
      <c r="AL165" s="17" t="s">
        <v>58</v>
      </c>
      <c r="AM165" s="17" t="s">
        <v>58</v>
      </c>
      <c r="AN165" s="175" t="s">
        <v>1448</v>
      </c>
    </row>
    <row r="166" spans="2:40" x14ac:dyDescent="0.25">
      <c r="B166" s="98">
        <f t="shared" si="39"/>
        <v>107</v>
      </c>
      <c r="C166" s="16">
        <v>20201102</v>
      </c>
      <c r="D166" s="63" t="s">
        <v>2</v>
      </c>
      <c r="E166" s="62" t="s">
        <v>1136</v>
      </c>
      <c r="F166" s="62" t="s">
        <v>58</v>
      </c>
      <c r="G166" s="63">
        <v>1758944</v>
      </c>
      <c r="H166" s="37" t="s">
        <v>58</v>
      </c>
      <c r="I166" s="63" t="s">
        <v>1149</v>
      </c>
      <c r="J166" s="124" t="s">
        <v>58</v>
      </c>
      <c r="K166" s="15" t="s">
        <v>165</v>
      </c>
      <c r="L166" s="15" t="s">
        <v>117</v>
      </c>
      <c r="M166" s="15" t="s">
        <v>1157</v>
      </c>
      <c r="N166" s="63" t="s">
        <v>1161</v>
      </c>
      <c r="O166" s="62" t="s">
        <v>203</v>
      </c>
      <c r="P166" s="48" t="s">
        <v>1172</v>
      </c>
      <c r="Q166" s="18"/>
      <c r="R166" s="37"/>
      <c r="S166" s="15" t="s">
        <v>142</v>
      </c>
      <c r="T166" s="15" t="s">
        <v>141</v>
      </c>
      <c r="U166" s="15" t="s">
        <v>546</v>
      </c>
      <c r="V166" s="63">
        <v>32</v>
      </c>
      <c r="W166" s="16">
        <f t="shared" si="40"/>
        <v>32</v>
      </c>
      <c r="X166" s="15">
        <f t="shared" ref="X166:X172" si="43">W166</f>
        <v>32</v>
      </c>
      <c r="Y166" s="15">
        <f>ROUNDDOWN(W166/HLOOKUP(D166,Table!$C$3:$D$4,2,0)*8,2)</f>
        <v>1.96</v>
      </c>
      <c r="Z166" s="15">
        <v>2</v>
      </c>
      <c r="AA166" s="15" t="s">
        <v>21</v>
      </c>
      <c r="AB166" s="19">
        <v>44146</v>
      </c>
      <c r="AC166" s="19">
        <v>44138</v>
      </c>
      <c r="AD166" s="70">
        <v>44146</v>
      </c>
      <c r="AE166" s="19">
        <v>44138</v>
      </c>
      <c r="AF166" s="19">
        <v>44138</v>
      </c>
      <c r="AG166" s="19" t="s">
        <v>131</v>
      </c>
      <c r="AH166" s="91">
        <v>1</v>
      </c>
      <c r="AI166" s="91">
        <v>0.85699999999999998</v>
      </c>
      <c r="AJ166" s="91" t="s">
        <v>58</v>
      </c>
      <c r="AK166" s="19" t="s">
        <v>107</v>
      </c>
      <c r="AL166" s="17" t="s">
        <v>1175</v>
      </c>
      <c r="AM166" s="17" t="s">
        <v>58</v>
      </c>
      <c r="AN166" s="17" t="s">
        <v>1191</v>
      </c>
    </row>
    <row r="167" spans="2:40" x14ac:dyDescent="0.25">
      <c r="B167" s="98">
        <f t="shared" si="39"/>
        <v>108</v>
      </c>
      <c r="C167" s="16">
        <v>20201102</v>
      </c>
      <c r="D167" s="63" t="s">
        <v>2</v>
      </c>
      <c r="E167" s="62" t="s">
        <v>1137</v>
      </c>
      <c r="F167" s="62" t="s">
        <v>58</v>
      </c>
      <c r="G167" s="63">
        <v>1759484</v>
      </c>
      <c r="H167" s="37" t="s">
        <v>58</v>
      </c>
      <c r="I167" s="63" t="s">
        <v>1150</v>
      </c>
      <c r="J167" s="124" t="s">
        <v>58</v>
      </c>
      <c r="K167" s="15" t="s">
        <v>165</v>
      </c>
      <c r="L167" s="15" t="s">
        <v>117</v>
      </c>
      <c r="M167" s="63" t="s">
        <v>1158</v>
      </c>
      <c r="N167" s="63" t="s">
        <v>1162</v>
      </c>
      <c r="O167" s="62" t="s">
        <v>203</v>
      </c>
      <c r="P167" s="48" t="s">
        <v>1173</v>
      </c>
      <c r="Q167" s="18"/>
      <c r="R167" s="37"/>
      <c r="S167" s="15" t="s">
        <v>143</v>
      </c>
      <c r="T167" s="15" t="s">
        <v>152</v>
      </c>
      <c r="U167" s="15" t="s">
        <v>546</v>
      </c>
      <c r="V167" s="63">
        <v>10</v>
      </c>
      <c r="W167" s="16">
        <f t="shared" si="40"/>
        <v>10</v>
      </c>
      <c r="X167" s="15">
        <f t="shared" si="43"/>
        <v>10</v>
      </c>
      <c r="Y167" s="15">
        <f>ROUNDDOWN(W167/HLOOKUP(D167,Table!$C$3:$D$4,2,0)*8,2)</f>
        <v>0.61</v>
      </c>
      <c r="Z167" s="15">
        <f>1</f>
        <v>1</v>
      </c>
      <c r="AA167" s="15" t="s">
        <v>21</v>
      </c>
      <c r="AB167" s="19">
        <v>44141</v>
      </c>
      <c r="AC167" s="19">
        <v>44138</v>
      </c>
      <c r="AD167" s="70">
        <v>44141</v>
      </c>
      <c r="AE167" s="19">
        <v>44138</v>
      </c>
      <c r="AF167" s="19">
        <v>44138</v>
      </c>
      <c r="AG167" s="19" t="s">
        <v>130</v>
      </c>
      <c r="AH167" s="91">
        <v>1</v>
      </c>
      <c r="AI167" s="91">
        <v>1</v>
      </c>
      <c r="AJ167" s="91" t="s">
        <v>58</v>
      </c>
      <c r="AK167" s="19" t="s">
        <v>117</v>
      </c>
      <c r="AL167" s="17" t="s">
        <v>58</v>
      </c>
      <c r="AM167" s="17" t="s">
        <v>58</v>
      </c>
      <c r="AN167" s="17" t="s">
        <v>58</v>
      </c>
    </row>
    <row r="168" spans="2:40" x14ac:dyDescent="0.25">
      <c r="B168" s="98">
        <f t="shared" si="39"/>
        <v>109</v>
      </c>
      <c r="C168" s="16">
        <v>20201102</v>
      </c>
      <c r="D168" s="63" t="s">
        <v>2</v>
      </c>
      <c r="E168" s="62" t="s">
        <v>1137</v>
      </c>
      <c r="F168" s="62" t="s">
        <v>58</v>
      </c>
      <c r="G168" s="63">
        <v>1759484</v>
      </c>
      <c r="H168" s="37" t="s">
        <v>58</v>
      </c>
      <c r="I168" s="63" t="s">
        <v>1151</v>
      </c>
      <c r="J168" s="124" t="s">
        <v>58</v>
      </c>
      <c r="K168" s="15" t="s">
        <v>165</v>
      </c>
      <c r="L168" s="15" t="s">
        <v>117</v>
      </c>
      <c r="M168" s="15" t="s">
        <v>1158</v>
      </c>
      <c r="N168" s="63" t="s">
        <v>1162</v>
      </c>
      <c r="O168" s="62" t="s">
        <v>1168</v>
      </c>
      <c r="P168" s="48" t="s">
        <v>1173</v>
      </c>
      <c r="Q168" s="18"/>
      <c r="R168" s="37"/>
      <c r="S168" s="15" t="s">
        <v>141</v>
      </c>
      <c r="T168" s="15" t="s">
        <v>64</v>
      </c>
      <c r="U168" s="15" t="s">
        <v>546</v>
      </c>
      <c r="V168" s="63">
        <v>87</v>
      </c>
      <c r="W168" s="16">
        <f t="shared" si="40"/>
        <v>87</v>
      </c>
      <c r="X168" s="15">
        <f t="shared" si="43"/>
        <v>87</v>
      </c>
      <c r="Y168" s="15">
        <f>ROUNDDOWN(W168/HLOOKUP(D168,Table!$C$3:$D$4,2,0)*8,2)</f>
        <v>5.35</v>
      </c>
      <c r="Z168" s="15">
        <f>Y168</f>
        <v>5.35</v>
      </c>
      <c r="AA168" s="15" t="s">
        <v>21</v>
      </c>
      <c r="AB168" s="19">
        <v>44141</v>
      </c>
      <c r="AC168" s="19">
        <v>44138</v>
      </c>
      <c r="AD168" s="70">
        <v>44141</v>
      </c>
      <c r="AE168" s="19">
        <v>44138</v>
      </c>
      <c r="AF168" s="19">
        <v>44138</v>
      </c>
      <c r="AG168" s="19" t="s">
        <v>131</v>
      </c>
      <c r="AH168" s="91">
        <v>1</v>
      </c>
      <c r="AI168" s="91">
        <v>1</v>
      </c>
      <c r="AJ168" s="91">
        <v>0.95</v>
      </c>
      <c r="AK168" s="19" t="s">
        <v>107</v>
      </c>
      <c r="AL168" s="17" t="s">
        <v>1192</v>
      </c>
      <c r="AM168" s="17" t="s">
        <v>58</v>
      </c>
      <c r="AN168" s="17" t="s">
        <v>1201</v>
      </c>
    </row>
    <row r="169" spans="2:40" x14ac:dyDescent="0.25">
      <c r="B169" s="98">
        <f t="shared" si="39"/>
        <v>110</v>
      </c>
      <c r="C169" s="16">
        <v>20201102</v>
      </c>
      <c r="D169" s="63" t="s">
        <v>2</v>
      </c>
      <c r="E169" s="62" t="s">
        <v>1137</v>
      </c>
      <c r="F169" s="62" t="s">
        <v>58</v>
      </c>
      <c r="G169" s="63">
        <v>1759484</v>
      </c>
      <c r="H169" s="37" t="s">
        <v>58</v>
      </c>
      <c r="I169" s="63" t="s">
        <v>1152</v>
      </c>
      <c r="J169" s="124" t="s">
        <v>58</v>
      </c>
      <c r="K169" s="15" t="s">
        <v>165</v>
      </c>
      <c r="L169" s="15" t="s">
        <v>117</v>
      </c>
      <c r="M169" s="15" t="s">
        <v>1158</v>
      </c>
      <c r="N169" s="63" t="s">
        <v>1163</v>
      </c>
      <c r="O169" s="62" t="s">
        <v>1169</v>
      </c>
      <c r="P169" s="48" t="s">
        <v>1173</v>
      </c>
      <c r="Q169" s="18"/>
      <c r="R169" s="37"/>
      <c r="S169" s="15" t="s">
        <v>64</v>
      </c>
      <c r="T169" s="15" t="s">
        <v>143</v>
      </c>
      <c r="U169" s="15" t="s">
        <v>546</v>
      </c>
      <c r="V169" s="63">
        <v>57</v>
      </c>
      <c r="W169" s="16">
        <f t="shared" si="40"/>
        <v>57</v>
      </c>
      <c r="X169" s="15">
        <f t="shared" si="43"/>
        <v>57</v>
      </c>
      <c r="Y169" s="15">
        <f>ROUNDDOWN(W169/HLOOKUP(D169,Table!$C$3:$D$4,2,0)*8,2)</f>
        <v>3.5</v>
      </c>
      <c r="Z169" s="15">
        <v>4</v>
      </c>
      <c r="AA169" s="15" t="s">
        <v>21</v>
      </c>
      <c r="AB169" s="19">
        <v>44141</v>
      </c>
      <c r="AC169" s="19">
        <v>44138</v>
      </c>
      <c r="AD169" s="70">
        <v>44141</v>
      </c>
      <c r="AE169" s="19">
        <v>44138</v>
      </c>
      <c r="AF169" s="19">
        <v>44138</v>
      </c>
      <c r="AG169" s="19" t="s">
        <v>130</v>
      </c>
      <c r="AH169" s="91">
        <v>1</v>
      </c>
      <c r="AI169" s="91">
        <v>1</v>
      </c>
      <c r="AJ169" s="91">
        <v>1</v>
      </c>
      <c r="AK169" s="19" t="s">
        <v>117</v>
      </c>
      <c r="AL169" s="17" t="s">
        <v>58</v>
      </c>
      <c r="AM169" s="17" t="s">
        <v>58</v>
      </c>
      <c r="AN169" s="17" t="s">
        <v>58</v>
      </c>
    </row>
    <row r="170" spans="2:40" x14ac:dyDescent="0.25">
      <c r="B170" s="98">
        <f t="shared" si="39"/>
        <v>111</v>
      </c>
      <c r="C170" s="16">
        <v>20201102</v>
      </c>
      <c r="D170" s="63" t="s">
        <v>2</v>
      </c>
      <c r="E170" s="62" t="s">
        <v>1137</v>
      </c>
      <c r="F170" s="62" t="s">
        <v>58</v>
      </c>
      <c r="G170" s="63">
        <v>1759523</v>
      </c>
      <c r="H170" s="37" t="s">
        <v>58</v>
      </c>
      <c r="I170" s="63" t="s">
        <v>1153</v>
      </c>
      <c r="J170" s="124" t="s">
        <v>58</v>
      </c>
      <c r="K170" s="15" t="s">
        <v>165</v>
      </c>
      <c r="L170" s="15" t="s">
        <v>117</v>
      </c>
      <c r="M170" s="15" t="s">
        <v>1158</v>
      </c>
      <c r="N170" s="63" t="s">
        <v>1163</v>
      </c>
      <c r="O170" s="62" t="s">
        <v>203</v>
      </c>
      <c r="P170" s="48" t="s">
        <v>1173</v>
      </c>
      <c r="Q170" s="18"/>
      <c r="R170" s="37"/>
      <c r="S170" s="15" t="s">
        <v>142</v>
      </c>
      <c r="T170" s="15" t="s">
        <v>141</v>
      </c>
      <c r="U170" s="15" t="s">
        <v>546</v>
      </c>
      <c r="V170" s="63">
        <v>18</v>
      </c>
      <c r="W170" s="16">
        <f t="shared" si="40"/>
        <v>18</v>
      </c>
      <c r="X170" s="15">
        <f t="shared" si="43"/>
        <v>18</v>
      </c>
      <c r="Y170" s="15">
        <f>ROUNDDOWN(W170/HLOOKUP(D170,Table!$C$3:$D$4,2,0)*8,2)</f>
        <v>1.1000000000000001</v>
      </c>
      <c r="Z170" s="15">
        <v>2</v>
      </c>
      <c r="AA170" s="15" t="s">
        <v>21</v>
      </c>
      <c r="AB170" s="19">
        <v>44141</v>
      </c>
      <c r="AC170" s="19">
        <v>44138</v>
      </c>
      <c r="AD170" s="70">
        <v>44141</v>
      </c>
      <c r="AE170" s="19">
        <v>44138</v>
      </c>
      <c r="AF170" s="19">
        <v>44138</v>
      </c>
      <c r="AG170" s="19" t="s">
        <v>130</v>
      </c>
      <c r="AH170" s="91">
        <v>1</v>
      </c>
      <c r="AI170" s="91">
        <v>1</v>
      </c>
      <c r="AJ170" s="91">
        <v>1</v>
      </c>
      <c r="AK170" s="19" t="s">
        <v>117</v>
      </c>
      <c r="AL170" s="17" t="s">
        <v>58</v>
      </c>
      <c r="AM170" s="17" t="s">
        <v>58</v>
      </c>
      <c r="AN170" s="17" t="s">
        <v>58</v>
      </c>
    </row>
    <row r="171" spans="2:40" ht="60" x14ac:dyDescent="0.25">
      <c r="B171" s="98">
        <f t="shared" si="39"/>
        <v>112</v>
      </c>
      <c r="C171" s="16">
        <v>20201102</v>
      </c>
      <c r="D171" s="63" t="s">
        <v>2</v>
      </c>
      <c r="E171" s="62" t="s">
        <v>1137</v>
      </c>
      <c r="F171" s="62" t="s">
        <v>58</v>
      </c>
      <c r="G171" s="63">
        <v>1759523</v>
      </c>
      <c r="H171" s="37" t="s">
        <v>58</v>
      </c>
      <c r="I171" s="63" t="s">
        <v>1154</v>
      </c>
      <c r="J171" s="124" t="s">
        <v>58</v>
      </c>
      <c r="K171" s="15" t="s">
        <v>165</v>
      </c>
      <c r="L171" s="15" t="s">
        <v>117</v>
      </c>
      <c r="M171" s="15" t="s">
        <v>1158</v>
      </c>
      <c r="N171" s="63" t="s">
        <v>1163</v>
      </c>
      <c r="O171" s="62" t="s">
        <v>203</v>
      </c>
      <c r="P171" s="48" t="s">
        <v>1173</v>
      </c>
      <c r="Q171" s="18"/>
      <c r="R171" s="37"/>
      <c r="S171" s="15" t="s">
        <v>64</v>
      </c>
      <c r="T171" s="15" t="s">
        <v>143</v>
      </c>
      <c r="U171" s="15" t="s">
        <v>546</v>
      </c>
      <c r="V171" s="63">
        <v>37</v>
      </c>
      <c r="W171" s="16">
        <f t="shared" si="40"/>
        <v>37</v>
      </c>
      <c r="X171" s="15">
        <f t="shared" si="43"/>
        <v>37</v>
      </c>
      <c r="Y171" s="15">
        <f>ROUNDDOWN(W171/HLOOKUP(D171,Table!$C$3:$D$4,2,0)*8,2)</f>
        <v>2.27</v>
      </c>
      <c r="Z171" s="15">
        <v>4</v>
      </c>
      <c r="AA171" s="16" t="s">
        <v>21</v>
      </c>
      <c r="AB171" s="19">
        <v>44141</v>
      </c>
      <c r="AC171" s="19">
        <v>44138</v>
      </c>
      <c r="AD171" s="70">
        <v>44141</v>
      </c>
      <c r="AE171" s="19">
        <v>44138</v>
      </c>
      <c r="AF171" s="19">
        <v>44138</v>
      </c>
      <c r="AG171" s="19" t="s">
        <v>131</v>
      </c>
      <c r="AH171" s="91">
        <v>0.84599999999999997</v>
      </c>
      <c r="AI171" s="91">
        <v>0.86699999999999999</v>
      </c>
      <c r="AJ171" s="91" t="s">
        <v>58</v>
      </c>
      <c r="AK171" s="19" t="s">
        <v>107</v>
      </c>
      <c r="AL171" s="17" t="s">
        <v>58</v>
      </c>
      <c r="AM171" s="17" t="s">
        <v>58</v>
      </c>
      <c r="AN171" s="136" t="s">
        <v>1200</v>
      </c>
    </row>
    <row r="172" spans="2:40" x14ac:dyDescent="0.25">
      <c r="B172" s="98">
        <f t="shared" si="39"/>
        <v>113</v>
      </c>
      <c r="C172" s="16">
        <v>20201102</v>
      </c>
      <c r="D172" s="63" t="s">
        <v>2</v>
      </c>
      <c r="E172" s="62" t="s">
        <v>1137</v>
      </c>
      <c r="F172" s="62" t="s">
        <v>58</v>
      </c>
      <c r="G172" s="63">
        <v>1759523</v>
      </c>
      <c r="H172" s="37" t="s">
        <v>58</v>
      </c>
      <c r="I172" s="63" t="s">
        <v>1155</v>
      </c>
      <c r="J172" s="124" t="s">
        <v>58</v>
      </c>
      <c r="K172" s="15" t="s">
        <v>165</v>
      </c>
      <c r="L172" s="15" t="s">
        <v>117</v>
      </c>
      <c r="M172" s="15" t="s">
        <v>1158</v>
      </c>
      <c r="N172" s="63" t="s">
        <v>1163</v>
      </c>
      <c r="O172" s="62" t="s">
        <v>203</v>
      </c>
      <c r="P172" s="48" t="s">
        <v>1173</v>
      </c>
      <c r="Q172" s="18"/>
      <c r="R172" s="37"/>
      <c r="S172" s="15" t="s">
        <v>143</v>
      </c>
      <c r="T172" s="15" t="s">
        <v>152</v>
      </c>
      <c r="U172" s="15" t="s">
        <v>546</v>
      </c>
      <c r="V172" s="63">
        <v>8</v>
      </c>
      <c r="W172" s="16">
        <f t="shared" si="40"/>
        <v>8</v>
      </c>
      <c r="X172" s="15">
        <f t="shared" si="43"/>
        <v>8</v>
      </c>
      <c r="Y172" s="15">
        <f>ROUNDDOWN(W172/HLOOKUP(D172,Table!$C$3:$D$4,2,0)*8,2)</f>
        <v>0.49</v>
      </c>
      <c r="Z172" s="15">
        <f>1</f>
        <v>1</v>
      </c>
      <c r="AA172" s="15" t="s">
        <v>21</v>
      </c>
      <c r="AB172" s="19">
        <v>44141</v>
      </c>
      <c r="AC172" s="19">
        <v>44138</v>
      </c>
      <c r="AD172" s="70">
        <v>44141</v>
      </c>
      <c r="AE172" s="19">
        <v>44138</v>
      </c>
      <c r="AF172" s="19">
        <v>44138</v>
      </c>
      <c r="AG172" s="19" t="s">
        <v>130</v>
      </c>
      <c r="AH172" s="91">
        <v>1</v>
      </c>
      <c r="AI172" s="91">
        <v>1</v>
      </c>
      <c r="AJ172" s="91" t="s">
        <v>58</v>
      </c>
      <c r="AK172" s="19" t="s">
        <v>117</v>
      </c>
      <c r="AL172" s="17" t="s">
        <v>58</v>
      </c>
      <c r="AM172" s="17" t="s">
        <v>58</v>
      </c>
      <c r="AN172" s="17" t="s">
        <v>58</v>
      </c>
    </row>
    <row r="173" spans="2:40" x14ac:dyDescent="0.25">
      <c r="B173" s="180">
        <f t="shared" si="39"/>
        <v>114</v>
      </c>
      <c r="C173" s="16">
        <v>20201104</v>
      </c>
      <c r="D173" s="63" t="s">
        <v>2</v>
      </c>
      <c r="E173" s="62" t="s">
        <v>1209</v>
      </c>
      <c r="F173" s="62" t="s">
        <v>58</v>
      </c>
      <c r="G173" s="63">
        <v>1758628</v>
      </c>
      <c r="H173" s="37" t="s">
        <v>58</v>
      </c>
      <c r="I173" s="63" t="s">
        <v>1211</v>
      </c>
      <c r="J173" s="124" t="s">
        <v>58</v>
      </c>
      <c r="K173" s="15" t="s">
        <v>165</v>
      </c>
      <c r="L173" s="15" t="s">
        <v>117</v>
      </c>
      <c r="M173" s="63" t="s">
        <v>1215</v>
      </c>
      <c r="N173" s="63" t="s">
        <v>925</v>
      </c>
      <c r="O173" s="62" t="s">
        <v>819</v>
      </c>
      <c r="P173" s="185" t="s">
        <v>1219</v>
      </c>
      <c r="Q173" s="18"/>
      <c r="R173" s="37"/>
      <c r="S173" s="15" t="s">
        <v>142</v>
      </c>
      <c r="T173" s="15" t="s">
        <v>141</v>
      </c>
      <c r="U173" s="15" t="s">
        <v>546</v>
      </c>
      <c r="V173" s="63">
        <v>118</v>
      </c>
      <c r="W173" s="16">
        <f t="shared" si="40"/>
        <v>118</v>
      </c>
      <c r="X173" s="15">
        <f t="shared" ref="X173:X181" si="44">W173</f>
        <v>118</v>
      </c>
      <c r="Y173" s="15">
        <f>ROUNDDOWN(W173/HLOOKUP(D173,Table!$C$3:$D$4,2,0)*8,2)</f>
        <v>7.26</v>
      </c>
      <c r="Z173" s="15">
        <v>6</v>
      </c>
      <c r="AA173" s="15" t="s">
        <v>21</v>
      </c>
      <c r="AB173" s="19">
        <v>44141</v>
      </c>
      <c r="AC173" s="19">
        <v>44140</v>
      </c>
      <c r="AD173" s="70">
        <v>44141</v>
      </c>
      <c r="AE173" s="19">
        <v>44140</v>
      </c>
      <c r="AF173" s="19">
        <v>44140</v>
      </c>
      <c r="AG173" s="19" t="s">
        <v>130</v>
      </c>
      <c r="AH173" s="91">
        <v>1</v>
      </c>
      <c r="AI173" s="91">
        <v>1</v>
      </c>
      <c r="AJ173" s="91">
        <v>1</v>
      </c>
      <c r="AK173" s="19" t="s">
        <v>117</v>
      </c>
      <c r="AL173" s="17" t="s">
        <v>58</v>
      </c>
      <c r="AM173" s="17" t="s">
        <v>58</v>
      </c>
      <c r="AN173" s="17" t="s">
        <v>58</v>
      </c>
    </row>
    <row r="174" spans="2:40" x14ac:dyDescent="0.25">
      <c r="B174" s="180">
        <f t="shared" si="39"/>
        <v>115</v>
      </c>
      <c r="C174" s="16">
        <v>20201104</v>
      </c>
      <c r="D174" s="63" t="s">
        <v>2</v>
      </c>
      <c r="E174" s="62" t="s">
        <v>1209</v>
      </c>
      <c r="F174" s="62" t="s">
        <v>58</v>
      </c>
      <c r="G174" s="63">
        <v>1758628</v>
      </c>
      <c r="H174" s="37" t="s">
        <v>58</v>
      </c>
      <c r="I174" s="63" t="s">
        <v>1212</v>
      </c>
      <c r="J174" s="124" t="s">
        <v>58</v>
      </c>
      <c r="K174" s="15" t="s">
        <v>165</v>
      </c>
      <c r="L174" s="15" t="s">
        <v>117</v>
      </c>
      <c r="M174" s="63" t="s">
        <v>1215</v>
      </c>
      <c r="N174" s="63" t="s">
        <v>925</v>
      </c>
      <c r="O174" s="62" t="s">
        <v>1221</v>
      </c>
      <c r="P174" s="185" t="s">
        <v>1219</v>
      </c>
      <c r="Q174" s="18"/>
      <c r="R174" s="37"/>
      <c r="S174" s="15" t="s">
        <v>143</v>
      </c>
      <c r="T174" s="15" t="s">
        <v>152</v>
      </c>
      <c r="U174" s="15" t="s">
        <v>546</v>
      </c>
      <c r="V174" s="63">
        <v>22</v>
      </c>
      <c r="W174" s="16">
        <f t="shared" si="40"/>
        <v>22</v>
      </c>
      <c r="X174" s="15">
        <f t="shared" si="44"/>
        <v>22</v>
      </c>
      <c r="Y174" s="15">
        <f>ROUNDDOWN(W174/HLOOKUP(D174,Table!$C$3:$D$4,2,0)*8,2)</f>
        <v>1.35</v>
      </c>
      <c r="Z174" s="15">
        <v>4</v>
      </c>
      <c r="AA174" s="15" t="s">
        <v>21</v>
      </c>
      <c r="AB174" s="19">
        <v>44141</v>
      </c>
      <c r="AC174" s="19">
        <v>44140</v>
      </c>
      <c r="AD174" s="70">
        <v>44141</v>
      </c>
      <c r="AE174" s="19">
        <v>44141</v>
      </c>
      <c r="AF174" s="19">
        <v>44141</v>
      </c>
      <c r="AG174" s="19" t="s">
        <v>131</v>
      </c>
      <c r="AH174" s="91">
        <v>1</v>
      </c>
      <c r="AI174" s="91">
        <v>1</v>
      </c>
      <c r="AJ174" s="91">
        <v>0.93799999999999994</v>
      </c>
      <c r="AK174" s="19" t="s">
        <v>107</v>
      </c>
      <c r="AL174" s="17" t="s">
        <v>58</v>
      </c>
      <c r="AM174" s="17" t="s">
        <v>58</v>
      </c>
      <c r="AN174" s="175" t="s">
        <v>1241</v>
      </c>
    </row>
    <row r="175" spans="2:40" ht="45" x14ac:dyDescent="0.25">
      <c r="B175" s="180">
        <f t="shared" si="39"/>
        <v>116</v>
      </c>
      <c r="C175" s="16">
        <v>20201104</v>
      </c>
      <c r="D175" s="63" t="s">
        <v>2</v>
      </c>
      <c r="E175" s="62" t="s">
        <v>1210</v>
      </c>
      <c r="F175" s="62" t="s">
        <v>58</v>
      </c>
      <c r="G175" s="63">
        <v>1761975</v>
      </c>
      <c r="H175" s="37" t="s">
        <v>58</v>
      </c>
      <c r="I175" s="63" t="s">
        <v>1213</v>
      </c>
      <c r="J175" s="124" t="s">
        <v>58</v>
      </c>
      <c r="K175" s="15" t="s">
        <v>165</v>
      </c>
      <c r="L175" s="15" t="s">
        <v>117</v>
      </c>
      <c r="M175" s="63" t="s">
        <v>1216</v>
      </c>
      <c r="N175" s="63" t="s">
        <v>1217</v>
      </c>
      <c r="O175" s="62" t="s">
        <v>184</v>
      </c>
      <c r="P175" s="185" t="s">
        <v>1220</v>
      </c>
      <c r="Q175" s="18"/>
      <c r="R175" s="37"/>
      <c r="S175" s="15" t="s">
        <v>64</v>
      </c>
      <c r="T175" s="15" t="s">
        <v>143</v>
      </c>
      <c r="U175" s="15" t="s">
        <v>546</v>
      </c>
      <c r="V175" s="63">
        <v>33</v>
      </c>
      <c r="W175" s="16">
        <f t="shared" si="40"/>
        <v>33</v>
      </c>
      <c r="X175" s="15">
        <f t="shared" si="44"/>
        <v>33</v>
      </c>
      <c r="Y175" s="15">
        <f>ROUNDDOWN(W175/HLOOKUP(D175,Table!$C$3:$D$4,2,0)*8,2)</f>
        <v>2.0299999999999998</v>
      </c>
      <c r="Z175" s="15">
        <v>5</v>
      </c>
      <c r="AA175" s="15" t="s">
        <v>21</v>
      </c>
      <c r="AB175" s="19">
        <v>44140</v>
      </c>
      <c r="AC175" s="19">
        <v>44139</v>
      </c>
      <c r="AD175" s="70">
        <v>44140</v>
      </c>
      <c r="AE175" s="19">
        <v>44140</v>
      </c>
      <c r="AF175" s="19">
        <v>44140</v>
      </c>
      <c r="AG175" s="19" t="s">
        <v>131</v>
      </c>
      <c r="AH175" s="91">
        <v>0.94099999999999995</v>
      </c>
      <c r="AI175" s="91">
        <v>0.94699999999999995</v>
      </c>
      <c r="AJ175" s="91">
        <v>1</v>
      </c>
      <c r="AK175" s="19" t="s">
        <v>107</v>
      </c>
      <c r="AL175" s="17" t="s">
        <v>1236</v>
      </c>
      <c r="AM175" s="17" t="s">
        <v>58</v>
      </c>
      <c r="AN175" s="136" t="s">
        <v>1234</v>
      </c>
    </row>
    <row r="176" spans="2:40" ht="45" x14ac:dyDescent="0.25">
      <c r="B176" s="180">
        <f t="shared" si="39"/>
        <v>117</v>
      </c>
      <c r="C176" s="16">
        <v>20201104</v>
      </c>
      <c r="D176" s="63" t="s">
        <v>2</v>
      </c>
      <c r="E176" s="62" t="s">
        <v>1210</v>
      </c>
      <c r="F176" s="62" t="s">
        <v>58</v>
      </c>
      <c r="G176" s="63">
        <v>1761962</v>
      </c>
      <c r="H176" s="37" t="s">
        <v>58</v>
      </c>
      <c r="I176" s="63" t="s">
        <v>1214</v>
      </c>
      <c r="J176" s="124" t="s">
        <v>58</v>
      </c>
      <c r="K176" s="15" t="s">
        <v>165</v>
      </c>
      <c r="L176" s="15" t="s">
        <v>117</v>
      </c>
      <c r="M176" s="63" t="s">
        <v>1216</v>
      </c>
      <c r="N176" s="63" t="s">
        <v>1218</v>
      </c>
      <c r="O176" s="62" t="s">
        <v>184</v>
      </c>
      <c r="P176" s="185" t="s">
        <v>1220</v>
      </c>
      <c r="Q176" s="18"/>
      <c r="R176" s="37"/>
      <c r="S176" s="15" t="s">
        <v>141</v>
      </c>
      <c r="T176" s="15" t="s">
        <v>64</v>
      </c>
      <c r="U176" s="15" t="s">
        <v>546</v>
      </c>
      <c r="V176" s="63">
        <v>11</v>
      </c>
      <c r="W176" s="16">
        <f t="shared" si="40"/>
        <v>11</v>
      </c>
      <c r="X176" s="15">
        <f t="shared" si="44"/>
        <v>11</v>
      </c>
      <c r="Y176" s="15">
        <f>ROUNDDOWN(W176/HLOOKUP(D176,Table!$C$3:$D$4,2,0)*8,2)</f>
        <v>0.67</v>
      </c>
      <c r="Z176" s="15">
        <v>3</v>
      </c>
      <c r="AA176" s="15" t="s">
        <v>21</v>
      </c>
      <c r="AB176" s="19">
        <v>44140</v>
      </c>
      <c r="AC176" s="19">
        <v>44139</v>
      </c>
      <c r="AD176" s="70">
        <v>44140</v>
      </c>
      <c r="AE176" s="19">
        <v>44140</v>
      </c>
      <c r="AF176" s="19">
        <v>44140</v>
      </c>
      <c r="AG176" s="19" t="s">
        <v>131</v>
      </c>
      <c r="AH176" s="91">
        <v>0.90900000000000003</v>
      </c>
      <c r="AI176" s="91">
        <v>0.90900000000000003</v>
      </c>
      <c r="AJ176" s="91" t="s">
        <v>58</v>
      </c>
      <c r="AK176" s="19" t="s">
        <v>107</v>
      </c>
      <c r="AL176" s="17" t="s">
        <v>1235</v>
      </c>
      <c r="AM176" s="17" t="s">
        <v>58</v>
      </c>
      <c r="AN176" s="136" t="s">
        <v>1234</v>
      </c>
    </row>
    <row r="177" spans="2:40" x14ac:dyDescent="0.25">
      <c r="B177" s="188">
        <f t="shared" ref="B177:B183" si="45">B176+1</f>
        <v>118</v>
      </c>
      <c r="C177" s="16">
        <v>20201106</v>
      </c>
      <c r="D177" s="63" t="s">
        <v>3</v>
      </c>
      <c r="E177" s="62" t="s">
        <v>913</v>
      </c>
      <c r="F177" s="203" t="s">
        <v>1373</v>
      </c>
      <c r="G177" s="63">
        <v>1766326</v>
      </c>
      <c r="H177" s="37" t="s">
        <v>58</v>
      </c>
      <c r="I177" s="74" t="s">
        <v>1139</v>
      </c>
      <c r="J177" s="124" t="s">
        <v>58</v>
      </c>
      <c r="K177" s="15" t="s">
        <v>167</v>
      </c>
      <c r="L177" s="63" t="s">
        <v>1250</v>
      </c>
      <c r="M177" s="63" t="s">
        <v>914</v>
      </c>
      <c r="N177" s="63" t="s">
        <v>511</v>
      </c>
      <c r="O177" s="62" t="s">
        <v>58</v>
      </c>
      <c r="P177" s="185" t="s">
        <v>508</v>
      </c>
      <c r="Q177" s="18"/>
      <c r="R177" s="37"/>
      <c r="S177" s="15" t="s">
        <v>152</v>
      </c>
      <c r="T177" s="15" t="s">
        <v>142</v>
      </c>
      <c r="U177" s="15" t="s">
        <v>546</v>
      </c>
      <c r="V177" s="63">
        <v>47</v>
      </c>
      <c r="W177" s="146">
        <f>109+109*2</f>
        <v>327</v>
      </c>
      <c r="X177" s="15">
        <f t="shared" si="44"/>
        <v>327</v>
      </c>
      <c r="Y177" s="15">
        <f>ROUNDDOWN(W177/HLOOKUP(D177,Table!$C$3:$D$4,2,0)*8,2)</f>
        <v>5.81</v>
      </c>
      <c r="Z177" s="15">
        <v>4</v>
      </c>
      <c r="AA177" s="16" t="s">
        <v>21</v>
      </c>
      <c r="AB177" s="19">
        <v>44148</v>
      </c>
      <c r="AC177" s="19">
        <v>44144</v>
      </c>
      <c r="AD177" s="70">
        <v>44148</v>
      </c>
      <c r="AE177" s="19">
        <v>44147</v>
      </c>
      <c r="AF177" s="19">
        <v>44147</v>
      </c>
      <c r="AG177" s="19" t="s">
        <v>130</v>
      </c>
      <c r="AH177" s="91">
        <v>1</v>
      </c>
      <c r="AI177" s="91">
        <v>1</v>
      </c>
      <c r="AJ177" s="91">
        <v>1</v>
      </c>
      <c r="AK177" s="19" t="s">
        <v>117</v>
      </c>
      <c r="AL177" s="17" t="s">
        <v>58</v>
      </c>
      <c r="AM177" s="17" t="s">
        <v>58</v>
      </c>
      <c r="AN177" s="17" t="s">
        <v>1486</v>
      </c>
    </row>
    <row r="178" spans="2:40" x14ac:dyDescent="0.25">
      <c r="B178" s="188">
        <f t="shared" si="45"/>
        <v>119</v>
      </c>
      <c r="C178" s="16">
        <v>20201106</v>
      </c>
      <c r="D178" s="63" t="s">
        <v>3</v>
      </c>
      <c r="E178" s="62" t="s">
        <v>913</v>
      </c>
      <c r="F178" s="203" t="s">
        <v>1373</v>
      </c>
      <c r="G178" s="63">
        <v>1766326</v>
      </c>
      <c r="H178" s="37" t="s">
        <v>58</v>
      </c>
      <c r="I178" s="63" t="s">
        <v>961</v>
      </c>
      <c r="J178" s="124" t="s">
        <v>58</v>
      </c>
      <c r="K178" s="15" t="s">
        <v>167</v>
      </c>
      <c r="L178" s="63" t="s">
        <v>1250</v>
      </c>
      <c r="M178" s="63" t="s">
        <v>914</v>
      </c>
      <c r="N178" s="63" t="s">
        <v>511</v>
      </c>
      <c r="O178" s="62" t="s">
        <v>58</v>
      </c>
      <c r="P178" s="185" t="s">
        <v>508</v>
      </c>
      <c r="Q178" s="18"/>
      <c r="R178" s="37"/>
      <c r="S178" s="15" t="s">
        <v>152</v>
      </c>
      <c r="T178" s="15" t="s">
        <v>142</v>
      </c>
      <c r="U178" s="15" t="s">
        <v>546</v>
      </c>
      <c r="V178" s="63">
        <v>6</v>
      </c>
      <c r="W178" s="146">
        <v>0</v>
      </c>
      <c r="X178" s="15">
        <f t="shared" si="44"/>
        <v>0</v>
      </c>
      <c r="Y178" s="15">
        <f>ROUNDDOWN(W178/HLOOKUP(D178,Table!$C$3:$D$4,2,0)*8,2)</f>
        <v>0</v>
      </c>
      <c r="Z178" s="15">
        <v>0</v>
      </c>
      <c r="AA178" s="16" t="s">
        <v>21</v>
      </c>
      <c r="AB178" s="19">
        <v>44148</v>
      </c>
      <c r="AC178" s="19">
        <v>44144</v>
      </c>
      <c r="AD178" s="70">
        <v>44148</v>
      </c>
      <c r="AE178" s="19">
        <v>44147</v>
      </c>
      <c r="AF178" s="19">
        <v>44147</v>
      </c>
      <c r="AG178" s="19" t="s">
        <v>130</v>
      </c>
      <c r="AH178" s="91" t="s">
        <v>58</v>
      </c>
      <c r="AI178" s="91" t="s">
        <v>58</v>
      </c>
      <c r="AJ178" s="91" t="s">
        <v>58</v>
      </c>
      <c r="AK178" s="19"/>
      <c r="AL178" s="17" t="s">
        <v>58</v>
      </c>
      <c r="AM178" s="17" t="s">
        <v>58</v>
      </c>
      <c r="AN178" s="109" t="s">
        <v>481</v>
      </c>
    </row>
    <row r="179" spans="2:40" x14ac:dyDescent="0.25">
      <c r="B179" s="188">
        <f t="shared" si="45"/>
        <v>120</v>
      </c>
      <c r="C179" s="16">
        <v>20201106</v>
      </c>
      <c r="D179" s="63" t="s">
        <v>3</v>
      </c>
      <c r="E179" s="62" t="s">
        <v>913</v>
      </c>
      <c r="F179" s="196" t="s">
        <v>1481</v>
      </c>
      <c r="G179" s="63">
        <v>1766326</v>
      </c>
      <c r="H179" s="37" t="s">
        <v>58</v>
      </c>
      <c r="I179" s="74" t="s">
        <v>550</v>
      </c>
      <c r="J179" s="124" t="s">
        <v>58</v>
      </c>
      <c r="K179" s="15" t="s">
        <v>167</v>
      </c>
      <c r="L179" s="63" t="s">
        <v>1250</v>
      </c>
      <c r="M179" s="63" t="s">
        <v>914</v>
      </c>
      <c r="N179" s="63" t="s">
        <v>511</v>
      </c>
      <c r="O179" s="62" t="s">
        <v>58</v>
      </c>
      <c r="P179" s="189" t="s">
        <v>508</v>
      </c>
      <c r="Q179" s="18"/>
      <c r="R179" s="37"/>
      <c r="S179" s="15" t="s">
        <v>152</v>
      </c>
      <c r="T179" s="15" t="s">
        <v>142</v>
      </c>
      <c r="U179" s="15" t="s">
        <v>546</v>
      </c>
      <c r="V179" s="63">
        <v>250</v>
      </c>
      <c r="W179" s="146">
        <f>V179+250*2</f>
        <v>750</v>
      </c>
      <c r="X179" s="15">
        <f t="shared" si="44"/>
        <v>750</v>
      </c>
      <c r="Y179" s="15">
        <f>ROUNDDOWN(W179/HLOOKUP(D179,Table!$C$3:$D$4,2,0)*8,2)</f>
        <v>13.33</v>
      </c>
      <c r="Z179" s="15">
        <v>8</v>
      </c>
      <c r="AA179" s="16" t="s">
        <v>21</v>
      </c>
      <c r="AB179" s="19">
        <v>44148</v>
      </c>
      <c r="AC179" s="19">
        <v>44144</v>
      </c>
      <c r="AD179" s="70">
        <v>44148</v>
      </c>
      <c r="AE179" s="19">
        <v>44148</v>
      </c>
      <c r="AF179" s="19">
        <v>44148</v>
      </c>
      <c r="AG179" s="19" t="s">
        <v>130</v>
      </c>
      <c r="AH179" s="91">
        <v>1</v>
      </c>
      <c r="AI179" s="91">
        <v>1</v>
      </c>
      <c r="AJ179" s="91">
        <v>1</v>
      </c>
      <c r="AK179" s="19" t="s">
        <v>117</v>
      </c>
      <c r="AL179" s="17" t="s">
        <v>58</v>
      </c>
      <c r="AM179" s="17" t="s">
        <v>58</v>
      </c>
      <c r="AN179" s="17" t="s">
        <v>1486</v>
      </c>
    </row>
    <row r="180" spans="2:40" ht="60" x14ac:dyDescent="0.25">
      <c r="B180" s="188">
        <f t="shared" si="45"/>
        <v>121</v>
      </c>
      <c r="C180" s="16">
        <v>20201106</v>
      </c>
      <c r="D180" s="63" t="s">
        <v>3</v>
      </c>
      <c r="E180" s="62" t="s">
        <v>1246</v>
      </c>
      <c r="F180" s="196" t="s">
        <v>1354</v>
      </c>
      <c r="G180" s="63">
        <v>1767668</v>
      </c>
      <c r="H180" s="37" t="s">
        <v>58</v>
      </c>
      <c r="I180" s="63" t="s">
        <v>1247</v>
      </c>
      <c r="J180" s="124" t="s">
        <v>58</v>
      </c>
      <c r="K180" s="15" t="s">
        <v>165</v>
      </c>
      <c r="L180" s="63" t="s">
        <v>117</v>
      </c>
      <c r="M180" s="63" t="s">
        <v>1248</v>
      </c>
      <c r="N180" s="63" t="s">
        <v>1249</v>
      </c>
      <c r="O180" s="62" t="s">
        <v>58</v>
      </c>
      <c r="P180" s="185" t="s">
        <v>1251</v>
      </c>
      <c r="Q180" s="18"/>
      <c r="R180" s="37"/>
      <c r="S180" s="15" t="s">
        <v>64</v>
      </c>
      <c r="T180" s="15" t="s">
        <v>143</v>
      </c>
      <c r="U180" s="15" t="s">
        <v>546</v>
      </c>
      <c r="V180" s="63">
        <v>118</v>
      </c>
      <c r="W180" s="146">
        <f>V180*2</f>
        <v>236</v>
      </c>
      <c r="X180" s="15">
        <f t="shared" si="44"/>
        <v>236</v>
      </c>
      <c r="Y180" s="15">
        <f>ROUNDDOWN(W180/HLOOKUP(D180,Table!$C$3:$D$4,2,0)*8,2)</f>
        <v>4.1900000000000004</v>
      </c>
      <c r="Z180" s="15">
        <v>5</v>
      </c>
      <c r="AA180" s="16" t="s">
        <v>21</v>
      </c>
      <c r="AB180" s="19">
        <v>44148</v>
      </c>
      <c r="AC180" s="19">
        <v>44144</v>
      </c>
      <c r="AD180" s="19">
        <v>44148</v>
      </c>
      <c r="AE180" s="19">
        <v>44144</v>
      </c>
      <c r="AF180" s="19">
        <v>44144</v>
      </c>
      <c r="AG180" s="19" t="s">
        <v>130</v>
      </c>
      <c r="AH180" s="91">
        <v>1</v>
      </c>
      <c r="AI180" s="91">
        <v>1</v>
      </c>
      <c r="AJ180" s="91">
        <v>1</v>
      </c>
      <c r="AK180" s="19" t="s">
        <v>116</v>
      </c>
      <c r="AL180" s="17" t="s">
        <v>1351</v>
      </c>
      <c r="AM180" s="17" t="s">
        <v>58</v>
      </c>
      <c r="AN180" s="194" t="s">
        <v>1484</v>
      </c>
    </row>
    <row r="181" spans="2:40" x14ac:dyDescent="0.25">
      <c r="B181" s="188">
        <f t="shared" si="45"/>
        <v>122</v>
      </c>
      <c r="C181" s="16">
        <v>20201106</v>
      </c>
      <c r="D181" s="63" t="s">
        <v>3</v>
      </c>
      <c r="E181" s="62" t="s">
        <v>1246</v>
      </c>
      <c r="F181" s="196" t="s">
        <v>1353</v>
      </c>
      <c r="G181" s="63">
        <v>1767668</v>
      </c>
      <c r="H181" s="37" t="s">
        <v>58</v>
      </c>
      <c r="I181" s="63" t="s">
        <v>233</v>
      </c>
      <c r="J181" s="124" t="s">
        <v>58</v>
      </c>
      <c r="K181" s="15" t="s">
        <v>165</v>
      </c>
      <c r="L181" s="63" t="s">
        <v>117</v>
      </c>
      <c r="M181" s="63" t="s">
        <v>1248</v>
      </c>
      <c r="N181" s="63" t="s">
        <v>1249</v>
      </c>
      <c r="O181" s="62" t="s">
        <v>58</v>
      </c>
      <c r="P181" s="185" t="s">
        <v>1251</v>
      </c>
      <c r="Q181" s="18"/>
      <c r="R181" s="37"/>
      <c r="S181" s="15" t="s">
        <v>64</v>
      </c>
      <c r="T181" s="15" t="s">
        <v>143</v>
      </c>
      <c r="U181" s="15" t="s">
        <v>546</v>
      </c>
      <c r="V181" s="63">
        <v>259</v>
      </c>
      <c r="W181" s="16">
        <f>V181</f>
        <v>259</v>
      </c>
      <c r="X181" s="15">
        <f t="shared" si="44"/>
        <v>259</v>
      </c>
      <c r="Y181" s="15">
        <f>ROUNDDOWN(W181/HLOOKUP(D181,Table!$C$3:$D$4,2,0)*8,2)</f>
        <v>4.5999999999999996</v>
      </c>
      <c r="Z181" s="15">
        <v>5</v>
      </c>
      <c r="AA181" s="15" t="s">
        <v>21</v>
      </c>
      <c r="AB181" s="19">
        <v>44148</v>
      </c>
      <c r="AC181" s="19">
        <v>44144</v>
      </c>
      <c r="AD181" s="19">
        <v>44148</v>
      </c>
      <c r="AE181" s="19">
        <v>44144</v>
      </c>
      <c r="AF181" s="19">
        <v>44144</v>
      </c>
      <c r="AG181" s="19" t="s">
        <v>130</v>
      </c>
      <c r="AH181" s="91">
        <v>1</v>
      </c>
      <c r="AI181" s="91">
        <v>1</v>
      </c>
      <c r="AJ181" s="91">
        <v>1</v>
      </c>
      <c r="AK181" s="19" t="s">
        <v>117</v>
      </c>
      <c r="AL181" s="17" t="s">
        <v>58</v>
      </c>
      <c r="AM181" s="17" t="s">
        <v>58</v>
      </c>
      <c r="AN181" s="17" t="s">
        <v>1256</v>
      </c>
    </row>
    <row r="182" spans="2:40" x14ac:dyDescent="0.25">
      <c r="B182" s="188">
        <f t="shared" si="45"/>
        <v>123</v>
      </c>
      <c r="C182" s="16">
        <v>20201106</v>
      </c>
      <c r="D182" s="63" t="s">
        <v>3</v>
      </c>
      <c r="E182" s="62" t="s">
        <v>1246</v>
      </c>
      <c r="F182" s="195" t="s">
        <v>1252</v>
      </c>
      <c r="G182" s="63">
        <v>1767668</v>
      </c>
      <c r="H182" s="37" t="s">
        <v>58</v>
      </c>
      <c r="I182" s="63" t="s">
        <v>234</v>
      </c>
      <c r="J182" s="124" t="s">
        <v>58</v>
      </c>
      <c r="K182" s="15" t="s">
        <v>165</v>
      </c>
      <c r="L182" s="63" t="s">
        <v>117</v>
      </c>
      <c r="M182" s="63" t="s">
        <v>1248</v>
      </c>
      <c r="N182" s="63" t="s">
        <v>1249</v>
      </c>
      <c r="O182" s="62" t="s">
        <v>58</v>
      </c>
      <c r="P182" s="185" t="s">
        <v>1251</v>
      </c>
      <c r="Q182" s="18"/>
      <c r="R182" s="37"/>
      <c r="S182" s="15" t="s">
        <v>64</v>
      </c>
      <c r="T182" s="15" t="s">
        <v>143</v>
      </c>
      <c r="U182" s="15" t="s">
        <v>546</v>
      </c>
      <c r="V182" s="63">
        <v>1585</v>
      </c>
      <c r="W182" s="146">
        <v>0</v>
      </c>
      <c r="X182" s="15">
        <v>0</v>
      </c>
      <c r="Y182" s="15">
        <f>ROUNDDOWN(W182/HLOOKUP(D182,Table!$C$3:$D$4,2,0)*8,2)</f>
        <v>0</v>
      </c>
      <c r="Z182" s="15">
        <v>0.2</v>
      </c>
      <c r="AA182" s="15" t="s">
        <v>21</v>
      </c>
      <c r="AB182" s="19">
        <v>44148</v>
      </c>
      <c r="AC182" s="19">
        <v>44144</v>
      </c>
      <c r="AD182" s="19">
        <v>44148</v>
      </c>
      <c r="AE182" s="19">
        <v>44144</v>
      </c>
      <c r="AF182" s="19">
        <v>44144</v>
      </c>
      <c r="AG182" s="19" t="s">
        <v>130</v>
      </c>
      <c r="AH182" s="91" t="s">
        <v>58</v>
      </c>
      <c r="AI182" s="91" t="s">
        <v>58</v>
      </c>
      <c r="AJ182" s="91" t="s">
        <v>58</v>
      </c>
      <c r="AK182" s="19" t="s">
        <v>117</v>
      </c>
      <c r="AL182" s="17" t="s">
        <v>58</v>
      </c>
      <c r="AM182" s="17" t="s">
        <v>58</v>
      </c>
      <c r="AN182" s="109" t="s">
        <v>481</v>
      </c>
    </row>
    <row r="183" spans="2:40" ht="60" x14ac:dyDescent="0.25">
      <c r="B183" s="188">
        <f t="shared" si="45"/>
        <v>124</v>
      </c>
      <c r="C183" s="16">
        <v>20201106</v>
      </c>
      <c r="D183" s="63" t="s">
        <v>3</v>
      </c>
      <c r="E183" s="62" t="s">
        <v>1246</v>
      </c>
      <c r="F183" s="196" t="s">
        <v>1255</v>
      </c>
      <c r="G183" s="63">
        <v>1767668</v>
      </c>
      <c r="H183" s="37" t="s">
        <v>58</v>
      </c>
      <c r="I183" s="63" t="s">
        <v>235</v>
      </c>
      <c r="J183" s="124" t="s">
        <v>58</v>
      </c>
      <c r="K183" s="15" t="s">
        <v>165</v>
      </c>
      <c r="L183" s="63" t="s">
        <v>117</v>
      </c>
      <c r="M183" s="63" t="s">
        <v>1248</v>
      </c>
      <c r="N183" s="63" t="s">
        <v>1249</v>
      </c>
      <c r="O183" s="62" t="s">
        <v>58</v>
      </c>
      <c r="P183" s="185" t="s">
        <v>1251</v>
      </c>
      <c r="Q183" s="18"/>
      <c r="R183" s="37"/>
      <c r="S183" s="15" t="s">
        <v>64</v>
      </c>
      <c r="T183" s="15" t="s">
        <v>143</v>
      </c>
      <c r="U183" s="15" t="s">
        <v>546</v>
      </c>
      <c r="V183" s="63">
        <v>109</v>
      </c>
      <c r="W183" s="16">
        <f>V183</f>
        <v>109</v>
      </c>
      <c r="X183" s="15">
        <f>W183</f>
        <v>109</v>
      </c>
      <c r="Y183" s="15">
        <f>ROUNDDOWN(W183/HLOOKUP(D183,Table!$C$3:$D$4,2,0)*8,2)</f>
        <v>1.93</v>
      </c>
      <c r="Z183" s="15">
        <v>2</v>
      </c>
      <c r="AA183" s="15" t="s">
        <v>21</v>
      </c>
      <c r="AB183" s="19">
        <v>44148</v>
      </c>
      <c r="AC183" s="19">
        <v>44144</v>
      </c>
      <c r="AD183" s="19">
        <v>44148</v>
      </c>
      <c r="AE183" s="19">
        <v>44144</v>
      </c>
      <c r="AF183" s="19">
        <v>44144</v>
      </c>
      <c r="AG183" s="19" t="s">
        <v>131</v>
      </c>
      <c r="AH183" s="91">
        <v>1</v>
      </c>
      <c r="AI183" s="91">
        <v>0.87</v>
      </c>
      <c r="AJ183" s="91">
        <v>1</v>
      </c>
      <c r="AK183" s="19" t="s">
        <v>107</v>
      </c>
      <c r="AL183" s="17" t="s">
        <v>1253</v>
      </c>
      <c r="AM183" s="17" t="s">
        <v>58</v>
      </c>
      <c r="AN183" s="136" t="s">
        <v>1254</v>
      </c>
    </row>
    <row r="184" spans="2:40" ht="30" x14ac:dyDescent="0.25">
      <c r="B184" s="152">
        <f t="shared" ref="B184:B215" si="46">B183+1</f>
        <v>125</v>
      </c>
      <c r="C184" s="16">
        <v>20201110</v>
      </c>
      <c r="D184" s="63" t="s">
        <v>3</v>
      </c>
      <c r="E184" s="62" t="s">
        <v>913</v>
      </c>
      <c r="F184" s="207" t="s">
        <v>1384</v>
      </c>
      <c r="G184" s="63">
        <v>1755213</v>
      </c>
      <c r="H184" s="37" t="s">
        <v>58</v>
      </c>
      <c r="I184" s="63" t="s">
        <v>1357</v>
      </c>
      <c r="J184" s="124" t="s">
        <v>58</v>
      </c>
      <c r="K184" s="15" t="s">
        <v>167</v>
      </c>
      <c r="L184" s="15" t="s">
        <v>117</v>
      </c>
      <c r="M184" s="63" t="s">
        <v>914</v>
      </c>
      <c r="N184" s="63" t="s">
        <v>144</v>
      </c>
      <c r="O184" s="62" t="s">
        <v>58</v>
      </c>
      <c r="P184" s="190" t="s">
        <v>761</v>
      </c>
      <c r="Q184" s="18"/>
      <c r="R184" s="37"/>
      <c r="S184" s="15" t="s">
        <v>142</v>
      </c>
      <c r="T184" s="15" t="s">
        <v>141</v>
      </c>
      <c r="U184" s="15" t="s">
        <v>546</v>
      </c>
      <c r="V184" s="63">
        <v>176</v>
      </c>
      <c r="W184" s="18">
        <f>209*2</f>
        <v>418</v>
      </c>
      <c r="X184" s="15">
        <f>W184</f>
        <v>418</v>
      </c>
      <c r="Y184" s="15">
        <f>ROUNDDOWN(W184/HLOOKUP(D184,Table!$C$3:$D$4,2,0)*8,2)</f>
        <v>7.43</v>
      </c>
      <c r="Z184" s="15">
        <v>3</v>
      </c>
      <c r="AA184" s="15" t="s">
        <v>21</v>
      </c>
      <c r="AB184" s="19">
        <v>44152</v>
      </c>
      <c r="AC184" s="19">
        <v>44145</v>
      </c>
      <c r="AD184" s="70">
        <v>44155</v>
      </c>
      <c r="AE184" s="19">
        <v>44145</v>
      </c>
      <c r="AF184" s="19">
        <v>44146</v>
      </c>
      <c r="AG184" s="19" t="s">
        <v>130</v>
      </c>
      <c r="AH184" s="91">
        <v>1</v>
      </c>
      <c r="AI184" s="91">
        <v>1</v>
      </c>
      <c r="AJ184" s="91">
        <v>1</v>
      </c>
      <c r="AK184" s="19" t="s">
        <v>117</v>
      </c>
      <c r="AL184" s="17" t="s">
        <v>58</v>
      </c>
      <c r="AM184" s="17" t="s">
        <v>58</v>
      </c>
      <c r="AN184" s="199" t="s">
        <v>509</v>
      </c>
    </row>
    <row r="185" spans="2:40" ht="45" x14ac:dyDescent="0.25">
      <c r="B185" s="152">
        <f t="shared" si="46"/>
        <v>126</v>
      </c>
      <c r="C185" s="16">
        <v>20201110</v>
      </c>
      <c r="D185" s="63" t="s">
        <v>3</v>
      </c>
      <c r="E185" s="62" t="s">
        <v>913</v>
      </c>
      <c r="F185" s="207" t="s">
        <v>1385</v>
      </c>
      <c r="G185" s="63">
        <v>1755213</v>
      </c>
      <c r="H185" s="37" t="s">
        <v>58</v>
      </c>
      <c r="I185" s="63" t="s">
        <v>1358</v>
      </c>
      <c r="J185" s="124" t="s">
        <v>58</v>
      </c>
      <c r="K185" s="15" t="s">
        <v>167</v>
      </c>
      <c r="L185" s="15" t="s">
        <v>117</v>
      </c>
      <c r="M185" s="63" t="s">
        <v>914</v>
      </c>
      <c r="N185" s="63" t="s">
        <v>144</v>
      </c>
      <c r="O185" s="62" t="s">
        <v>58</v>
      </c>
      <c r="P185" s="190" t="s">
        <v>761</v>
      </c>
      <c r="Q185" s="18"/>
      <c r="R185" s="37"/>
      <c r="S185" s="15" t="s">
        <v>142</v>
      </c>
      <c r="T185" s="15" t="s">
        <v>141</v>
      </c>
      <c r="U185" s="15" t="s">
        <v>546</v>
      </c>
      <c r="V185" s="63">
        <v>6</v>
      </c>
      <c r="W185" s="18">
        <v>0</v>
      </c>
      <c r="X185" s="15">
        <f>W185</f>
        <v>0</v>
      </c>
      <c r="Y185" s="15">
        <f>ROUNDDOWN(W185/HLOOKUP(D185,Table!$C$3:$D$4,2,0)*8,2)</f>
        <v>0</v>
      </c>
      <c r="Z185" s="15">
        <v>0</v>
      </c>
      <c r="AA185" s="15" t="s">
        <v>21</v>
      </c>
      <c r="AB185" s="19">
        <v>44152</v>
      </c>
      <c r="AC185" s="19">
        <v>44145</v>
      </c>
      <c r="AD185" s="70">
        <v>44155</v>
      </c>
      <c r="AE185" s="19">
        <v>44145</v>
      </c>
      <c r="AF185" s="19">
        <v>44145</v>
      </c>
      <c r="AG185" s="19" t="s">
        <v>130</v>
      </c>
      <c r="AH185" s="91" t="s">
        <v>58</v>
      </c>
      <c r="AI185" s="91" t="s">
        <v>58</v>
      </c>
      <c r="AJ185" s="91" t="s">
        <v>58</v>
      </c>
      <c r="AK185" s="19" t="s">
        <v>117</v>
      </c>
      <c r="AL185" s="17"/>
      <c r="AM185" s="17"/>
      <c r="AN185" s="199" t="s">
        <v>1386</v>
      </c>
    </row>
    <row r="186" spans="2:40" ht="30" x14ac:dyDescent="0.25">
      <c r="B186" s="152">
        <f t="shared" si="46"/>
        <v>127</v>
      </c>
      <c r="C186" s="16">
        <v>20201110</v>
      </c>
      <c r="D186" s="63" t="s">
        <v>2</v>
      </c>
      <c r="E186" s="62" t="s">
        <v>608</v>
      </c>
      <c r="F186" s="202" t="s">
        <v>58</v>
      </c>
      <c r="G186" s="63">
        <v>1769462</v>
      </c>
      <c r="H186" s="37" t="s">
        <v>58</v>
      </c>
      <c r="I186" s="63" t="s">
        <v>613</v>
      </c>
      <c r="J186" s="124" t="s">
        <v>58</v>
      </c>
      <c r="K186" s="15" t="s">
        <v>167</v>
      </c>
      <c r="L186" s="15" t="s">
        <v>117</v>
      </c>
      <c r="M186" s="63" t="s">
        <v>623</v>
      </c>
      <c r="N186" s="63" t="s">
        <v>1375</v>
      </c>
      <c r="O186" s="62" t="s">
        <v>1368</v>
      </c>
      <c r="P186" s="190" t="s">
        <v>629</v>
      </c>
      <c r="Q186" s="18"/>
      <c r="R186" s="37"/>
      <c r="S186" s="15" t="s">
        <v>152</v>
      </c>
      <c r="T186" s="15"/>
      <c r="U186" s="15"/>
      <c r="V186" s="63">
        <v>50</v>
      </c>
      <c r="W186" s="16">
        <f>V186</f>
        <v>50</v>
      </c>
      <c r="X186" s="15">
        <f>W186</f>
        <v>50</v>
      </c>
      <c r="Y186" s="15">
        <f>ROUNDDOWN(W186/HLOOKUP(D186,Table!$C$3:$D$4,2,0)*8,2)</f>
        <v>3.07</v>
      </c>
      <c r="Z186" s="15">
        <f>Y186</f>
        <v>3.07</v>
      </c>
      <c r="AA186" s="15" t="s">
        <v>18</v>
      </c>
      <c r="AB186" s="70">
        <v>44155</v>
      </c>
      <c r="AC186" s="19">
        <v>44145</v>
      </c>
      <c r="AD186" s="70">
        <v>44155</v>
      </c>
      <c r="AE186" s="19"/>
      <c r="AF186" s="19"/>
      <c r="AG186" s="19"/>
      <c r="AH186" s="91"/>
      <c r="AI186" s="91"/>
      <c r="AJ186" s="91"/>
      <c r="AK186" s="19"/>
      <c r="AL186" s="17" t="s">
        <v>58</v>
      </c>
      <c r="AM186" s="17" t="s">
        <v>58</v>
      </c>
      <c r="AN186" s="199" t="s">
        <v>509</v>
      </c>
    </row>
    <row r="187" spans="2:40" x14ac:dyDescent="0.25">
      <c r="B187" s="152">
        <f t="shared" si="46"/>
        <v>128</v>
      </c>
      <c r="C187" s="16">
        <v>20201110</v>
      </c>
      <c r="D187" s="63" t="s">
        <v>3</v>
      </c>
      <c r="E187" s="62" t="s">
        <v>1355</v>
      </c>
      <c r="F187" s="207" t="s">
        <v>1367</v>
      </c>
      <c r="G187" s="63">
        <v>1770918</v>
      </c>
      <c r="H187" s="37" t="s">
        <v>58</v>
      </c>
      <c r="I187" s="63" t="s">
        <v>663</v>
      </c>
      <c r="J187" s="124" t="s">
        <v>58</v>
      </c>
      <c r="K187" s="15" t="s">
        <v>165</v>
      </c>
      <c r="L187" s="205" t="s">
        <v>1376</v>
      </c>
      <c r="M187" s="63" t="s">
        <v>1356</v>
      </c>
      <c r="N187" s="63" t="s">
        <v>1363</v>
      </c>
      <c r="O187" s="62" t="s">
        <v>58</v>
      </c>
      <c r="P187" s="190" t="s">
        <v>1370</v>
      </c>
      <c r="Q187" s="18"/>
      <c r="R187" s="37"/>
      <c r="S187" s="15" t="s">
        <v>64</v>
      </c>
      <c r="T187" s="15" t="s">
        <v>143</v>
      </c>
      <c r="U187" s="15" t="s">
        <v>546</v>
      </c>
      <c r="V187" s="63">
        <v>296</v>
      </c>
      <c r="W187" s="16">
        <f>V187</f>
        <v>296</v>
      </c>
      <c r="X187" s="15">
        <f t="shared" ref="X187:X193" si="47">W187</f>
        <v>296</v>
      </c>
      <c r="Y187" s="15">
        <f>ROUNDDOWN(W187/HLOOKUP(D187,Table!$C$3:$D$4,2,0)*8,2)</f>
        <v>5.26</v>
      </c>
      <c r="Z187" s="15">
        <v>6</v>
      </c>
      <c r="AA187" s="15" t="s">
        <v>21</v>
      </c>
      <c r="AB187" s="19">
        <v>44148</v>
      </c>
      <c r="AC187" s="19">
        <v>44145</v>
      </c>
      <c r="AD187" s="70">
        <v>44149</v>
      </c>
      <c r="AE187" s="19">
        <v>44145</v>
      </c>
      <c r="AF187" s="19">
        <v>44145</v>
      </c>
      <c r="AG187" s="19" t="s">
        <v>130</v>
      </c>
      <c r="AH187" s="91">
        <v>1</v>
      </c>
      <c r="AI187" s="91">
        <v>1</v>
      </c>
      <c r="AJ187" s="91">
        <v>1</v>
      </c>
      <c r="AK187" s="19" t="s">
        <v>117</v>
      </c>
      <c r="AL187" s="17" t="s">
        <v>58</v>
      </c>
      <c r="AM187" s="17" t="s">
        <v>58</v>
      </c>
      <c r="AN187" s="200" t="s">
        <v>1021</v>
      </c>
    </row>
    <row r="188" spans="2:40" x14ac:dyDescent="0.25">
      <c r="B188" s="152">
        <f t="shared" si="46"/>
        <v>129</v>
      </c>
      <c r="C188" s="16">
        <v>20201110</v>
      </c>
      <c r="D188" s="63" t="s">
        <v>3</v>
      </c>
      <c r="E188" s="62" t="s">
        <v>1355</v>
      </c>
      <c r="F188" s="207" t="s">
        <v>1367</v>
      </c>
      <c r="G188" s="63">
        <v>1770918</v>
      </c>
      <c r="H188" s="37" t="s">
        <v>58</v>
      </c>
      <c r="I188" s="63" t="s">
        <v>664</v>
      </c>
      <c r="J188" s="124" t="s">
        <v>58</v>
      </c>
      <c r="K188" s="15" t="s">
        <v>165</v>
      </c>
      <c r="L188" s="205" t="s">
        <v>1376</v>
      </c>
      <c r="M188" s="63" t="s">
        <v>1356</v>
      </c>
      <c r="N188" s="63" t="s">
        <v>1363</v>
      </c>
      <c r="O188" s="62" t="s">
        <v>58</v>
      </c>
      <c r="P188" s="190" t="s">
        <v>1370</v>
      </c>
      <c r="Q188" s="18"/>
      <c r="R188" s="37"/>
      <c r="S188" s="15" t="s">
        <v>64</v>
      </c>
      <c r="T188" s="15" t="s">
        <v>143</v>
      </c>
      <c r="U188" s="15" t="s">
        <v>546</v>
      </c>
      <c r="V188" s="63">
        <v>110</v>
      </c>
      <c r="W188" s="16">
        <f>V188</f>
        <v>110</v>
      </c>
      <c r="X188" s="15">
        <f t="shared" si="47"/>
        <v>110</v>
      </c>
      <c r="Y188" s="15">
        <f>ROUNDDOWN(W188/HLOOKUP(D188,Table!$C$3:$D$4,2,0)*8,2)</f>
        <v>1.95</v>
      </c>
      <c r="Z188" s="15">
        <f>Y188</f>
        <v>1.95</v>
      </c>
      <c r="AA188" s="15" t="s">
        <v>21</v>
      </c>
      <c r="AB188" s="19">
        <v>44148</v>
      </c>
      <c r="AC188" s="19">
        <v>44145</v>
      </c>
      <c r="AD188" s="70">
        <v>44149</v>
      </c>
      <c r="AE188" s="19">
        <v>44145</v>
      </c>
      <c r="AF188" s="19">
        <v>44145</v>
      </c>
      <c r="AG188" s="19" t="s">
        <v>130</v>
      </c>
      <c r="AH188" s="91">
        <v>1</v>
      </c>
      <c r="AI188" s="91">
        <v>1</v>
      </c>
      <c r="AJ188" s="91">
        <v>1</v>
      </c>
      <c r="AK188" s="19" t="s">
        <v>117</v>
      </c>
      <c r="AL188" s="17"/>
      <c r="AM188" s="17" t="s">
        <v>58</v>
      </c>
      <c r="AN188" s="17" t="s">
        <v>58</v>
      </c>
    </row>
    <row r="189" spans="2:40" x14ac:dyDescent="0.25">
      <c r="B189" s="152">
        <f t="shared" si="46"/>
        <v>130</v>
      </c>
      <c r="C189" s="16">
        <v>20201110</v>
      </c>
      <c r="D189" s="63" t="s">
        <v>3</v>
      </c>
      <c r="E189" s="62" t="s">
        <v>1137</v>
      </c>
      <c r="F189" s="207" t="s">
        <v>1429</v>
      </c>
      <c r="G189" s="63">
        <v>1496627</v>
      </c>
      <c r="H189" s="37" t="s">
        <v>58</v>
      </c>
      <c r="I189" s="63" t="s">
        <v>1359</v>
      </c>
      <c r="J189" s="124" t="s">
        <v>58</v>
      </c>
      <c r="K189" s="15" t="s">
        <v>165</v>
      </c>
      <c r="L189" s="205" t="s">
        <v>1377</v>
      </c>
      <c r="M189" s="63" t="s">
        <v>1158</v>
      </c>
      <c r="N189" s="63" t="s">
        <v>1364</v>
      </c>
      <c r="O189" s="62" t="s">
        <v>58</v>
      </c>
      <c r="P189" s="190" t="s">
        <v>1371</v>
      </c>
      <c r="Q189" s="18"/>
      <c r="R189" s="37"/>
      <c r="S189" s="15" t="s">
        <v>143</v>
      </c>
      <c r="T189" s="15" t="s">
        <v>152</v>
      </c>
      <c r="U189" s="15" t="s">
        <v>546</v>
      </c>
      <c r="V189" s="63">
        <v>49</v>
      </c>
      <c r="W189" s="16">
        <f>V189</f>
        <v>49</v>
      </c>
      <c r="X189" s="15">
        <f t="shared" si="47"/>
        <v>49</v>
      </c>
      <c r="Y189" s="15">
        <f>ROUNDDOWN(W189/HLOOKUP(D189,Table!$C$3:$D$4,2,0)*8,2)</f>
        <v>0.87</v>
      </c>
      <c r="Z189" s="15">
        <f>Y189</f>
        <v>0.87</v>
      </c>
      <c r="AA189" s="15" t="s">
        <v>21</v>
      </c>
      <c r="AB189" s="19">
        <v>44148</v>
      </c>
      <c r="AC189" s="19">
        <v>44145</v>
      </c>
      <c r="AD189" s="70">
        <v>44149</v>
      </c>
      <c r="AE189" s="19">
        <v>44146</v>
      </c>
      <c r="AF189" s="19">
        <v>44146</v>
      </c>
      <c r="AG189" s="19" t="s">
        <v>130</v>
      </c>
      <c r="AH189" s="91">
        <v>1</v>
      </c>
      <c r="AI189" s="91">
        <v>1</v>
      </c>
      <c r="AJ189" s="91">
        <v>1</v>
      </c>
      <c r="AK189" s="19" t="s">
        <v>117</v>
      </c>
      <c r="AL189" s="17" t="s">
        <v>58</v>
      </c>
      <c r="AM189" s="17" t="s">
        <v>58</v>
      </c>
      <c r="AN189" s="17" t="s">
        <v>58</v>
      </c>
    </row>
    <row r="190" spans="2:40" x14ac:dyDescent="0.25">
      <c r="B190" s="152">
        <f t="shared" si="46"/>
        <v>131</v>
      </c>
      <c r="C190" s="16">
        <v>20201110</v>
      </c>
      <c r="D190" s="63" t="s">
        <v>3</v>
      </c>
      <c r="E190" s="62" t="s">
        <v>1137</v>
      </c>
      <c r="F190" s="207" t="s">
        <v>1380</v>
      </c>
      <c r="G190" s="63">
        <v>1496627</v>
      </c>
      <c r="H190" s="37" t="s">
        <v>58</v>
      </c>
      <c r="I190" s="63" t="s">
        <v>1360</v>
      </c>
      <c r="J190" s="124" t="s">
        <v>58</v>
      </c>
      <c r="K190" s="15" t="s">
        <v>165</v>
      </c>
      <c r="L190" s="205" t="s">
        <v>1377</v>
      </c>
      <c r="M190" s="63" t="s">
        <v>1158</v>
      </c>
      <c r="N190" s="63" t="s">
        <v>1364</v>
      </c>
      <c r="O190" s="62" t="s">
        <v>58</v>
      </c>
      <c r="P190" s="190" t="s">
        <v>1371</v>
      </c>
      <c r="Q190" s="18"/>
      <c r="R190" s="37"/>
      <c r="S190" s="15" t="s">
        <v>141</v>
      </c>
      <c r="T190" s="15" t="s">
        <v>64</v>
      </c>
      <c r="U190" s="15" t="s">
        <v>546</v>
      </c>
      <c r="V190" s="63">
        <v>5</v>
      </c>
      <c r="W190" s="18">
        <v>0</v>
      </c>
      <c r="X190" s="15">
        <f t="shared" si="47"/>
        <v>0</v>
      </c>
      <c r="Y190" s="15">
        <f>ROUNDDOWN(W190/HLOOKUP(D190,Table!$C$3:$D$4,2,0)*8,2)</f>
        <v>0</v>
      </c>
      <c r="Z190" s="15">
        <v>0</v>
      </c>
      <c r="AA190" s="15" t="s">
        <v>21</v>
      </c>
      <c r="AB190" s="19">
        <v>44148</v>
      </c>
      <c r="AC190" s="19">
        <v>44145</v>
      </c>
      <c r="AD190" s="70">
        <v>44149</v>
      </c>
      <c r="AE190" s="19">
        <v>44145</v>
      </c>
      <c r="AF190" s="19">
        <v>44145</v>
      </c>
      <c r="AG190" s="19" t="s">
        <v>130</v>
      </c>
      <c r="AH190" s="91" t="s">
        <v>58</v>
      </c>
      <c r="AI190" s="91" t="s">
        <v>58</v>
      </c>
      <c r="AJ190" s="91" t="s">
        <v>58</v>
      </c>
      <c r="AK190" s="19" t="s">
        <v>117</v>
      </c>
      <c r="AL190" s="17" t="s">
        <v>58</v>
      </c>
      <c r="AM190" s="17" t="s">
        <v>58</v>
      </c>
      <c r="AN190" s="17" t="s">
        <v>1379</v>
      </c>
    </row>
    <row r="191" spans="2:40" x14ac:dyDescent="0.25">
      <c r="B191" s="152">
        <f t="shared" si="46"/>
        <v>132</v>
      </c>
      <c r="C191" s="16">
        <v>20201110</v>
      </c>
      <c r="D191" s="63" t="s">
        <v>3</v>
      </c>
      <c r="E191" s="62" t="s">
        <v>1137</v>
      </c>
      <c r="F191" s="207" t="s">
        <v>1380</v>
      </c>
      <c r="G191" s="63">
        <v>1496627</v>
      </c>
      <c r="H191" s="37" t="s">
        <v>58</v>
      </c>
      <c r="I191" s="63" t="s">
        <v>1361</v>
      </c>
      <c r="J191" s="124" t="s">
        <v>58</v>
      </c>
      <c r="K191" s="15" t="s">
        <v>165</v>
      </c>
      <c r="L191" s="205" t="s">
        <v>1377</v>
      </c>
      <c r="M191" s="63" t="s">
        <v>1158</v>
      </c>
      <c r="N191" s="63" t="s">
        <v>1364</v>
      </c>
      <c r="O191" s="62" t="s">
        <v>58</v>
      </c>
      <c r="P191" s="190" t="s">
        <v>1371</v>
      </c>
      <c r="Q191" s="18"/>
      <c r="R191" s="37"/>
      <c r="S191" s="15" t="s">
        <v>141</v>
      </c>
      <c r="T191" s="15" t="s">
        <v>64</v>
      </c>
      <c r="U191" s="15" t="s">
        <v>546</v>
      </c>
      <c r="V191" s="63">
        <v>450</v>
      </c>
      <c r="W191" s="16">
        <f>V191</f>
        <v>450</v>
      </c>
      <c r="X191" s="15">
        <f t="shared" si="47"/>
        <v>450</v>
      </c>
      <c r="Y191" s="15">
        <f>ROUNDDOWN(W191/HLOOKUP(D191,Table!$C$3:$D$4,2,0)*8,2)</f>
        <v>8</v>
      </c>
      <c r="Z191" s="15">
        <v>0</v>
      </c>
      <c r="AA191" s="15" t="s">
        <v>21</v>
      </c>
      <c r="AB191" s="19">
        <v>44148</v>
      </c>
      <c r="AC191" s="19">
        <v>44145</v>
      </c>
      <c r="AD191" s="70">
        <v>44149</v>
      </c>
      <c r="AE191" s="19">
        <v>44145</v>
      </c>
      <c r="AF191" s="19">
        <v>44145</v>
      </c>
      <c r="AG191" s="19" t="s">
        <v>130</v>
      </c>
      <c r="AH191" s="91">
        <v>1</v>
      </c>
      <c r="AI191" s="91">
        <v>1</v>
      </c>
      <c r="AJ191" s="91">
        <v>1</v>
      </c>
      <c r="AK191" s="19" t="s">
        <v>117</v>
      </c>
      <c r="AL191" s="17" t="s">
        <v>58</v>
      </c>
      <c r="AM191" s="17" t="s">
        <v>58</v>
      </c>
      <c r="AN191" s="17" t="s">
        <v>58</v>
      </c>
    </row>
    <row r="192" spans="2:40" x14ac:dyDescent="0.25">
      <c r="B192" s="152">
        <f t="shared" si="46"/>
        <v>133</v>
      </c>
      <c r="C192" s="16">
        <v>20201110</v>
      </c>
      <c r="D192" s="63" t="s">
        <v>3</v>
      </c>
      <c r="E192" s="62" t="s">
        <v>1137</v>
      </c>
      <c r="F192" s="207" t="s">
        <v>1429</v>
      </c>
      <c r="G192" s="63">
        <v>1496627</v>
      </c>
      <c r="H192" s="37" t="s">
        <v>58</v>
      </c>
      <c r="I192" s="63" t="s">
        <v>1362</v>
      </c>
      <c r="J192" s="124" t="s">
        <v>58</v>
      </c>
      <c r="K192" s="15" t="s">
        <v>165</v>
      </c>
      <c r="L192" s="205" t="s">
        <v>1377</v>
      </c>
      <c r="M192" s="63" t="s">
        <v>1158</v>
      </c>
      <c r="N192" s="63" t="s">
        <v>1364</v>
      </c>
      <c r="O192" s="62" t="s">
        <v>58</v>
      </c>
      <c r="P192" s="190" t="s">
        <v>1371</v>
      </c>
      <c r="Q192" s="18"/>
      <c r="R192" s="37"/>
      <c r="S192" s="15" t="s">
        <v>143</v>
      </c>
      <c r="T192" s="15" t="s">
        <v>152</v>
      </c>
      <c r="U192" s="15" t="s">
        <v>546</v>
      </c>
      <c r="V192" s="63">
        <v>150</v>
      </c>
      <c r="W192" s="16">
        <f>V192</f>
        <v>150</v>
      </c>
      <c r="X192" s="15">
        <f t="shared" si="47"/>
        <v>150</v>
      </c>
      <c r="Y192" s="15">
        <f>ROUNDDOWN(W192/HLOOKUP(D192,Table!$C$3:$D$4,2,0)*8,2)</f>
        <v>2.66</v>
      </c>
      <c r="Z192" s="15">
        <f>Y192</f>
        <v>2.66</v>
      </c>
      <c r="AA192" s="15" t="s">
        <v>21</v>
      </c>
      <c r="AB192" s="19">
        <v>44148</v>
      </c>
      <c r="AC192" s="19">
        <v>44145</v>
      </c>
      <c r="AD192" s="70">
        <v>44149</v>
      </c>
      <c r="AE192" s="19">
        <v>44146</v>
      </c>
      <c r="AF192" s="19">
        <v>44146</v>
      </c>
      <c r="AG192" s="19" t="s">
        <v>130</v>
      </c>
      <c r="AH192" s="91">
        <v>1</v>
      </c>
      <c r="AI192" s="91">
        <v>1</v>
      </c>
      <c r="AJ192" s="91">
        <v>1</v>
      </c>
      <c r="AK192" s="19" t="s">
        <v>117</v>
      </c>
      <c r="AL192" s="17" t="s">
        <v>58</v>
      </c>
      <c r="AM192" s="17" t="s">
        <v>58</v>
      </c>
      <c r="AN192" s="17" t="s">
        <v>58</v>
      </c>
    </row>
    <row r="193" spans="2:40" x14ac:dyDescent="0.25">
      <c r="B193" s="152">
        <f t="shared" si="46"/>
        <v>134</v>
      </c>
      <c r="C193" s="16">
        <v>20201110</v>
      </c>
      <c r="D193" s="63" t="s">
        <v>2</v>
      </c>
      <c r="E193" s="62" t="s">
        <v>1365</v>
      </c>
      <c r="F193" s="62" t="s">
        <v>58</v>
      </c>
      <c r="G193" s="63">
        <v>1771943</v>
      </c>
      <c r="H193" s="37" t="s">
        <v>58</v>
      </c>
      <c r="I193" s="63" t="s">
        <v>1366</v>
      </c>
      <c r="J193" s="124" t="s">
        <v>58</v>
      </c>
      <c r="K193" s="15" t="s">
        <v>165</v>
      </c>
      <c r="L193" s="15" t="s">
        <v>117</v>
      </c>
      <c r="M193" s="63" t="s">
        <v>1378</v>
      </c>
      <c r="N193" s="204" t="s">
        <v>1374</v>
      </c>
      <c r="O193" s="62" t="s">
        <v>1369</v>
      </c>
      <c r="P193" s="190" t="s">
        <v>1372</v>
      </c>
      <c r="Q193" s="18"/>
      <c r="R193" s="37"/>
      <c r="S193" s="15" t="s">
        <v>152</v>
      </c>
      <c r="T193" s="15" t="s">
        <v>142</v>
      </c>
      <c r="U193" s="15" t="s">
        <v>546</v>
      </c>
      <c r="V193" s="63">
        <v>40</v>
      </c>
      <c r="W193" s="146">
        <f>V193+5</f>
        <v>45</v>
      </c>
      <c r="X193" s="15">
        <f t="shared" si="47"/>
        <v>45</v>
      </c>
      <c r="Y193" s="15">
        <f>ROUNDDOWN(W193/HLOOKUP(D193,Table!$C$3:$D$4,2,0)*8,2)</f>
        <v>2.76</v>
      </c>
      <c r="Z193" s="15">
        <v>2.5</v>
      </c>
      <c r="AA193" s="15" t="s">
        <v>21</v>
      </c>
      <c r="AB193" s="19">
        <v>44145</v>
      </c>
      <c r="AC193" s="19">
        <v>44145</v>
      </c>
      <c r="AD193" s="70">
        <v>44146</v>
      </c>
      <c r="AE193" s="19">
        <v>44145</v>
      </c>
      <c r="AF193" s="19">
        <v>44145</v>
      </c>
      <c r="AG193" s="19" t="s">
        <v>131</v>
      </c>
      <c r="AH193" s="91">
        <v>1</v>
      </c>
      <c r="AI193" s="91">
        <v>1</v>
      </c>
      <c r="AJ193" s="91">
        <v>0.875</v>
      </c>
      <c r="AK193" s="19" t="s">
        <v>107</v>
      </c>
      <c r="AL193" s="17" t="s">
        <v>1395</v>
      </c>
      <c r="AM193" s="17" t="s">
        <v>58</v>
      </c>
      <c r="AN193" s="17" t="s">
        <v>1397</v>
      </c>
    </row>
    <row r="194" spans="2:40" x14ac:dyDescent="0.25">
      <c r="B194" s="95">
        <f t="shared" si="46"/>
        <v>135</v>
      </c>
      <c r="C194" s="16">
        <v>20201110</v>
      </c>
      <c r="D194" s="63" t="s">
        <v>2</v>
      </c>
      <c r="E194" s="62" t="s">
        <v>1400</v>
      </c>
      <c r="F194" s="62" t="s">
        <v>58</v>
      </c>
      <c r="G194" s="63">
        <v>1772149</v>
      </c>
      <c r="H194" s="37" t="s">
        <v>58</v>
      </c>
      <c r="I194" s="63" t="s">
        <v>1405</v>
      </c>
      <c r="J194" s="124" t="s">
        <v>58</v>
      </c>
      <c r="K194" s="15" t="s">
        <v>165</v>
      </c>
      <c r="L194" s="15" t="s">
        <v>117</v>
      </c>
      <c r="M194" s="15" t="s">
        <v>117</v>
      </c>
      <c r="N194" s="63" t="s">
        <v>1405</v>
      </c>
      <c r="O194" s="201" t="s">
        <v>1415</v>
      </c>
      <c r="P194" s="190" t="s">
        <v>1416</v>
      </c>
      <c r="Q194" s="18"/>
      <c r="R194" s="37"/>
      <c r="S194" s="15" t="s">
        <v>152</v>
      </c>
      <c r="T194" s="15" t="s">
        <v>142</v>
      </c>
      <c r="U194" s="15" t="s">
        <v>546</v>
      </c>
      <c r="V194" s="63">
        <v>31</v>
      </c>
      <c r="W194" s="16">
        <f>V194</f>
        <v>31</v>
      </c>
      <c r="X194" s="15">
        <f>W194</f>
        <v>31</v>
      </c>
      <c r="Y194" s="15">
        <f>ROUNDDOWN(W194/HLOOKUP(D194,Table!$C$3:$D$4,2,0)*8,2)</f>
        <v>1.9</v>
      </c>
      <c r="Z194" s="15">
        <v>2</v>
      </c>
      <c r="AA194" s="15" t="s">
        <v>21</v>
      </c>
      <c r="AB194" s="19">
        <v>44148</v>
      </c>
      <c r="AC194" s="19">
        <v>44146</v>
      </c>
      <c r="AD194" s="70">
        <v>44148</v>
      </c>
      <c r="AE194" s="19">
        <v>44148</v>
      </c>
      <c r="AF194" s="19">
        <v>44148</v>
      </c>
      <c r="AG194" s="19" t="s">
        <v>130</v>
      </c>
      <c r="AH194" s="91">
        <v>1</v>
      </c>
      <c r="AI194" s="91">
        <v>1</v>
      </c>
      <c r="AJ194" s="91" t="s">
        <v>58</v>
      </c>
      <c r="AK194" s="19" t="s">
        <v>117</v>
      </c>
      <c r="AL194" s="17" t="s">
        <v>58</v>
      </c>
      <c r="AM194" s="17" t="s">
        <v>58</v>
      </c>
      <c r="AN194" s="17" t="s">
        <v>58</v>
      </c>
    </row>
    <row r="195" spans="2:40" x14ac:dyDescent="0.25">
      <c r="B195" s="95">
        <f t="shared" si="46"/>
        <v>136</v>
      </c>
      <c r="C195" s="16">
        <v>20201110</v>
      </c>
      <c r="D195" s="63" t="s">
        <v>3</v>
      </c>
      <c r="E195" s="62" t="s">
        <v>1355</v>
      </c>
      <c r="F195" s="104" t="s">
        <v>1451</v>
      </c>
      <c r="G195" s="63">
        <v>1773805</v>
      </c>
      <c r="H195" s="37" t="s">
        <v>58</v>
      </c>
      <c r="I195" s="63" t="s">
        <v>1406</v>
      </c>
      <c r="J195" s="124" t="s">
        <v>58</v>
      </c>
      <c r="K195" s="15" t="s">
        <v>165</v>
      </c>
      <c r="L195" s="134" t="s">
        <v>117</v>
      </c>
      <c r="M195" s="63" t="s">
        <v>1356</v>
      </c>
      <c r="N195" s="63" t="s">
        <v>1421</v>
      </c>
      <c r="O195" s="62" t="s">
        <v>58</v>
      </c>
      <c r="P195" s="190" t="s">
        <v>1417</v>
      </c>
      <c r="Q195" s="18"/>
      <c r="R195" s="37"/>
      <c r="S195" s="15" t="s">
        <v>141</v>
      </c>
      <c r="T195" s="15" t="s">
        <v>64</v>
      </c>
      <c r="U195" s="15" t="s">
        <v>546</v>
      </c>
      <c r="V195" s="63">
        <v>240</v>
      </c>
      <c r="W195" s="18">
        <v>248</v>
      </c>
      <c r="X195" s="15">
        <f t="shared" ref="X195:X205" si="48">W195</f>
        <v>248</v>
      </c>
      <c r="Y195" s="15">
        <f>ROUNDDOWN(W195/HLOOKUP(D195,Table!$C$3:$D$4,2,0)*8,2)</f>
        <v>4.4000000000000004</v>
      </c>
      <c r="Z195" s="15">
        <f>5</f>
        <v>5</v>
      </c>
      <c r="AA195" s="15" t="s">
        <v>21</v>
      </c>
      <c r="AB195" s="19">
        <v>44151</v>
      </c>
      <c r="AC195" s="19">
        <v>44146</v>
      </c>
      <c r="AD195" s="216">
        <v>44151</v>
      </c>
      <c r="AE195" s="19">
        <v>44146</v>
      </c>
      <c r="AF195" s="19">
        <v>44146</v>
      </c>
      <c r="AG195" s="19" t="s">
        <v>131</v>
      </c>
      <c r="AH195" s="91">
        <v>1</v>
      </c>
      <c r="AI195" s="91">
        <v>1</v>
      </c>
      <c r="AJ195" s="91">
        <v>0.95</v>
      </c>
      <c r="AK195" s="19" t="s">
        <v>107</v>
      </c>
      <c r="AL195" s="17" t="s">
        <v>1452</v>
      </c>
      <c r="AM195" s="17" t="s">
        <v>58</v>
      </c>
      <c r="AN195" s="17" t="s">
        <v>1483</v>
      </c>
    </row>
    <row r="196" spans="2:40" x14ac:dyDescent="0.25">
      <c r="B196" s="95">
        <f t="shared" si="46"/>
        <v>137</v>
      </c>
      <c r="C196" s="16">
        <v>20201110</v>
      </c>
      <c r="D196" s="63" t="s">
        <v>3</v>
      </c>
      <c r="E196" s="62" t="s">
        <v>1401</v>
      </c>
      <c r="F196" s="104" t="s">
        <v>1434</v>
      </c>
      <c r="G196" s="63">
        <v>1751113</v>
      </c>
      <c r="H196" s="37" t="s">
        <v>58</v>
      </c>
      <c r="I196" s="63" t="s">
        <v>1407</v>
      </c>
      <c r="J196" s="124" t="s">
        <v>58</v>
      </c>
      <c r="K196" s="15" t="s">
        <v>165</v>
      </c>
      <c r="L196" s="134" t="s">
        <v>117</v>
      </c>
      <c r="M196" s="63" t="s">
        <v>475</v>
      </c>
      <c r="N196" s="63" t="s">
        <v>1422</v>
      </c>
      <c r="O196" s="62" t="s">
        <v>58</v>
      </c>
      <c r="P196" s="190" t="s">
        <v>1418</v>
      </c>
      <c r="Q196" s="18"/>
      <c r="R196" s="37"/>
      <c r="S196" s="15" t="s">
        <v>142</v>
      </c>
      <c r="T196" s="15" t="s">
        <v>141</v>
      </c>
      <c r="U196" s="15" t="s">
        <v>546</v>
      </c>
      <c r="V196" s="63">
        <v>89</v>
      </c>
      <c r="W196" s="16">
        <f>V196</f>
        <v>89</v>
      </c>
      <c r="X196" s="15">
        <f t="shared" si="48"/>
        <v>89</v>
      </c>
      <c r="Y196" s="15">
        <f>ROUNDDOWN(W196/HLOOKUP(D196,Table!$C$3:$D$4,2,0)*8,2)</f>
        <v>1.58</v>
      </c>
      <c r="Z196" s="15">
        <v>1</v>
      </c>
      <c r="AA196" s="15" t="s">
        <v>21</v>
      </c>
      <c r="AB196" s="19">
        <v>44151</v>
      </c>
      <c r="AC196" s="19">
        <v>44146</v>
      </c>
      <c r="AD196" s="216">
        <v>44151</v>
      </c>
      <c r="AE196" s="19">
        <v>44146</v>
      </c>
      <c r="AF196" s="19">
        <v>44146</v>
      </c>
      <c r="AG196" s="19" t="s">
        <v>130</v>
      </c>
      <c r="AH196" s="91">
        <v>1</v>
      </c>
      <c r="AI196" s="91">
        <v>1</v>
      </c>
      <c r="AJ196" s="91">
        <v>1</v>
      </c>
      <c r="AK196" s="19" t="s">
        <v>117</v>
      </c>
      <c r="AL196" s="17" t="s">
        <v>58</v>
      </c>
      <c r="AM196" s="17" t="s">
        <v>58</v>
      </c>
      <c r="AN196" s="17" t="s">
        <v>58</v>
      </c>
    </row>
    <row r="197" spans="2:40" x14ac:dyDescent="0.25">
      <c r="B197" s="95">
        <f t="shared" si="46"/>
        <v>138</v>
      </c>
      <c r="C197" s="16">
        <v>20201110</v>
      </c>
      <c r="D197" s="63" t="s">
        <v>3</v>
      </c>
      <c r="E197" s="62" t="s">
        <v>1401</v>
      </c>
      <c r="F197" s="104" t="s">
        <v>1435</v>
      </c>
      <c r="G197" s="63">
        <v>1751113</v>
      </c>
      <c r="H197" s="37" t="s">
        <v>58</v>
      </c>
      <c r="I197" s="63" t="s">
        <v>1408</v>
      </c>
      <c r="J197" s="124" t="s">
        <v>58</v>
      </c>
      <c r="K197" s="15" t="s">
        <v>165</v>
      </c>
      <c r="L197" s="134" t="s">
        <v>117</v>
      </c>
      <c r="M197" s="63" t="s">
        <v>475</v>
      </c>
      <c r="N197" s="63" t="s">
        <v>1422</v>
      </c>
      <c r="O197" s="62" t="s">
        <v>58</v>
      </c>
      <c r="P197" s="190" t="s">
        <v>1418</v>
      </c>
      <c r="Q197" s="18"/>
      <c r="R197" s="37"/>
      <c r="S197" s="15" t="s">
        <v>142</v>
      </c>
      <c r="T197" s="15" t="s">
        <v>141</v>
      </c>
      <c r="U197" s="15" t="s">
        <v>546</v>
      </c>
      <c r="V197" s="63">
        <v>27</v>
      </c>
      <c r="W197" s="18">
        <v>28</v>
      </c>
      <c r="X197" s="15">
        <f t="shared" si="48"/>
        <v>28</v>
      </c>
      <c r="Y197" s="15">
        <f>ROUNDDOWN(W197/HLOOKUP(D197,Table!$C$3:$D$4,2,0)*8,2)</f>
        <v>0.49</v>
      </c>
      <c r="Z197" s="15">
        <v>0.5</v>
      </c>
      <c r="AA197" s="15" t="s">
        <v>21</v>
      </c>
      <c r="AB197" s="19">
        <v>44151</v>
      </c>
      <c r="AC197" s="19">
        <v>44146</v>
      </c>
      <c r="AD197" s="216">
        <v>44151</v>
      </c>
      <c r="AE197" s="19">
        <v>44146</v>
      </c>
      <c r="AF197" s="19">
        <v>44146</v>
      </c>
      <c r="AG197" s="19" t="s">
        <v>130</v>
      </c>
      <c r="AH197" s="91">
        <v>1</v>
      </c>
      <c r="AI197" s="91">
        <v>1</v>
      </c>
      <c r="AJ197" s="91">
        <v>1</v>
      </c>
      <c r="AK197" s="19" t="s">
        <v>117</v>
      </c>
      <c r="AL197" s="17" t="s">
        <v>58</v>
      </c>
      <c r="AM197" s="17" t="s">
        <v>58</v>
      </c>
      <c r="AN197" s="17" t="s">
        <v>58</v>
      </c>
    </row>
    <row r="198" spans="2:40" x14ac:dyDescent="0.25">
      <c r="B198" s="95">
        <f t="shared" si="46"/>
        <v>139</v>
      </c>
      <c r="C198" s="16">
        <v>20201110</v>
      </c>
      <c r="D198" s="63" t="s">
        <v>3</v>
      </c>
      <c r="E198" s="62" t="s">
        <v>1401</v>
      </c>
      <c r="F198" s="104" t="s">
        <v>1436</v>
      </c>
      <c r="G198" s="63">
        <v>1751113</v>
      </c>
      <c r="H198" s="37" t="s">
        <v>58</v>
      </c>
      <c r="I198" s="63" t="s">
        <v>1409</v>
      </c>
      <c r="J198" s="124" t="s">
        <v>58</v>
      </c>
      <c r="K198" s="15" t="s">
        <v>165</v>
      </c>
      <c r="L198" s="134" t="s">
        <v>117</v>
      </c>
      <c r="M198" s="63" t="s">
        <v>475</v>
      </c>
      <c r="N198" s="63" t="s">
        <v>1422</v>
      </c>
      <c r="O198" s="62" t="s">
        <v>58</v>
      </c>
      <c r="P198" s="190" t="s">
        <v>1418</v>
      </c>
      <c r="Q198" s="18"/>
      <c r="R198" s="37"/>
      <c r="S198" s="15" t="s">
        <v>142</v>
      </c>
      <c r="T198" s="15" t="s">
        <v>141</v>
      </c>
      <c r="U198" s="15" t="s">
        <v>546</v>
      </c>
      <c r="V198" s="63">
        <v>71</v>
      </c>
      <c r="W198" s="18">
        <v>94</v>
      </c>
      <c r="X198" s="15">
        <f t="shared" si="48"/>
        <v>94</v>
      </c>
      <c r="Y198" s="15">
        <f>ROUNDDOWN(W198/HLOOKUP(D198,Table!$C$3:$D$4,2,0)*8,2)</f>
        <v>1.67</v>
      </c>
      <c r="Z198" s="15">
        <v>1</v>
      </c>
      <c r="AA198" s="15" t="s">
        <v>21</v>
      </c>
      <c r="AB198" s="19">
        <v>44151</v>
      </c>
      <c r="AC198" s="19">
        <v>44146</v>
      </c>
      <c r="AD198" s="216">
        <v>44151</v>
      </c>
      <c r="AE198" s="19">
        <v>44146</v>
      </c>
      <c r="AF198" s="19">
        <v>44146</v>
      </c>
      <c r="AG198" s="19" t="s">
        <v>130</v>
      </c>
      <c r="AH198" s="91">
        <v>1</v>
      </c>
      <c r="AI198" s="91">
        <v>1</v>
      </c>
      <c r="AJ198" s="91">
        <v>1</v>
      </c>
      <c r="AK198" s="19" t="s">
        <v>117</v>
      </c>
      <c r="AL198" s="17" t="s">
        <v>58</v>
      </c>
      <c r="AM198" s="17" t="s">
        <v>58</v>
      </c>
      <c r="AN198" s="17" t="s">
        <v>58</v>
      </c>
    </row>
    <row r="199" spans="2:40" x14ac:dyDescent="0.25">
      <c r="B199" s="95">
        <f t="shared" si="46"/>
        <v>140</v>
      </c>
      <c r="C199" s="16">
        <v>20201110</v>
      </c>
      <c r="D199" s="63" t="s">
        <v>3</v>
      </c>
      <c r="E199" s="62" t="s">
        <v>1401</v>
      </c>
      <c r="F199" s="104" t="s">
        <v>1437</v>
      </c>
      <c r="G199" s="63">
        <v>1751113</v>
      </c>
      <c r="H199" s="37" t="s">
        <v>58</v>
      </c>
      <c r="I199" s="63" t="s">
        <v>1410</v>
      </c>
      <c r="J199" s="124" t="s">
        <v>58</v>
      </c>
      <c r="K199" s="15" t="s">
        <v>165</v>
      </c>
      <c r="L199" s="134" t="s">
        <v>117</v>
      </c>
      <c r="M199" s="63" t="s">
        <v>475</v>
      </c>
      <c r="N199" s="63" t="s">
        <v>1422</v>
      </c>
      <c r="O199" s="62" t="s">
        <v>58</v>
      </c>
      <c r="P199" s="190" t="s">
        <v>1418</v>
      </c>
      <c r="Q199" s="18"/>
      <c r="R199" s="37"/>
      <c r="S199" s="15" t="s">
        <v>142</v>
      </c>
      <c r="T199" s="15" t="s">
        <v>141</v>
      </c>
      <c r="U199" s="15" t="s">
        <v>546</v>
      </c>
      <c r="V199" s="63">
        <v>102</v>
      </c>
      <c r="W199" s="18">
        <v>94</v>
      </c>
      <c r="X199" s="15">
        <f t="shared" si="48"/>
        <v>94</v>
      </c>
      <c r="Y199" s="15">
        <f>ROUNDDOWN(W199/HLOOKUP(D199,Table!$C$3:$D$4,2,0)*8,2)</f>
        <v>1.67</v>
      </c>
      <c r="Z199" s="15">
        <v>1</v>
      </c>
      <c r="AA199" s="15" t="s">
        <v>21</v>
      </c>
      <c r="AB199" s="19">
        <v>44151</v>
      </c>
      <c r="AC199" s="19">
        <v>44146</v>
      </c>
      <c r="AD199" s="216">
        <v>44151</v>
      </c>
      <c r="AE199" s="19">
        <v>44146</v>
      </c>
      <c r="AF199" s="19">
        <v>44146</v>
      </c>
      <c r="AG199" s="19" t="s">
        <v>130</v>
      </c>
      <c r="AH199" s="91">
        <v>1</v>
      </c>
      <c r="AI199" s="91">
        <v>1</v>
      </c>
      <c r="AJ199" s="91">
        <v>1</v>
      </c>
      <c r="AK199" s="19" t="s">
        <v>117</v>
      </c>
      <c r="AL199" s="17" t="s">
        <v>58</v>
      </c>
      <c r="AM199" s="17" t="s">
        <v>58</v>
      </c>
      <c r="AN199" s="17" t="s">
        <v>58</v>
      </c>
    </row>
    <row r="200" spans="2:40" x14ac:dyDescent="0.25">
      <c r="B200" s="95">
        <f t="shared" si="46"/>
        <v>141</v>
      </c>
      <c r="C200" s="16">
        <v>20201110</v>
      </c>
      <c r="D200" s="63" t="s">
        <v>3</v>
      </c>
      <c r="E200" s="62" t="s">
        <v>1402</v>
      </c>
      <c r="F200" s="104" t="s">
        <v>1430</v>
      </c>
      <c r="G200" s="63">
        <v>1774196</v>
      </c>
      <c r="H200" s="37" t="s">
        <v>58</v>
      </c>
      <c r="I200" s="63" t="s">
        <v>664</v>
      </c>
      <c r="J200" s="124" t="s">
        <v>58</v>
      </c>
      <c r="K200" s="15" t="s">
        <v>165</v>
      </c>
      <c r="L200" s="217" t="s">
        <v>1413</v>
      </c>
      <c r="M200" s="63" t="s">
        <v>624</v>
      </c>
      <c r="N200" s="63" t="s">
        <v>1423</v>
      </c>
      <c r="O200" s="62" t="s">
        <v>58</v>
      </c>
      <c r="P200" s="190" t="s">
        <v>1419</v>
      </c>
      <c r="Q200" s="18"/>
      <c r="R200" s="37"/>
      <c r="S200" s="15" t="s">
        <v>143</v>
      </c>
      <c r="T200" s="15" t="s">
        <v>152</v>
      </c>
      <c r="U200" s="15" t="s">
        <v>546</v>
      </c>
      <c r="V200" s="63">
        <v>265</v>
      </c>
      <c r="W200" s="16">
        <f>V200</f>
        <v>265</v>
      </c>
      <c r="X200" s="15">
        <f t="shared" si="48"/>
        <v>265</v>
      </c>
      <c r="Y200" s="15">
        <f>ROUNDDOWN(W200/HLOOKUP(D200,Table!$C$3:$D$4,2,0)*8,2)</f>
        <v>4.71</v>
      </c>
      <c r="Z200" s="15">
        <f>Y200</f>
        <v>4.71</v>
      </c>
      <c r="AA200" s="15" t="s">
        <v>21</v>
      </c>
      <c r="AB200" s="19">
        <v>44146</v>
      </c>
      <c r="AC200" s="19">
        <v>44146</v>
      </c>
      <c r="AD200" s="70">
        <v>44146</v>
      </c>
      <c r="AE200" s="19">
        <v>44146</v>
      </c>
      <c r="AF200" s="19">
        <v>44146</v>
      </c>
      <c r="AG200" s="19" t="s">
        <v>131</v>
      </c>
      <c r="AH200" s="91">
        <v>1</v>
      </c>
      <c r="AI200" s="91">
        <v>0.87</v>
      </c>
      <c r="AJ200" s="91">
        <v>0.93799999999999994</v>
      </c>
      <c r="AK200" s="19" t="s">
        <v>107</v>
      </c>
      <c r="AL200" s="17" t="s">
        <v>58</v>
      </c>
      <c r="AM200" s="17" t="s">
        <v>58</v>
      </c>
      <c r="AN200" s="175" t="s">
        <v>1453</v>
      </c>
    </row>
    <row r="201" spans="2:40" x14ac:dyDescent="0.25">
      <c r="B201" s="95">
        <f t="shared" si="46"/>
        <v>142</v>
      </c>
      <c r="C201" s="16">
        <v>20201110</v>
      </c>
      <c r="D201" s="63" t="s">
        <v>3</v>
      </c>
      <c r="E201" s="62" t="s">
        <v>1403</v>
      </c>
      <c r="F201" s="104" t="s">
        <v>1426</v>
      </c>
      <c r="G201" s="63">
        <v>1775164</v>
      </c>
      <c r="H201" s="37" t="s">
        <v>58</v>
      </c>
      <c r="I201" s="63" t="s">
        <v>1411</v>
      </c>
      <c r="J201" s="124" t="s">
        <v>58</v>
      </c>
      <c r="K201" s="15" t="s">
        <v>165</v>
      </c>
      <c r="L201" s="217" t="s">
        <v>1414</v>
      </c>
      <c r="M201" s="63" t="s">
        <v>1412</v>
      </c>
      <c r="N201" s="63" t="s">
        <v>1424</v>
      </c>
      <c r="O201" s="62" t="s">
        <v>58</v>
      </c>
      <c r="P201" s="190" t="s">
        <v>1420</v>
      </c>
      <c r="Q201" s="18"/>
      <c r="R201" s="37"/>
      <c r="S201" s="15" t="s">
        <v>64</v>
      </c>
      <c r="T201" s="16" t="s">
        <v>143</v>
      </c>
      <c r="U201" s="15" t="s">
        <v>546</v>
      </c>
      <c r="V201" s="63">
        <v>251</v>
      </c>
      <c r="W201" s="166">
        <v>635</v>
      </c>
      <c r="X201" s="15">
        <f t="shared" si="48"/>
        <v>635</v>
      </c>
      <c r="Y201" s="15">
        <f>ROUNDDOWN(W201/HLOOKUP(D201,Table!$C$3:$D$4,2,0)*8,2)</f>
        <v>11.28</v>
      </c>
      <c r="Z201" s="15">
        <v>12</v>
      </c>
      <c r="AA201" s="16" t="s">
        <v>21</v>
      </c>
      <c r="AB201" s="19">
        <v>44147</v>
      </c>
      <c r="AC201" s="19">
        <v>44146</v>
      </c>
      <c r="AD201" s="19">
        <v>44147</v>
      </c>
      <c r="AE201" s="19">
        <v>44146</v>
      </c>
      <c r="AF201" s="19">
        <v>44146</v>
      </c>
      <c r="AG201" s="19" t="s">
        <v>130</v>
      </c>
      <c r="AH201" s="91">
        <v>1</v>
      </c>
      <c r="AI201" s="91">
        <v>1</v>
      </c>
      <c r="AJ201" s="91">
        <v>1</v>
      </c>
      <c r="AK201" s="19" t="s">
        <v>117</v>
      </c>
      <c r="AL201" s="17" t="s">
        <v>1455</v>
      </c>
      <c r="AM201" s="17" t="s">
        <v>58</v>
      </c>
      <c r="AN201" s="17" t="s">
        <v>1432</v>
      </c>
    </row>
    <row r="202" spans="2:40" x14ac:dyDescent="0.25">
      <c r="B202" s="95">
        <f t="shared" si="46"/>
        <v>143</v>
      </c>
      <c r="C202" s="16">
        <v>20201110</v>
      </c>
      <c r="D202" s="63" t="s">
        <v>3</v>
      </c>
      <c r="E202" s="62" t="s">
        <v>1404</v>
      </c>
      <c r="F202" s="104" t="s">
        <v>1426</v>
      </c>
      <c r="G202" s="63">
        <v>1775175</v>
      </c>
      <c r="H202" s="37" t="s">
        <v>58</v>
      </c>
      <c r="I202" s="63" t="s">
        <v>1411</v>
      </c>
      <c r="J202" s="124" t="s">
        <v>58</v>
      </c>
      <c r="K202" s="15" t="s">
        <v>165</v>
      </c>
      <c r="L202" s="217" t="s">
        <v>1414</v>
      </c>
      <c r="M202" s="63" t="s">
        <v>1412</v>
      </c>
      <c r="N202" s="63" t="s">
        <v>1425</v>
      </c>
      <c r="O202" s="62" t="s">
        <v>58</v>
      </c>
      <c r="P202" s="190" t="s">
        <v>1420</v>
      </c>
      <c r="Q202" s="18"/>
      <c r="R202" s="37"/>
      <c r="S202" s="15" t="s">
        <v>64</v>
      </c>
      <c r="T202" s="16" t="s">
        <v>143</v>
      </c>
      <c r="U202" s="15" t="s">
        <v>546</v>
      </c>
      <c r="V202" s="63">
        <v>251</v>
      </c>
      <c r="W202" s="166">
        <v>635</v>
      </c>
      <c r="X202" s="15">
        <f t="shared" si="48"/>
        <v>635</v>
      </c>
      <c r="Y202" s="15">
        <f>ROUNDDOWN(W202/HLOOKUP(D202,Table!$C$3:$D$4,2,0)*8,2)</f>
        <v>11.28</v>
      </c>
      <c r="Z202" s="15">
        <v>12</v>
      </c>
      <c r="AA202" s="16" t="s">
        <v>21</v>
      </c>
      <c r="AB202" s="19">
        <v>44147</v>
      </c>
      <c r="AC202" s="19">
        <v>44146</v>
      </c>
      <c r="AD202" s="70">
        <v>44146</v>
      </c>
      <c r="AE202" s="19">
        <v>44146</v>
      </c>
      <c r="AF202" s="19">
        <v>44146</v>
      </c>
      <c r="AG202" s="19" t="s">
        <v>130</v>
      </c>
      <c r="AH202" s="91">
        <v>1</v>
      </c>
      <c r="AI202" s="91">
        <v>1</v>
      </c>
      <c r="AJ202" s="91">
        <v>1</v>
      </c>
      <c r="AK202" s="19" t="s">
        <v>117</v>
      </c>
      <c r="AL202" s="17" t="s">
        <v>1455</v>
      </c>
      <c r="AM202" s="17" t="s">
        <v>58</v>
      </c>
      <c r="AN202" s="17" t="s">
        <v>1432</v>
      </c>
    </row>
    <row r="203" spans="2:40" x14ac:dyDescent="0.25">
      <c r="B203" s="144">
        <f t="shared" si="46"/>
        <v>144</v>
      </c>
      <c r="C203" s="16">
        <v>20201111</v>
      </c>
      <c r="D203" s="63" t="s">
        <v>3</v>
      </c>
      <c r="E203" s="62" t="s">
        <v>1457</v>
      </c>
      <c r="F203" s="104" t="s">
        <v>1487</v>
      </c>
      <c r="G203" s="63">
        <v>1776539</v>
      </c>
      <c r="H203" s="37" t="s">
        <v>58</v>
      </c>
      <c r="I203" s="63" t="s">
        <v>1459</v>
      </c>
      <c r="J203" s="124" t="s">
        <v>58</v>
      </c>
      <c r="K203" s="15" t="s">
        <v>165</v>
      </c>
      <c r="L203" s="63" t="s">
        <v>1465</v>
      </c>
      <c r="M203" s="15" t="s">
        <v>1461</v>
      </c>
      <c r="N203" s="63" t="s">
        <v>768</v>
      </c>
      <c r="O203" s="62" t="s">
        <v>58</v>
      </c>
      <c r="P203" s="48" t="s">
        <v>1470</v>
      </c>
      <c r="Q203" s="18"/>
      <c r="R203" s="37"/>
      <c r="S203" s="15" t="s">
        <v>141</v>
      </c>
      <c r="T203" s="15" t="s">
        <v>64</v>
      </c>
      <c r="U203" s="15" t="s">
        <v>546</v>
      </c>
      <c r="V203" s="63">
        <v>582</v>
      </c>
      <c r="W203" s="16">
        <f>V203</f>
        <v>582</v>
      </c>
      <c r="X203" s="15">
        <f t="shared" si="48"/>
        <v>582</v>
      </c>
      <c r="Y203" s="15">
        <f>ROUNDDOWN(W203/HLOOKUP(D203,Table!$C$3:$D$4,2,0)*8,2)</f>
        <v>10.34</v>
      </c>
      <c r="Z203" s="15">
        <f>Y203</f>
        <v>10.34</v>
      </c>
      <c r="AA203" s="15" t="s">
        <v>21</v>
      </c>
      <c r="AB203" s="19">
        <v>44150</v>
      </c>
      <c r="AC203" s="19">
        <v>44146</v>
      </c>
      <c r="AD203" s="216">
        <v>44150</v>
      </c>
      <c r="AE203" s="19">
        <v>44147</v>
      </c>
      <c r="AF203" s="19">
        <v>44147</v>
      </c>
      <c r="AG203" s="19" t="s">
        <v>130</v>
      </c>
      <c r="AH203" s="91">
        <v>1</v>
      </c>
      <c r="AI203" s="91">
        <v>1</v>
      </c>
      <c r="AJ203" s="91">
        <v>1</v>
      </c>
      <c r="AK203" s="19" t="s">
        <v>117</v>
      </c>
      <c r="AL203" s="17" t="s">
        <v>58</v>
      </c>
      <c r="AM203" s="17" t="s">
        <v>58</v>
      </c>
      <c r="AN203" s="17" t="s">
        <v>58</v>
      </c>
    </row>
    <row r="204" spans="2:40" x14ac:dyDescent="0.25">
      <c r="B204" s="144">
        <f t="shared" si="46"/>
        <v>145</v>
      </c>
      <c r="C204" s="16">
        <v>20201111</v>
      </c>
      <c r="D204" s="63" t="s">
        <v>3</v>
      </c>
      <c r="E204" s="62" t="s">
        <v>1458</v>
      </c>
      <c r="F204" s="104" t="s">
        <v>1485</v>
      </c>
      <c r="G204" s="63">
        <v>1775130</v>
      </c>
      <c r="H204" s="37" t="s">
        <v>58</v>
      </c>
      <c r="I204" s="63" t="s">
        <v>1460</v>
      </c>
      <c r="J204" s="124" t="s">
        <v>58</v>
      </c>
      <c r="K204" s="15" t="s">
        <v>165</v>
      </c>
      <c r="L204" s="63" t="s">
        <v>1466</v>
      </c>
      <c r="M204" s="63" t="s">
        <v>1461</v>
      </c>
      <c r="N204" s="63" t="s">
        <v>1462</v>
      </c>
      <c r="O204" s="62" t="s">
        <v>58</v>
      </c>
      <c r="P204" s="48" t="s">
        <v>1471</v>
      </c>
      <c r="Q204" s="18"/>
      <c r="R204" s="37"/>
      <c r="S204" s="15" t="s">
        <v>141</v>
      </c>
      <c r="T204" s="15" t="s">
        <v>64</v>
      </c>
      <c r="U204" s="15" t="s">
        <v>546</v>
      </c>
      <c r="V204" s="63">
        <v>120</v>
      </c>
      <c r="W204" s="16">
        <f>V204+60</f>
        <v>180</v>
      </c>
      <c r="X204" s="15">
        <f t="shared" si="48"/>
        <v>180</v>
      </c>
      <c r="Y204" s="15">
        <f>ROUNDDOWN(W204/HLOOKUP(D204,Table!$C$3:$D$4,2,0)*8,2)</f>
        <v>3.2</v>
      </c>
      <c r="Z204" s="15">
        <f>Y204</f>
        <v>3.2</v>
      </c>
      <c r="AA204" s="15" t="s">
        <v>21</v>
      </c>
      <c r="AB204" s="19">
        <v>44151</v>
      </c>
      <c r="AC204" s="19">
        <v>44146</v>
      </c>
      <c r="AD204" s="216">
        <v>44148</v>
      </c>
      <c r="AE204" s="19">
        <v>44147</v>
      </c>
      <c r="AF204" s="19">
        <v>44147</v>
      </c>
      <c r="AG204" s="19" t="s">
        <v>130</v>
      </c>
      <c r="AH204" s="91">
        <v>1</v>
      </c>
      <c r="AI204" s="91">
        <v>1</v>
      </c>
      <c r="AJ204" s="91">
        <v>1</v>
      </c>
      <c r="AK204" s="19" t="s">
        <v>117</v>
      </c>
      <c r="AL204" s="17" t="s">
        <v>58</v>
      </c>
      <c r="AM204" s="17" t="s">
        <v>58</v>
      </c>
      <c r="AN204" s="17" t="s">
        <v>58</v>
      </c>
    </row>
    <row r="205" spans="2:40" x14ac:dyDescent="0.25">
      <c r="B205" s="144">
        <f t="shared" si="46"/>
        <v>146</v>
      </c>
      <c r="C205" s="16">
        <v>20201111</v>
      </c>
      <c r="D205" s="63" t="s">
        <v>3</v>
      </c>
      <c r="E205" s="62" t="s">
        <v>1463</v>
      </c>
      <c r="F205" s="104" t="s">
        <v>1475</v>
      </c>
      <c r="G205" s="63">
        <v>1777471</v>
      </c>
      <c r="H205" s="37" t="s">
        <v>58</v>
      </c>
      <c r="I205" s="63" t="s">
        <v>1467</v>
      </c>
      <c r="J205" s="124" t="s">
        <v>58</v>
      </c>
      <c r="K205" s="15" t="s">
        <v>165</v>
      </c>
      <c r="L205" s="63" t="s">
        <v>117</v>
      </c>
      <c r="M205" s="63" t="s">
        <v>1464</v>
      </c>
      <c r="N205" s="63" t="s">
        <v>1474</v>
      </c>
      <c r="O205" s="62" t="s">
        <v>58</v>
      </c>
      <c r="P205" s="48" t="s">
        <v>1472</v>
      </c>
      <c r="Q205" s="18"/>
      <c r="R205" s="37"/>
      <c r="S205" s="15" t="s">
        <v>143</v>
      </c>
      <c r="T205" s="15" t="s">
        <v>152</v>
      </c>
      <c r="U205" s="15" t="s">
        <v>546</v>
      </c>
      <c r="V205" s="219">
        <v>721</v>
      </c>
      <c r="W205" s="146">
        <v>2318</v>
      </c>
      <c r="X205" s="15">
        <f t="shared" si="48"/>
        <v>2318</v>
      </c>
      <c r="Y205" s="15">
        <f>ROUNDDOWN(W205/HLOOKUP(D205,Table!$C$3:$D$4,2,0)*8,2)</f>
        <v>41.2</v>
      </c>
      <c r="Z205" s="15">
        <f>Y205</f>
        <v>41.2</v>
      </c>
      <c r="AA205" s="15" t="s">
        <v>21</v>
      </c>
      <c r="AB205" s="19">
        <v>44151</v>
      </c>
      <c r="AC205" s="19">
        <v>44146</v>
      </c>
      <c r="AD205" s="216">
        <v>44151</v>
      </c>
      <c r="AE205" s="19">
        <v>44147</v>
      </c>
      <c r="AF205" s="19">
        <v>44151</v>
      </c>
      <c r="AG205" s="19" t="s">
        <v>131</v>
      </c>
      <c r="AH205" s="91">
        <v>1</v>
      </c>
      <c r="AI205" s="91">
        <v>1</v>
      </c>
      <c r="AJ205" s="91">
        <v>0.97</v>
      </c>
      <c r="AK205" s="19" t="s">
        <v>107</v>
      </c>
      <c r="AL205" s="17" t="s">
        <v>58</v>
      </c>
      <c r="AM205" s="17" t="s">
        <v>58</v>
      </c>
      <c r="AN205" s="224" t="s">
        <v>1589</v>
      </c>
    </row>
    <row r="206" spans="2:40" x14ac:dyDescent="0.25">
      <c r="B206" s="144">
        <f t="shared" si="46"/>
        <v>147</v>
      </c>
      <c r="C206" s="16">
        <v>20201111</v>
      </c>
      <c r="D206" s="63" t="s">
        <v>2</v>
      </c>
      <c r="E206" s="62" t="s">
        <v>1210</v>
      </c>
      <c r="F206" s="62" t="s">
        <v>58</v>
      </c>
      <c r="G206" s="63">
        <v>1772246</v>
      </c>
      <c r="H206" s="37" t="s">
        <v>58</v>
      </c>
      <c r="I206" s="63" t="s">
        <v>1468</v>
      </c>
      <c r="J206" s="124" t="s">
        <v>58</v>
      </c>
      <c r="K206" s="15" t="s">
        <v>165</v>
      </c>
      <c r="L206" s="63" t="s">
        <v>117</v>
      </c>
      <c r="M206" s="63" t="s">
        <v>1216</v>
      </c>
      <c r="N206" s="63" t="s">
        <v>1469</v>
      </c>
      <c r="O206" s="62">
        <v>1.4</v>
      </c>
      <c r="P206" s="48" t="s">
        <v>1473</v>
      </c>
      <c r="Q206" s="18"/>
      <c r="R206" s="37"/>
      <c r="S206" s="15" t="s">
        <v>152</v>
      </c>
      <c r="T206" s="15" t="s">
        <v>142</v>
      </c>
      <c r="U206" s="15" t="s">
        <v>546</v>
      </c>
      <c r="V206" s="219">
        <v>92</v>
      </c>
      <c r="W206" s="146">
        <v>103</v>
      </c>
      <c r="X206" s="15">
        <f>W206</f>
        <v>103</v>
      </c>
      <c r="Y206" s="15">
        <f>ROUNDDOWN(W206/HLOOKUP(D206,Table!$C$3:$D$4,2,0)*8,2)</f>
        <v>6.33</v>
      </c>
      <c r="Z206" s="15">
        <v>6</v>
      </c>
      <c r="AA206" s="15" t="s">
        <v>21</v>
      </c>
      <c r="AB206" s="19">
        <v>44151</v>
      </c>
      <c r="AC206" s="19">
        <v>44146</v>
      </c>
      <c r="AD206" s="216">
        <v>44151</v>
      </c>
      <c r="AE206" s="19">
        <v>44151</v>
      </c>
      <c r="AF206" s="19">
        <v>44151</v>
      </c>
      <c r="AG206" s="19" t="s">
        <v>130</v>
      </c>
      <c r="AH206" s="91">
        <v>1</v>
      </c>
      <c r="AI206" s="91">
        <v>1</v>
      </c>
      <c r="AJ206" s="91">
        <v>1</v>
      </c>
      <c r="AK206" s="19" t="s">
        <v>117</v>
      </c>
      <c r="AL206" s="17" t="s">
        <v>58</v>
      </c>
      <c r="AM206" s="17" t="s">
        <v>58</v>
      </c>
      <c r="AN206" s="17" t="s">
        <v>58</v>
      </c>
    </row>
    <row r="207" spans="2:40" x14ac:dyDescent="0.25">
      <c r="B207" s="220">
        <f t="shared" si="46"/>
        <v>148</v>
      </c>
      <c r="C207" s="16">
        <v>20201112</v>
      </c>
      <c r="D207" s="63" t="s">
        <v>3</v>
      </c>
      <c r="E207" s="62" t="s">
        <v>1488</v>
      </c>
      <c r="F207" s="104" t="s">
        <v>1608</v>
      </c>
      <c r="G207" s="63">
        <v>1737130</v>
      </c>
      <c r="H207" s="37" t="s">
        <v>58</v>
      </c>
      <c r="I207" s="63" t="s">
        <v>1492</v>
      </c>
      <c r="J207" s="124" t="s">
        <v>58</v>
      </c>
      <c r="K207" s="15"/>
      <c r="L207" s="63" t="s">
        <v>1559</v>
      </c>
      <c r="M207" s="15" t="s">
        <v>117</v>
      </c>
      <c r="N207" s="63" t="s">
        <v>1490</v>
      </c>
      <c r="O207" s="62" t="s">
        <v>58</v>
      </c>
      <c r="P207" s="190" t="s">
        <v>1553</v>
      </c>
      <c r="Q207" s="18"/>
      <c r="R207" s="37"/>
      <c r="S207" s="15" t="s">
        <v>152</v>
      </c>
      <c r="T207" s="15" t="s">
        <v>142</v>
      </c>
      <c r="U207" s="15" t="s">
        <v>546</v>
      </c>
      <c r="V207" s="63">
        <v>286</v>
      </c>
      <c r="W207" s="16">
        <f t="shared" ref="W207:W237" si="49">V207</f>
        <v>286</v>
      </c>
      <c r="X207" s="15">
        <f>W207</f>
        <v>286</v>
      </c>
      <c r="Y207" s="15">
        <f>ROUNDDOWN(W207/HLOOKUP(D207,Table!$C$3:$D$4,2,0)*8,2)</f>
        <v>5.08</v>
      </c>
      <c r="Z207" s="15">
        <v>2</v>
      </c>
      <c r="AA207" s="15" t="s">
        <v>21</v>
      </c>
      <c r="AB207" s="19">
        <v>44152</v>
      </c>
      <c r="AC207" s="19">
        <v>44148</v>
      </c>
      <c r="AD207" s="108">
        <v>44153</v>
      </c>
      <c r="AE207" s="19">
        <v>44152</v>
      </c>
      <c r="AF207" s="19">
        <v>44152</v>
      </c>
      <c r="AG207" s="19" t="s">
        <v>130</v>
      </c>
      <c r="AH207" s="91">
        <v>1</v>
      </c>
      <c r="AI207" s="91">
        <v>1</v>
      </c>
      <c r="AJ207" s="91">
        <v>1</v>
      </c>
      <c r="AK207" s="19" t="s">
        <v>117</v>
      </c>
      <c r="AL207" s="17" t="s">
        <v>58</v>
      </c>
      <c r="AM207" s="17" t="s">
        <v>58</v>
      </c>
      <c r="AN207" s="17" t="s">
        <v>58</v>
      </c>
    </row>
    <row r="208" spans="2:40" x14ac:dyDescent="0.25">
      <c r="B208" s="220">
        <f t="shared" si="46"/>
        <v>149</v>
      </c>
      <c r="C208" s="16">
        <v>20201112</v>
      </c>
      <c r="D208" s="63" t="s">
        <v>3</v>
      </c>
      <c r="E208" s="62" t="s">
        <v>1489</v>
      </c>
      <c r="F208" s="104" t="s">
        <v>1603</v>
      </c>
      <c r="G208" s="63">
        <v>1779273</v>
      </c>
      <c r="H208" s="37" t="s">
        <v>58</v>
      </c>
      <c r="I208" s="63" t="s">
        <v>177</v>
      </c>
      <c r="J208" s="124" t="s">
        <v>58</v>
      </c>
      <c r="K208" s="15"/>
      <c r="L208" s="63" t="s">
        <v>1560</v>
      </c>
      <c r="M208" s="63" t="s">
        <v>1158</v>
      </c>
      <c r="N208" s="63" t="s">
        <v>1491</v>
      </c>
      <c r="O208" s="62" t="s">
        <v>58</v>
      </c>
      <c r="P208" s="190" t="s">
        <v>1554</v>
      </c>
      <c r="Q208" s="18"/>
      <c r="R208" s="37"/>
      <c r="S208" s="15" t="s">
        <v>152</v>
      </c>
      <c r="T208" s="15"/>
      <c r="U208" s="15"/>
      <c r="V208" s="63">
        <v>280</v>
      </c>
      <c r="W208" s="146">
        <f>V208+5</f>
        <v>285</v>
      </c>
      <c r="X208" s="15">
        <f t="shared" ref="X208:X215" si="50">W208</f>
        <v>285</v>
      </c>
      <c r="Y208" s="15">
        <f>ROUNDDOWN(W208/HLOOKUP(D208,Table!$C$3:$D$4,2,0)*8,2)</f>
        <v>5.0599999999999996</v>
      </c>
      <c r="Z208" s="15">
        <f t="shared" ref="Z208:Z269" si="51">Y208</f>
        <v>5.0599999999999996</v>
      </c>
      <c r="AA208" s="15" t="s">
        <v>18</v>
      </c>
      <c r="AB208" s="19">
        <f>AD208</f>
        <v>44153</v>
      </c>
      <c r="AC208" s="19">
        <v>44148</v>
      </c>
      <c r="AD208" s="108">
        <v>44153</v>
      </c>
      <c r="AE208" s="19"/>
      <c r="AF208" s="19"/>
      <c r="AG208" s="19"/>
      <c r="AH208" s="91"/>
      <c r="AI208" s="91"/>
      <c r="AJ208" s="91"/>
      <c r="AK208" s="19"/>
      <c r="AL208" s="17" t="s">
        <v>58</v>
      </c>
      <c r="AM208" s="17" t="s">
        <v>58</v>
      </c>
      <c r="AN208" s="17" t="s">
        <v>58</v>
      </c>
    </row>
    <row r="209" spans="2:40" x14ac:dyDescent="0.25">
      <c r="B209" s="220">
        <f t="shared" si="46"/>
        <v>150</v>
      </c>
      <c r="C209" s="16">
        <v>20201112</v>
      </c>
      <c r="D209" s="63" t="s">
        <v>3</v>
      </c>
      <c r="E209" s="62" t="s">
        <v>1489</v>
      </c>
      <c r="F209" s="104" t="s">
        <v>1603</v>
      </c>
      <c r="G209" s="63">
        <v>1779273</v>
      </c>
      <c r="H209" s="37" t="s">
        <v>58</v>
      </c>
      <c r="I209" s="63" t="s">
        <v>1493</v>
      </c>
      <c r="J209" s="124" t="s">
        <v>58</v>
      </c>
      <c r="K209" s="15"/>
      <c r="L209" s="63" t="s">
        <v>1560</v>
      </c>
      <c r="M209" s="15" t="s">
        <v>1158</v>
      </c>
      <c r="N209" s="63" t="s">
        <v>1491</v>
      </c>
      <c r="O209" s="62" t="s">
        <v>58</v>
      </c>
      <c r="P209" s="190" t="s">
        <v>1554</v>
      </c>
      <c r="Q209" s="18"/>
      <c r="R209" s="37"/>
      <c r="S209" s="15" t="s">
        <v>152</v>
      </c>
      <c r="T209" s="15"/>
      <c r="U209" s="15"/>
      <c r="V209" s="63">
        <v>23</v>
      </c>
      <c r="W209" s="16">
        <f t="shared" si="49"/>
        <v>23</v>
      </c>
      <c r="X209" s="15">
        <f t="shared" si="50"/>
        <v>23</v>
      </c>
      <c r="Y209" s="15">
        <f>ROUNDDOWN(W209/HLOOKUP(D209,Table!$C$3:$D$4,2,0)*8,2)</f>
        <v>0.4</v>
      </c>
      <c r="Z209" s="15">
        <f t="shared" si="51"/>
        <v>0.4</v>
      </c>
      <c r="AA209" s="15" t="s">
        <v>18</v>
      </c>
      <c r="AB209" s="19">
        <f t="shared" ref="AB209:AB269" si="52">AD209</f>
        <v>44153</v>
      </c>
      <c r="AC209" s="19">
        <v>44148</v>
      </c>
      <c r="AD209" s="108">
        <v>44153</v>
      </c>
      <c r="AE209" s="19"/>
      <c r="AF209" s="19"/>
      <c r="AG209" s="19"/>
      <c r="AH209" s="91"/>
      <c r="AI209" s="91"/>
      <c r="AJ209" s="91"/>
      <c r="AK209" s="19"/>
      <c r="AL209" s="17" t="s">
        <v>58</v>
      </c>
      <c r="AM209" s="17" t="s">
        <v>58</v>
      </c>
      <c r="AN209" s="17" t="s">
        <v>58</v>
      </c>
    </row>
    <row r="210" spans="2:40" x14ac:dyDescent="0.25">
      <c r="B210" s="220">
        <f t="shared" si="46"/>
        <v>151</v>
      </c>
      <c r="C210" s="16">
        <v>20201112</v>
      </c>
      <c r="D210" s="63" t="s">
        <v>3</v>
      </c>
      <c r="E210" s="62" t="s">
        <v>1489</v>
      </c>
      <c r="F210" s="104" t="s">
        <v>1603</v>
      </c>
      <c r="G210" s="63">
        <v>1779273</v>
      </c>
      <c r="H210" s="37" t="s">
        <v>58</v>
      </c>
      <c r="I210" s="63" t="s">
        <v>1494</v>
      </c>
      <c r="J210" s="124" t="s">
        <v>58</v>
      </c>
      <c r="K210" s="15"/>
      <c r="L210" s="63" t="s">
        <v>1560</v>
      </c>
      <c r="M210" s="15" t="s">
        <v>1158</v>
      </c>
      <c r="N210" s="63" t="s">
        <v>1491</v>
      </c>
      <c r="O210" s="62" t="s">
        <v>58</v>
      </c>
      <c r="P210" s="190" t="s">
        <v>1555</v>
      </c>
      <c r="Q210" s="18"/>
      <c r="R210" s="37"/>
      <c r="S210" s="15" t="s">
        <v>152</v>
      </c>
      <c r="T210" s="15"/>
      <c r="U210" s="15"/>
      <c r="V210" s="63">
        <v>27</v>
      </c>
      <c r="W210" s="16">
        <f t="shared" si="49"/>
        <v>27</v>
      </c>
      <c r="X210" s="15">
        <f t="shared" si="50"/>
        <v>27</v>
      </c>
      <c r="Y210" s="15">
        <f>ROUNDDOWN(W210/HLOOKUP(D210,Table!$C$3:$D$4,2,0)*8,2)</f>
        <v>0.48</v>
      </c>
      <c r="Z210" s="15">
        <f t="shared" si="51"/>
        <v>0.48</v>
      </c>
      <c r="AA210" s="15" t="s">
        <v>18</v>
      </c>
      <c r="AB210" s="19">
        <f t="shared" si="52"/>
        <v>44153</v>
      </c>
      <c r="AC210" s="19">
        <v>44148</v>
      </c>
      <c r="AD210" s="108">
        <v>44153</v>
      </c>
      <c r="AE210" s="19"/>
      <c r="AF210" s="19"/>
      <c r="AG210" s="19"/>
      <c r="AH210" s="91"/>
      <c r="AI210" s="91"/>
      <c r="AJ210" s="91"/>
      <c r="AK210" s="19"/>
      <c r="AL210" s="17" t="s">
        <v>58</v>
      </c>
      <c r="AM210" s="17" t="s">
        <v>58</v>
      </c>
      <c r="AN210" s="17" t="s">
        <v>58</v>
      </c>
    </row>
    <row r="211" spans="2:40" x14ac:dyDescent="0.25">
      <c r="B211" s="220">
        <f t="shared" si="46"/>
        <v>152</v>
      </c>
      <c r="C211" s="16">
        <v>20201112</v>
      </c>
      <c r="D211" s="63" t="s">
        <v>3</v>
      </c>
      <c r="E211" s="62" t="s">
        <v>1489</v>
      </c>
      <c r="F211" s="104" t="s">
        <v>1605</v>
      </c>
      <c r="G211" s="63">
        <v>1779273</v>
      </c>
      <c r="H211" s="37" t="s">
        <v>58</v>
      </c>
      <c r="I211" s="63" t="s">
        <v>1495</v>
      </c>
      <c r="J211" s="124" t="s">
        <v>58</v>
      </c>
      <c r="K211" s="15"/>
      <c r="L211" s="63" t="s">
        <v>1560</v>
      </c>
      <c r="M211" s="15" t="s">
        <v>1158</v>
      </c>
      <c r="N211" s="63" t="s">
        <v>1491</v>
      </c>
      <c r="O211" s="62" t="s">
        <v>58</v>
      </c>
      <c r="P211" s="190" t="s">
        <v>1556</v>
      </c>
      <c r="Q211" s="18"/>
      <c r="R211" s="37"/>
      <c r="S211" s="15" t="s">
        <v>152</v>
      </c>
      <c r="T211" s="15"/>
      <c r="U211" s="15"/>
      <c r="V211" s="63">
        <v>84</v>
      </c>
      <c r="W211" s="16">
        <f t="shared" si="49"/>
        <v>84</v>
      </c>
      <c r="X211" s="15">
        <f t="shared" si="50"/>
        <v>84</v>
      </c>
      <c r="Y211" s="15">
        <f>ROUNDDOWN(W211/HLOOKUP(D211,Table!$C$3:$D$4,2,0)*8,2)</f>
        <v>1.49</v>
      </c>
      <c r="Z211" s="15">
        <f t="shared" si="51"/>
        <v>1.49</v>
      </c>
      <c r="AA211" s="15" t="s">
        <v>18</v>
      </c>
      <c r="AB211" s="19">
        <f t="shared" si="52"/>
        <v>44153</v>
      </c>
      <c r="AC211" s="19">
        <v>44148</v>
      </c>
      <c r="AD211" s="108">
        <v>44153</v>
      </c>
      <c r="AE211" s="19"/>
      <c r="AF211" s="19"/>
      <c r="AG211" s="19"/>
      <c r="AH211" s="91"/>
      <c r="AI211" s="91"/>
      <c r="AJ211" s="91"/>
      <c r="AK211" s="19"/>
      <c r="AL211" s="17" t="s">
        <v>58</v>
      </c>
      <c r="AM211" s="17" t="s">
        <v>58</v>
      </c>
      <c r="AN211" s="17" t="s">
        <v>58</v>
      </c>
    </row>
    <row r="212" spans="2:40" x14ac:dyDescent="0.25">
      <c r="B212" s="220">
        <f t="shared" si="46"/>
        <v>153</v>
      </c>
      <c r="C212" s="16">
        <v>20201112</v>
      </c>
      <c r="D212" s="63" t="s">
        <v>3</v>
      </c>
      <c r="E212" s="62" t="s">
        <v>1489</v>
      </c>
      <c r="F212" s="104" t="s">
        <v>1606</v>
      </c>
      <c r="G212" s="63">
        <v>1779273</v>
      </c>
      <c r="H212" s="37" t="s">
        <v>58</v>
      </c>
      <c r="I212" s="63" t="s">
        <v>1496</v>
      </c>
      <c r="J212" s="124" t="s">
        <v>58</v>
      </c>
      <c r="K212" s="15"/>
      <c r="L212" s="63" t="s">
        <v>1560</v>
      </c>
      <c r="M212" s="15" t="s">
        <v>1158</v>
      </c>
      <c r="N212" s="63" t="s">
        <v>1491</v>
      </c>
      <c r="O212" s="62" t="s">
        <v>58</v>
      </c>
      <c r="P212" s="190" t="s">
        <v>1554</v>
      </c>
      <c r="Q212" s="18"/>
      <c r="R212" s="37"/>
      <c r="S212" s="15" t="s">
        <v>152</v>
      </c>
      <c r="T212" s="15"/>
      <c r="U212" s="15"/>
      <c r="V212" s="63">
        <v>32</v>
      </c>
      <c r="W212" s="16">
        <f t="shared" si="49"/>
        <v>32</v>
      </c>
      <c r="X212" s="15">
        <f t="shared" si="50"/>
        <v>32</v>
      </c>
      <c r="Y212" s="15">
        <f>ROUNDDOWN(W212/HLOOKUP(D212,Table!$C$3:$D$4,2,0)*8,2)</f>
        <v>0.56000000000000005</v>
      </c>
      <c r="Z212" s="15">
        <f t="shared" si="51"/>
        <v>0.56000000000000005</v>
      </c>
      <c r="AA212" s="15" t="s">
        <v>18</v>
      </c>
      <c r="AB212" s="19">
        <f t="shared" si="52"/>
        <v>44153</v>
      </c>
      <c r="AC212" s="19">
        <v>44148</v>
      </c>
      <c r="AD212" s="108">
        <v>44153</v>
      </c>
      <c r="AE212" s="19"/>
      <c r="AF212" s="19"/>
      <c r="AG212" s="19"/>
      <c r="AH212" s="91"/>
      <c r="AI212" s="91"/>
      <c r="AJ212" s="91"/>
      <c r="AK212" s="19"/>
      <c r="AL212" s="17" t="s">
        <v>58</v>
      </c>
      <c r="AM212" s="17" t="s">
        <v>58</v>
      </c>
      <c r="AN212" s="17" t="s">
        <v>58</v>
      </c>
    </row>
    <row r="213" spans="2:40" x14ac:dyDescent="0.25">
      <c r="B213" s="220">
        <f t="shared" si="46"/>
        <v>154</v>
      </c>
      <c r="C213" s="16">
        <v>20201112</v>
      </c>
      <c r="D213" s="63" t="s">
        <v>3</v>
      </c>
      <c r="E213" s="62" t="s">
        <v>1489</v>
      </c>
      <c r="F213" s="104" t="s">
        <v>1587</v>
      </c>
      <c r="G213" s="63">
        <v>1779273</v>
      </c>
      <c r="H213" s="37" t="s">
        <v>58</v>
      </c>
      <c r="I213" s="63" t="s">
        <v>1139</v>
      </c>
      <c r="J213" s="124" t="s">
        <v>58</v>
      </c>
      <c r="K213" s="15"/>
      <c r="L213" s="63" t="s">
        <v>1560</v>
      </c>
      <c r="M213" s="15" t="s">
        <v>1158</v>
      </c>
      <c r="N213" s="63" t="s">
        <v>1491</v>
      </c>
      <c r="O213" s="62" t="s">
        <v>58</v>
      </c>
      <c r="P213" s="190" t="s">
        <v>1556</v>
      </c>
      <c r="Q213" s="18"/>
      <c r="R213" s="37"/>
      <c r="S213" s="15" t="s">
        <v>152</v>
      </c>
      <c r="T213" s="15"/>
      <c r="U213" s="15"/>
      <c r="V213" s="63">
        <v>109</v>
      </c>
      <c r="W213" s="16">
        <f t="shared" si="49"/>
        <v>109</v>
      </c>
      <c r="X213" s="15">
        <f t="shared" si="50"/>
        <v>109</v>
      </c>
      <c r="Y213" s="15">
        <f>ROUNDDOWN(W213/HLOOKUP(D213,Table!$C$3:$D$4,2,0)*8,2)</f>
        <v>1.93</v>
      </c>
      <c r="Z213" s="15">
        <f t="shared" si="51"/>
        <v>1.93</v>
      </c>
      <c r="AA213" s="15" t="s">
        <v>18</v>
      </c>
      <c r="AB213" s="19">
        <f t="shared" si="52"/>
        <v>44153</v>
      </c>
      <c r="AC213" s="19">
        <v>44148</v>
      </c>
      <c r="AD213" s="108">
        <v>44153</v>
      </c>
      <c r="AE213" s="19"/>
      <c r="AF213" s="19"/>
      <c r="AG213" s="19"/>
      <c r="AH213" s="91"/>
      <c r="AI213" s="91"/>
      <c r="AJ213" s="91"/>
      <c r="AK213" s="19"/>
      <c r="AL213" s="17" t="s">
        <v>58</v>
      </c>
      <c r="AM213" s="17" t="s">
        <v>58</v>
      </c>
      <c r="AN213" s="17" t="s">
        <v>58</v>
      </c>
    </row>
    <row r="214" spans="2:40" x14ac:dyDescent="0.25">
      <c r="B214" s="220">
        <f t="shared" si="46"/>
        <v>155</v>
      </c>
      <c r="C214" s="16">
        <v>20201112</v>
      </c>
      <c r="D214" s="63" t="s">
        <v>3</v>
      </c>
      <c r="E214" s="62" t="s">
        <v>1489</v>
      </c>
      <c r="F214" s="104" t="s">
        <v>1587</v>
      </c>
      <c r="G214" s="63">
        <v>1779273</v>
      </c>
      <c r="H214" s="37" t="s">
        <v>58</v>
      </c>
      <c r="I214" s="63" t="s">
        <v>1497</v>
      </c>
      <c r="J214" s="124" t="s">
        <v>58</v>
      </c>
      <c r="K214" s="15"/>
      <c r="L214" s="63" t="s">
        <v>1560</v>
      </c>
      <c r="M214" s="15" t="s">
        <v>1158</v>
      </c>
      <c r="N214" s="63" t="s">
        <v>1491</v>
      </c>
      <c r="O214" s="62" t="s">
        <v>58</v>
      </c>
      <c r="P214" s="190" t="s">
        <v>1554</v>
      </c>
      <c r="Q214" s="18"/>
      <c r="R214" s="37"/>
      <c r="S214" s="15" t="s">
        <v>152</v>
      </c>
      <c r="T214" s="15"/>
      <c r="U214" s="15"/>
      <c r="V214" s="63">
        <v>205</v>
      </c>
      <c r="W214" s="16">
        <f t="shared" si="49"/>
        <v>205</v>
      </c>
      <c r="X214" s="15">
        <f t="shared" si="50"/>
        <v>205</v>
      </c>
      <c r="Y214" s="15">
        <f>ROUNDDOWN(W214/HLOOKUP(D214,Table!$C$3:$D$4,2,0)*8,2)</f>
        <v>3.64</v>
      </c>
      <c r="Z214" s="15">
        <f t="shared" si="51"/>
        <v>3.64</v>
      </c>
      <c r="AA214" s="15" t="s">
        <v>18</v>
      </c>
      <c r="AB214" s="19">
        <f t="shared" si="52"/>
        <v>44153</v>
      </c>
      <c r="AC214" s="19">
        <v>44148</v>
      </c>
      <c r="AD214" s="108">
        <v>44153</v>
      </c>
      <c r="AE214" s="19"/>
      <c r="AF214" s="19"/>
      <c r="AG214" s="19"/>
      <c r="AH214" s="91"/>
      <c r="AI214" s="91"/>
      <c r="AJ214" s="91"/>
      <c r="AK214" s="19"/>
      <c r="AL214" s="17" t="s">
        <v>58</v>
      </c>
      <c r="AM214" s="17" t="s">
        <v>58</v>
      </c>
      <c r="AN214" s="17" t="s">
        <v>58</v>
      </c>
    </row>
    <row r="215" spans="2:40" x14ac:dyDescent="0.25">
      <c r="B215" s="220">
        <f t="shared" si="46"/>
        <v>156</v>
      </c>
      <c r="C215" s="16">
        <v>20201112</v>
      </c>
      <c r="D215" s="63" t="s">
        <v>3</v>
      </c>
      <c r="E215" s="62" t="s">
        <v>1489</v>
      </c>
      <c r="F215" s="104" t="s">
        <v>1587</v>
      </c>
      <c r="G215" s="63">
        <v>1779273</v>
      </c>
      <c r="H215" s="37" t="s">
        <v>58</v>
      </c>
      <c r="I215" s="63" t="s">
        <v>1498</v>
      </c>
      <c r="J215" s="124" t="s">
        <v>58</v>
      </c>
      <c r="K215" s="15"/>
      <c r="L215" s="63" t="s">
        <v>1560</v>
      </c>
      <c r="M215" s="15" t="s">
        <v>1158</v>
      </c>
      <c r="N215" s="63" t="s">
        <v>1491</v>
      </c>
      <c r="O215" s="62" t="s">
        <v>58</v>
      </c>
      <c r="P215" s="190" t="s">
        <v>1556</v>
      </c>
      <c r="Q215" s="18"/>
      <c r="R215" s="37"/>
      <c r="S215" s="15" t="s">
        <v>152</v>
      </c>
      <c r="T215" s="15"/>
      <c r="U215" s="15"/>
      <c r="V215" s="63">
        <v>108</v>
      </c>
      <c r="W215" s="16">
        <f t="shared" si="49"/>
        <v>108</v>
      </c>
      <c r="X215" s="15">
        <f t="shared" si="50"/>
        <v>108</v>
      </c>
      <c r="Y215" s="15">
        <f>ROUNDDOWN(W215/HLOOKUP(D215,Table!$C$3:$D$4,2,0)*8,2)</f>
        <v>1.92</v>
      </c>
      <c r="Z215" s="15">
        <f t="shared" si="51"/>
        <v>1.92</v>
      </c>
      <c r="AA215" s="15" t="s">
        <v>18</v>
      </c>
      <c r="AB215" s="19">
        <f t="shared" si="52"/>
        <v>44153</v>
      </c>
      <c r="AC215" s="19">
        <v>44148</v>
      </c>
      <c r="AD215" s="108">
        <v>44153</v>
      </c>
      <c r="AE215" s="19"/>
      <c r="AF215" s="19"/>
      <c r="AG215" s="19"/>
      <c r="AH215" s="91"/>
      <c r="AI215" s="91"/>
      <c r="AJ215" s="91"/>
      <c r="AK215" s="19"/>
      <c r="AL215" s="17" t="s">
        <v>58</v>
      </c>
      <c r="AM215" s="17" t="s">
        <v>58</v>
      </c>
      <c r="AN215" s="17" t="s">
        <v>58</v>
      </c>
    </row>
    <row r="216" spans="2:40" x14ac:dyDescent="0.25">
      <c r="B216" s="220">
        <f t="shared" ref="B216:B247" si="53">B215+1</f>
        <v>157</v>
      </c>
      <c r="C216" s="16">
        <v>20201112</v>
      </c>
      <c r="D216" s="63" t="s">
        <v>3</v>
      </c>
      <c r="E216" s="62" t="s">
        <v>1489</v>
      </c>
      <c r="F216" s="104" t="s">
        <v>1586</v>
      </c>
      <c r="G216" s="63">
        <v>1779273</v>
      </c>
      <c r="H216" s="37" t="s">
        <v>58</v>
      </c>
      <c r="I216" s="74" t="s">
        <v>1499</v>
      </c>
      <c r="J216" s="124" t="s">
        <v>58</v>
      </c>
      <c r="K216" s="15" t="s">
        <v>165</v>
      </c>
      <c r="L216" s="63" t="s">
        <v>1560</v>
      </c>
      <c r="M216" s="15" t="s">
        <v>1158</v>
      </c>
      <c r="N216" s="63" t="s">
        <v>1491</v>
      </c>
      <c r="O216" s="62" t="s">
        <v>58</v>
      </c>
      <c r="P216" s="190" t="s">
        <v>1554</v>
      </c>
      <c r="Q216" s="18"/>
      <c r="R216" s="37"/>
      <c r="S216" s="15" t="s">
        <v>142</v>
      </c>
      <c r="T216" s="15" t="s">
        <v>141</v>
      </c>
      <c r="U216" s="15"/>
      <c r="V216" s="63">
        <v>8</v>
      </c>
      <c r="W216" s="16">
        <v>8</v>
      </c>
      <c r="X216" s="15">
        <f>W216</f>
        <v>8</v>
      </c>
      <c r="Y216" s="15">
        <f>ROUNDDOWN(W216/HLOOKUP(D216,Table!$C$3:$D$4,2,0)*8,2)</f>
        <v>0.14000000000000001</v>
      </c>
      <c r="Z216" s="15">
        <f t="shared" si="51"/>
        <v>0.14000000000000001</v>
      </c>
      <c r="AA216" s="15" t="s">
        <v>18</v>
      </c>
      <c r="AB216" s="19">
        <f t="shared" si="52"/>
        <v>44153</v>
      </c>
      <c r="AC216" s="19">
        <v>44148</v>
      </c>
      <c r="AD216" s="108">
        <v>44153</v>
      </c>
      <c r="AE216" s="19">
        <v>44148</v>
      </c>
      <c r="AF216" s="19">
        <v>44148</v>
      </c>
      <c r="AG216" s="19" t="s">
        <v>130</v>
      </c>
      <c r="AH216" s="91">
        <v>1</v>
      </c>
      <c r="AI216" s="91">
        <v>1</v>
      </c>
      <c r="AJ216" s="91">
        <v>1</v>
      </c>
      <c r="AK216" s="19" t="s">
        <v>117</v>
      </c>
      <c r="AL216" s="17" t="s">
        <v>58</v>
      </c>
      <c r="AM216" s="17" t="s">
        <v>58</v>
      </c>
      <c r="AN216" s="17" t="s">
        <v>58</v>
      </c>
    </row>
    <row r="217" spans="2:40" x14ac:dyDescent="0.25">
      <c r="B217" s="220">
        <f t="shared" si="53"/>
        <v>158</v>
      </c>
      <c r="C217" s="16">
        <v>20201112</v>
      </c>
      <c r="D217" s="63" t="s">
        <v>3</v>
      </c>
      <c r="E217" s="62" t="s">
        <v>1489</v>
      </c>
      <c r="F217" s="104" t="s">
        <v>1571</v>
      </c>
      <c r="G217" s="63">
        <v>1779273</v>
      </c>
      <c r="H217" s="37" t="s">
        <v>58</v>
      </c>
      <c r="I217" s="63" t="s">
        <v>1500</v>
      </c>
      <c r="J217" s="124" t="s">
        <v>58</v>
      </c>
      <c r="K217" s="15" t="s">
        <v>165</v>
      </c>
      <c r="L217" s="63" t="s">
        <v>1560</v>
      </c>
      <c r="M217" s="15" t="s">
        <v>1158</v>
      </c>
      <c r="N217" s="63" t="s">
        <v>1491</v>
      </c>
      <c r="O217" s="62" t="s">
        <v>58</v>
      </c>
      <c r="P217" s="190" t="s">
        <v>1554</v>
      </c>
      <c r="Q217" s="18"/>
      <c r="R217" s="37"/>
      <c r="S217" s="15" t="s">
        <v>142</v>
      </c>
      <c r="T217" s="15" t="s">
        <v>141</v>
      </c>
      <c r="U217" s="15"/>
      <c r="V217" s="63">
        <v>53</v>
      </c>
      <c r="W217" s="16">
        <f t="shared" si="49"/>
        <v>53</v>
      </c>
      <c r="X217" s="15">
        <f>W217</f>
        <v>53</v>
      </c>
      <c r="Y217" s="15">
        <f>ROUNDDOWN(W217/HLOOKUP(D217,Table!$C$3:$D$4,2,0)*8,2)</f>
        <v>0.94</v>
      </c>
      <c r="Z217" s="15">
        <f t="shared" si="51"/>
        <v>0.94</v>
      </c>
      <c r="AA217" s="15" t="s">
        <v>18</v>
      </c>
      <c r="AB217" s="19">
        <f t="shared" si="52"/>
        <v>44153</v>
      </c>
      <c r="AC217" s="19">
        <v>44148</v>
      </c>
      <c r="AD217" s="108">
        <v>44153</v>
      </c>
      <c r="AE217" s="19">
        <v>44148</v>
      </c>
      <c r="AF217" s="19">
        <v>44148</v>
      </c>
      <c r="AG217" s="19" t="s">
        <v>130</v>
      </c>
      <c r="AH217" s="91">
        <v>1</v>
      </c>
      <c r="AI217" s="91">
        <v>1</v>
      </c>
      <c r="AJ217" s="91">
        <v>1</v>
      </c>
      <c r="AK217" s="19" t="s">
        <v>117</v>
      </c>
      <c r="AL217" s="17" t="s">
        <v>58</v>
      </c>
      <c r="AM217" s="17" t="s">
        <v>58</v>
      </c>
      <c r="AN217" s="17" t="s">
        <v>58</v>
      </c>
    </row>
    <row r="218" spans="2:40" x14ac:dyDescent="0.25">
      <c r="B218" s="220">
        <f t="shared" si="53"/>
        <v>159</v>
      </c>
      <c r="C218" s="16">
        <v>20201112</v>
      </c>
      <c r="D218" s="63" t="s">
        <v>3</v>
      </c>
      <c r="E218" s="62" t="s">
        <v>1489</v>
      </c>
      <c r="F218" s="104" t="s">
        <v>1572</v>
      </c>
      <c r="G218" s="63">
        <v>1779273</v>
      </c>
      <c r="H218" s="37" t="s">
        <v>58</v>
      </c>
      <c r="I218" s="174" t="s">
        <v>1501</v>
      </c>
      <c r="J218" s="124" t="s">
        <v>58</v>
      </c>
      <c r="K218" s="15" t="s">
        <v>165</v>
      </c>
      <c r="L218" s="63" t="s">
        <v>1560</v>
      </c>
      <c r="M218" s="15" t="s">
        <v>1158</v>
      </c>
      <c r="N218" s="63" t="s">
        <v>1491</v>
      </c>
      <c r="O218" s="62" t="s">
        <v>58</v>
      </c>
      <c r="P218" s="190" t="s">
        <v>1554</v>
      </c>
      <c r="Q218" s="18"/>
      <c r="R218" s="37"/>
      <c r="S218" s="15" t="s">
        <v>142</v>
      </c>
      <c r="T218" s="15" t="s">
        <v>141</v>
      </c>
      <c r="U218" s="15"/>
      <c r="V218" s="63">
        <v>8</v>
      </c>
      <c r="W218" s="18">
        <v>0</v>
      </c>
      <c r="X218" s="15">
        <f>W218</f>
        <v>0</v>
      </c>
      <c r="Y218" s="15">
        <f>ROUNDDOWN(W218/HLOOKUP(D218,Table!$C$3:$D$4,2,0)*8,2)</f>
        <v>0</v>
      </c>
      <c r="Z218" s="15">
        <f t="shared" si="51"/>
        <v>0</v>
      </c>
      <c r="AA218" s="15" t="s">
        <v>18</v>
      </c>
      <c r="AB218" s="19">
        <f t="shared" si="52"/>
        <v>44153</v>
      </c>
      <c r="AC218" s="19">
        <v>44148</v>
      </c>
      <c r="AD218" s="108">
        <v>44153</v>
      </c>
      <c r="AE218" s="19">
        <v>44148</v>
      </c>
      <c r="AF218" s="19">
        <v>44148</v>
      </c>
      <c r="AG218" s="19" t="s">
        <v>130</v>
      </c>
      <c r="AH218" s="91" t="s">
        <v>58</v>
      </c>
      <c r="AI218" s="91" t="s">
        <v>58</v>
      </c>
      <c r="AJ218" s="91" t="s">
        <v>58</v>
      </c>
      <c r="AK218" s="19" t="s">
        <v>117</v>
      </c>
      <c r="AL218" s="17" t="s">
        <v>58</v>
      </c>
      <c r="AM218" s="17" t="s">
        <v>58</v>
      </c>
      <c r="AN218" s="109" t="s">
        <v>481</v>
      </c>
    </row>
    <row r="219" spans="2:40" x14ac:dyDescent="0.25">
      <c r="B219" s="220">
        <f t="shared" si="53"/>
        <v>160</v>
      </c>
      <c r="C219" s="16">
        <v>20201112</v>
      </c>
      <c r="D219" s="63" t="s">
        <v>3</v>
      </c>
      <c r="E219" s="62" t="s">
        <v>1489</v>
      </c>
      <c r="F219" s="104" t="s">
        <v>1573</v>
      </c>
      <c r="G219" s="63">
        <v>1779273</v>
      </c>
      <c r="H219" s="37" t="s">
        <v>58</v>
      </c>
      <c r="I219" s="63" t="s">
        <v>1502</v>
      </c>
      <c r="J219" s="124" t="s">
        <v>58</v>
      </c>
      <c r="K219" s="15" t="s">
        <v>165</v>
      </c>
      <c r="L219" s="63" t="s">
        <v>1560</v>
      </c>
      <c r="M219" s="15" t="s">
        <v>1158</v>
      </c>
      <c r="N219" s="63" t="s">
        <v>1491</v>
      </c>
      <c r="O219" s="62" t="s">
        <v>58</v>
      </c>
      <c r="P219" s="190" t="s">
        <v>1554</v>
      </c>
      <c r="Q219" s="18"/>
      <c r="R219" s="37"/>
      <c r="S219" s="15" t="s">
        <v>142</v>
      </c>
      <c r="T219" s="15" t="s">
        <v>141</v>
      </c>
      <c r="U219" s="15"/>
      <c r="V219" s="63">
        <v>85</v>
      </c>
      <c r="W219" s="16">
        <f t="shared" si="49"/>
        <v>85</v>
      </c>
      <c r="X219" s="15">
        <f>W219</f>
        <v>85</v>
      </c>
      <c r="Y219" s="15">
        <f>ROUNDDOWN(W219/HLOOKUP(D219,Table!$C$3:$D$4,2,0)*8,2)</f>
        <v>1.51</v>
      </c>
      <c r="Z219" s="15">
        <f t="shared" si="51"/>
        <v>1.51</v>
      </c>
      <c r="AA219" s="15" t="s">
        <v>18</v>
      </c>
      <c r="AB219" s="19">
        <f t="shared" si="52"/>
        <v>44153</v>
      </c>
      <c r="AC219" s="19">
        <v>44148</v>
      </c>
      <c r="AD219" s="108">
        <v>44153</v>
      </c>
      <c r="AE219" s="19">
        <v>44148</v>
      </c>
      <c r="AF219" s="19">
        <v>44148</v>
      </c>
      <c r="AG219" s="19" t="s">
        <v>130</v>
      </c>
      <c r="AH219" s="91">
        <v>1</v>
      </c>
      <c r="AI219" s="91">
        <v>1</v>
      </c>
      <c r="AJ219" s="91">
        <v>1</v>
      </c>
      <c r="AK219" s="19" t="s">
        <v>117</v>
      </c>
      <c r="AL219" s="17" t="s">
        <v>58</v>
      </c>
      <c r="AM219" s="17" t="s">
        <v>58</v>
      </c>
      <c r="AN219" s="17" t="s">
        <v>58</v>
      </c>
    </row>
    <row r="220" spans="2:40" x14ac:dyDescent="0.25">
      <c r="B220" s="220">
        <f t="shared" si="53"/>
        <v>161</v>
      </c>
      <c r="C220" s="16">
        <v>20201112</v>
      </c>
      <c r="D220" s="63" t="s">
        <v>3</v>
      </c>
      <c r="E220" s="62" t="s">
        <v>1489</v>
      </c>
      <c r="F220" s="104" t="s">
        <v>1587</v>
      </c>
      <c r="G220" s="63">
        <v>1779273</v>
      </c>
      <c r="H220" s="37" t="s">
        <v>58</v>
      </c>
      <c r="I220" s="63" t="s">
        <v>1503</v>
      </c>
      <c r="J220" s="124" t="s">
        <v>58</v>
      </c>
      <c r="K220" s="15"/>
      <c r="L220" s="174" t="s">
        <v>1560</v>
      </c>
      <c r="M220" s="15" t="s">
        <v>1158</v>
      </c>
      <c r="N220" s="63" t="s">
        <v>1491</v>
      </c>
      <c r="O220" s="62" t="s">
        <v>58</v>
      </c>
      <c r="P220" s="190" t="s">
        <v>1554</v>
      </c>
      <c r="Q220" s="18"/>
      <c r="R220" s="37"/>
      <c r="S220" s="15" t="s">
        <v>143</v>
      </c>
      <c r="T220" s="15"/>
      <c r="U220" s="15"/>
      <c r="V220" s="63">
        <v>104</v>
      </c>
      <c r="W220" s="16">
        <f t="shared" si="49"/>
        <v>104</v>
      </c>
      <c r="X220" s="15">
        <f t="shared" ref="X220:X234" si="54">W220</f>
        <v>104</v>
      </c>
      <c r="Y220" s="15">
        <f>ROUNDDOWN(W220/HLOOKUP(D220,Table!$C$3:$D$4,2,0)*8,2)</f>
        <v>1.84</v>
      </c>
      <c r="Z220" s="15">
        <f t="shared" si="51"/>
        <v>1.84</v>
      </c>
      <c r="AA220" s="15" t="s">
        <v>18</v>
      </c>
      <c r="AB220" s="19">
        <f t="shared" si="52"/>
        <v>44153</v>
      </c>
      <c r="AC220" s="19">
        <v>44148</v>
      </c>
      <c r="AD220" s="108">
        <v>44153</v>
      </c>
      <c r="AE220" s="19"/>
      <c r="AF220" s="19"/>
      <c r="AG220" s="19"/>
      <c r="AH220" s="91"/>
      <c r="AI220" s="91"/>
      <c r="AJ220" s="91"/>
      <c r="AK220" s="19"/>
      <c r="AL220" s="17" t="s">
        <v>58</v>
      </c>
      <c r="AM220" s="17" t="s">
        <v>58</v>
      </c>
      <c r="AN220" s="17" t="s">
        <v>58</v>
      </c>
    </row>
    <row r="221" spans="2:40" x14ac:dyDescent="0.25">
      <c r="B221" s="220">
        <f t="shared" si="53"/>
        <v>162</v>
      </c>
      <c r="C221" s="16">
        <v>20201112</v>
      </c>
      <c r="D221" s="63" t="s">
        <v>3</v>
      </c>
      <c r="E221" s="62" t="s">
        <v>1489</v>
      </c>
      <c r="F221" s="104" t="s">
        <v>1587</v>
      </c>
      <c r="G221" s="63">
        <v>1779273</v>
      </c>
      <c r="H221" s="37" t="s">
        <v>58</v>
      </c>
      <c r="I221" s="63" t="s">
        <v>1504</v>
      </c>
      <c r="J221" s="124" t="s">
        <v>58</v>
      </c>
      <c r="K221" s="15"/>
      <c r="L221" s="174" t="s">
        <v>1560</v>
      </c>
      <c r="M221" s="15" t="s">
        <v>1158</v>
      </c>
      <c r="N221" s="63" t="s">
        <v>1491</v>
      </c>
      <c r="O221" s="62" t="s">
        <v>58</v>
      </c>
      <c r="P221" s="190" t="s">
        <v>1556</v>
      </c>
      <c r="Q221" s="18"/>
      <c r="R221" s="37"/>
      <c r="S221" s="15" t="s">
        <v>143</v>
      </c>
      <c r="T221" s="15"/>
      <c r="U221" s="15"/>
      <c r="V221" s="63">
        <v>295</v>
      </c>
      <c r="W221" s="16">
        <f t="shared" si="49"/>
        <v>295</v>
      </c>
      <c r="X221" s="15">
        <f t="shared" si="54"/>
        <v>295</v>
      </c>
      <c r="Y221" s="15">
        <f>ROUNDDOWN(W221/HLOOKUP(D221,Table!$C$3:$D$4,2,0)*8,2)</f>
        <v>5.24</v>
      </c>
      <c r="Z221" s="15">
        <f t="shared" si="51"/>
        <v>5.24</v>
      </c>
      <c r="AA221" s="15" t="s">
        <v>18</v>
      </c>
      <c r="AB221" s="19">
        <f t="shared" si="52"/>
        <v>44153</v>
      </c>
      <c r="AC221" s="19">
        <v>44148</v>
      </c>
      <c r="AD221" s="108">
        <v>44153</v>
      </c>
      <c r="AE221" s="19"/>
      <c r="AF221" s="19"/>
      <c r="AG221" s="19"/>
      <c r="AH221" s="91"/>
      <c r="AI221" s="91"/>
      <c r="AJ221" s="91"/>
      <c r="AK221" s="19"/>
      <c r="AL221" s="17" t="s">
        <v>58</v>
      </c>
      <c r="AM221" s="17" t="s">
        <v>58</v>
      </c>
      <c r="AN221" s="17" t="s">
        <v>58</v>
      </c>
    </row>
    <row r="222" spans="2:40" x14ac:dyDescent="0.25">
      <c r="B222" s="220">
        <f t="shared" si="53"/>
        <v>163</v>
      </c>
      <c r="C222" s="16">
        <v>20201112</v>
      </c>
      <c r="D222" s="63" t="s">
        <v>3</v>
      </c>
      <c r="E222" s="62" t="s">
        <v>1489</v>
      </c>
      <c r="F222" s="104" t="s">
        <v>1587</v>
      </c>
      <c r="G222" s="63">
        <v>1779273</v>
      </c>
      <c r="H222" s="37" t="s">
        <v>58</v>
      </c>
      <c r="I222" s="63" t="s">
        <v>1505</v>
      </c>
      <c r="J222" s="124" t="s">
        <v>58</v>
      </c>
      <c r="K222" s="15"/>
      <c r="L222" s="174" t="s">
        <v>1560</v>
      </c>
      <c r="M222" s="15" t="s">
        <v>1158</v>
      </c>
      <c r="N222" s="63" t="s">
        <v>1491</v>
      </c>
      <c r="O222" s="62" t="s">
        <v>58</v>
      </c>
      <c r="P222" s="190" t="s">
        <v>1556</v>
      </c>
      <c r="Q222" s="18"/>
      <c r="R222" s="37"/>
      <c r="S222" s="15" t="s">
        <v>143</v>
      </c>
      <c r="T222" s="15"/>
      <c r="U222" s="15"/>
      <c r="V222" s="63">
        <v>237</v>
      </c>
      <c r="W222" s="16">
        <f t="shared" si="49"/>
        <v>237</v>
      </c>
      <c r="X222" s="15">
        <f t="shared" si="54"/>
        <v>237</v>
      </c>
      <c r="Y222" s="15">
        <f>ROUNDDOWN(W222/HLOOKUP(D222,Table!$C$3:$D$4,2,0)*8,2)</f>
        <v>4.21</v>
      </c>
      <c r="Z222" s="15">
        <f t="shared" si="51"/>
        <v>4.21</v>
      </c>
      <c r="AA222" s="15" t="s">
        <v>18</v>
      </c>
      <c r="AB222" s="19">
        <f t="shared" si="52"/>
        <v>44153</v>
      </c>
      <c r="AC222" s="19">
        <v>44148</v>
      </c>
      <c r="AD222" s="108">
        <v>44153</v>
      </c>
      <c r="AE222" s="19"/>
      <c r="AF222" s="19"/>
      <c r="AG222" s="19"/>
      <c r="AH222" s="91"/>
      <c r="AI222" s="91"/>
      <c r="AJ222" s="91"/>
      <c r="AK222" s="19"/>
      <c r="AL222" s="17" t="s">
        <v>58</v>
      </c>
      <c r="AM222" s="17" t="s">
        <v>58</v>
      </c>
      <c r="AN222" s="17" t="s">
        <v>58</v>
      </c>
    </row>
    <row r="223" spans="2:40" x14ac:dyDescent="0.25">
      <c r="B223" s="220">
        <f t="shared" si="53"/>
        <v>164</v>
      </c>
      <c r="C223" s="16">
        <v>20201112</v>
      </c>
      <c r="D223" s="63" t="s">
        <v>3</v>
      </c>
      <c r="E223" s="62" t="s">
        <v>1489</v>
      </c>
      <c r="F223" s="104" t="s">
        <v>1594</v>
      </c>
      <c r="G223" s="63">
        <v>1779273</v>
      </c>
      <c r="H223" s="37" t="s">
        <v>58</v>
      </c>
      <c r="I223" s="63" t="s">
        <v>1506</v>
      </c>
      <c r="J223" s="124" t="s">
        <v>58</v>
      </c>
      <c r="K223" s="15"/>
      <c r="L223" s="174" t="s">
        <v>1560</v>
      </c>
      <c r="M223" s="15" t="s">
        <v>1158</v>
      </c>
      <c r="N223" s="63" t="s">
        <v>1491</v>
      </c>
      <c r="O223" s="62" t="s">
        <v>58</v>
      </c>
      <c r="P223" s="190" t="s">
        <v>1556</v>
      </c>
      <c r="Q223" s="18"/>
      <c r="R223" s="37"/>
      <c r="S223" s="15" t="s">
        <v>143</v>
      </c>
      <c r="T223" s="15"/>
      <c r="U223" s="15"/>
      <c r="V223" s="63">
        <v>78</v>
      </c>
      <c r="W223" s="16">
        <f t="shared" si="49"/>
        <v>78</v>
      </c>
      <c r="X223" s="15">
        <f t="shared" si="54"/>
        <v>78</v>
      </c>
      <c r="Y223" s="15">
        <f>ROUNDDOWN(W223/HLOOKUP(D223,Table!$C$3:$D$4,2,0)*8,2)</f>
        <v>1.38</v>
      </c>
      <c r="Z223" s="15">
        <f t="shared" si="51"/>
        <v>1.38</v>
      </c>
      <c r="AA223" s="15" t="s">
        <v>18</v>
      </c>
      <c r="AB223" s="19">
        <f t="shared" si="52"/>
        <v>44153</v>
      </c>
      <c r="AC223" s="19">
        <v>44148</v>
      </c>
      <c r="AD223" s="108">
        <v>44153</v>
      </c>
      <c r="AE223" s="19"/>
      <c r="AF223" s="19"/>
      <c r="AG223" s="19"/>
      <c r="AH223" s="91"/>
      <c r="AI223" s="91"/>
      <c r="AJ223" s="91"/>
      <c r="AK223" s="19"/>
      <c r="AL223" s="17" t="s">
        <v>58</v>
      </c>
      <c r="AM223" s="17" t="s">
        <v>58</v>
      </c>
      <c r="AN223" s="17" t="s">
        <v>58</v>
      </c>
    </row>
    <row r="224" spans="2:40" x14ac:dyDescent="0.25">
      <c r="B224" s="220">
        <f t="shared" si="53"/>
        <v>165</v>
      </c>
      <c r="C224" s="16">
        <v>20201112</v>
      </c>
      <c r="D224" s="63" t="s">
        <v>3</v>
      </c>
      <c r="E224" s="62" t="s">
        <v>1489</v>
      </c>
      <c r="F224" s="104" t="s">
        <v>1594</v>
      </c>
      <c r="G224" s="63">
        <v>1779273</v>
      </c>
      <c r="H224" s="37" t="s">
        <v>58</v>
      </c>
      <c r="I224" s="63" t="s">
        <v>1507</v>
      </c>
      <c r="J224" s="124" t="s">
        <v>58</v>
      </c>
      <c r="K224" s="15"/>
      <c r="L224" s="174" t="s">
        <v>1560</v>
      </c>
      <c r="M224" s="15" t="s">
        <v>1158</v>
      </c>
      <c r="N224" s="63" t="s">
        <v>1491</v>
      </c>
      <c r="O224" s="62" t="s">
        <v>58</v>
      </c>
      <c r="P224" s="190" t="s">
        <v>1556</v>
      </c>
      <c r="Q224" s="18"/>
      <c r="R224" s="37"/>
      <c r="S224" s="15" t="s">
        <v>143</v>
      </c>
      <c r="T224" s="15"/>
      <c r="U224" s="15"/>
      <c r="V224" s="63">
        <v>138</v>
      </c>
      <c r="W224" s="16">
        <f t="shared" si="49"/>
        <v>138</v>
      </c>
      <c r="X224" s="15">
        <f t="shared" si="54"/>
        <v>138</v>
      </c>
      <c r="Y224" s="15">
        <f>ROUNDDOWN(W224/HLOOKUP(D224,Table!$C$3:$D$4,2,0)*8,2)</f>
        <v>2.4500000000000002</v>
      </c>
      <c r="Z224" s="15">
        <f t="shared" si="51"/>
        <v>2.4500000000000002</v>
      </c>
      <c r="AA224" s="15" t="s">
        <v>18</v>
      </c>
      <c r="AB224" s="19">
        <f t="shared" si="52"/>
        <v>44153</v>
      </c>
      <c r="AC224" s="19">
        <v>44148</v>
      </c>
      <c r="AD224" s="108">
        <v>44153</v>
      </c>
      <c r="AE224" s="19"/>
      <c r="AF224" s="19"/>
      <c r="AG224" s="19"/>
      <c r="AH224" s="91"/>
      <c r="AI224" s="91"/>
      <c r="AJ224" s="91"/>
      <c r="AK224" s="19"/>
      <c r="AL224" s="17" t="s">
        <v>58</v>
      </c>
      <c r="AM224" s="17" t="s">
        <v>58</v>
      </c>
      <c r="AN224" s="17" t="s">
        <v>58</v>
      </c>
    </row>
    <row r="225" spans="2:40" x14ac:dyDescent="0.25">
      <c r="B225" s="220">
        <f t="shared" si="53"/>
        <v>166</v>
      </c>
      <c r="C225" s="16">
        <v>20201112</v>
      </c>
      <c r="D225" s="63" t="s">
        <v>3</v>
      </c>
      <c r="E225" s="62" t="s">
        <v>1489</v>
      </c>
      <c r="F225" s="104" t="s">
        <v>1601</v>
      </c>
      <c r="G225" s="63">
        <v>1779273</v>
      </c>
      <c r="H225" s="37" t="s">
        <v>58</v>
      </c>
      <c r="I225" s="63" t="s">
        <v>1508</v>
      </c>
      <c r="J225" s="124" t="s">
        <v>58</v>
      </c>
      <c r="K225" s="15"/>
      <c r="L225" s="174" t="s">
        <v>1560</v>
      </c>
      <c r="M225" s="15" t="s">
        <v>1158</v>
      </c>
      <c r="N225" s="63" t="s">
        <v>1491</v>
      </c>
      <c r="O225" s="62" t="s">
        <v>58</v>
      </c>
      <c r="P225" s="190" t="s">
        <v>1556</v>
      </c>
      <c r="Q225" s="18"/>
      <c r="R225" s="37"/>
      <c r="S225" s="15" t="s">
        <v>143</v>
      </c>
      <c r="T225" s="15"/>
      <c r="U225" s="15"/>
      <c r="V225" s="63">
        <v>77</v>
      </c>
      <c r="W225" s="16">
        <f t="shared" si="49"/>
        <v>77</v>
      </c>
      <c r="X225" s="15">
        <f t="shared" si="54"/>
        <v>77</v>
      </c>
      <c r="Y225" s="15">
        <f>ROUNDDOWN(W225/HLOOKUP(D225,Table!$C$3:$D$4,2,0)*8,2)</f>
        <v>1.36</v>
      </c>
      <c r="Z225" s="15">
        <f t="shared" si="51"/>
        <v>1.36</v>
      </c>
      <c r="AA225" s="15" t="s">
        <v>18</v>
      </c>
      <c r="AB225" s="19">
        <f t="shared" si="52"/>
        <v>44153</v>
      </c>
      <c r="AC225" s="19">
        <v>44148</v>
      </c>
      <c r="AD225" s="108">
        <v>44153</v>
      </c>
      <c r="AE225" s="19"/>
      <c r="AF225" s="19"/>
      <c r="AG225" s="19"/>
      <c r="AH225" s="91"/>
      <c r="AI225" s="91"/>
      <c r="AJ225" s="91"/>
      <c r="AK225" s="19"/>
      <c r="AL225" s="17" t="s">
        <v>58</v>
      </c>
      <c r="AM225" s="17" t="s">
        <v>58</v>
      </c>
      <c r="AN225" s="17" t="s">
        <v>58</v>
      </c>
    </row>
    <row r="226" spans="2:40" x14ac:dyDescent="0.25">
      <c r="B226" s="220">
        <f t="shared" si="53"/>
        <v>167</v>
      </c>
      <c r="C226" s="16">
        <v>20201112</v>
      </c>
      <c r="D226" s="63" t="s">
        <v>3</v>
      </c>
      <c r="E226" s="62" t="s">
        <v>1489</v>
      </c>
      <c r="F226" s="104" t="s">
        <v>1594</v>
      </c>
      <c r="G226" s="63">
        <v>1779273</v>
      </c>
      <c r="H226" s="37" t="s">
        <v>58</v>
      </c>
      <c r="I226" s="63" t="s">
        <v>1509</v>
      </c>
      <c r="J226" s="124" t="s">
        <v>58</v>
      </c>
      <c r="K226" s="15"/>
      <c r="L226" s="174" t="s">
        <v>1560</v>
      </c>
      <c r="M226" s="15" t="s">
        <v>1158</v>
      </c>
      <c r="N226" s="63" t="s">
        <v>1491</v>
      </c>
      <c r="O226" s="62" t="s">
        <v>58</v>
      </c>
      <c r="P226" s="190" t="s">
        <v>1556</v>
      </c>
      <c r="Q226" s="18"/>
      <c r="R226" s="37"/>
      <c r="S226" s="15" t="s">
        <v>143</v>
      </c>
      <c r="T226" s="15"/>
      <c r="U226" s="15"/>
      <c r="V226" s="63">
        <v>58</v>
      </c>
      <c r="W226" s="16">
        <f t="shared" si="49"/>
        <v>58</v>
      </c>
      <c r="X226" s="15">
        <f t="shared" si="54"/>
        <v>58</v>
      </c>
      <c r="Y226" s="15">
        <f>ROUNDDOWN(W226/HLOOKUP(D226,Table!$C$3:$D$4,2,0)*8,2)</f>
        <v>1.03</v>
      </c>
      <c r="Z226" s="15">
        <f t="shared" si="51"/>
        <v>1.03</v>
      </c>
      <c r="AA226" s="15" t="s">
        <v>18</v>
      </c>
      <c r="AB226" s="19">
        <f t="shared" si="52"/>
        <v>44153</v>
      </c>
      <c r="AC226" s="19">
        <v>44148</v>
      </c>
      <c r="AD226" s="108">
        <v>44153</v>
      </c>
      <c r="AE226" s="19"/>
      <c r="AF226" s="19"/>
      <c r="AG226" s="19"/>
      <c r="AH226" s="91"/>
      <c r="AI226" s="91"/>
      <c r="AJ226" s="91"/>
      <c r="AK226" s="19"/>
      <c r="AL226" s="17" t="s">
        <v>58</v>
      </c>
      <c r="AM226" s="17" t="s">
        <v>58</v>
      </c>
      <c r="AN226" s="17" t="s">
        <v>58</v>
      </c>
    </row>
    <row r="227" spans="2:40" x14ac:dyDescent="0.25">
      <c r="B227" s="220">
        <f t="shared" si="53"/>
        <v>168</v>
      </c>
      <c r="C227" s="16">
        <v>20201112</v>
      </c>
      <c r="D227" s="63" t="s">
        <v>3</v>
      </c>
      <c r="E227" s="62" t="s">
        <v>1489</v>
      </c>
      <c r="F227" s="104" t="s">
        <v>1601</v>
      </c>
      <c r="G227" s="63">
        <v>1779273</v>
      </c>
      <c r="H227" s="37" t="s">
        <v>58</v>
      </c>
      <c r="I227" s="63" t="s">
        <v>1510</v>
      </c>
      <c r="J227" s="124" t="s">
        <v>58</v>
      </c>
      <c r="K227" s="15"/>
      <c r="L227" s="174" t="s">
        <v>1560</v>
      </c>
      <c r="M227" s="15" t="s">
        <v>1158</v>
      </c>
      <c r="N227" s="63" t="s">
        <v>1491</v>
      </c>
      <c r="O227" s="62" t="s">
        <v>58</v>
      </c>
      <c r="P227" s="190" t="s">
        <v>1556</v>
      </c>
      <c r="Q227" s="18"/>
      <c r="R227" s="37"/>
      <c r="S227" s="15" t="s">
        <v>143</v>
      </c>
      <c r="T227" s="15"/>
      <c r="U227" s="15"/>
      <c r="V227" s="63">
        <v>99</v>
      </c>
      <c r="W227" s="16">
        <f t="shared" si="49"/>
        <v>99</v>
      </c>
      <c r="X227" s="15">
        <f t="shared" si="54"/>
        <v>99</v>
      </c>
      <c r="Y227" s="15">
        <f>ROUNDDOWN(W227/HLOOKUP(D227,Table!$C$3:$D$4,2,0)*8,2)</f>
        <v>1.76</v>
      </c>
      <c r="Z227" s="15">
        <f t="shared" si="51"/>
        <v>1.76</v>
      </c>
      <c r="AA227" s="15" t="s">
        <v>18</v>
      </c>
      <c r="AB227" s="19">
        <f t="shared" si="52"/>
        <v>44153</v>
      </c>
      <c r="AC227" s="19">
        <v>44148</v>
      </c>
      <c r="AD227" s="108">
        <v>44153</v>
      </c>
      <c r="AE227" s="19"/>
      <c r="AF227" s="19"/>
      <c r="AG227" s="19"/>
      <c r="AH227" s="91"/>
      <c r="AI227" s="91"/>
      <c r="AJ227" s="91"/>
      <c r="AK227" s="19"/>
      <c r="AL227" s="17" t="s">
        <v>58</v>
      </c>
      <c r="AM227" s="17" t="s">
        <v>58</v>
      </c>
      <c r="AN227" s="17" t="s">
        <v>58</v>
      </c>
    </row>
    <row r="228" spans="2:40" x14ac:dyDescent="0.25">
      <c r="B228" s="220">
        <f t="shared" si="53"/>
        <v>169</v>
      </c>
      <c r="C228" s="16">
        <v>20201112</v>
      </c>
      <c r="D228" s="63" t="s">
        <v>3</v>
      </c>
      <c r="E228" s="62" t="s">
        <v>1489</v>
      </c>
      <c r="F228" s="104" t="s">
        <v>1594</v>
      </c>
      <c r="G228" s="63">
        <v>1779273</v>
      </c>
      <c r="H228" s="37" t="s">
        <v>58</v>
      </c>
      <c r="I228" s="63" t="s">
        <v>1511</v>
      </c>
      <c r="J228" s="124" t="s">
        <v>58</v>
      </c>
      <c r="K228" s="15"/>
      <c r="L228" s="174" t="s">
        <v>1560</v>
      </c>
      <c r="M228" s="15" t="s">
        <v>1158</v>
      </c>
      <c r="N228" s="63" t="s">
        <v>1491</v>
      </c>
      <c r="O228" s="62" t="s">
        <v>58</v>
      </c>
      <c r="P228" s="190" t="s">
        <v>1555</v>
      </c>
      <c r="Q228" s="18"/>
      <c r="R228" s="37"/>
      <c r="S228" s="15" t="s">
        <v>143</v>
      </c>
      <c r="T228" s="15"/>
      <c r="U228" s="15"/>
      <c r="V228" s="63">
        <v>36</v>
      </c>
      <c r="W228" s="16">
        <f t="shared" si="49"/>
        <v>36</v>
      </c>
      <c r="X228" s="15">
        <f t="shared" si="54"/>
        <v>36</v>
      </c>
      <c r="Y228" s="15">
        <f>ROUNDDOWN(W228/HLOOKUP(D228,Table!$C$3:$D$4,2,0)*8,2)</f>
        <v>0.64</v>
      </c>
      <c r="Z228" s="15">
        <f t="shared" si="51"/>
        <v>0.64</v>
      </c>
      <c r="AA228" s="15" t="s">
        <v>18</v>
      </c>
      <c r="AB228" s="19">
        <f t="shared" si="52"/>
        <v>44153</v>
      </c>
      <c r="AC228" s="19">
        <v>44148</v>
      </c>
      <c r="AD228" s="108">
        <v>44153</v>
      </c>
      <c r="AE228" s="19"/>
      <c r="AF228" s="19"/>
      <c r="AG228" s="19"/>
      <c r="AH228" s="91"/>
      <c r="AI228" s="91"/>
      <c r="AJ228" s="91"/>
      <c r="AK228" s="19"/>
      <c r="AL228" s="17" t="s">
        <v>58</v>
      </c>
      <c r="AM228" s="17" t="s">
        <v>58</v>
      </c>
      <c r="AN228" s="17" t="s">
        <v>58</v>
      </c>
    </row>
    <row r="229" spans="2:40" x14ac:dyDescent="0.25">
      <c r="B229" s="220">
        <f t="shared" si="53"/>
        <v>170</v>
      </c>
      <c r="C229" s="16">
        <v>20201112</v>
      </c>
      <c r="D229" s="63" t="s">
        <v>3</v>
      </c>
      <c r="E229" s="62" t="s">
        <v>1489</v>
      </c>
      <c r="F229" s="104" t="s">
        <v>1594</v>
      </c>
      <c r="G229" s="63">
        <v>1779273</v>
      </c>
      <c r="H229" s="37" t="s">
        <v>58</v>
      </c>
      <c r="I229" s="63" t="s">
        <v>1512</v>
      </c>
      <c r="J229" s="124" t="s">
        <v>58</v>
      </c>
      <c r="K229" s="15"/>
      <c r="L229" s="74" t="s">
        <v>1560</v>
      </c>
      <c r="M229" s="15" t="s">
        <v>1158</v>
      </c>
      <c r="N229" s="63" t="s">
        <v>1491</v>
      </c>
      <c r="O229" s="62" t="s">
        <v>58</v>
      </c>
      <c r="P229" s="190" t="s">
        <v>1555</v>
      </c>
      <c r="Q229" s="18"/>
      <c r="R229" s="37"/>
      <c r="S229" s="15" t="s">
        <v>143</v>
      </c>
      <c r="T229" s="15"/>
      <c r="U229" s="15"/>
      <c r="V229" s="63">
        <v>61</v>
      </c>
      <c r="W229" s="16">
        <f t="shared" si="49"/>
        <v>61</v>
      </c>
      <c r="X229" s="15">
        <f t="shared" si="54"/>
        <v>61</v>
      </c>
      <c r="Y229" s="15">
        <f>ROUNDDOWN(W229/HLOOKUP(D229,Table!$C$3:$D$4,2,0)*8,2)</f>
        <v>1.08</v>
      </c>
      <c r="Z229" s="15">
        <f t="shared" si="51"/>
        <v>1.08</v>
      </c>
      <c r="AA229" s="15" t="s">
        <v>18</v>
      </c>
      <c r="AB229" s="19">
        <f t="shared" si="52"/>
        <v>44153</v>
      </c>
      <c r="AC229" s="19">
        <v>44148</v>
      </c>
      <c r="AD229" s="108">
        <v>44153</v>
      </c>
      <c r="AE229" s="19"/>
      <c r="AF229" s="19"/>
      <c r="AG229" s="19"/>
      <c r="AH229" s="91"/>
      <c r="AI229" s="91"/>
      <c r="AJ229" s="91"/>
      <c r="AK229" s="19"/>
      <c r="AL229" s="17" t="s">
        <v>58</v>
      </c>
      <c r="AM229" s="17" t="s">
        <v>58</v>
      </c>
      <c r="AN229" s="17" t="s">
        <v>58</v>
      </c>
    </row>
    <row r="230" spans="2:40" x14ac:dyDescent="0.25">
      <c r="B230" s="220">
        <f t="shared" si="53"/>
        <v>171</v>
      </c>
      <c r="C230" s="16">
        <v>20201112</v>
      </c>
      <c r="D230" s="63" t="s">
        <v>3</v>
      </c>
      <c r="E230" s="62" t="s">
        <v>1489</v>
      </c>
      <c r="F230" s="104" t="s">
        <v>1601</v>
      </c>
      <c r="G230" s="63">
        <v>1779273</v>
      </c>
      <c r="H230" s="37" t="s">
        <v>58</v>
      </c>
      <c r="I230" s="63" t="s">
        <v>1513</v>
      </c>
      <c r="J230" s="124" t="s">
        <v>58</v>
      </c>
      <c r="K230" s="15"/>
      <c r="L230" s="63" t="s">
        <v>1560</v>
      </c>
      <c r="M230" s="15" t="s">
        <v>1158</v>
      </c>
      <c r="N230" s="63" t="s">
        <v>1491</v>
      </c>
      <c r="O230" s="62" t="s">
        <v>58</v>
      </c>
      <c r="P230" s="190" t="s">
        <v>1556</v>
      </c>
      <c r="Q230" s="18"/>
      <c r="R230" s="37"/>
      <c r="S230" s="15" t="s">
        <v>143</v>
      </c>
      <c r="T230" s="15"/>
      <c r="U230" s="15"/>
      <c r="V230" s="63">
        <v>50</v>
      </c>
      <c r="W230" s="16">
        <f t="shared" si="49"/>
        <v>50</v>
      </c>
      <c r="X230" s="15">
        <f t="shared" si="54"/>
        <v>50</v>
      </c>
      <c r="Y230" s="15">
        <f>ROUNDDOWN(W230/HLOOKUP(D230,Table!$C$3:$D$4,2,0)*8,2)</f>
        <v>0.88</v>
      </c>
      <c r="Z230" s="15">
        <f t="shared" si="51"/>
        <v>0.88</v>
      </c>
      <c r="AA230" s="15" t="s">
        <v>18</v>
      </c>
      <c r="AB230" s="19">
        <f t="shared" si="52"/>
        <v>44153</v>
      </c>
      <c r="AC230" s="19">
        <v>44148</v>
      </c>
      <c r="AD230" s="108">
        <v>44153</v>
      </c>
      <c r="AE230" s="19"/>
      <c r="AF230" s="19"/>
      <c r="AG230" s="19"/>
      <c r="AH230" s="91"/>
      <c r="AI230" s="91"/>
      <c r="AJ230" s="91"/>
      <c r="AK230" s="19"/>
      <c r="AL230" s="17" t="s">
        <v>58</v>
      </c>
      <c r="AM230" s="17" t="s">
        <v>58</v>
      </c>
      <c r="AN230" s="17" t="s">
        <v>58</v>
      </c>
    </row>
    <row r="231" spans="2:40" x14ac:dyDescent="0.25">
      <c r="B231" s="220">
        <f t="shared" si="53"/>
        <v>172</v>
      </c>
      <c r="C231" s="16">
        <v>20201112</v>
      </c>
      <c r="D231" s="63" t="s">
        <v>3</v>
      </c>
      <c r="E231" s="62" t="s">
        <v>1489</v>
      </c>
      <c r="F231" s="104" t="s">
        <v>1587</v>
      </c>
      <c r="G231" s="63">
        <v>1779273</v>
      </c>
      <c r="H231" s="37" t="s">
        <v>58</v>
      </c>
      <c r="I231" s="63" t="s">
        <v>1514</v>
      </c>
      <c r="J231" s="124" t="s">
        <v>58</v>
      </c>
      <c r="K231" s="15"/>
      <c r="L231" s="63" t="s">
        <v>1560</v>
      </c>
      <c r="M231" s="15" t="s">
        <v>1158</v>
      </c>
      <c r="N231" s="63" t="s">
        <v>1491</v>
      </c>
      <c r="O231" s="62" t="s">
        <v>58</v>
      </c>
      <c r="P231" s="190" t="s">
        <v>1554</v>
      </c>
      <c r="Q231" s="18"/>
      <c r="R231" s="37"/>
      <c r="S231" s="15" t="s">
        <v>143</v>
      </c>
      <c r="T231" s="15"/>
      <c r="U231" s="15"/>
      <c r="V231" s="63">
        <v>12</v>
      </c>
      <c r="W231" s="16">
        <f t="shared" si="49"/>
        <v>12</v>
      </c>
      <c r="X231" s="15">
        <f t="shared" si="54"/>
        <v>12</v>
      </c>
      <c r="Y231" s="15">
        <f>ROUNDDOWN(W231/HLOOKUP(D231,Table!$C$3:$D$4,2,0)*8,2)</f>
        <v>0.21</v>
      </c>
      <c r="Z231" s="15">
        <f t="shared" si="51"/>
        <v>0.21</v>
      </c>
      <c r="AA231" s="15" t="s">
        <v>18</v>
      </c>
      <c r="AB231" s="19">
        <f t="shared" si="52"/>
        <v>44153</v>
      </c>
      <c r="AC231" s="19">
        <v>44148</v>
      </c>
      <c r="AD231" s="108">
        <v>44153</v>
      </c>
      <c r="AE231" s="19"/>
      <c r="AF231" s="19"/>
      <c r="AG231" s="19"/>
      <c r="AH231" s="91"/>
      <c r="AI231" s="91"/>
      <c r="AJ231" s="91"/>
      <c r="AK231" s="19"/>
      <c r="AL231" s="17" t="s">
        <v>58</v>
      </c>
      <c r="AM231" s="17" t="s">
        <v>58</v>
      </c>
      <c r="AN231" s="17" t="s">
        <v>58</v>
      </c>
    </row>
    <row r="232" spans="2:40" x14ac:dyDescent="0.25">
      <c r="B232" s="220">
        <f t="shared" si="53"/>
        <v>173</v>
      </c>
      <c r="C232" s="16">
        <v>20201112</v>
      </c>
      <c r="D232" s="63" t="s">
        <v>3</v>
      </c>
      <c r="E232" s="62" t="s">
        <v>1489</v>
      </c>
      <c r="F232" s="62" t="s">
        <v>1561</v>
      </c>
      <c r="G232" s="63">
        <v>1779273</v>
      </c>
      <c r="H232" s="37" t="s">
        <v>58</v>
      </c>
      <c r="I232" s="63" t="s">
        <v>1515</v>
      </c>
      <c r="J232" s="124" t="s">
        <v>58</v>
      </c>
      <c r="K232" s="15" t="s">
        <v>165</v>
      </c>
      <c r="L232" s="63" t="s">
        <v>1560</v>
      </c>
      <c r="M232" s="15" t="s">
        <v>1158</v>
      </c>
      <c r="N232" s="63" t="s">
        <v>1491</v>
      </c>
      <c r="O232" s="62" t="s">
        <v>58</v>
      </c>
      <c r="P232" s="190" t="s">
        <v>1557</v>
      </c>
      <c r="Q232" s="18"/>
      <c r="R232" s="37"/>
      <c r="S232" s="15" t="s">
        <v>64</v>
      </c>
      <c r="T232" s="15"/>
      <c r="U232" s="15"/>
      <c r="V232" s="63">
        <v>77</v>
      </c>
      <c r="W232" s="16">
        <f t="shared" si="49"/>
        <v>77</v>
      </c>
      <c r="X232" s="15">
        <f t="shared" si="54"/>
        <v>77</v>
      </c>
      <c r="Y232" s="15">
        <f>ROUNDDOWN(W232/HLOOKUP(D232,Table!$C$3:$D$4,2,0)*8,2)</f>
        <v>1.36</v>
      </c>
      <c r="Z232" s="15">
        <f t="shared" si="51"/>
        <v>1.36</v>
      </c>
      <c r="AA232" s="15" t="s">
        <v>18</v>
      </c>
      <c r="AB232" s="19">
        <f t="shared" si="52"/>
        <v>44153</v>
      </c>
      <c r="AC232" s="19">
        <v>44148</v>
      </c>
      <c r="AD232" s="108">
        <v>44153</v>
      </c>
      <c r="AE232" s="19"/>
      <c r="AF232" s="19"/>
      <c r="AG232" s="19"/>
      <c r="AH232" s="91"/>
      <c r="AI232" s="91"/>
      <c r="AJ232" s="91"/>
      <c r="AK232" s="19"/>
      <c r="AL232" s="17" t="s">
        <v>58</v>
      </c>
      <c r="AM232" s="17" t="s">
        <v>58</v>
      </c>
      <c r="AN232" s="17" t="s">
        <v>58</v>
      </c>
    </row>
    <row r="233" spans="2:40" x14ac:dyDescent="0.25">
      <c r="B233" s="220">
        <f t="shared" si="53"/>
        <v>174</v>
      </c>
      <c r="C233" s="16">
        <v>20201112</v>
      </c>
      <c r="D233" s="63" t="s">
        <v>3</v>
      </c>
      <c r="E233" s="62" t="s">
        <v>1489</v>
      </c>
      <c r="F233" s="62" t="s">
        <v>1561</v>
      </c>
      <c r="G233" s="63">
        <v>1779273</v>
      </c>
      <c r="H233" s="37" t="s">
        <v>58</v>
      </c>
      <c r="I233" s="63" t="s">
        <v>1516</v>
      </c>
      <c r="J233" s="124" t="s">
        <v>58</v>
      </c>
      <c r="K233" s="15" t="s">
        <v>165</v>
      </c>
      <c r="L233" s="63" t="s">
        <v>1560</v>
      </c>
      <c r="M233" s="15" t="s">
        <v>1158</v>
      </c>
      <c r="N233" s="63" t="s">
        <v>1491</v>
      </c>
      <c r="O233" s="62" t="s">
        <v>58</v>
      </c>
      <c r="P233" s="190" t="s">
        <v>1558</v>
      </c>
      <c r="Q233" s="18"/>
      <c r="R233" s="37"/>
      <c r="S233" s="15" t="s">
        <v>64</v>
      </c>
      <c r="T233" s="15"/>
      <c r="U233" s="15"/>
      <c r="V233" s="63">
        <v>63</v>
      </c>
      <c r="W233" s="16">
        <f t="shared" si="49"/>
        <v>63</v>
      </c>
      <c r="X233" s="15">
        <f t="shared" si="54"/>
        <v>63</v>
      </c>
      <c r="Y233" s="15">
        <f>ROUNDDOWN(W233/HLOOKUP(D233,Table!$C$3:$D$4,2,0)*8,2)</f>
        <v>1.1200000000000001</v>
      </c>
      <c r="Z233" s="15">
        <f t="shared" si="51"/>
        <v>1.1200000000000001</v>
      </c>
      <c r="AA233" s="15" t="s">
        <v>18</v>
      </c>
      <c r="AB233" s="19">
        <f t="shared" si="52"/>
        <v>44153</v>
      </c>
      <c r="AC233" s="19">
        <v>44148</v>
      </c>
      <c r="AD233" s="108">
        <v>44153</v>
      </c>
      <c r="AE233" s="19"/>
      <c r="AF233" s="19"/>
      <c r="AG233" s="19"/>
      <c r="AH233" s="91"/>
      <c r="AI233" s="91"/>
      <c r="AJ233" s="91"/>
      <c r="AK233" s="19"/>
      <c r="AL233" s="17" t="s">
        <v>58</v>
      </c>
      <c r="AM233" s="17" t="s">
        <v>58</v>
      </c>
      <c r="AN233" s="17" t="s">
        <v>58</v>
      </c>
    </row>
    <row r="234" spans="2:40" x14ac:dyDescent="0.25">
      <c r="B234" s="220">
        <f t="shared" si="53"/>
        <v>175</v>
      </c>
      <c r="C234" s="16">
        <v>20201112</v>
      </c>
      <c r="D234" s="63" t="s">
        <v>3</v>
      </c>
      <c r="E234" s="62" t="s">
        <v>1489</v>
      </c>
      <c r="F234" s="104" t="s">
        <v>1618</v>
      </c>
      <c r="G234" s="63">
        <v>1779273</v>
      </c>
      <c r="H234" s="37" t="s">
        <v>58</v>
      </c>
      <c r="I234" s="63" t="s">
        <v>1517</v>
      </c>
      <c r="J234" s="124" t="s">
        <v>58</v>
      </c>
      <c r="K234" s="15" t="s">
        <v>165</v>
      </c>
      <c r="L234" s="63" t="s">
        <v>1560</v>
      </c>
      <c r="M234" s="15" t="s">
        <v>1158</v>
      </c>
      <c r="N234" s="63" t="s">
        <v>1491</v>
      </c>
      <c r="O234" s="62" t="s">
        <v>58</v>
      </c>
      <c r="P234" s="190" t="s">
        <v>1556</v>
      </c>
      <c r="Q234" s="18"/>
      <c r="R234" s="37"/>
      <c r="S234" s="15" t="s">
        <v>64</v>
      </c>
      <c r="T234" s="15"/>
      <c r="U234" s="15"/>
      <c r="V234" s="63">
        <v>27</v>
      </c>
      <c r="W234" s="16">
        <f t="shared" si="49"/>
        <v>27</v>
      </c>
      <c r="X234" s="15">
        <f t="shared" si="54"/>
        <v>27</v>
      </c>
      <c r="Y234" s="15">
        <f>ROUNDDOWN(W234/HLOOKUP(D234,Table!$C$3:$D$4,2,0)*8,2)</f>
        <v>0.48</v>
      </c>
      <c r="Z234" s="15">
        <f t="shared" si="51"/>
        <v>0.48</v>
      </c>
      <c r="AA234" s="15" t="s">
        <v>18</v>
      </c>
      <c r="AB234" s="19">
        <f t="shared" si="52"/>
        <v>44153</v>
      </c>
      <c r="AC234" s="19">
        <v>44148</v>
      </c>
      <c r="AD234" s="108">
        <v>44153</v>
      </c>
      <c r="AE234" s="19"/>
      <c r="AF234" s="19"/>
      <c r="AG234" s="19"/>
      <c r="AH234" s="91"/>
      <c r="AI234" s="91"/>
      <c r="AJ234" s="91"/>
      <c r="AK234" s="19"/>
      <c r="AL234" s="17" t="s">
        <v>58</v>
      </c>
      <c r="AM234" s="17" t="s">
        <v>58</v>
      </c>
      <c r="AN234" s="17" t="s">
        <v>1615</v>
      </c>
    </row>
    <row r="235" spans="2:40" x14ac:dyDescent="0.25">
      <c r="B235" s="220">
        <f t="shared" si="53"/>
        <v>176</v>
      </c>
      <c r="C235" s="16">
        <v>20201112</v>
      </c>
      <c r="D235" s="63" t="s">
        <v>3</v>
      </c>
      <c r="E235" s="62" t="s">
        <v>1489</v>
      </c>
      <c r="F235" s="62" t="s">
        <v>1561</v>
      </c>
      <c r="G235" s="63">
        <v>1779273</v>
      </c>
      <c r="H235" s="37" t="s">
        <v>58</v>
      </c>
      <c r="I235" s="227" t="s">
        <v>1518</v>
      </c>
      <c r="J235" s="124" t="s">
        <v>58</v>
      </c>
      <c r="K235" s="15" t="s">
        <v>165</v>
      </c>
      <c r="L235" s="63" t="s">
        <v>1560</v>
      </c>
      <c r="M235" s="15" t="s">
        <v>1158</v>
      </c>
      <c r="N235" s="63" t="s">
        <v>1491</v>
      </c>
      <c r="O235" s="62" t="s">
        <v>58</v>
      </c>
      <c r="P235" s="190" t="s">
        <v>1556</v>
      </c>
      <c r="Q235" s="18"/>
      <c r="R235" s="37"/>
      <c r="S235" s="15" t="s">
        <v>64</v>
      </c>
      <c r="T235" s="15"/>
      <c r="U235" s="15"/>
      <c r="V235" s="63">
        <v>0</v>
      </c>
      <c r="W235" s="16">
        <f t="shared" si="49"/>
        <v>0</v>
      </c>
      <c r="X235" s="15">
        <f>W235</f>
        <v>0</v>
      </c>
      <c r="Y235" s="15">
        <f>ROUNDDOWN(W235/HLOOKUP(D235,Table!$C$3:$D$4,2,0)*8,2)</f>
        <v>0</v>
      </c>
      <c r="Z235" s="15">
        <f t="shared" si="51"/>
        <v>0</v>
      </c>
      <c r="AA235" s="15" t="s">
        <v>18</v>
      </c>
      <c r="AB235" s="19">
        <f t="shared" si="52"/>
        <v>44153</v>
      </c>
      <c r="AC235" s="19">
        <v>44148</v>
      </c>
      <c r="AD235" s="108">
        <v>44153</v>
      </c>
      <c r="AE235" s="19">
        <v>44152</v>
      </c>
      <c r="AF235" s="19">
        <v>44152</v>
      </c>
      <c r="AG235" s="19" t="s">
        <v>130</v>
      </c>
      <c r="AH235" s="91" t="s">
        <v>58</v>
      </c>
      <c r="AI235" s="91" t="s">
        <v>58</v>
      </c>
      <c r="AJ235" s="91" t="s">
        <v>58</v>
      </c>
      <c r="AK235" s="19" t="s">
        <v>117</v>
      </c>
      <c r="AL235" s="17" t="s">
        <v>58</v>
      </c>
      <c r="AM235" s="17" t="s">
        <v>58</v>
      </c>
      <c r="AN235" s="17" t="s">
        <v>1379</v>
      </c>
    </row>
    <row r="236" spans="2:40" x14ac:dyDescent="0.25">
      <c r="B236" s="220">
        <f t="shared" si="53"/>
        <v>177</v>
      </c>
      <c r="C236" s="16">
        <v>20201112</v>
      </c>
      <c r="D236" s="63" t="s">
        <v>3</v>
      </c>
      <c r="E236" s="62" t="s">
        <v>1489</v>
      </c>
      <c r="F236" s="104" t="s">
        <v>1617</v>
      </c>
      <c r="G236" s="63">
        <v>1779273</v>
      </c>
      <c r="H236" s="37" t="s">
        <v>58</v>
      </c>
      <c r="I236" s="227" t="s">
        <v>1519</v>
      </c>
      <c r="J236" s="124" t="s">
        <v>58</v>
      </c>
      <c r="K236" s="15" t="s">
        <v>165</v>
      </c>
      <c r="L236" s="63" t="s">
        <v>1560</v>
      </c>
      <c r="M236" s="15" t="s">
        <v>1158</v>
      </c>
      <c r="N236" s="63" t="s">
        <v>1491</v>
      </c>
      <c r="O236" s="62" t="s">
        <v>58</v>
      </c>
      <c r="P236" s="190" t="s">
        <v>1556</v>
      </c>
      <c r="Q236" s="18"/>
      <c r="R236" s="37"/>
      <c r="S236" s="15" t="s">
        <v>64</v>
      </c>
      <c r="T236" s="15"/>
      <c r="U236" s="15"/>
      <c r="V236" s="63">
        <v>3</v>
      </c>
      <c r="W236" s="16">
        <v>6</v>
      </c>
      <c r="X236" s="15">
        <f>W236</f>
        <v>6</v>
      </c>
      <c r="Y236" s="15">
        <f>ROUNDDOWN(W236/HLOOKUP(D236,Table!$C$3:$D$4,2,0)*8,2)</f>
        <v>0.1</v>
      </c>
      <c r="Z236" s="15">
        <f t="shared" si="51"/>
        <v>0.1</v>
      </c>
      <c r="AA236" s="15" t="s">
        <v>18</v>
      </c>
      <c r="AB236" s="19">
        <f t="shared" si="52"/>
        <v>44153</v>
      </c>
      <c r="AC236" s="19">
        <v>44148</v>
      </c>
      <c r="AD236" s="108">
        <v>44153</v>
      </c>
      <c r="AE236" s="19">
        <v>44152</v>
      </c>
      <c r="AF236" s="19">
        <v>44152</v>
      </c>
      <c r="AG236" s="19" t="s">
        <v>130</v>
      </c>
      <c r="AH236" s="91">
        <v>1</v>
      </c>
      <c r="AI236" s="91">
        <v>1</v>
      </c>
      <c r="AJ236" s="91">
        <v>1</v>
      </c>
      <c r="AK236" s="19" t="s">
        <v>117</v>
      </c>
      <c r="AL236" s="17" t="s">
        <v>58</v>
      </c>
      <c r="AM236" s="17" t="s">
        <v>58</v>
      </c>
      <c r="AN236" s="17" t="s">
        <v>1615</v>
      </c>
    </row>
    <row r="237" spans="2:40" ht="18.75" customHeight="1" x14ac:dyDescent="0.25">
      <c r="B237" s="220">
        <f t="shared" si="53"/>
        <v>178</v>
      </c>
      <c r="C237" s="16">
        <v>20201112</v>
      </c>
      <c r="D237" s="63" t="s">
        <v>3</v>
      </c>
      <c r="E237" s="228" t="s">
        <v>1489</v>
      </c>
      <c r="G237" s="63">
        <v>1779273</v>
      </c>
      <c r="H237" s="37" t="s">
        <v>58</v>
      </c>
      <c r="I237" s="63" t="s">
        <v>1520</v>
      </c>
      <c r="J237" s="124" t="s">
        <v>58</v>
      </c>
      <c r="K237" s="15" t="s">
        <v>165</v>
      </c>
      <c r="L237" s="63" t="s">
        <v>1560</v>
      </c>
      <c r="M237" s="15" t="s">
        <v>1158</v>
      </c>
      <c r="N237" s="63" t="s">
        <v>1491</v>
      </c>
      <c r="O237" s="62" t="s">
        <v>58</v>
      </c>
      <c r="P237" s="190" t="s">
        <v>1556</v>
      </c>
      <c r="Q237" s="18"/>
      <c r="R237" s="37"/>
      <c r="S237" s="15" t="s">
        <v>64</v>
      </c>
      <c r="T237" s="15"/>
      <c r="U237" s="15"/>
      <c r="V237" s="63">
        <v>166</v>
      </c>
      <c r="W237" s="16">
        <f t="shared" si="49"/>
        <v>166</v>
      </c>
      <c r="X237" s="15">
        <f t="shared" ref="X237:X238" si="55">W237</f>
        <v>166</v>
      </c>
      <c r="Y237" s="15">
        <f>ROUNDDOWN(W237/HLOOKUP(D237,Table!$C$3:$D$4,2,0)*8,2)</f>
        <v>2.95</v>
      </c>
      <c r="Z237" s="15">
        <f t="shared" si="51"/>
        <v>2.95</v>
      </c>
      <c r="AA237" s="15" t="s">
        <v>18</v>
      </c>
      <c r="AB237" s="19">
        <f t="shared" si="52"/>
        <v>44153</v>
      </c>
      <c r="AC237" s="19">
        <v>44148</v>
      </c>
      <c r="AD237" s="108">
        <v>44153</v>
      </c>
      <c r="AE237" s="19"/>
      <c r="AF237" s="19"/>
      <c r="AG237" s="19"/>
      <c r="AH237" s="91"/>
      <c r="AI237" s="91"/>
      <c r="AJ237" s="91"/>
      <c r="AK237" s="19"/>
      <c r="AL237" s="17" t="s">
        <v>58</v>
      </c>
      <c r="AM237" s="17" t="s">
        <v>58</v>
      </c>
      <c r="AN237" s="17" t="s">
        <v>58</v>
      </c>
    </row>
    <row r="238" spans="2:40" x14ac:dyDescent="0.25">
      <c r="B238" s="220">
        <f t="shared" si="53"/>
        <v>179</v>
      </c>
      <c r="C238" s="16">
        <v>20201112</v>
      </c>
      <c r="D238" s="63" t="s">
        <v>3</v>
      </c>
      <c r="E238" s="62" t="s">
        <v>1489</v>
      </c>
      <c r="F238" s="62" t="s">
        <v>1561</v>
      </c>
      <c r="G238" s="63">
        <v>1779273</v>
      </c>
      <c r="H238" s="37" t="s">
        <v>58</v>
      </c>
      <c r="I238" s="63" t="s">
        <v>1521</v>
      </c>
      <c r="J238" s="124" t="s">
        <v>58</v>
      </c>
      <c r="K238" s="15" t="s">
        <v>165</v>
      </c>
      <c r="L238" s="63" t="s">
        <v>1560</v>
      </c>
      <c r="M238" s="15" t="s">
        <v>1158</v>
      </c>
      <c r="N238" s="63" t="s">
        <v>1491</v>
      </c>
      <c r="O238" s="62" t="s">
        <v>58</v>
      </c>
      <c r="P238" s="190" t="s">
        <v>1556</v>
      </c>
      <c r="Q238" s="18"/>
      <c r="R238" s="37"/>
      <c r="S238" s="15" t="s">
        <v>64</v>
      </c>
      <c r="T238" s="15"/>
      <c r="U238" s="15"/>
      <c r="V238" s="63">
        <v>26</v>
      </c>
      <c r="W238" s="16">
        <f t="shared" ref="W238:W269" si="56">V238</f>
        <v>26</v>
      </c>
      <c r="X238" s="15">
        <f t="shared" si="55"/>
        <v>26</v>
      </c>
      <c r="Y238" s="15">
        <f>ROUNDDOWN(W238/HLOOKUP(D238,Table!$C$3:$D$4,2,0)*8,2)</f>
        <v>0.46</v>
      </c>
      <c r="Z238" s="15">
        <f t="shared" si="51"/>
        <v>0.46</v>
      </c>
      <c r="AA238" s="15" t="s">
        <v>18</v>
      </c>
      <c r="AB238" s="19">
        <f t="shared" si="52"/>
        <v>44153</v>
      </c>
      <c r="AC238" s="19">
        <v>44148</v>
      </c>
      <c r="AD238" s="108">
        <v>44153</v>
      </c>
      <c r="AE238" s="19"/>
      <c r="AF238" s="19"/>
      <c r="AG238" s="19"/>
      <c r="AH238" s="91"/>
      <c r="AI238" s="91"/>
      <c r="AJ238" s="91"/>
      <c r="AK238" s="19"/>
      <c r="AL238" s="17" t="s">
        <v>58</v>
      </c>
      <c r="AM238" s="17" t="s">
        <v>58</v>
      </c>
      <c r="AN238" s="17" t="s">
        <v>1615</v>
      </c>
    </row>
    <row r="239" spans="2:40" x14ac:dyDescent="0.25">
      <c r="B239" s="220">
        <f t="shared" si="53"/>
        <v>180</v>
      </c>
      <c r="C239" s="16">
        <v>20201112</v>
      </c>
      <c r="D239" s="63" t="s">
        <v>3</v>
      </c>
      <c r="E239" s="62" t="s">
        <v>1489</v>
      </c>
      <c r="F239" s="104" t="s">
        <v>1616</v>
      </c>
      <c r="G239" s="63">
        <v>1779273</v>
      </c>
      <c r="H239" s="37" t="s">
        <v>58</v>
      </c>
      <c r="I239" s="227" t="s">
        <v>1522</v>
      </c>
      <c r="J239" s="124" t="s">
        <v>58</v>
      </c>
      <c r="K239" s="15" t="s">
        <v>165</v>
      </c>
      <c r="L239" s="63" t="s">
        <v>1560</v>
      </c>
      <c r="M239" s="15" t="s">
        <v>1158</v>
      </c>
      <c r="N239" s="63" t="s">
        <v>1491</v>
      </c>
      <c r="O239" s="62" t="s">
        <v>58</v>
      </c>
      <c r="P239" s="190" t="s">
        <v>1556</v>
      </c>
      <c r="Q239" s="18"/>
      <c r="R239" s="37"/>
      <c r="S239" s="15" t="s">
        <v>64</v>
      </c>
      <c r="T239" s="15"/>
      <c r="U239" s="15"/>
      <c r="V239" s="63">
        <v>8</v>
      </c>
      <c r="W239" s="16">
        <f t="shared" si="56"/>
        <v>8</v>
      </c>
      <c r="X239" s="15">
        <f>W239</f>
        <v>8</v>
      </c>
      <c r="Y239" s="15">
        <f>ROUNDDOWN(W239/HLOOKUP(D239,Table!$C$3:$D$4,2,0)*8,2)</f>
        <v>0.14000000000000001</v>
      </c>
      <c r="Z239" s="15">
        <f t="shared" si="51"/>
        <v>0.14000000000000001</v>
      </c>
      <c r="AA239" s="15" t="s">
        <v>18</v>
      </c>
      <c r="AB239" s="19">
        <f t="shared" si="52"/>
        <v>44153</v>
      </c>
      <c r="AC239" s="19">
        <v>44148</v>
      </c>
      <c r="AD239" s="108">
        <v>44153</v>
      </c>
      <c r="AE239" s="19">
        <v>44152</v>
      </c>
      <c r="AF239" s="19">
        <v>44152</v>
      </c>
      <c r="AG239" s="19" t="s">
        <v>130</v>
      </c>
      <c r="AH239" s="91">
        <v>1</v>
      </c>
      <c r="AI239" s="91">
        <v>1</v>
      </c>
      <c r="AJ239" s="91">
        <v>1</v>
      </c>
      <c r="AK239" s="19" t="s">
        <v>117</v>
      </c>
      <c r="AL239" s="17" t="s">
        <v>58</v>
      </c>
      <c r="AM239" s="17" t="s">
        <v>58</v>
      </c>
      <c r="AN239" s="17" t="s">
        <v>1615</v>
      </c>
    </row>
    <row r="240" spans="2:40" x14ac:dyDescent="0.25">
      <c r="B240" s="220">
        <f t="shared" si="53"/>
        <v>181</v>
      </c>
      <c r="C240" s="16">
        <v>20201112</v>
      </c>
      <c r="D240" s="63" t="s">
        <v>3</v>
      </c>
      <c r="E240" s="62" t="s">
        <v>1489</v>
      </c>
      <c r="F240" s="62" t="s">
        <v>1561</v>
      </c>
      <c r="G240" s="63">
        <v>1779273</v>
      </c>
      <c r="H240" s="37" t="s">
        <v>58</v>
      </c>
      <c r="I240" s="63" t="s">
        <v>1523</v>
      </c>
      <c r="J240" s="124" t="s">
        <v>58</v>
      </c>
      <c r="K240" s="15" t="s">
        <v>165</v>
      </c>
      <c r="L240" s="63" t="s">
        <v>1560</v>
      </c>
      <c r="M240" s="15" t="s">
        <v>1158</v>
      </c>
      <c r="N240" s="63" t="s">
        <v>1491</v>
      </c>
      <c r="O240" s="62" t="s">
        <v>58</v>
      </c>
      <c r="P240" s="190" t="s">
        <v>1556</v>
      </c>
      <c r="Q240" s="18"/>
      <c r="R240" s="37"/>
      <c r="S240" s="15" t="s">
        <v>64</v>
      </c>
      <c r="T240" s="15"/>
      <c r="U240" s="15"/>
      <c r="V240" s="63">
        <v>50</v>
      </c>
      <c r="W240" s="16">
        <f t="shared" si="56"/>
        <v>50</v>
      </c>
      <c r="X240" s="15">
        <f>W240</f>
        <v>50</v>
      </c>
      <c r="Y240" s="15">
        <f>ROUNDDOWN(W240/HLOOKUP(D240,Table!$C$3:$D$4,2,0)*8,2)</f>
        <v>0.88</v>
      </c>
      <c r="Z240" s="15">
        <f t="shared" si="51"/>
        <v>0.88</v>
      </c>
      <c r="AA240" s="15" t="s">
        <v>18</v>
      </c>
      <c r="AB240" s="19">
        <f t="shared" si="52"/>
        <v>44153</v>
      </c>
      <c r="AC240" s="19">
        <v>44148</v>
      </c>
      <c r="AD240" s="108">
        <v>44153</v>
      </c>
      <c r="AE240" s="19"/>
      <c r="AF240" s="19"/>
      <c r="AG240" s="19"/>
      <c r="AH240" s="91"/>
      <c r="AI240" s="91"/>
      <c r="AJ240" s="91"/>
      <c r="AK240" s="19"/>
      <c r="AL240" s="17" t="s">
        <v>58</v>
      </c>
      <c r="AM240" s="17" t="s">
        <v>58</v>
      </c>
      <c r="AN240" s="17" t="s">
        <v>58</v>
      </c>
    </row>
    <row r="241" spans="2:41" x14ac:dyDescent="0.25">
      <c r="B241" s="220">
        <f t="shared" si="53"/>
        <v>182</v>
      </c>
      <c r="C241" s="16">
        <v>20201112</v>
      </c>
      <c r="D241" s="63" t="s">
        <v>3</v>
      </c>
      <c r="E241" s="62" t="s">
        <v>1489</v>
      </c>
      <c r="F241" s="104" t="s">
        <v>1562</v>
      </c>
      <c r="G241" s="63">
        <v>1779273</v>
      </c>
      <c r="H241" s="37" t="s">
        <v>58</v>
      </c>
      <c r="I241" s="227" t="s">
        <v>1524</v>
      </c>
      <c r="J241" s="124" t="s">
        <v>58</v>
      </c>
      <c r="K241" s="15" t="s">
        <v>165</v>
      </c>
      <c r="L241" s="63" t="s">
        <v>1560</v>
      </c>
      <c r="M241" s="15" t="s">
        <v>1158</v>
      </c>
      <c r="N241" s="63" t="s">
        <v>1491</v>
      </c>
      <c r="O241" s="62" t="s">
        <v>58</v>
      </c>
      <c r="P241" s="190" t="s">
        <v>1558</v>
      </c>
      <c r="Q241" s="18"/>
      <c r="R241" s="37"/>
      <c r="S241" s="15" t="s">
        <v>64</v>
      </c>
      <c r="T241" s="15"/>
      <c r="U241" s="15"/>
      <c r="V241" s="63">
        <v>677</v>
      </c>
      <c r="W241" s="16">
        <f t="shared" si="56"/>
        <v>677</v>
      </c>
      <c r="X241" s="15">
        <f>W241</f>
        <v>677</v>
      </c>
      <c r="Y241" s="15">
        <f>ROUNDDOWN(W241/HLOOKUP(D241,Table!$C$3:$D$4,2,0)*8,2)</f>
        <v>12.03</v>
      </c>
      <c r="Z241" s="15">
        <f t="shared" si="51"/>
        <v>12.03</v>
      </c>
      <c r="AA241" s="15" t="s">
        <v>18</v>
      </c>
      <c r="AB241" s="19">
        <f t="shared" si="52"/>
        <v>44153</v>
      </c>
      <c r="AC241" s="19">
        <v>44148</v>
      </c>
      <c r="AD241" s="108">
        <v>44153</v>
      </c>
      <c r="AE241" s="19">
        <v>44152</v>
      </c>
      <c r="AF241" s="19">
        <v>44152</v>
      </c>
      <c r="AG241" s="19" t="s">
        <v>130</v>
      </c>
      <c r="AH241" s="91">
        <v>1</v>
      </c>
      <c r="AI241" s="91">
        <v>1</v>
      </c>
      <c r="AJ241" s="91">
        <v>1</v>
      </c>
      <c r="AK241" s="19" t="s">
        <v>117</v>
      </c>
      <c r="AL241" s="17" t="s">
        <v>58</v>
      </c>
      <c r="AM241" s="17" t="s">
        <v>58</v>
      </c>
      <c r="AN241" s="17" t="s">
        <v>1021</v>
      </c>
    </row>
    <row r="242" spans="2:41" x14ac:dyDescent="0.25">
      <c r="B242" s="220">
        <f t="shared" si="53"/>
        <v>183</v>
      </c>
      <c r="C242" s="16">
        <v>20201112</v>
      </c>
      <c r="D242" s="63" t="s">
        <v>3</v>
      </c>
      <c r="E242" s="62" t="s">
        <v>1489</v>
      </c>
      <c r="F242" s="104" t="s">
        <v>1563</v>
      </c>
      <c r="G242" s="63">
        <v>1779273</v>
      </c>
      <c r="H242" s="37" t="s">
        <v>58</v>
      </c>
      <c r="I242" s="227" t="s">
        <v>1525</v>
      </c>
      <c r="J242" s="124" t="s">
        <v>58</v>
      </c>
      <c r="K242" s="15" t="s">
        <v>165</v>
      </c>
      <c r="L242" s="63" t="s">
        <v>1560</v>
      </c>
      <c r="M242" s="15" t="s">
        <v>1158</v>
      </c>
      <c r="N242" s="63" t="s">
        <v>1491</v>
      </c>
      <c r="O242" s="62" t="s">
        <v>58</v>
      </c>
      <c r="P242" s="190" t="s">
        <v>1558</v>
      </c>
      <c r="Q242" s="18"/>
      <c r="R242" s="37"/>
      <c r="S242" s="15" t="s">
        <v>64</v>
      </c>
      <c r="T242" s="15"/>
      <c r="U242" s="15"/>
      <c r="V242" s="63">
        <v>277</v>
      </c>
      <c r="W242" s="16">
        <f t="shared" si="56"/>
        <v>277</v>
      </c>
      <c r="X242" s="15">
        <f>W242</f>
        <v>277</v>
      </c>
      <c r="Y242" s="15">
        <f>ROUNDDOWN(W242/HLOOKUP(D242,Table!$C$3:$D$4,2,0)*8,2)</f>
        <v>4.92</v>
      </c>
      <c r="Z242" s="15">
        <f t="shared" si="51"/>
        <v>4.92</v>
      </c>
      <c r="AA242" s="15" t="s">
        <v>18</v>
      </c>
      <c r="AB242" s="19">
        <f t="shared" si="52"/>
        <v>44153</v>
      </c>
      <c r="AC242" s="19">
        <v>44148</v>
      </c>
      <c r="AD242" s="108">
        <v>44153</v>
      </c>
      <c r="AE242" s="19">
        <v>44151</v>
      </c>
      <c r="AF242" s="19">
        <v>44151</v>
      </c>
      <c r="AG242" s="19" t="s">
        <v>130</v>
      </c>
      <c r="AH242" s="91">
        <v>1</v>
      </c>
      <c r="AI242" s="91">
        <v>1</v>
      </c>
      <c r="AJ242" s="91">
        <v>1</v>
      </c>
      <c r="AK242" s="19" t="s">
        <v>117</v>
      </c>
      <c r="AL242" s="17" t="s">
        <v>58</v>
      </c>
      <c r="AM242" s="17" t="s">
        <v>58</v>
      </c>
      <c r="AN242" s="17" t="s">
        <v>1256</v>
      </c>
    </row>
    <row r="243" spans="2:41" x14ac:dyDescent="0.25">
      <c r="B243" s="220">
        <f t="shared" si="53"/>
        <v>184</v>
      </c>
      <c r="C243" s="16">
        <v>20201112</v>
      </c>
      <c r="D243" s="63" t="s">
        <v>3</v>
      </c>
      <c r="E243" s="62" t="s">
        <v>1489</v>
      </c>
      <c r="F243" s="104" t="s">
        <v>1574</v>
      </c>
      <c r="G243" s="63">
        <v>1779273</v>
      </c>
      <c r="H243" s="37" t="s">
        <v>58</v>
      </c>
      <c r="I243" s="74" t="s">
        <v>1526</v>
      </c>
      <c r="J243" s="124" t="s">
        <v>58</v>
      </c>
      <c r="K243" s="15" t="s">
        <v>165</v>
      </c>
      <c r="L243" s="63" t="s">
        <v>1560</v>
      </c>
      <c r="M243" s="15" t="s">
        <v>1158</v>
      </c>
      <c r="N243" s="63" t="s">
        <v>1491</v>
      </c>
      <c r="O243" s="62" t="s">
        <v>58</v>
      </c>
      <c r="P243" s="190" t="s">
        <v>1558</v>
      </c>
      <c r="Q243" s="18"/>
      <c r="R243" s="37"/>
      <c r="S243" s="15" t="s">
        <v>142</v>
      </c>
      <c r="T243" s="15" t="s">
        <v>141</v>
      </c>
      <c r="U243" s="15"/>
      <c r="V243" s="63">
        <v>719</v>
      </c>
      <c r="W243" s="16">
        <f t="shared" si="56"/>
        <v>719</v>
      </c>
      <c r="X243" s="15">
        <f t="shared" ref="X243:X253" si="57">W243</f>
        <v>719</v>
      </c>
      <c r="Y243" s="15">
        <f>ROUNDDOWN(W243/HLOOKUP(D243,Table!$C$3:$D$4,2,0)*8,2)</f>
        <v>12.78</v>
      </c>
      <c r="Z243" s="15">
        <f t="shared" si="51"/>
        <v>12.78</v>
      </c>
      <c r="AA243" s="15" t="s">
        <v>18</v>
      </c>
      <c r="AB243" s="19">
        <f t="shared" si="52"/>
        <v>44153</v>
      </c>
      <c r="AC243" s="19">
        <v>44148</v>
      </c>
      <c r="AD243" s="108">
        <v>44153</v>
      </c>
      <c r="AE243" s="19"/>
      <c r="AF243" s="19"/>
      <c r="AG243" s="19"/>
      <c r="AH243" s="91"/>
      <c r="AI243" s="91"/>
      <c r="AJ243" s="91"/>
      <c r="AK243" s="19"/>
      <c r="AL243" s="17" t="s">
        <v>58</v>
      </c>
      <c r="AM243" s="17" t="s">
        <v>58</v>
      </c>
      <c r="AN243" s="17" t="s">
        <v>58</v>
      </c>
    </row>
    <row r="244" spans="2:41" x14ac:dyDescent="0.25">
      <c r="B244" s="220">
        <f t="shared" si="53"/>
        <v>185</v>
      </c>
      <c r="C244" s="16">
        <v>20201112</v>
      </c>
      <c r="D244" s="63" t="s">
        <v>3</v>
      </c>
      <c r="E244" s="62" t="s">
        <v>1489</v>
      </c>
      <c r="F244" s="104" t="s">
        <v>1575</v>
      </c>
      <c r="G244" s="63">
        <v>1779273</v>
      </c>
      <c r="H244" s="37" t="s">
        <v>58</v>
      </c>
      <c r="I244" s="74" t="s">
        <v>1527</v>
      </c>
      <c r="J244" s="124" t="s">
        <v>58</v>
      </c>
      <c r="K244" s="15" t="s">
        <v>165</v>
      </c>
      <c r="L244" s="63" t="s">
        <v>1560</v>
      </c>
      <c r="M244" s="15" t="s">
        <v>1158</v>
      </c>
      <c r="N244" s="63" t="s">
        <v>1491</v>
      </c>
      <c r="O244" s="62" t="s">
        <v>58</v>
      </c>
      <c r="P244" s="190" t="s">
        <v>1558</v>
      </c>
      <c r="Q244" s="18"/>
      <c r="R244" s="37"/>
      <c r="S244" s="15" t="s">
        <v>142</v>
      </c>
      <c r="T244" s="15" t="s">
        <v>141</v>
      </c>
      <c r="U244" s="15"/>
      <c r="V244" s="63">
        <v>136</v>
      </c>
      <c r="W244" s="16">
        <f t="shared" si="56"/>
        <v>136</v>
      </c>
      <c r="X244" s="15">
        <f t="shared" si="57"/>
        <v>136</v>
      </c>
      <c r="Y244" s="15">
        <f>ROUNDDOWN(W244/HLOOKUP(D244,Table!$C$3:$D$4,2,0)*8,2)</f>
        <v>2.41</v>
      </c>
      <c r="Z244" s="15">
        <f t="shared" si="51"/>
        <v>2.41</v>
      </c>
      <c r="AA244" s="15" t="s">
        <v>18</v>
      </c>
      <c r="AB244" s="19">
        <f t="shared" si="52"/>
        <v>44153</v>
      </c>
      <c r="AC244" s="19">
        <v>44148</v>
      </c>
      <c r="AD244" s="108">
        <v>44153</v>
      </c>
      <c r="AE244" s="19"/>
      <c r="AF244" s="19"/>
      <c r="AG244" s="19" t="s">
        <v>130</v>
      </c>
      <c r="AH244" s="91">
        <v>1</v>
      </c>
      <c r="AI244" s="91">
        <v>1</v>
      </c>
      <c r="AJ244" s="91">
        <v>1</v>
      </c>
      <c r="AK244" s="19" t="s">
        <v>117</v>
      </c>
      <c r="AL244" s="17" t="s">
        <v>58</v>
      </c>
      <c r="AM244" s="17" t="s">
        <v>58</v>
      </c>
      <c r="AN244" s="109" t="s">
        <v>1595</v>
      </c>
    </row>
    <row r="245" spans="2:41" x14ac:dyDescent="0.25">
      <c r="B245" s="220">
        <f t="shared" si="53"/>
        <v>186</v>
      </c>
      <c r="C245" s="16">
        <v>20201112</v>
      </c>
      <c r="D245" s="63" t="s">
        <v>3</v>
      </c>
      <c r="E245" s="62" t="s">
        <v>1489</v>
      </c>
      <c r="F245" s="104" t="s">
        <v>1576</v>
      </c>
      <c r="G245" s="63">
        <v>1779273</v>
      </c>
      <c r="H245" s="37" t="s">
        <v>58</v>
      </c>
      <c r="I245" s="74" t="s">
        <v>1528</v>
      </c>
      <c r="J245" s="124" t="s">
        <v>58</v>
      </c>
      <c r="K245" s="15" t="s">
        <v>165</v>
      </c>
      <c r="L245" s="63" t="s">
        <v>1560</v>
      </c>
      <c r="M245" s="15" t="s">
        <v>1158</v>
      </c>
      <c r="N245" s="63" t="s">
        <v>1491</v>
      </c>
      <c r="O245" s="62" t="s">
        <v>58</v>
      </c>
      <c r="P245" s="190" t="s">
        <v>1558</v>
      </c>
      <c r="Q245" s="18"/>
      <c r="R245" s="37"/>
      <c r="S245" s="15" t="s">
        <v>142</v>
      </c>
      <c r="T245" s="15" t="s">
        <v>141</v>
      </c>
      <c r="U245" s="15"/>
      <c r="V245" s="63">
        <v>132</v>
      </c>
      <c r="W245" s="16">
        <f t="shared" si="56"/>
        <v>132</v>
      </c>
      <c r="X245" s="15">
        <f t="shared" si="57"/>
        <v>132</v>
      </c>
      <c r="Y245" s="15">
        <f>ROUNDDOWN(W245/HLOOKUP(D245,Table!$C$3:$D$4,2,0)*8,2)</f>
        <v>2.34</v>
      </c>
      <c r="Z245" s="15">
        <f t="shared" si="51"/>
        <v>2.34</v>
      </c>
      <c r="AA245" s="15" t="s">
        <v>18</v>
      </c>
      <c r="AB245" s="19">
        <f t="shared" si="52"/>
        <v>44153</v>
      </c>
      <c r="AC245" s="19">
        <v>44148</v>
      </c>
      <c r="AD245" s="108">
        <v>44153</v>
      </c>
      <c r="AE245" s="19"/>
      <c r="AF245" s="19"/>
      <c r="AG245" s="19"/>
      <c r="AH245" s="91"/>
      <c r="AI245" s="91"/>
      <c r="AJ245" s="91"/>
      <c r="AK245" s="19"/>
      <c r="AL245" s="17" t="s">
        <v>58</v>
      </c>
      <c r="AM245" s="17" t="s">
        <v>58</v>
      </c>
      <c r="AN245" s="17" t="s">
        <v>58</v>
      </c>
    </row>
    <row r="246" spans="2:41" ht="60" x14ac:dyDescent="0.25">
      <c r="B246" s="220">
        <f t="shared" si="53"/>
        <v>187</v>
      </c>
      <c r="C246" s="16">
        <v>20201112</v>
      </c>
      <c r="D246" s="63" t="s">
        <v>3</v>
      </c>
      <c r="E246" s="62" t="s">
        <v>1489</v>
      </c>
      <c r="F246" s="104" t="s">
        <v>1577</v>
      </c>
      <c r="G246" s="63">
        <v>1779273</v>
      </c>
      <c r="H246" s="37" t="s">
        <v>58</v>
      </c>
      <c r="I246" s="74" t="s">
        <v>1529</v>
      </c>
      <c r="J246" s="124" t="s">
        <v>58</v>
      </c>
      <c r="K246" s="15" t="s">
        <v>165</v>
      </c>
      <c r="L246" s="63" t="s">
        <v>1560</v>
      </c>
      <c r="M246" s="15" t="s">
        <v>1158</v>
      </c>
      <c r="N246" s="63" t="s">
        <v>1491</v>
      </c>
      <c r="O246" s="62" t="s">
        <v>58</v>
      </c>
      <c r="P246" s="190" t="s">
        <v>1558</v>
      </c>
      <c r="Q246" s="18"/>
      <c r="R246" s="37"/>
      <c r="S246" s="15" t="s">
        <v>142</v>
      </c>
      <c r="T246" s="15" t="s">
        <v>141</v>
      </c>
      <c r="U246" s="15"/>
      <c r="V246" s="63">
        <v>16</v>
      </c>
      <c r="W246" s="18">
        <v>150</v>
      </c>
      <c r="X246" s="15">
        <f t="shared" si="57"/>
        <v>150</v>
      </c>
      <c r="Y246" s="15">
        <f>ROUNDDOWN(W246/HLOOKUP(D246,Table!$C$3:$D$4,2,0)*8,2)</f>
        <v>2.66</v>
      </c>
      <c r="Z246" s="15">
        <f t="shared" si="51"/>
        <v>2.66</v>
      </c>
      <c r="AA246" s="15" t="s">
        <v>18</v>
      </c>
      <c r="AB246" s="19">
        <f t="shared" si="52"/>
        <v>44153</v>
      </c>
      <c r="AC246" s="19">
        <v>44148</v>
      </c>
      <c r="AD246" s="108">
        <v>44153</v>
      </c>
      <c r="AE246" s="19"/>
      <c r="AF246" s="19"/>
      <c r="AG246" s="19" t="s">
        <v>130</v>
      </c>
      <c r="AH246" s="91">
        <v>1</v>
      </c>
      <c r="AI246" s="91">
        <v>1</v>
      </c>
      <c r="AJ246" s="91">
        <v>1</v>
      </c>
      <c r="AK246" s="19" t="s">
        <v>117</v>
      </c>
      <c r="AL246" s="17"/>
      <c r="AM246" s="17" t="s">
        <v>58</v>
      </c>
      <c r="AN246" s="136" t="s">
        <v>1610</v>
      </c>
      <c r="AO246" t="s">
        <v>1609</v>
      </c>
    </row>
    <row r="247" spans="2:41" x14ac:dyDescent="0.25">
      <c r="B247" s="220">
        <f t="shared" si="53"/>
        <v>188</v>
      </c>
      <c r="C247" s="16">
        <v>20201112</v>
      </c>
      <c r="D247" s="63" t="s">
        <v>3</v>
      </c>
      <c r="E247" s="62" t="s">
        <v>1489</v>
      </c>
      <c r="F247" s="104" t="s">
        <v>1578</v>
      </c>
      <c r="G247" s="63">
        <v>1779273</v>
      </c>
      <c r="H247" s="37" t="s">
        <v>58</v>
      </c>
      <c r="I247" s="74" t="s">
        <v>1530</v>
      </c>
      <c r="J247" s="124" t="s">
        <v>58</v>
      </c>
      <c r="K247" s="15" t="s">
        <v>165</v>
      </c>
      <c r="L247" s="63" t="s">
        <v>1560</v>
      </c>
      <c r="M247" s="15" t="s">
        <v>1158</v>
      </c>
      <c r="N247" s="63" t="s">
        <v>1491</v>
      </c>
      <c r="O247" s="62" t="s">
        <v>58</v>
      </c>
      <c r="P247" s="190" t="s">
        <v>1558</v>
      </c>
      <c r="Q247" s="18"/>
      <c r="R247" s="37"/>
      <c r="S247" s="15" t="s">
        <v>142</v>
      </c>
      <c r="T247" s="15" t="s">
        <v>141</v>
      </c>
      <c r="U247" s="15"/>
      <c r="V247" s="63">
        <v>33</v>
      </c>
      <c r="W247" s="16">
        <f t="shared" si="56"/>
        <v>33</v>
      </c>
      <c r="X247" s="15">
        <f t="shared" si="57"/>
        <v>33</v>
      </c>
      <c r="Y247" s="15">
        <f>ROUNDDOWN(W247/HLOOKUP(D247,Table!$C$3:$D$4,2,0)*8,2)</f>
        <v>0.57999999999999996</v>
      </c>
      <c r="Z247" s="15">
        <f t="shared" si="51"/>
        <v>0.57999999999999996</v>
      </c>
      <c r="AA247" s="15" t="s">
        <v>18</v>
      </c>
      <c r="AB247" s="19">
        <f t="shared" si="52"/>
        <v>44153</v>
      </c>
      <c r="AC247" s="19">
        <v>44148</v>
      </c>
      <c r="AD247" s="108">
        <v>44153</v>
      </c>
      <c r="AE247" s="19"/>
      <c r="AF247" s="19"/>
      <c r="AG247" s="19"/>
      <c r="AH247" s="91"/>
      <c r="AI247" s="91"/>
      <c r="AJ247" s="91"/>
      <c r="AK247" s="19"/>
      <c r="AL247" s="17" t="s">
        <v>58</v>
      </c>
      <c r="AM247" s="17" t="s">
        <v>58</v>
      </c>
      <c r="AN247" s="17" t="s">
        <v>58</v>
      </c>
    </row>
    <row r="248" spans="2:41" x14ac:dyDescent="0.25">
      <c r="B248" s="220">
        <f t="shared" ref="B248:B273" si="58">B247+1</f>
        <v>189</v>
      </c>
      <c r="C248" s="16">
        <v>20201112</v>
      </c>
      <c r="D248" s="63" t="s">
        <v>3</v>
      </c>
      <c r="E248" s="62" t="s">
        <v>1489</v>
      </c>
      <c r="F248" s="104" t="s">
        <v>1579</v>
      </c>
      <c r="G248" s="63">
        <v>1779273</v>
      </c>
      <c r="H248" s="37" t="s">
        <v>58</v>
      </c>
      <c r="I248" s="74" t="s">
        <v>1531</v>
      </c>
      <c r="J248" s="124" t="s">
        <v>58</v>
      </c>
      <c r="K248" s="15" t="s">
        <v>165</v>
      </c>
      <c r="L248" s="63" t="s">
        <v>1560</v>
      </c>
      <c r="M248" s="15" t="s">
        <v>1158</v>
      </c>
      <c r="N248" s="63" t="s">
        <v>1491</v>
      </c>
      <c r="O248" s="62" t="s">
        <v>58</v>
      </c>
      <c r="P248" s="190" t="s">
        <v>1558</v>
      </c>
      <c r="Q248" s="18"/>
      <c r="R248" s="37"/>
      <c r="S248" s="15" t="s">
        <v>142</v>
      </c>
      <c r="T248" s="15" t="s">
        <v>141</v>
      </c>
      <c r="U248" s="15"/>
      <c r="V248" s="63">
        <v>151</v>
      </c>
      <c r="W248" s="16">
        <f t="shared" si="56"/>
        <v>151</v>
      </c>
      <c r="X248" s="15">
        <f t="shared" si="57"/>
        <v>151</v>
      </c>
      <c r="Y248" s="15">
        <f>ROUNDDOWN(W248/HLOOKUP(D248,Table!$C$3:$D$4,2,0)*8,2)</f>
        <v>2.68</v>
      </c>
      <c r="Z248" s="15">
        <f t="shared" si="51"/>
        <v>2.68</v>
      </c>
      <c r="AA248" s="15" t="s">
        <v>18</v>
      </c>
      <c r="AB248" s="19">
        <f t="shared" si="52"/>
        <v>44153</v>
      </c>
      <c r="AC248" s="19">
        <v>44148</v>
      </c>
      <c r="AD248" s="108">
        <v>44153</v>
      </c>
      <c r="AE248" s="19"/>
      <c r="AF248" s="19"/>
      <c r="AG248" s="19"/>
      <c r="AH248" s="91"/>
      <c r="AI248" s="91"/>
      <c r="AJ248" s="91"/>
      <c r="AK248" s="19"/>
      <c r="AL248" s="17" t="s">
        <v>58</v>
      </c>
      <c r="AM248" s="17" t="s">
        <v>58</v>
      </c>
      <c r="AN248" s="17" t="s">
        <v>58</v>
      </c>
    </row>
    <row r="249" spans="2:41" x14ac:dyDescent="0.25">
      <c r="B249" s="220">
        <f t="shared" si="58"/>
        <v>190</v>
      </c>
      <c r="C249" s="16">
        <v>20201112</v>
      </c>
      <c r="D249" s="63" t="s">
        <v>3</v>
      </c>
      <c r="E249" s="62" t="s">
        <v>1489</v>
      </c>
      <c r="F249" s="104" t="s">
        <v>1580</v>
      </c>
      <c r="G249" s="63">
        <v>1779273</v>
      </c>
      <c r="H249" s="37" t="s">
        <v>58</v>
      </c>
      <c r="I249" s="74" t="s">
        <v>1532</v>
      </c>
      <c r="J249" s="124" t="s">
        <v>58</v>
      </c>
      <c r="K249" s="15" t="s">
        <v>165</v>
      </c>
      <c r="L249" s="63" t="s">
        <v>1560</v>
      </c>
      <c r="M249" s="15" t="s">
        <v>1158</v>
      </c>
      <c r="N249" s="63" t="s">
        <v>1491</v>
      </c>
      <c r="O249" s="62" t="s">
        <v>58</v>
      </c>
      <c r="P249" s="190" t="s">
        <v>1558</v>
      </c>
      <c r="Q249" s="18"/>
      <c r="R249" s="37"/>
      <c r="S249" s="15" t="s">
        <v>142</v>
      </c>
      <c r="T249" s="15" t="s">
        <v>141</v>
      </c>
      <c r="U249" s="15"/>
      <c r="V249" s="63">
        <v>41</v>
      </c>
      <c r="W249" s="16">
        <f t="shared" si="56"/>
        <v>41</v>
      </c>
      <c r="X249" s="15">
        <f t="shared" si="57"/>
        <v>41</v>
      </c>
      <c r="Y249" s="15">
        <f>ROUNDDOWN(W249/HLOOKUP(D249,Table!$C$3:$D$4,2,0)*8,2)</f>
        <v>0.72</v>
      </c>
      <c r="Z249" s="15">
        <f t="shared" si="51"/>
        <v>0.72</v>
      </c>
      <c r="AA249" s="15" t="s">
        <v>18</v>
      </c>
      <c r="AB249" s="19">
        <f t="shared" si="52"/>
        <v>44153</v>
      </c>
      <c r="AC249" s="19">
        <v>44148</v>
      </c>
      <c r="AD249" s="108">
        <v>44153</v>
      </c>
      <c r="AE249" s="19"/>
      <c r="AF249" s="19"/>
      <c r="AG249" s="19"/>
      <c r="AH249" s="91"/>
      <c r="AI249" s="91"/>
      <c r="AJ249" s="91"/>
      <c r="AK249" s="19"/>
      <c r="AL249" s="17" t="s">
        <v>58</v>
      </c>
      <c r="AM249" s="17" t="s">
        <v>58</v>
      </c>
      <c r="AN249" s="17" t="s">
        <v>58</v>
      </c>
    </row>
    <row r="250" spans="2:41" x14ac:dyDescent="0.25">
      <c r="B250" s="220">
        <f t="shared" si="58"/>
        <v>191</v>
      </c>
      <c r="C250" s="16">
        <v>20201112</v>
      </c>
      <c r="D250" s="63" t="s">
        <v>3</v>
      </c>
      <c r="E250" s="62" t="s">
        <v>1489</v>
      </c>
      <c r="F250" s="104" t="s">
        <v>1581</v>
      </c>
      <c r="G250" s="63">
        <v>1779273</v>
      </c>
      <c r="H250" s="37" t="s">
        <v>58</v>
      </c>
      <c r="I250" s="74" t="s">
        <v>1533</v>
      </c>
      <c r="J250" s="124" t="s">
        <v>58</v>
      </c>
      <c r="K250" s="15" t="s">
        <v>165</v>
      </c>
      <c r="L250" s="63" t="s">
        <v>1560</v>
      </c>
      <c r="M250" s="15" t="s">
        <v>1158</v>
      </c>
      <c r="N250" s="63" t="s">
        <v>1491</v>
      </c>
      <c r="O250" s="62" t="s">
        <v>58</v>
      </c>
      <c r="P250" s="190" t="s">
        <v>1558</v>
      </c>
      <c r="Q250" s="18"/>
      <c r="R250" s="37"/>
      <c r="S250" s="15" t="s">
        <v>142</v>
      </c>
      <c r="T250" s="15" t="s">
        <v>141</v>
      </c>
      <c r="U250" s="15"/>
      <c r="V250" s="63">
        <v>109</v>
      </c>
      <c r="W250" s="16">
        <f t="shared" si="56"/>
        <v>109</v>
      </c>
      <c r="X250" s="15">
        <f t="shared" si="57"/>
        <v>109</v>
      </c>
      <c r="Y250" s="15">
        <f>ROUNDDOWN(W250/HLOOKUP(D250,Table!$C$3:$D$4,2,0)*8,2)</f>
        <v>1.93</v>
      </c>
      <c r="Z250" s="15">
        <f t="shared" si="51"/>
        <v>1.93</v>
      </c>
      <c r="AA250" s="15" t="s">
        <v>18</v>
      </c>
      <c r="AB250" s="19">
        <f t="shared" si="52"/>
        <v>44153</v>
      </c>
      <c r="AC250" s="19">
        <v>44148</v>
      </c>
      <c r="AD250" s="108">
        <v>44153</v>
      </c>
      <c r="AE250" s="19"/>
      <c r="AF250" s="19"/>
      <c r="AG250" s="19"/>
      <c r="AH250" s="91"/>
      <c r="AI250" s="91"/>
      <c r="AJ250" s="91"/>
      <c r="AK250" s="19"/>
      <c r="AL250" s="17" t="s">
        <v>58</v>
      </c>
      <c r="AM250" s="17" t="s">
        <v>58</v>
      </c>
      <c r="AN250" s="17" t="s">
        <v>58</v>
      </c>
    </row>
    <row r="251" spans="2:41" x14ac:dyDescent="0.25">
      <c r="B251" s="220">
        <f t="shared" si="58"/>
        <v>192</v>
      </c>
      <c r="C251" s="16">
        <v>20201112</v>
      </c>
      <c r="D251" s="63" t="s">
        <v>3</v>
      </c>
      <c r="E251" s="62" t="s">
        <v>1489</v>
      </c>
      <c r="F251" s="104" t="s">
        <v>1582</v>
      </c>
      <c r="G251" s="63">
        <v>1779273</v>
      </c>
      <c r="H251" s="37" t="s">
        <v>58</v>
      </c>
      <c r="I251" s="74" t="s">
        <v>1534</v>
      </c>
      <c r="J251" s="124" t="s">
        <v>58</v>
      </c>
      <c r="K251" s="15" t="s">
        <v>165</v>
      </c>
      <c r="L251" s="63" t="s">
        <v>1560</v>
      </c>
      <c r="M251" s="15" t="s">
        <v>1158</v>
      </c>
      <c r="N251" s="63" t="s">
        <v>1491</v>
      </c>
      <c r="O251" s="62" t="s">
        <v>58</v>
      </c>
      <c r="P251" s="190" t="s">
        <v>1558</v>
      </c>
      <c r="Q251" s="18"/>
      <c r="R251" s="37"/>
      <c r="S251" s="15" t="s">
        <v>142</v>
      </c>
      <c r="T251" s="15" t="s">
        <v>141</v>
      </c>
      <c r="U251" s="15"/>
      <c r="V251" s="63">
        <v>186</v>
      </c>
      <c r="W251" s="16">
        <f t="shared" si="56"/>
        <v>186</v>
      </c>
      <c r="X251" s="15">
        <f t="shared" si="57"/>
        <v>186</v>
      </c>
      <c r="Y251" s="15">
        <f>ROUNDDOWN(W251/HLOOKUP(D251,Table!$C$3:$D$4,2,0)*8,2)</f>
        <v>3.3</v>
      </c>
      <c r="Z251" s="15">
        <f t="shared" si="51"/>
        <v>3.3</v>
      </c>
      <c r="AA251" s="15" t="s">
        <v>18</v>
      </c>
      <c r="AB251" s="19">
        <f t="shared" si="52"/>
        <v>44153</v>
      </c>
      <c r="AC251" s="19">
        <v>44148</v>
      </c>
      <c r="AD251" s="108">
        <v>44153</v>
      </c>
      <c r="AE251" s="19"/>
      <c r="AF251" s="19"/>
      <c r="AG251" s="19"/>
      <c r="AH251" s="91"/>
      <c r="AI251" s="91"/>
      <c r="AJ251" s="91"/>
      <c r="AK251" s="19"/>
      <c r="AL251" s="17" t="s">
        <v>58</v>
      </c>
      <c r="AM251" s="17" t="s">
        <v>58</v>
      </c>
      <c r="AN251" s="17" t="s">
        <v>58</v>
      </c>
    </row>
    <row r="252" spans="2:41" x14ac:dyDescent="0.25">
      <c r="B252" s="220">
        <f t="shared" si="58"/>
        <v>193</v>
      </c>
      <c r="C252" s="16">
        <v>20201112</v>
      </c>
      <c r="D252" s="63" t="s">
        <v>3</v>
      </c>
      <c r="E252" s="62" t="s">
        <v>1489</v>
      </c>
      <c r="F252" s="104" t="s">
        <v>1583</v>
      </c>
      <c r="G252" s="63">
        <v>1779273</v>
      </c>
      <c r="H252" s="37" t="s">
        <v>58</v>
      </c>
      <c r="I252" s="74" t="s">
        <v>1535</v>
      </c>
      <c r="J252" s="124" t="s">
        <v>58</v>
      </c>
      <c r="K252" s="15" t="s">
        <v>165</v>
      </c>
      <c r="L252" s="63" t="s">
        <v>1560</v>
      </c>
      <c r="M252" s="15" t="s">
        <v>1158</v>
      </c>
      <c r="N252" s="63" t="s">
        <v>1491</v>
      </c>
      <c r="O252" s="62" t="s">
        <v>58</v>
      </c>
      <c r="P252" s="190" t="s">
        <v>1558</v>
      </c>
      <c r="Q252" s="18"/>
      <c r="R252" s="37"/>
      <c r="S252" s="15" t="s">
        <v>142</v>
      </c>
      <c r="T252" s="15" t="s">
        <v>141</v>
      </c>
      <c r="U252" s="15"/>
      <c r="V252" s="63">
        <v>50</v>
      </c>
      <c r="W252" s="16">
        <f t="shared" si="56"/>
        <v>50</v>
      </c>
      <c r="X252" s="15">
        <f t="shared" si="57"/>
        <v>50</v>
      </c>
      <c r="Y252" s="15">
        <f>ROUNDDOWN(W252/HLOOKUP(D252,Table!$C$3:$D$4,2,0)*8,2)</f>
        <v>0.88</v>
      </c>
      <c r="Z252" s="15">
        <f t="shared" si="51"/>
        <v>0.88</v>
      </c>
      <c r="AA252" s="15" t="s">
        <v>18</v>
      </c>
      <c r="AB252" s="19">
        <f t="shared" si="52"/>
        <v>44153</v>
      </c>
      <c r="AC252" s="19">
        <v>44148</v>
      </c>
      <c r="AD252" s="108">
        <v>44153</v>
      </c>
      <c r="AE252" s="19"/>
      <c r="AF252" s="19"/>
      <c r="AG252" s="19"/>
      <c r="AH252" s="91"/>
      <c r="AI252" s="91"/>
      <c r="AJ252" s="91"/>
      <c r="AK252" s="19"/>
      <c r="AL252" s="17" t="s">
        <v>58</v>
      </c>
      <c r="AM252" s="17" t="s">
        <v>58</v>
      </c>
      <c r="AN252" s="17" t="s">
        <v>58</v>
      </c>
    </row>
    <row r="253" spans="2:41" x14ac:dyDescent="0.25">
      <c r="B253" s="220">
        <f t="shared" si="58"/>
        <v>194</v>
      </c>
      <c r="C253" s="16">
        <v>20201112</v>
      </c>
      <c r="D253" s="63" t="s">
        <v>3</v>
      </c>
      <c r="E253" s="62" t="s">
        <v>1489</v>
      </c>
      <c r="F253" s="62" t="s">
        <v>1563</v>
      </c>
      <c r="G253" s="63">
        <v>1779273</v>
      </c>
      <c r="H253" s="37" t="s">
        <v>58</v>
      </c>
      <c r="I253" s="63" t="s">
        <v>1536</v>
      </c>
      <c r="J253" s="124" t="s">
        <v>58</v>
      </c>
      <c r="K253" s="15" t="s">
        <v>165</v>
      </c>
      <c r="L253" s="63" t="s">
        <v>1560</v>
      </c>
      <c r="M253" s="15" t="s">
        <v>1158</v>
      </c>
      <c r="N253" s="63" t="s">
        <v>1491</v>
      </c>
      <c r="O253" s="62" t="s">
        <v>58</v>
      </c>
      <c r="P253" s="190" t="s">
        <v>1558</v>
      </c>
      <c r="Q253" s="18"/>
      <c r="R253" s="37"/>
      <c r="S253" s="15" t="s">
        <v>141</v>
      </c>
      <c r="T253" s="15"/>
      <c r="U253" s="15"/>
      <c r="V253" s="63">
        <v>1195</v>
      </c>
      <c r="W253" s="18">
        <v>1568</v>
      </c>
      <c r="X253" s="15">
        <f t="shared" si="57"/>
        <v>1568</v>
      </c>
      <c r="Y253" s="15">
        <f>ROUNDDOWN(W253/HLOOKUP(D253,Table!$C$3:$D$4,2,0)*8,2)</f>
        <v>27.87</v>
      </c>
      <c r="Z253" s="15">
        <f t="shared" si="51"/>
        <v>27.87</v>
      </c>
      <c r="AA253" s="15" t="s">
        <v>18</v>
      </c>
      <c r="AB253" s="19">
        <f t="shared" si="52"/>
        <v>44153</v>
      </c>
      <c r="AC253" s="19">
        <v>44148</v>
      </c>
      <c r="AD253" s="108">
        <v>44153</v>
      </c>
      <c r="AE253" s="19"/>
      <c r="AF253" s="19"/>
      <c r="AG253" s="19"/>
      <c r="AH253" s="91"/>
      <c r="AI253" s="91"/>
      <c r="AJ253" s="91"/>
      <c r="AK253" s="19"/>
      <c r="AL253" s="17" t="s">
        <v>58</v>
      </c>
      <c r="AM253" s="17" t="s">
        <v>58</v>
      </c>
      <c r="AN253" s="17" t="s">
        <v>58</v>
      </c>
    </row>
    <row r="254" spans="2:41" x14ac:dyDescent="0.25">
      <c r="B254" s="220">
        <f t="shared" si="58"/>
        <v>195</v>
      </c>
      <c r="C254" s="16">
        <v>20201112</v>
      </c>
      <c r="D254" s="63" t="s">
        <v>3</v>
      </c>
      <c r="E254" s="62" t="s">
        <v>1489</v>
      </c>
      <c r="F254" s="62" t="s">
        <v>1563</v>
      </c>
      <c r="G254" s="63">
        <v>1779273</v>
      </c>
      <c r="H254" s="37" t="s">
        <v>58</v>
      </c>
      <c r="I254" s="63" t="s">
        <v>1537</v>
      </c>
      <c r="J254" s="124" t="s">
        <v>58</v>
      </c>
      <c r="K254" s="15" t="s">
        <v>165</v>
      </c>
      <c r="L254" s="63" t="s">
        <v>1560</v>
      </c>
      <c r="M254" s="15" t="s">
        <v>1158</v>
      </c>
      <c r="N254" s="63" t="s">
        <v>1491</v>
      </c>
      <c r="O254" s="62" t="s">
        <v>58</v>
      </c>
      <c r="P254" s="190" t="s">
        <v>1558</v>
      </c>
      <c r="Q254" s="18"/>
      <c r="R254" s="37"/>
      <c r="S254" s="15" t="s">
        <v>141</v>
      </c>
      <c r="T254" s="15"/>
      <c r="U254" s="15"/>
      <c r="V254" s="63">
        <v>162</v>
      </c>
      <c r="W254" s="16">
        <f t="shared" si="56"/>
        <v>162</v>
      </c>
      <c r="X254" s="15">
        <f t="shared" ref="X254:X259" si="59">W254</f>
        <v>162</v>
      </c>
      <c r="Y254" s="15">
        <f>ROUNDDOWN(W254/HLOOKUP(D254,Table!$C$3:$D$4,2,0)*8,2)</f>
        <v>2.88</v>
      </c>
      <c r="Z254" s="15">
        <f t="shared" si="51"/>
        <v>2.88</v>
      </c>
      <c r="AA254" s="15" t="s">
        <v>18</v>
      </c>
      <c r="AB254" s="19">
        <f t="shared" si="52"/>
        <v>44153</v>
      </c>
      <c r="AC254" s="19">
        <v>44148</v>
      </c>
      <c r="AD254" s="108">
        <v>44153</v>
      </c>
      <c r="AE254" s="19">
        <v>44152</v>
      </c>
      <c r="AF254" s="19">
        <v>44152</v>
      </c>
      <c r="AG254" s="19" t="s">
        <v>130</v>
      </c>
      <c r="AH254" s="91">
        <v>1</v>
      </c>
      <c r="AI254" s="91">
        <v>1</v>
      </c>
      <c r="AJ254" s="91">
        <v>1</v>
      </c>
      <c r="AK254" s="19" t="s">
        <v>117</v>
      </c>
      <c r="AL254" s="17" t="s">
        <v>58</v>
      </c>
      <c r="AM254" s="17" t="s">
        <v>58</v>
      </c>
      <c r="AN254" s="17" t="s">
        <v>58</v>
      </c>
    </row>
    <row r="255" spans="2:41" x14ac:dyDescent="0.25">
      <c r="B255" s="220">
        <f t="shared" si="58"/>
        <v>196</v>
      </c>
      <c r="C255" s="16">
        <v>20201112</v>
      </c>
      <c r="D255" s="63" t="s">
        <v>3</v>
      </c>
      <c r="E255" s="62" t="s">
        <v>1489</v>
      </c>
      <c r="F255" s="62" t="s">
        <v>1563</v>
      </c>
      <c r="G255" s="63">
        <v>1779273</v>
      </c>
      <c r="H255" s="37" t="s">
        <v>58</v>
      </c>
      <c r="I255" s="63" t="s">
        <v>1538</v>
      </c>
      <c r="J255" s="124" t="s">
        <v>58</v>
      </c>
      <c r="K255" s="15" t="s">
        <v>165</v>
      </c>
      <c r="L255" s="63" t="s">
        <v>1560</v>
      </c>
      <c r="M255" s="15" t="s">
        <v>1158</v>
      </c>
      <c r="N255" s="63" t="s">
        <v>1491</v>
      </c>
      <c r="O255" s="62" t="s">
        <v>58</v>
      </c>
      <c r="P255" s="190" t="s">
        <v>1558</v>
      </c>
      <c r="Q255" s="18"/>
      <c r="R255" s="37"/>
      <c r="S255" s="15" t="s">
        <v>141</v>
      </c>
      <c r="T255" s="15"/>
      <c r="U255" s="15"/>
      <c r="V255" s="63">
        <v>188</v>
      </c>
      <c r="W255" s="16">
        <f t="shared" si="56"/>
        <v>188</v>
      </c>
      <c r="X255" s="15">
        <f t="shared" si="59"/>
        <v>188</v>
      </c>
      <c r="Y255" s="15">
        <f>ROUNDDOWN(W255/HLOOKUP(D255,Table!$C$3:$D$4,2,0)*8,2)</f>
        <v>3.34</v>
      </c>
      <c r="Z255" s="15">
        <f t="shared" si="51"/>
        <v>3.34</v>
      </c>
      <c r="AA255" s="15" t="s">
        <v>18</v>
      </c>
      <c r="AB255" s="19">
        <f t="shared" si="52"/>
        <v>44153</v>
      </c>
      <c r="AC255" s="19">
        <v>44148</v>
      </c>
      <c r="AD255" s="108">
        <v>44153</v>
      </c>
      <c r="AE255" s="19">
        <v>44152</v>
      </c>
      <c r="AF255" s="19">
        <v>44152</v>
      </c>
      <c r="AG255" s="19" t="s">
        <v>130</v>
      </c>
      <c r="AH255" s="91">
        <v>1</v>
      </c>
      <c r="AI255" s="91">
        <v>1</v>
      </c>
      <c r="AJ255" s="91">
        <v>1</v>
      </c>
      <c r="AK255" s="19" t="s">
        <v>117</v>
      </c>
      <c r="AL255" s="17" t="s">
        <v>58</v>
      </c>
      <c r="AM255" s="17" t="s">
        <v>58</v>
      </c>
      <c r="AN255" s="17" t="s">
        <v>58</v>
      </c>
    </row>
    <row r="256" spans="2:41" x14ac:dyDescent="0.25">
      <c r="B256" s="220">
        <f t="shared" si="58"/>
        <v>197</v>
      </c>
      <c r="C256" s="16">
        <v>20201112</v>
      </c>
      <c r="D256" s="63" t="s">
        <v>3</v>
      </c>
      <c r="E256" s="62" t="s">
        <v>1489</v>
      </c>
      <c r="F256" s="62" t="s">
        <v>1563</v>
      </c>
      <c r="G256" s="63">
        <v>1779273</v>
      </c>
      <c r="H256" s="37" t="s">
        <v>58</v>
      </c>
      <c r="I256" s="174" t="s">
        <v>1539</v>
      </c>
      <c r="J256" s="124" t="s">
        <v>58</v>
      </c>
      <c r="K256" s="15" t="s">
        <v>165</v>
      </c>
      <c r="L256" s="63" t="s">
        <v>1560</v>
      </c>
      <c r="M256" s="15" t="s">
        <v>1158</v>
      </c>
      <c r="N256" s="63" t="s">
        <v>1491</v>
      </c>
      <c r="O256" s="62" t="s">
        <v>58</v>
      </c>
      <c r="P256" s="190" t="s">
        <v>1558</v>
      </c>
      <c r="Q256" s="18"/>
      <c r="R256" s="37"/>
      <c r="S256" s="15" t="s">
        <v>141</v>
      </c>
      <c r="T256" s="15"/>
      <c r="U256" s="15"/>
      <c r="V256" s="63">
        <v>260</v>
      </c>
      <c r="W256" s="18">
        <v>283</v>
      </c>
      <c r="X256" s="15">
        <f t="shared" si="59"/>
        <v>283</v>
      </c>
      <c r="Y256" s="15">
        <f>ROUNDDOWN(W256/HLOOKUP(D256,Table!$C$3:$D$4,2,0)*8,2)</f>
        <v>5.03</v>
      </c>
      <c r="Z256" s="15">
        <f t="shared" si="51"/>
        <v>5.03</v>
      </c>
      <c r="AA256" s="15" t="s">
        <v>18</v>
      </c>
      <c r="AB256" s="19">
        <f t="shared" si="52"/>
        <v>44153</v>
      </c>
      <c r="AC256" s="19">
        <v>44148</v>
      </c>
      <c r="AD256" s="108">
        <v>44153</v>
      </c>
      <c r="AE256" s="19">
        <v>44152</v>
      </c>
      <c r="AF256" s="19">
        <v>44152</v>
      </c>
      <c r="AG256" s="19" t="s">
        <v>130</v>
      </c>
      <c r="AH256" s="91">
        <v>1</v>
      </c>
      <c r="AI256" s="91">
        <v>0.97</v>
      </c>
      <c r="AJ256" s="91">
        <v>0.6</v>
      </c>
      <c r="AK256" s="19" t="s">
        <v>107</v>
      </c>
      <c r="AL256" s="17" t="s">
        <v>1611</v>
      </c>
      <c r="AM256" s="17" t="s">
        <v>58</v>
      </c>
      <c r="AN256" s="17" t="s">
        <v>1612</v>
      </c>
    </row>
    <row r="257" spans="2:40" x14ac:dyDescent="0.25">
      <c r="B257" s="220">
        <f t="shared" si="58"/>
        <v>198</v>
      </c>
      <c r="C257" s="16">
        <v>20201112</v>
      </c>
      <c r="D257" s="63" t="s">
        <v>3</v>
      </c>
      <c r="E257" s="62" t="s">
        <v>1489</v>
      </c>
      <c r="F257" s="62" t="s">
        <v>1563</v>
      </c>
      <c r="G257" s="63">
        <v>1779273</v>
      </c>
      <c r="H257" s="37" t="s">
        <v>58</v>
      </c>
      <c r="I257" s="174" t="s">
        <v>1540</v>
      </c>
      <c r="J257" s="124" t="s">
        <v>58</v>
      </c>
      <c r="K257" s="15" t="s">
        <v>165</v>
      </c>
      <c r="L257" s="63" t="s">
        <v>1560</v>
      </c>
      <c r="M257" s="15" t="s">
        <v>1158</v>
      </c>
      <c r="N257" s="63" t="s">
        <v>1491</v>
      </c>
      <c r="O257" s="62" t="s">
        <v>58</v>
      </c>
      <c r="P257" s="190" t="s">
        <v>1558</v>
      </c>
      <c r="Q257" s="18"/>
      <c r="R257" s="37"/>
      <c r="S257" s="63" t="s">
        <v>141</v>
      </c>
      <c r="T257" s="15"/>
      <c r="U257" s="15"/>
      <c r="V257" s="63">
        <v>156</v>
      </c>
      <c r="W257" s="18">
        <v>161</v>
      </c>
      <c r="X257" s="15">
        <f t="shared" si="59"/>
        <v>161</v>
      </c>
      <c r="Y257" s="15">
        <f>ROUNDDOWN(W257/HLOOKUP(D257,Table!$C$3:$D$4,2,0)*8,2)</f>
        <v>2.86</v>
      </c>
      <c r="Z257" s="15">
        <f t="shared" si="51"/>
        <v>2.86</v>
      </c>
      <c r="AA257" s="15" t="s">
        <v>18</v>
      </c>
      <c r="AB257" s="19">
        <f t="shared" si="52"/>
        <v>44153</v>
      </c>
      <c r="AC257" s="19">
        <v>44148</v>
      </c>
      <c r="AD257" s="108">
        <v>44153</v>
      </c>
      <c r="AE257" s="19">
        <v>44151</v>
      </c>
      <c r="AF257" s="19">
        <v>44151</v>
      </c>
      <c r="AG257" s="19" t="s">
        <v>130</v>
      </c>
      <c r="AH257" s="91">
        <v>1</v>
      </c>
      <c r="AI257" s="91">
        <v>1</v>
      </c>
      <c r="AJ257" s="91">
        <v>1</v>
      </c>
      <c r="AK257" s="19" t="s">
        <v>117</v>
      </c>
      <c r="AL257" s="17" t="s">
        <v>58</v>
      </c>
      <c r="AM257" s="17" t="s">
        <v>58</v>
      </c>
      <c r="AN257" s="17" t="s">
        <v>58</v>
      </c>
    </row>
    <row r="258" spans="2:40" x14ac:dyDescent="0.25">
      <c r="B258" s="220">
        <f t="shared" si="58"/>
        <v>199</v>
      </c>
      <c r="C258" s="16">
        <v>20201112</v>
      </c>
      <c r="D258" s="63" t="s">
        <v>3</v>
      </c>
      <c r="E258" s="62" t="s">
        <v>1489</v>
      </c>
      <c r="F258" s="62" t="s">
        <v>1563</v>
      </c>
      <c r="G258" s="63">
        <v>1779273</v>
      </c>
      <c r="H258" s="37" t="s">
        <v>58</v>
      </c>
      <c r="I258" s="74" t="s">
        <v>1541</v>
      </c>
      <c r="J258" s="124" t="s">
        <v>58</v>
      </c>
      <c r="K258" s="15" t="s">
        <v>165</v>
      </c>
      <c r="L258" s="63" t="s">
        <v>1560</v>
      </c>
      <c r="M258" s="15" t="s">
        <v>1158</v>
      </c>
      <c r="N258" s="63" t="s">
        <v>1491</v>
      </c>
      <c r="O258" s="62" t="s">
        <v>58</v>
      </c>
      <c r="P258" s="190" t="s">
        <v>1558</v>
      </c>
      <c r="Q258" s="18"/>
      <c r="R258" s="37"/>
      <c r="S258" s="63" t="s">
        <v>141</v>
      </c>
      <c r="T258" s="15"/>
      <c r="U258" s="15"/>
      <c r="V258" s="63">
        <v>450</v>
      </c>
      <c r="W258" s="16">
        <f t="shared" si="56"/>
        <v>450</v>
      </c>
      <c r="X258" s="15">
        <f t="shared" si="59"/>
        <v>450</v>
      </c>
      <c r="Y258" s="15">
        <f>ROUNDDOWN(W258/HLOOKUP(D258,Table!$C$3:$D$4,2,0)*8,2)</f>
        <v>8</v>
      </c>
      <c r="Z258" s="15">
        <f t="shared" si="51"/>
        <v>8</v>
      </c>
      <c r="AA258" s="15" t="s">
        <v>18</v>
      </c>
      <c r="AB258" s="19">
        <f t="shared" si="52"/>
        <v>44153</v>
      </c>
      <c r="AC258" s="19">
        <v>44148</v>
      </c>
      <c r="AD258" s="108">
        <v>44153</v>
      </c>
      <c r="AE258" s="19">
        <v>44152</v>
      </c>
      <c r="AF258" s="19">
        <v>44152</v>
      </c>
      <c r="AG258" s="19" t="s">
        <v>130</v>
      </c>
      <c r="AH258" s="91">
        <v>1</v>
      </c>
      <c r="AI258" s="91">
        <v>1</v>
      </c>
      <c r="AJ258" s="91">
        <v>1</v>
      </c>
      <c r="AK258" s="19" t="s">
        <v>117</v>
      </c>
      <c r="AL258" s="17" t="s">
        <v>58</v>
      </c>
      <c r="AM258" s="17" t="s">
        <v>58</v>
      </c>
      <c r="AN258" s="17" t="s">
        <v>58</v>
      </c>
    </row>
    <row r="259" spans="2:40" x14ac:dyDescent="0.25">
      <c r="B259" s="220">
        <f t="shared" si="58"/>
        <v>200</v>
      </c>
      <c r="C259" s="16">
        <v>20201112</v>
      </c>
      <c r="D259" s="63" t="s">
        <v>3</v>
      </c>
      <c r="E259" s="62" t="s">
        <v>1489</v>
      </c>
      <c r="F259" s="62" t="s">
        <v>1563</v>
      </c>
      <c r="G259" s="63">
        <v>1779273</v>
      </c>
      <c r="H259" s="37" t="s">
        <v>58</v>
      </c>
      <c r="I259" s="174" t="s">
        <v>1542</v>
      </c>
      <c r="J259" s="124" t="s">
        <v>58</v>
      </c>
      <c r="K259" s="15" t="s">
        <v>165</v>
      </c>
      <c r="L259" s="63" t="s">
        <v>1560</v>
      </c>
      <c r="M259" s="15" t="s">
        <v>1158</v>
      </c>
      <c r="N259" s="63" t="s">
        <v>1491</v>
      </c>
      <c r="O259" s="62" t="s">
        <v>58</v>
      </c>
      <c r="P259" s="190" t="s">
        <v>1558</v>
      </c>
      <c r="Q259" s="18"/>
      <c r="R259" s="37"/>
      <c r="S259" s="63" t="s">
        <v>141</v>
      </c>
      <c r="T259" s="15"/>
      <c r="U259" s="15"/>
      <c r="V259" s="63">
        <v>63</v>
      </c>
      <c r="W259" s="16">
        <f t="shared" si="56"/>
        <v>63</v>
      </c>
      <c r="X259" s="15">
        <f t="shared" si="59"/>
        <v>63</v>
      </c>
      <c r="Y259" s="15">
        <f>ROUNDDOWN(W259/HLOOKUP(D259,Table!$C$3:$D$4,2,0)*8,2)</f>
        <v>1.1200000000000001</v>
      </c>
      <c r="Z259" s="15">
        <f t="shared" si="51"/>
        <v>1.1200000000000001</v>
      </c>
      <c r="AA259" s="15" t="s">
        <v>18</v>
      </c>
      <c r="AB259" s="19">
        <f t="shared" si="52"/>
        <v>44153</v>
      </c>
      <c r="AC259" s="19">
        <v>44148</v>
      </c>
      <c r="AD259" s="108">
        <v>44153</v>
      </c>
      <c r="AE259" s="19">
        <v>44151</v>
      </c>
      <c r="AF259" s="19">
        <v>44151</v>
      </c>
      <c r="AG259" s="19" t="s">
        <v>130</v>
      </c>
      <c r="AH259" s="91">
        <v>1</v>
      </c>
      <c r="AI259" s="91">
        <v>1</v>
      </c>
      <c r="AJ259" s="91">
        <v>1</v>
      </c>
      <c r="AK259" s="19" t="s">
        <v>117</v>
      </c>
      <c r="AL259" s="17" t="s">
        <v>58</v>
      </c>
      <c r="AM259" s="17" t="s">
        <v>58</v>
      </c>
      <c r="AN259" s="17" t="s">
        <v>58</v>
      </c>
    </row>
    <row r="260" spans="2:40" x14ac:dyDescent="0.25">
      <c r="B260" s="220">
        <f t="shared" si="58"/>
        <v>201</v>
      </c>
      <c r="C260" s="16">
        <v>20201112</v>
      </c>
      <c r="D260" s="63" t="s">
        <v>3</v>
      </c>
      <c r="E260" s="62" t="s">
        <v>1489</v>
      </c>
      <c r="F260" s="104" t="s">
        <v>1607</v>
      </c>
      <c r="G260" s="63">
        <v>1779273</v>
      </c>
      <c r="H260" s="37" t="s">
        <v>58</v>
      </c>
      <c r="I260" s="63" t="s">
        <v>976</v>
      </c>
      <c r="J260" s="124" t="s">
        <v>58</v>
      </c>
      <c r="K260" s="15"/>
      <c r="L260" s="63" t="s">
        <v>1560</v>
      </c>
      <c r="M260" s="15" t="s">
        <v>1158</v>
      </c>
      <c r="N260" s="63" t="s">
        <v>1491</v>
      </c>
      <c r="O260" s="62" t="s">
        <v>58</v>
      </c>
      <c r="P260" s="190" t="s">
        <v>1558</v>
      </c>
      <c r="Q260" s="18"/>
      <c r="R260" s="37"/>
      <c r="S260" s="63" t="s">
        <v>143</v>
      </c>
      <c r="T260" s="15"/>
      <c r="U260" s="15"/>
      <c r="V260" s="63">
        <v>16</v>
      </c>
      <c r="W260" s="16">
        <f t="shared" si="56"/>
        <v>16</v>
      </c>
      <c r="X260" s="15">
        <f>W260</f>
        <v>16</v>
      </c>
      <c r="Y260" s="15">
        <f>ROUNDDOWN(W260/HLOOKUP(D260,Table!$C$3:$D$4,2,0)*8,2)</f>
        <v>0.28000000000000003</v>
      </c>
      <c r="Z260" s="15">
        <f t="shared" si="51"/>
        <v>0.28000000000000003</v>
      </c>
      <c r="AA260" s="15" t="s">
        <v>18</v>
      </c>
      <c r="AB260" s="19">
        <f t="shared" si="52"/>
        <v>44153</v>
      </c>
      <c r="AC260" s="19">
        <v>44148</v>
      </c>
      <c r="AD260" s="108">
        <v>44153</v>
      </c>
      <c r="AE260" s="19"/>
      <c r="AF260" s="19"/>
      <c r="AG260" s="19"/>
      <c r="AH260" s="91"/>
      <c r="AI260" s="91"/>
      <c r="AJ260" s="91"/>
      <c r="AK260" s="19"/>
      <c r="AL260" s="17" t="s">
        <v>58</v>
      </c>
      <c r="AM260" s="17" t="s">
        <v>58</v>
      </c>
      <c r="AN260" s="17" t="s">
        <v>58</v>
      </c>
    </row>
    <row r="261" spans="2:40" x14ac:dyDescent="0.25">
      <c r="B261" s="220">
        <f t="shared" si="58"/>
        <v>202</v>
      </c>
      <c r="C261" s="16">
        <v>20201112</v>
      </c>
      <c r="D261" s="63" t="s">
        <v>3</v>
      </c>
      <c r="E261" s="62" t="s">
        <v>1489</v>
      </c>
      <c r="F261" s="104" t="s">
        <v>1607</v>
      </c>
      <c r="G261" s="63">
        <v>1779273</v>
      </c>
      <c r="H261" s="37" t="s">
        <v>58</v>
      </c>
      <c r="I261" s="63" t="s">
        <v>1543</v>
      </c>
      <c r="J261" s="124" t="s">
        <v>58</v>
      </c>
      <c r="K261" s="15"/>
      <c r="L261" s="63" t="s">
        <v>1560</v>
      </c>
      <c r="M261" s="15" t="s">
        <v>1158</v>
      </c>
      <c r="N261" s="63" t="s">
        <v>1491</v>
      </c>
      <c r="O261" s="62" t="s">
        <v>58</v>
      </c>
      <c r="P261" s="190" t="s">
        <v>1558</v>
      </c>
      <c r="Q261" s="18"/>
      <c r="R261" s="37"/>
      <c r="S261" s="63" t="s">
        <v>143</v>
      </c>
      <c r="T261" s="15"/>
      <c r="U261" s="15"/>
      <c r="V261" s="63">
        <v>71</v>
      </c>
      <c r="W261" s="16">
        <v>0</v>
      </c>
      <c r="X261" s="15">
        <v>0</v>
      </c>
      <c r="Y261" s="15">
        <f>ROUNDDOWN(W261/HLOOKUP(D261,Table!$C$3:$D$4,2,0)*8,2)</f>
        <v>0</v>
      </c>
      <c r="Z261" s="15">
        <f t="shared" si="51"/>
        <v>0</v>
      </c>
      <c r="AA261" s="15" t="s">
        <v>18</v>
      </c>
      <c r="AB261" s="19">
        <f t="shared" si="52"/>
        <v>44153</v>
      </c>
      <c r="AC261" s="19">
        <v>44148</v>
      </c>
      <c r="AD261" s="108">
        <v>44153</v>
      </c>
      <c r="AE261" s="19"/>
      <c r="AF261" s="19"/>
      <c r="AG261" s="19"/>
      <c r="AH261" s="91"/>
      <c r="AI261" s="91"/>
      <c r="AJ261" s="91"/>
      <c r="AK261" s="19" t="s">
        <v>117</v>
      </c>
      <c r="AL261" s="17" t="s">
        <v>58</v>
      </c>
      <c r="AM261" s="17" t="s">
        <v>58</v>
      </c>
      <c r="AN261" s="17" t="s">
        <v>58</v>
      </c>
    </row>
    <row r="262" spans="2:40" x14ac:dyDescent="0.25">
      <c r="B262" s="220">
        <f t="shared" si="58"/>
        <v>203</v>
      </c>
      <c r="C262" s="16">
        <v>20201112</v>
      </c>
      <c r="D262" s="63" t="s">
        <v>3</v>
      </c>
      <c r="E262" s="62" t="s">
        <v>1489</v>
      </c>
      <c r="F262" s="104" t="s">
        <v>1607</v>
      </c>
      <c r="G262" s="63">
        <v>1779273</v>
      </c>
      <c r="H262" s="37" t="s">
        <v>58</v>
      </c>
      <c r="I262" s="63" t="s">
        <v>1544</v>
      </c>
      <c r="J262" s="124" t="s">
        <v>58</v>
      </c>
      <c r="K262" s="15"/>
      <c r="L262" s="63" t="s">
        <v>1560</v>
      </c>
      <c r="M262" s="15" t="s">
        <v>1158</v>
      </c>
      <c r="N262" s="63" t="s">
        <v>1491</v>
      </c>
      <c r="O262" s="62" t="s">
        <v>58</v>
      </c>
      <c r="P262" s="190" t="s">
        <v>1558</v>
      </c>
      <c r="Q262" s="18"/>
      <c r="R262" s="37"/>
      <c r="S262" s="63" t="s">
        <v>143</v>
      </c>
      <c r="T262" s="15"/>
      <c r="U262" s="15"/>
      <c r="V262" s="63">
        <v>136</v>
      </c>
      <c r="W262" s="16">
        <f t="shared" si="56"/>
        <v>136</v>
      </c>
      <c r="X262" s="15">
        <f t="shared" ref="X262:X267" si="60">W262</f>
        <v>136</v>
      </c>
      <c r="Y262" s="15">
        <f>ROUNDDOWN(W262/HLOOKUP(D262,Table!$C$3:$D$4,2,0)*8,2)</f>
        <v>2.41</v>
      </c>
      <c r="Z262" s="15">
        <f t="shared" si="51"/>
        <v>2.41</v>
      </c>
      <c r="AA262" s="15" t="s">
        <v>18</v>
      </c>
      <c r="AB262" s="19">
        <f t="shared" si="52"/>
        <v>44153</v>
      </c>
      <c r="AC262" s="19">
        <v>44148</v>
      </c>
      <c r="AD262" s="108">
        <v>44153</v>
      </c>
      <c r="AE262" s="19"/>
      <c r="AF262" s="19"/>
      <c r="AG262" s="19"/>
      <c r="AH262" s="91"/>
      <c r="AI262" s="91"/>
      <c r="AJ262" s="91"/>
      <c r="AK262" s="19"/>
      <c r="AL262" s="17" t="s">
        <v>58</v>
      </c>
      <c r="AM262" s="17" t="s">
        <v>58</v>
      </c>
      <c r="AN262" s="17" t="s">
        <v>58</v>
      </c>
    </row>
    <row r="263" spans="2:40" x14ac:dyDescent="0.25">
      <c r="B263" s="220">
        <f t="shared" si="58"/>
        <v>204</v>
      </c>
      <c r="C263" s="16">
        <v>20201112</v>
      </c>
      <c r="D263" s="63" t="s">
        <v>3</v>
      </c>
      <c r="E263" s="62" t="s">
        <v>1489</v>
      </c>
      <c r="F263" s="104" t="s">
        <v>1607</v>
      </c>
      <c r="G263" s="63">
        <v>1779273</v>
      </c>
      <c r="H263" s="37" t="s">
        <v>58</v>
      </c>
      <c r="I263" s="63" t="s">
        <v>1545</v>
      </c>
      <c r="J263" s="124" t="s">
        <v>58</v>
      </c>
      <c r="K263" s="15"/>
      <c r="L263" s="63" t="s">
        <v>1560</v>
      </c>
      <c r="M263" s="15" t="s">
        <v>1158</v>
      </c>
      <c r="N263" s="63" t="s">
        <v>1491</v>
      </c>
      <c r="O263" s="62" t="s">
        <v>58</v>
      </c>
      <c r="P263" s="190" t="s">
        <v>1558</v>
      </c>
      <c r="Q263" s="18"/>
      <c r="R263" s="37"/>
      <c r="S263" s="63" t="s">
        <v>143</v>
      </c>
      <c r="T263" s="15"/>
      <c r="U263" s="15"/>
      <c r="V263" s="63">
        <v>227</v>
      </c>
      <c r="W263" s="16">
        <f t="shared" si="56"/>
        <v>227</v>
      </c>
      <c r="X263" s="15">
        <f t="shared" si="60"/>
        <v>227</v>
      </c>
      <c r="Y263" s="15">
        <f>ROUNDDOWN(W263/HLOOKUP(D263,Table!$C$3:$D$4,2,0)*8,2)</f>
        <v>4.03</v>
      </c>
      <c r="Z263" s="15">
        <f t="shared" si="51"/>
        <v>4.03</v>
      </c>
      <c r="AA263" s="15" t="s">
        <v>18</v>
      </c>
      <c r="AB263" s="19">
        <f t="shared" si="52"/>
        <v>44153</v>
      </c>
      <c r="AC263" s="19">
        <v>44148</v>
      </c>
      <c r="AD263" s="108">
        <v>44153</v>
      </c>
      <c r="AE263" s="19"/>
      <c r="AF263" s="19"/>
      <c r="AG263" s="19"/>
      <c r="AH263" s="91"/>
      <c r="AI263" s="91"/>
      <c r="AJ263" s="91"/>
      <c r="AK263" s="19"/>
      <c r="AL263" s="17" t="s">
        <v>58</v>
      </c>
      <c r="AM263" s="17" t="s">
        <v>58</v>
      </c>
      <c r="AN263" s="17" t="s">
        <v>58</v>
      </c>
    </row>
    <row r="264" spans="2:40" x14ac:dyDescent="0.25">
      <c r="B264" s="220">
        <f t="shared" si="58"/>
        <v>205</v>
      </c>
      <c r="C264" s="16">
        <v>20201112</v>
      </c>
      <c r="D264" s="63" t="s">
        <v>3</v>
      </c>
      <c r="E264" s="62" t="s">
        <v>1489</v>
      </c>
      <c r="F264" s="104" t="s">
        <v>1607</v>
      </c>
      <c r="G264" s="63">
        <v>1779273</v>
      </c>
      <c r="H264" s="37" t="s">
        <v>58</v>
      </c>
      <c r="I264" s="63" t="s">
        <v>1546</v>
      </c>
      <c r="J264" s="124" t="s">
        <v>58</v>
      </c>
      <c r="K264" s="15"/>
      <c r="L264" s="63" t="s">
        <v>1560</v>
      </c>
      <c r="M264" s="15" t="s">
        <v>1158</v>
      </c>
      <c r="N264" s="63" t="s">
        <v>1491</v>
      </c>
      <c r="O264" s="62" t="s">
        <v>58</v>
      </c>
      <c r="P264" s="190" t="s">
        <v>1558</v>
      </c>
      <c r="Q264" s="18"/>
      <c r="R264" s="37"/>
      <c r="S264" s="63" t="s">
        <v>143</v>
      </c>
      <c r="T264" s="15"/>
      <c r="U264" s="15"/>
      <c r="V264" s="63">
        <v>200</v>
      </c>
      <c r="W264" s="16">
        <f t="shared" si="56"/>
        <v>200</v>
      </c>
      <c r="X264" s="15">
        <f t="shared" si="60"/>
        <v>200</v>
      </c>
      <c r="Y264" s="15">
        <f>ROUNDDOWN(W264/HLOOKUP(D264,Table!$C$3:$D$4,2,0)*8,2)</f>
        <v>3.55</v>
      </c>
      <c r="Z264" s="15">
        <f t="shared" si="51"/>
        <v>3.55</v>
      </c>
      <c r="AA264" s="15" t="s">
        <v>18</v>
      </c>
      <c r="AB264" s="19">
        <f t="shared" si="52"/>
        <v>44153</v>
      </c>
      <c r="AC264" s="19">
        <v>44148</v>
      </c>
      <c r="AD264" s="108">
        <v>44153</v>
      </c>
      <c r="AE264" s="19"/>
      <c r="AF264" s="19"/>
      <c r="AG264" s="19"/>
      <c r="AH264" s="91"/>
      <c r="AI264" s="91"/>
      <c r="AJ264" s="91"/>
      <c r="AK264" s="19"/>
      <c r="AL264" s="17" t="s">
        <v>58</v>
      </c>
      <c r="AM264" s="17" t="s">
        <v>58</v>
      </c>
      <c r="AN264" s="17" t="s">
        <v>58</v>
      </c>
    </row>
    <row r="265" spans="2:40" x14ac:dyDescent="0.25">
      <c r="B265" s="220">
        <f t="shared" si="58"/>
        <v>206</v>
      </c>
      <c r="C265" s="16">
        <v>20201112</v>
      </c>
      <c r="D265" s="63" t="s">
        <v>3</v>
      </c>
      <c r="E265" s="62" t="s">
        <v>1489</v>
      </c>
      <c r="F265" s="104" t="s">
        <v>1607</v>
      </c>
      <c r="G265" s="63">
        <v>1779273</v>
      </c>
      <c r="H265" s="37" t="s">
        <v>58</v>
      </c>
      <c r="I265" s="63" t="s">
        <v>1547</v>
      </c>
      <c r="J265" s="124" t="s">
        <v>58</v>
      </c>
      <c r="K265" s="15"/>
      <c r="L265" s="63" t="s">
        <v>1560</v>
      </c>
      <c r="M265" s="15" t="s">
        <v>1158</v>
      </c>
      <c r="N265" s="63" t="s">
        <v>1491</v>
      </c>
      <c r="O265" s="62" t="s">
        <v>58</v>
      </c>
      <c r="P265" s="190" t="s">
        <v>1558</v>
      </c>
      <c r="Q265" s="18"/>
      <c r="R265" s="37"/>
      <c r="S265" s="63" t="s">
        <v>152</v>
      </c>
      <c r="T265" s="15"/>
      <c r="U265" s="15"/>
      <c r="V265" s="63">
        <v>470</v>
      </c>
      <c r="W265" s="16">
        <f t="shared" si="56"/>
        <v>470</v>
      </c>
      <c r="X265" s="15">
        <f t="shared" si="60"/>
        <v>470</v>
      </c>
      <c r="Y265" s="15">
        <f>ROUNDDOWN(W265/HLOOKUP(D265,Table!$C$3:$D$4,2,0)*8,2)</f>
        <v>8.35</v>
      </c>
      <c r="Z265" s="15">
        <f t="shared" si="51"/>
        <v>8.35</v>
      </c>
      <c r="AA265" s="15" t="s">
        <v>18</v>
      </c>
      <c r="AB265" s="19">
        <f t="shared" si="52"/>
        <v>44153</v>
      </c>
      <c r="AC265" s="19">
        <v>44148</v>
      </c>
      <c r="AD265" s="108">
        <v>44153</v>
      </c>
      <c r="AE265" s="19"/>
      <c r="AF265" s="19"/>
      <c r="AG265" s="19"/>
      <c r="AH265" s="91"/>
      <c r="AI265" s="91"/>
      <c r="AJ265" s="91"/>
      <c r="AK265" s="19"/>
      <c r="AL265" s="17" t="s">
        <v>58</v>
      </c>
      <c r="AM265" s="17" t="s">
        <v>58</v>
      </c>
      <c r="AN265" s="17" t="s">
        <v>58</v>
      </c>
    </row>
    <row r="266" spans="2:40" x14ac:dyDescent="0.25">
      <c r="B266" s="220">
        <f t="shared" si="58"/>
        <v>207</v>
      </c>
      <c r="C266" s="16">
        <v>20201112</v>
      </c>
      <c r="D266" s="63" t="s">
        <v>3</v>
      </c>
      <c r="E266" s="62" t="s">
        <v>1489</v>
      </c>
      <c r="F266" s="104" t="s">
        <v>1607</v>
      </c>
      <c r="G266" s="63">
        <v>1779273</v>
      </c>
      <c r="H266" s="37" t="s">
        <v>58</v>
      </c>
      <c r="I266" s="63" t="s">
        <v>1548</v>
      </c>
      <c r="J266" s="124" t="s">
        <v>58</v>
      </c>
      <c r="K266" s="15"/>
      <c r="L266" s="63" t="s">
        <v>1560</v>
      </c>
      <c r="M266" s="15" t="s">
        <v>1158</v>
      </c>
      <c r="N266" s="63" t="s">
        <v>1491</v>
      </c>
      <c r="O266" s="62" t="s">
        <v>58</v>
      </c>
      <c r="P266" s="190" t="s">
        <v>1558</v>
      </c>
      <c r="Q266" s="18"/>
      <c r="R266" s="37"/>
      <c r="S266" s="63" t="s">
        <v>152</v>
      </c>
      <c r="T266" s="15"/>
      <c r="U266" s="15"/>
      <c r="V266" s="63">
        <v>201</v>
      </c>
      <c r="W266" s="16">
        <f t="shared" si="56"/>
        <v>201</v>
      </c>
      <c r="X266" s="15">
        <f t="shared" si="60"/>
        <v>201</v>
      </c>
      <c r="Y266" s="15">
        <f>ROUNDDOWN(W266/HLOOKUP(D266,Table!$C$3:$D$4,2,0)*8,2)</f>
        <v>3.57</v>
      </c>
      <c r="Z266" s="15">
        <f t="shared" si="51"/>
        <v>3.57</v>
      </c>
      <c r="AA266" s="15" t="s">
        <v>18</v>
      </c>
      <c r="AB266" s="19">
        <f t="shared" si="52"/>
        <v>44153</v>
      </c>
      <c r="AC266" s="19">
        <v>44148</v>
      </c>
      <c r="AD266" s="108">
        <v>44153</v>
      </c>
      <c r="AE266" s="19"/>
      <c r="AF266" s="19"/>
      <c r="AG266" s="19"/>
      <c r="AH266" s="91"/>
      <c r="AI266" s="91"/>
      <c r="AJ266" s="91"/>
      <c r="AK266" s="19"/>
      <c r="AL266" s="17" t="s">
        <v>58</v>
      </c>
      <c r="AM266" s="17" t="s">
        <v>58</v>
      </c>
      <c r="AN266" s="17" t="s">
        <v>58</v>
      </c>
    </row>
    <row r="267" spans="2:40" x14ac:dyDescent="0.25">
      <c r="B267" s="220">
        <f t="shared" si="58"/>
        <v>208</v>
      </c>
      <c r="C267" s="16">
        <v>20201112</v>
      </c>
      <c r="D267" s="63" t="s">
        <v>3</v>
      </c>
      <c r="E267" s="62" t="s">
        <v>1489</v>
      </c>
      <c r="F267" s="104" t="s">
        <v>1584</v>
      </c>
      <c r="G267" s="63">
        <v>1779273</v>
      </c>
      <c r="H267" s="37" t="s">
        <v>58</v>
      </c>
      <c r="I267" s="74" t="s">
        <v>1549</v>
      </c>
      <c r="J267" s="124" t="s">
        <v>58</v>
      </c>
      <c r="K267" s="15" t="s">
        <v>165</v>
      </c>
      <c r="L267" s="63" t="s">
        <v>1560</v>
      </c>
      <c r="M267" s="15" t="s">
        <v>1158</v>
      </c>
      <c r="N267" s="63" t="s">
        <v>1491</v>
      </c>
      <c r="O267" s="62" t="s">
        <v>58</v>
      </c>
      <c r="P267" s="190" t="s">
        <v>1558</v>
      </c>
      <c r="Q267" s="18"/>
      <c r="R267" s="37"/>
      <c r="S267" s="63" t="s">
        <v>142</v>
      </c>
      <c r="T267" s="15" t="s">
        <v>141</v>
      </c>
      <c r="U267" s="15"/>
      <c r="V267" s="63">
        <v>149</v>
      </c>
      <c r="W267" s="16">
        <f t="shared" si="56"/>
        <v>149</v>
      </c>
      <c r="X267" s="15">
        <f t="shared" si="60"/>
        <v>149</v>
      </c>
      <c r="Y267" s="15">
        <f>ROUNDDOWN(W267/HLOOKUP(D267,Table!$C$3:$D$4,2,0)*8,2)</f>
        <v>2.64</v>
      </c>
      <c r="Z267" s="15">
        <f t="shared" si="51"/>
        <v>2.64</v>
      </c>
      <c r="AA267" s="15" t="s">
        <v>18</v>
      </c>
      <c r="AB267" s="19">
        <f t="shared" si="52"/>
        <v>44153</v>
      </c>
      <c r="AC267" s="19">
        <v>44148</v>
      </c>
      <c r="AD267" s="108">
        <v>44153</v>
      </c>
      <c r="AE267" s="19"/>
      <c r="AF267" s="19"/>
      <c r="AG267" s="19"/>
      <c r="AH267" s="91"/>
      <c r="AI267" s="91"/>
      <c r="AJ267" s="91"/>
      <c r="AK267" s="19"/>
      <c r="AL267" s="17" t="s">
        <v>58</v>
      </c>
      <c r="AM267" s="17" t="s">
        <v>58</v>
      </c>
      <c r="AN267" s="17" t="s">
        <v>58</v>
      </c>
    </row>
    <row r="268" spans="2:40" x14ac:dyDescent="0.25">
      <c r="B268" s="220">
        <f t="shared" si="58"/>
        <v>209</v>
      </c>
      <c r="C268" s="16">
        <v>20201112</v>
      </c>
      <c r="D268" s="63" t="s">
        <v>3</v>
      </c>
      <c r="E268" s="62" t="s">
        <v>1489</v>
      </c>
      <c r="F268" s="62" t="s">
        <v>1563</v>
      </c>
      <c r="G268" s="63">
        <v>1779273</v>
      </c>
      <c r="H268" s="37" t="s">
        <v>58</v>
      </c>
      <c r="I268" s="174" t="s">
        <v>1550</v>
      </c>
      <c r="J268" s="124" t="s">
        <v>58</v>
      </c>
      <c r="K268" s="15" t="s">
        <v>165</v>
      </c>
      <c r="L268" s="63" t="s">
        <v>1560</v>
      </c>
      <c r="M268" s="15" t="s">
        <v>1158</v>
      </c>
      <c r="N268" s="63" t="s">
        <v>1491</v>
      </c>
      <c r="O268" s="62" t="s">
        <v>58</v>
      </c>
      <c r="P268" s="190" t="s">
        <v>1558</v>
      </c>
      <c r="Q268" s="18"/>
      <c r="R268" s="37"/>
      <c r="S268" s="15" t="s">
        <v>141</v>
      </c>
      <c r="T268" s="15"/>
      <c r="U268" s="15"/>
      <c r="V268" s="63">
        <v>150</v>
      </c>
      <c r="W268" s="16">
        <f t="shared" si="56"/>
        <v>150</v>
      </c>
      <c r="X268" s="15">
        <f t="shared" ref="X268:X273" si="61">W268</f>
        <v>150</v>
      </c>
      <c r="Y268" s="15">
        <f>ROUNDDOWN(W268/HLOOKUP(D268,Table!$C$3:$D$4,2,0)*8,2)</f>
        <v>2.66</v>
      </c>
      <c r="Z268" s="15">
        <f t="shared" si="51"/>
        <v>2.66</v>
      </c>
      <c r="AA268" s="15" t="s">
        <v>18</v>
      </c>
      <c r="AB268" s="19">
        <f t="shared" si="52"/>
        <v>44153</v>
      </c>
      <c r="AC268" s="19">
        <v>44148</v>
      </c>
      <c r="AD268" s="108">
        <v>44153</v>
      </c>
      <c r="AE268" s="19">
        <v>44151</v>
      </c>
      <c r="AF268" s="19">
        <v>44151</v>
      </c>
      <c r="AG268" s="19" t="s">
        <v>130</v>
      </c>
      <c r="AH268" s="91">
        <v>1</v>
      </c>
      <c r="AI268" s="91">
        <v>1</v>
      </c>
      <c r="AJ268" s="91">
        <v>0.95</v>
      </c>
      <c r="AK268" s="19" t="s">
        <v>107</v>
      </c>
      <c r="AL268" s="17" t="s">
        <v>1590</v>
      </c>
      <c r="AM268" s="17" t="s">
        <v>58</v>
      </c>
      <c r="AN268" s="17" t="s">
        <v>1483</v>
      </c>
    </row>
    <row r="269" spans="2:40" x14ac:dyDescent="0.25">
      <c r="B269" s="220">
        <f t="shared" si="58"/>
        <v>210</v>
      </c>
      <c r="C269" s="16">
        <v>20201112</v>
      </c>
      <c r="D269" s="63" t="s">
        <v>3</v>
      </c>
      <c r="E269" s="62" t="s">
        <v>1489</v>
      </c>
      <c r="F269" s="104" t="s">
        <v>1585</v>
      </c>
      <c r="G269" s="63">
        <v>1779273</v>
      </c>
      <c r="H269" s="37" t="s">
        <v>58</v>
      </c>
      <c r="I269" s="74" t="s">
        <v>1551</v>
      </c>
      <c r="J269" s="124" t="s">
        <v>58</v>
      </c>
      <c r="K269" s="15" t="s">
        <v>165</v>
      </c>
      <c r="L269" s="63" t="s">
        <v>1560</v>
      </c>
      <c r="M269" s="15" t="s">
        <v>1158</v>
      </c>
      <c r="N269" s="63" t="s">
        <v>1491</v>
      </c>
      <c r="O269" s="62" t="s">
        <v>58</v>
      </c>
      <c r="P269" s="190" t="s">
        <v>1558</v>
      </c>
      <c r="Q269" s="18"/>
      <c r="R269" s="37"/>
      <c r="S269" s="15" t="s">
        <v>142</v>
      </c>
      <c r="T269" s="15" t="s">
        <v>141</v>
      </c>
      <c r="U269" s="15"/>
      <c r="V269" s="63">
        <v>269</v>
      </c>
      <c r="W269" s="16">
        <f t="shared" si="56"/>
        <v>269</v>
      </c>
      <c r="X269" s="15">
        <f t="shared" si="61"/>
        <v>269</v>
      </c>
      <c r="Y269" s="15">
        <f>ROUNDDOWN(W269/HLOOKUP(D269,Table!$C$3:$D$4,2,0)*8,2)</f>
        <v>4.78</v>
      </c>
      <c r="Z269" s="15">
        <f t="shared" si="51"/>
        <v>4.78</v>
      </c>
      <c r="AA269" s="15" t="s">
        <v>18</v>
      </c>
      <c r="AB269" s="19">
        <f t="shared" si="52"/>
        <v>44153</v>
      </c>
      <c r="AC269" s="19">
        <v>44148</v>
      </c>
      <c r="AD269" s="108">
        <v>44153</v>
      </c>
      <c r="AE269" s="19"/>
      <c r="AF269" s="19"/>
      <c r="AG269" s="19"/>
      <c r="AH269" s="91"/>
      <c r="AI269" s="91"/>
      <c r="AJ269" s="91"/>
      <c r="AK269" s="19"/>
      <c r="AL269" s="17" t="s">
        <v>58</v>
      </c>
      <c r="AM269" s="17" t="s">
        <v>58</v>
      </c>
      <c r="AN269" s="17" t="s">
        <v>1614</v>
      </c>
    </row>
    <row r="270" spans="2:40" x14ac:dyDescent="0.25">
      <c r="B270" s="220">
        <f t="shared" si="58"/>
        <v>211</v>
      </c>
      <c r="C270" s="16">
        <v>20201112</v>
      </c>
      <c r="D270" s="63" t="s">
        <v>3</v>
      </c>
      <c r="E270" s="62" t="s">
        <v>1137</v>
      </c>
      <c r="F270" s="104" t="s">
        <v>1569</v>
      </c>
      <c r="G270" s="174">
        <v>1648755</v>
      </c>
      <c r="H270" s="37" t="s">
        <v>58</v>
      </c>
      <c r="I270" s="74" t="s">
        <v>1552</v>
      </c>
      <c r="J270" s="124" t="s">
        <v>58</v>
      </c>
      <c r="K270" s="15" t="s">
        <v>165</v>
      </c>
      <c r="L270" s="63" t="s">
        <v>1377</v>
      </c>
      <c r="M270" s="63" t="s">
        <v>1158</v>
      </c>
      <c r="N270" s="63" t="s">
        <v>1364</v>
      </c>
      <c r="O270" s="62" t="s">
        <v>58</v>
      </c>
      <c r="P270" s="190" t="s">
        <v>1371</v>
      </c>
      <c r="Q270" s="18"/>
      <c r="R270" s="37"/>
      <c r="S270" s="15" t="s">
        <v>141</v>
      </c>
      <c r="T270" s="15" t="s">
        <v>64</v>
      </c>
      <c r="U270" s="15" t="s">
        <v>546</v>
      </c>
      <c r="V270" s="63">
        <v>426</v>
      </c>
      <c r="W270" s="16">
        <f t="shared" ref="W270:W273" si="62">V270</f>
        <v>426</v>
      </c>
      <c r="X270" s="15">
        <f t="shared" si="61"/>
        <v>426</v>
      </c>
      <c r="Y270" s="15">
        <f>ROUNDDOWN(W270/HLOOKUP(D270,Table!$C$3:$D$4,2,0)*8,2)</f>
        <v>7.57</v>
      </c>
      <c r="Z270" s="15">
        <f>Y270</f>
        <v>7.57</v>
      </c>
      <c r="AA270" s="15" t="s">
        <v>21</v>
      </c>
      <c r="AB270" s="19">
        <v>44152</v>
      </c>
      <c r="AC270" s="19">
        <v>44148</v>
      </c>
      <c r="AD270" s="108">
        <v>44152</v>
      </c>
      <c r="AE270" s="19">
        <v>44148</v>
      </c>
      <c r="AF270" s="19">
        <v>44148</v>
      </c>
      <c r="AG270" s="19" t="s">
        <v>130</v>
      </c>
      <c r="AH270" s="91">
        <v>1</v>
      </c>
      <c r="AI270" s="91">
        <v>1</v>
      </c>
      <c r="AJ270" s="91">
        <v>1</v>
      </c>
      <c r="AK270" s="19" t="s">
        <v>117</v>
      </c>
      <c r="AL270" s="17" t="s">
        <v>58</v>
      </c>
      <c r="AM270" s="17" t="s">
        <v>58</v>
      </c>
      <c r="AN270" s="17" t="s">
        <v>58</v>
      </c>
    </row>
    <row r="271" spans="2:40" x14ac:dyDescent="0.25">
      <c r="B271" s="220">
        <f t="shared" si="58"/>
        <v>212</v>
      </c>
      <c r="C271" s="16">
        <v>20201112</v>
      </c>
      <c r="D271" s="63" t="s">
        <v>3</v>
      </c>
      <c r="E271" s="62" t="s">
        <v>1137</v>
      </c>
      <c r="F271" s="104" t="s">
        <v>1380</v>
      </c>
      <c r="G271" s="174">
        <v>1648755</v>
      </c>
      <c r="H271" s="37" t="s">
        <v>58</v>
      </c>
      <c r="I271" s="74" t="s">
        <v>1359</v>
      </c>
      <c r="J271" s="124" t="s">
        <v>58</v>
      </c>
      <c r="K271" s="15" t="s">
        <v>165</v>
      </c>
      <c r="L271" s="63" t="s">
        <v>1377</v>
      </c>
      <c r="M271" s="63" t="s">
        <v>1158</v>
      </c>
      <c r="N271" s="63" t="s">
        <v>1364</v>
      </c>
      <c r="O271" s="62" t="s">
        <v>58</v>
      </c>
      <c r="P271" s="190" t="s">
        <v>1371</v>
      </c>
      <c r="Q271" s="18"/>
      <c r="R271" s="37"/>
      <c r="S271" s="15" t="s">
        <v>141</v>
      </c>
      <c r="T271" s="15" t="s">
        <v>64</v>
      </c>
      <c r="U271" s="15" t="s">
        <v>546</v>
      </c>
      <c r="V271" s="63">
        <v>49</v>
      </c>
      <c r="W271" s="16">
        <f t="shared" si="62"/>
        <v>49</v>
      </c>
      <c r="X271" s="15">
        <f t="shared" si="61"/>
        <v>49</v>
      </c>
      <c r="Y271" s="15">
        <f>ROUNDDOWN(W271/HLOOKUP(D271,Table!$C$3:$D$4,2,0)*8,2)</f>
        <v>0.87</v>
      </c>
      <c r="Z271" s="15">
        <f>Y271</f>
        <v>0.87</v>
      </c>
      <c r="AA271" s="15" t="s">
        <v>21</v>
      </c>
      <c r="AB271" s="19">
        <v>44152</v>
      </c>
      <c r="AC271" s="19">
        <v>44148</v>
      </c>
      <c r="AD271" s="108">
        <v>44152</v>
      </c>
      <c r="AE271" s="19">
        <v>44148</v>
      </c>
      <c r="AF271" s="19">
        <v>44148</v>
      </c>
      <c r="AG271" s="19" t="s">
        <v>130</v>
      </c>
      <c r="AH271" s="91">
        <v>1</v>
      </c>
      <c r="AI271" s="91">
        <v>1</v>
      </c>
      <c r="AJ271" s="91">
        <v>1</v>
      </c>
      <c r="AK271" s="19" t="s">
        <v>117</v>
      </c>
      <c r="AL271" s="17" t="s">
        <v>58</v>
      </c>
      <c r="AM271" s="17" t="s">
        <v>58</v>
      </c>
      <c r="AN271" s="17" t="s">
        <v>58</v>
      </c>
    </row>
    <row r="272" spans="2:40" x14ac:dyDescent="0.25">
      <c r="B272" s="220">
        <f t="shared" si="58"/>
        <v>213</v>
      </c>
      <c r="C272" s="16">
        <v>20201112</v>
      </c>
      <c r="D272" s="63" t="s">
        <v>3</v>
      </c>
      <c r="E272" s="62" t="s">
        <v>1137</v>
      </c>
      <c r="F272" s="104" t="s">
        <v>1380</v>
      </c>
      <c r="G272" s="174">
        <v>1648755</v>
      </c>
      <c r="H272" s="37" t="s">
        <v>58</v>
      </c>
      <c r="I272" s="74" t="s">
        <v>1361</v>
      </c>
      <c r="J272" s="124" t="s">
        <v>58</v>
      </c>
      <c r="K272" s="15" t="s">
        <v>165</v>
      </c>
      <c r="L272" s="63" t="s">
        <v>1377</v>
      </c>
      <c r="M272" s="63" t="s">
        <v>1158</v>
      </c>
      <c r="N272" s="63" t="s">
        <v>1364</v>
      </c>
      <c r="O272" s="62" t="s">
        <v>58</v>
      </c>
      <c r="P272" s="190" t="s">
        <v>1371</v>
      </c>
      <c r="Q272" s="18"/>
      <c r="R272" s="37"/>
      <c r="S272" s="15" t="s">
        <v>141</v>
      </c>
      <c r="T272" s="15" t="s">
        <v>64</v>
      </c>
      <c r="U272" s="15" t="s">
        <v>546</v>
      </c>
      <c r="V272" s="63">
        <v>450</v>
      </c>
      <c r="W272" s="16">
        <f t="shared" si="62"/>
        <v>450</v>
      </c>
      <c r="X272" s="15">
        <f t="shared" si="61"/>
        <v>450</v>
      </c>
      <c r="Y272" s="15">
        <f>ROUNDDOWN(W272/HLOOKUP(D272,Table!$C$3:$D$4,2,0)*8,2)</f>
        <v>8</v>
      </c>
      <c r="Z272" s="15">
        <f>Y272</f>
        <v>8</v>
      </c>
      <c r="AA272" s="15" t="s">
        <v>21</v>
      </c>
      <c r="AB272" s="19">
        <v>44152</v>
      </c>
      <c r="AC272" s="19">
        <v>44148</v>
      </c>
      <c r="AD272" s="108">
        <v>44152</v>
      </c>
      <c r="AE272" s="19">
        <v>44148</v>
      </c>
      <c r="AF272" s="19">
        <v>44148</v>
      </c>
      <c r="AG272" s="19" t="s">
        <v>130</v>
      </c>
      <c r="AH272" s="91">
        <v>1</v>
      </c>
      <c r="AI272" s="91">
        <v>1</v>
      </c>
      <c r="AJ272" s="91">
        <v>1</v>
      </c>
      <c r="AK272" s="19" t="s">
        <v>117</v>
      </c>
      <c r="AL272" s="17" t="s">
        <v>58</v>
      </c>
      <c r="AM272" s="17" t="s">
        <v>58</v>
      </c>
      <c r="AN272" s="17" t="s">
        <v>58</v>
      </c>
    </row>
    <row r="273" spans="2:41" x14ac:dyDescent="0.25">
      <c r="B273" s="98">
        <f t="shared" si="58"/>
        <v>214</v>
      </c>
      <c r="C273" s="16">
        <v>20201113</v>
      </c>
      <c r="D273" s="63" t="s">
        <v>2</v>
      </c>
      <c r="E273" s="62" t="s">
        <v>608</v>
      </c>
      <c r="F273" s="62" t="s">
        <v>58</v>
      </c>
      <c r="G273" s="63">
        <v>1689294</v>
      </c>
      <c r="H273" s="37" t="s">
        <v>58</v>
      </c>
      <c r="I273" s="63" t="s">
        <v>1565</v>
      </c>
      <c r="J273" s="124" t="s">
        <v>58</v>
      </c>
      <c r="K273" s="15" t="s">
        <v>167</v>
      </c>
      <c r="L273" s="15" t="s">
        <v>117</v>
      </c>
      <c r="M273" s="15" t="s">
        <v>623</v>
      </c>
      <c r="N273" s="63"/>
      <c r="O273" s="62">
        <v>1.2</v>
      </c>
      <c r="P273" s="48" t="s">
        <v>629</v>
      </c>
      <c r="Q273" s="18"/>
      <c r="R273" s="37"/>
      <c r="S273" s="15" t="s">
        <v>152</v>
      </c>
      <c r="T273" s="15"/>
      <c r="U273" s="15"/>
      <c r="V273" s="63">
        <v>89</v>
      </c>
      <c r="W273" s="16">
        <f t="shared" si="62"/>
        <v>89</v>
      </c>
      <c r="X273" s="15">
        <f t="shared" si="61"/>
        <v>89</v>
      </c>
      <c r="Y273" s="15">
        <f>ROUNDDOWN(W273/HLOOKUP(D273,Table!$C$3:$D$4,2,0)*8,2)</f>
        <v>5.47</v>
      </c>
      <c r="Z273" s="15">
        <f>Y273</f>
        <v>5.47</v>
      </c>
      <c r="AA273" s="15" t="s">
        <v>18</v>
      </c>
      <c r="AB273" s="19">
        <f>AD273</f>
        <v>44154</v>
      </c>
      <c r="AC273" s="19">
        <v>44148</v>
      </c>
      <c r="AD273" s="216">
        <v>44154</v>
      </c>
      <c r="AE273" s="19">
        <v>44152</v>
      </c>
      <c r="AF273" s="19">
        <v>44152</v>
      </c>
      <c r="AG273" s="19" t="s">
        <v>131</v>
      </c>
      <c r="AH273" s="91">
        <v>0.93500000000000005</v>
      </c>
      <c r="AI273" s="91">
        <v>0.95</v>
      </c>
      <c r="AJ273" s="91">
        <v>1</v>
      </c>
      <c r="AK273" s="19" t="s">
        <v>107</v>
      </c>
      <c r="AL273" s="17" t="s">
        <v>1613</v>
      </c>
      <c r="AM273" s="17" t="s">
        <v>58</v>
      </c>
      <c r="AN273" s="17" t="s">
        <v>1397</v>
      </c>
    </row>
    <row r="274" spans="2:41" x14ac:dyDescent="0.25">
      <c r="B274" s="20"/>
      <c r="C274" s="16"/>
      <c r="D274" s="63"/>
      <c r="E274" s="62"/>
      <c r="F274" s="62"/>
      <c r="G274" s="63"/>
      <c r="H274" s="37" t="s">
        <v>58</v>
      </c>
      <c r="I274" s="63"/>
      <c r="J274" s="124" t="s">
        <v>58</v>
      </c>
      <c r="K274" s="15"/>
      <c r="L274" s="15"/>
      <c r="M274" s="15"/>
      <c r="N274" s="63"/>
      <c r="O274" s="62" t="s">
        <v>58</v>
      </c>
      <c r="P274" s="48"/>
      <c r="Q274" s="18"/>
      <c r="R274" s="37"/>
      <c r="S274" s="15"/>
      <c r="T274" s="15"/>
      <c r="U274" s="15"/>
      <c r="V274" s="63"/>
      <c r="W274" s="16"/>
      <c r="X274" s="15"/>
      <c r="Y274" s="15"/>
      <c r="Z274" s="15"/>
      <c r="AA274" s="15"/>
      <c r="AB274" s="19"/>
      <c r="AC274" s="19"/>
      <c r="AD274" s="108"/>
      <c r="AE274" s="19"/>
      <c r="AF274" s="19"/>
      <c r="AG274" s="19"/>
      <c r="AH274" s="91"/>
      <c r="AI274" s="91"/>
      <c r="AJ274" s="91"/>
      <c r="AK274" s="19"/>
      <c r="AL274" s="17" t="s">
        <v>58</v>
      </c>
      <c r="AM274" s="17" t="s">
        <v>58</v>
      </c>
      <c r="AN274" s="17" t="s">
        <v>58</v>
      </c>
    </row>
    <row r="275" spans="2:41" x14ac:dyDescent="0.25">
      <c r="B275" s="20"/>
      <c r="C275" s="16"/>
      <c r="D275" s="63"/>
      <c r="E275" s="62"/>
      <c r="F275" s="62"/>
      <c r="G275" s="63"/>
      <c r="H275" s="37" t="s">
        <v>58</v>
      </c>
      <c r="I275" s="63"/>
      <c r="J275" s="124" t="s">
        <v>58</v>
      </c>
      <c r="K275" s="15"/>
      <c r="L275" s="15"/>
      <c r="M275" s="15"/>
      <c r="N275" s="63"/>
      <c r="O275" s="62" t="s">
        <v>58</v>
      </c>
      <c r="P275" s="48"/>
      <c r="Q275" s="18"/>
      <c r="R275" s="37"/>
      <c r="S275" s="15"/>
      <c r="T275" s="15"/>
      <c r="U275" s="15"/>
      <c r="V275" s="63"/>
      <c r="W275" s="16"/>
      <c r="X275" s="15"/>
      <c r="Y275" s="15"/>
      <c r="Z275" s="15"/>
      <c r="AA275" s="15"/>
      <c r="AB275" s="19"/>
      <c r="AC275" s="19"/>
      <c r="AD275" s="108"/>
      <c r="AE275" s="19"/>
      <c r="AF275" s="19"/>
      <c r="AG275" s="19"/>
      <c r="AH275" s="91"/>
      <c r="AI275" s="91"/>
      <c r="AJ275" s="91"/>
      <c r="AK275" s="19"/>
      <c r="AL275" s="17" t="s">
        <v>58</v>
      </c>
      <c r="AM275" s="17" t="s">
        <v>58</v>
      </c>
      <c r="AN275" s="17" t="s">
        <v>58</v>
      </c>
    </row>
    <row r="276" spans="2:41" x14ac:dyDescent="0.25">
      <c r="B276" s="20"/>
      <c r="C276" s="16"/>
      <c r="D276" s="63"/>
      <c r="E276" s="62"/>
      <c r="F276" s="62"/>
      <c r="G276" s="63"/>
      <c r="H276" s="37" t="s">
        <v>58</v>
      </c>
      <c r="I276" s="63"/>
      <c r="J276" s="124" t="s">
        <v>58</v>
      </c>
      <c r="K276" s="15"/>
      <c r="L276" s="15"/>
      <c r="M276" s="63"/>
      <c r="N276" s="63"/>
      <c r="O276" s="62" t="s">
        <v>58</v>
      </c>
      <c r="P276" s="48"/>
      <c r="Q276" s="18"/>
      <c r="R276" s="37"/>
      <c r="S276" s="15"/>
      <c r="T276" s="15"/>
      <c r="U276" s="15"/>
      <c r="V276" s="63"/>
      <c r="W276" s="15"/>
      <c r="X276" s="15"/>
      <c r="Y276" s="15"/>
      <c r="Z276" s="15"/>
      <c r="AA276" s="15"/>
      <c r="AB276" s="19"/>
      <c r="AC276" s="19"/>
      <c r="AD276" s="108"/>
      <c r="AE276" s="19"/>
      <c r="AF276" s="19"/>
      <c r="AG276" s="19"/>
      <c r="AH276" s="91"/>
      <c r="AI276" s="91"/>
      <c r="AJ276" s="91"/>
      <c r="AK276" s="19"/>
      <c r="AL276" s="17" t="s">
        <v>58</v>
      </c>
      <c r="AM276" s="17" t="s">
        <v>58</v>
      </c>
      <c r="AN276" s="17" t="s">
        <v>58</v>
      </c>
      <c r="AO276" s="94"/>
    </row>
    <row r="277" spans="2:41" x14ac:dyDescent="0.25">
      <c r="F277" s="1"/>
    </row>
    <row r="278" spans="2:41" x14ac:dyDescent="0.25">
      <c r="W278" s="128"/>
    </row>
    <row r="279" spans="2:41" x14ac:dyDescent="0.25">
      <c r="W279" s="5"/>
    </row>
    <row r="280" spans="2:41" x14ac:dyDescent="0.25">
      <c r="W280" s="128"/>
    </row>
    <row r="281" spans="2:41" x14ac:dyDescent="0.25">
      <c r="W281" s="5"/>
    </row>
    <row r="282" spans="2:41" x14ac:dyDescent="0.25">
      <c r="H282" s="75"/>
      <c r="J282" s="75"/>
      <c r="P282" s="89"/>
    </row>
    <row r="283" spans="2:41" x14ac:dyDescent="0.25">
      <c r="B283"/>
    </row>
    <row r="284" spans="2:41" x14ac:dyDescent="0.25">
      <c r="B284"/>
    </row>
    <row r="285" spans="2:41" x14ac:dyDescent="0.25">
      <c r="B285"/>
    </row>
    <row r="286" spans="2:41" x14ac:dyDescent="0.25">
      <c r="B286"/>
    </row>
  </sheetData>
  <customSheetViews>
    <customSheetView guid="{7E0EA425-A420-4443-B9E0-CDF0AA9E5D09}" scale="70" topLeftCell="C220">
      <selection activeCell="W263" sqref="W263"/>
      <pageMargins left="0.7" right="0.7" top="0.75" bottom="0.75" header="0.3" footer="0.3"/>
      <pageSetup orientation="portrait" horizontalDpi="300" r:id="rId1"/>
    </customSheetView>
    <customSheetView guid="{C94451EF-7A3E-4D72-B5A4-3D1B193192CC}" scale="85" showPageBreaks="1" filter="1" showAutoFilter="1" topLeftCell="E32">
      <selection activeCell="F235" sqref="F235"/>
      <pageMargins left="0.7" right="0.7" top="0.75" bottom="0.75" header="0.3" footer="0.3"/>
      <pageSetup orientation="portrait" horizontalDpi="300" r:id="rId2"/>
      <autoFilter ref="B59:AN276">
        <filterColumn colId="5">
          <filters>
            <filter val="1779273"/>
          </filters>
        </filterColumn>
        <filterColumn colId="17">
          <filters>
            <filter val="loc.do-phu"/>
          </filters>
        </filterColumn>
      </autoFilter>
    </customSheetView>
    <customSheetView guid="{7ECC2B8E-6A82-42F5-8AB0-4A51C54EA5EC}" showPageBreaks="1" showAutoFilter="1" topLeftCell="A193">
      <selection activeCell="A270" sqref="A270:XFD270"/>
      <pageMargins left="0.7" right="0.7" top="0.75" bottom="0.75" header="0.3" footer="0.3"/>
      <pageSetup orientation="portrait" horizontalDpi="300" r:id="rId3"/>
      <autoFilter ref="A59:AN276"/>
    </customSheetView>
    <customSheetView guid="{4E06BDBF-2CED-473B-850B-2A6C7311FF41}" scale="85" showPageBreaks="1" filter="1" showAutoFilter="1" topLeftCell="A42">
      <selection activeCell="E195" sqref="E195"/>
      <pageMargins left="0.7" right="0.7" top="0.75" bottom="0.75" header="0.3" footer="0.3"/>
      <pageSetup orientation="portrait" horizontalDpi="300" r:id="rId4"/>
      <autoFilter ref="A59:AN191">
        <filterColumn colId="18">
          <filters>
            <filter val="thanh.nguyen-kim"/>
          </filters>
        </filterColumn>
      </autoFilter>
    </customSheetView>
    <customSheetView guid="{970EE037-F5E5-47AF-896A-0F6222879EBC}" scale="85" topLeftCell="A7">
      <selection activeCell="F29" sqref="F29"/>
      <pageMargins left="0.7" right="0.7" top="0.75" bottom="0.75" header="0.3" footer="0.3"/>
      <pageSetup orientation="portrait" horizontalDpi="300" r:id="rId5"/>
    </customSheetView>
    <customSheetView guid="{F96FC7D9-4F89-4FE0-8D00-C0083DEB0472}" scale="85" topLeftCell="A280">
      <selection activeCell="J295" sqref="J295"/>
      <pageMargins left="0.7" right="0.7" top="0.75" bottom="0.75" header="0.3" footer="0.3"/>
      <pageSetup orientation="portrait" horizontalDpi="300" verticalDpi="0" r:id="rId6"/>
    </customSheetView>
    <customSheetView guid="{A2C66332-A809-458E-971B-FDB6D62C74C3}" showAutoFilter="1" topLeftCell="F54">
      <pane xSplit="1" topLeftCell="AI1" activePane="topRight" state="frozen"/>
      <selection pane="topRight" activeCell="A154" sqref="A154:XFD159"/>
      <pageMargins left="0.7" right="0.7" top="0.75" bottom="0.75" header="0.3" footer="0.3"/>
      <pageSetup orientation="portrait" horizontalDpi="300" verticalDpi="0" r:id="rId7"/>
      <autoFilter ref="A59:AN190"/>
    </customSheetView>
    <customSheetView guid="{3B3E6719-EACB-4D2C-89C1-05FFAB6020FD}" scale="70" filter="1" showAutoFilter="1" topLeftCell="E44">
      <selection activeCell="T222" sqref="T222"/>
      <pageMargins left="0.7" right="0.7" top="0.75" bottom="0.75" header="0.3" footer="0.3"/>
      <pageSetup orientation="portrait" horizontalDpi="300" r:id="rId8"/>
      <autoFilter ref="A59:AN218">
        <filterColumn colId="18">
          <filters>
            <filter val="phuong.nguyen-thanh"/>
          </filters>
        </filterColumn>
      </autoFilter>
    </customSheetView>
    <customSheetView guid="{D33AC7AF-C8AB-4CE9-94C7-9237011A5FC3}" scale="70" filter="1" showAutoFilter="1" topLeftCell="K59">
      <selection activeCell="A174" sqref="A174:XFD176"/>
      <pageMargins left="0.7" right="0.7" top="0.75" bottom="0.75" header="0.3" footer="0.3"/>
      <pageSetup orientation="portrait" horizontalDpi="300" verticalDpi="0" r:id="rId9"/>
      <autoFilter ref="A59:AO215">
        <filterColumn colId="18">
          <filters>
            <filter val="huy.do-anh"/>
          </filters>
        </filterColumn>
      </autoFilter>
    </customSheetView>
    <customSheetView guid="{60D2C030-4E31-4E07-8E1C-44D2EE84B177}" scale="85" showPageBreaks="1" filter="1" showAutoFilter="1" topLeftCell="A19">
      <selection activeCell="T341" sqref="T341"/>
      <pageMargins left="0.7" right="0.7" top="0.75" bottom="0.75" header="0.3" footer="0.3"/>
      <pageSetup orientation="portrait" horizontalDpi="300" r:id="rId10"/>
      <autoFilter ref="A59:AN336">
        <filterColumn colId="18">
          <filters>
            <filter val="chung.ly"/>
          </filters>
        </filterColumn>
      </autoFilter>
    </customSheetView>
    <customSheetView guid="{A2E8CE38-D15E-4374-89B2-69D9421C4465}" scale="85" showPageBreaks="1" filter="1" showAutoFilter="1" topLeftCell="K49">
      <selection activeCell="A195" sqref="A195:XFD198"/>
      <pageMargins left="0.7" right="0.7" top="0.75" bottom="0.75" header="0.3" footer="0.3"/>
      <pageSetup orientation="portrait" horizontalDpi="300" r:id="rId11"/>
      <autoFilter ref="B59:AN336">
        <filterColumn colId="17">
          <filters>
            <filter val="nam.phan-the"/>
          </filters>
        </filterColumn>
      </autoFilter>
    </customSheetView>
    <customSheetView guid="{336B6883-2145-4B58-921E-CEC7185A847E}" scale="85" filter="1" showAutoFilter="1" topLeftCell="O59">
      <selection activeCell="A173" sqref="A173:XFD173"/>
      <pageMargins left="0.7" right="0.7" top="0.75" bottom="0.75" header="0.3" footer="0.3"/>
      <pageSetup orientation="portrait" horizontalDpi="300" verticalDpi="0" r:id="rId12"/>
      <autoFilter ref="A59:AO336">
        <filterColumn colId="18">
          <filters>
            <filter val="dac.luu-cong"/>
          </filters>
        </filterColumn>
      </autoFilter>
    </customSheetView>
    <customSheetView guid="{89C03E1E-B6A8-49A1-B29C-5DC4FAB2FBC6}" scale="85" filter="1" showAutoFilter="1" topLeftCell="U100">
      <selection activeCell="AN277" sqref="AN277"/>
      <pageMargins left="0.7" right="0.7" top="0.75" bottom="0.75" header="0.3" footer="0.3"/>
      <pageSetup orientation="portrait" horizontalDpi="300" verticalDpi="0" r:id="rId13"/>
      <autoFilter ref="B59:AN276">
        <filterColumn colId="17">
          <filters>
            <filter val="nam.phan-the"/>
          </filters>
        </filterColumn>
      </autoFilter>
    </customSheetView>
    <customSheetView guid="{FECB4C41-27E8-4A22-AFB3-4F54CDD4960E}" scale="85" filter="1" showAutoFilter="1" topLeftCell="O87">
      <selection activeCell="AE254" sqref="AE254:AK254"/>
      <pageMargins left="0.7" right="0.7" top="0.75" bottom="0.75" header="0.3" footer="0.3"/>
      <pageSetup orientation="portrait" horizontalDpi="300" verticalDpi="0" r:id="rId14"/>
      <autoFilter ref="B59:AO276">
        <filterColumn colId="17">
          <filters>
            <filter val="chuong.nguyen-minh"/>
          </filters>
        </filterColumn>
      </autoFilter>
    </customSheetView>
    <customSheetView guid="{99BC1C51-34DC-4BF2-906C-1E31B6171D71}" scale="70" filter="1" showAutoFilter="1" topLeftCell="L102">
      <selection activeCell="AK278" sqref="AK278"/>
      <pageMargins left="0.7" right="0.7" top="0.75" bottom="0.75" header="0.3" footer="0.3"/>
      <pageSetup orientation="portrait" horizontalDpi="300" r:id="rId15"/>
      <autoFilter ref="A59:AN276">
        <filterColumn colId="18">
          <filters>
            <filter val="huy.nguyen-hoang"/>
          </filters>
        </filterColumn>
      </autoFilter>
    </customSheetView>
  </customSheetViews>
  <conditionalFormatting sqref="AK60:AK276 AG60:AG276">
    <cfRule type="cellIs" dxfId="102" priority="149" operator="equal">
      <formula>"OK"</formula>
    </cfRule>
    <cfRule type="cellIs" dxfId="101" priority="150" operator="equal">
      <formula>"NG"</formula>
    </cfRule>
  </conditionalFormatting>
  <conditionalFormatting sqref="O60:P276">
    <cfRule type="cellIs" dxfId="100" priority="148" operator="equal">
      <formula>"PUT_VERSION"</formula>
    </cfRule>
  </conditionalFormatting>
  <conditionalFormatting sqref="D18">
    <cfRule type="expression" dxfId="99" priority="136">
      <formula>$D$18=SUM($D$4:$D$17)</formula>
    </cfRule>
  </conditionalFormatting>
  <conditionalFormatting sqref="E18">
    <cfRule type="expression" dxfId="98" priority="135">
      <formula>$E$18=SUM($E$4:$E$17)</formula>
    </cfRule>
  </conditionalFormatting>
  <conditionalFormatting sqref="F18">
    <cfRule type="expression" dxfId="97" priority="134">
      <formula>$F$18=SUM($F$4:$F$17)</formula>
    </cfRule>
  </conditionalFormatting>
  <conditionalFormatting sqref="D37">
    <cfRule type="expression" dxfId="96" priority="133">
      <formula>$D$37=SUM($D$23:$D$36)</formula>
    </cfRule>
  </conditionalFormatting>
  <conditionalFormatting sqref="E37">
    <cfRule type="expression" dxfId="95" priority="132">
      <formula>$E$37=SUM($E$23:$E$36)</formula>
    </cfRule>
  </conditionalFormatting>
  <conditionalFormatting sqref="F37">
    <cfRule type="expression" dxfId="94" priority="169">
      <formula>$F$37=SUM($F$23:$F$36)</formula>
    </cfRule>
  </conditionalFormatting>
  <conditionalFormatting sqref="H4:H18">
    <cfRule type="cellIs" dxfId="93" priority="27" operator="lessThan">
      <formula>1</formula>
    </cfRule>
    <cfRule type="cellIs" dxfId="92" priority="28" operator="equal">
      <formula>1</formula>
    </cfRule>
  </conditionalFormatting>
  <conditionalFormatting sqref="H23:H37">
    <cfRule type="cellIs" dxfId="91" priority="21" operator="lessThan">
      <formula>1</formula>
    </cfRule>
    <cfRule type="cellIs" dxfId="90" priority="22" operator="equal">
      <formula>1</formula>
    </cfRule>
  </conditionalFormatting>
  <conditionalFormatting sqref="H42:H55">
    <cfRule type="cellIs" dxfId="89" priority="19" operator="lessThan">
      <formula>1</formula>
    </cfRule>
    <cfRule type="cellIs" dxfId="88" priority="20" operator="equal">
      <formula>1</formula>
    </cfRule>
  </conditionalFormatting>
  <conditionalFormatting sqref="H56">
    <cfRule type="cellIs" dxfId="87" priority="17" operator="lessThan">
      <formula>1</formula>
    </cfRule>
    <cfRule type="cellIs" dxfId="86" priority="18" operator="equal">
      <formula>1</formula>
    </cfRule>
  </conditionalFormatting>
  <dataValidations count="3">
    <dataValidation type="list" allowBlank="1" showInputMessage="1" showErrorMessage="1" sqref="U60:U77 U79:U146 U148:U276">
      <formula1>"Yes,No"</formula1>
    </dataValidation>
    <dataValidation type="list" allowBlank="1" showInputMessage="1" showErrorMessage="1" sqref="K290:K1357 K282:K288 Y282 K277 K279:K280">
      <formula1>$C$51:$C$54</formula1>
    </dataValidation>
    <dataValidation type="list" allowBlank="1" showInputMessage="1" showErrorMessage="1" sqref="AG60:AG276">
      <formula1>"OK,NG"</formula1>
    </dataValidation>
  </dataValidations>
  <pageMargins left="0.7" right="0.7" top="0.75" bottom="0.75" header="0.3" footer="0.3"/>
  <pageSetup orientation="portrait" horizontalDpi="300" r:id="rId16"/>
  <legacyDrawing r:id="rId1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9" operator="equal" id="{2B9DA05D-2BDF-40F2-AAB9-55EE4E3A4914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50" operator="equal" id="{CF72E758-246C-461F-BACD-F624487058C4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D60:D276</xm:sqref>
        </x14:conditionalFormatting>
        <x14:conditionalFormatting xmlns:xm="http://schemas.microsoft.com/office/excel/2006/main">
          <x14:cfRule type="cellIs" priority="153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54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155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56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129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30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127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8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125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6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cellIs" priority="53" operator="equal" id="{19639308-71F0-43E5-B386-FDDD54B39B80}">
            <xm:f>Table!$C$38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54" operator="equal" id="{49FA013F-6BB2-447B-B4B6-033B25DE33AE}">
            <xm:f>Table!$C$37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AK60:AK276</xm:sqref>
        </x14:conditionalFormatting>
        <x14:conditionalFormatting xmlns:xm="http://schemas.microsoft.com/office/excel/2006/main">
          <x14:cfRule type="cellIs" priority="32" operator="equal" id="{B211692F-ABF6-4790-BCAD-28CE3DBD857B}">
            <xm:f>Table!$C$48</xm:f>
            <x14:dxf>
              <fill>
                <patternFill>
                  <bgColor rgb="FF00B0F0"/>
                </patternFill>
              </fill>
            </x14:dxf>
          </x14:cfRule>
          <xm:sqref>AK279 K290:K1622 K282:K288 Y282 K60:K80 K279:K280 K82:K277</xm:sqref>
        </x14:conditionalFormatting>
        <x14:conditionalFormatting xmlns:xm="http://schemas.microsoft.com/office/excel/2006/main">
          <x14:cfRule type="cellIs" priority="29" operator="equal" id="{27FEA41D-27A1-4BBD-B6F6-EF73A862D852}">
            <xm:f>Table!$C$51</xm:f>
            <x14:dxf>
              <fill>
                <patternFill>
                  <bgColor rgb="FFC00000"/>
                </patternFill>
              </fill>
            </x14:dxf>
          </x14:cfRule>
          <x14:cfRule type="cellIs" priority="30" operator="equal" id="{E47CD962-AD85-4E24-81F8-0F88965BC42B}">
            <xm:f>Table!$C$50</xm:f>
            <x14:dxf>
              <fill>
                <patternFill>
                  <bgColor rgb="FFFFFF00"/>
                </patternFill>
              </fill>
            </x14:dxf>
          </x14:cfRule>
          <x14:cfRule type="cellIs" priority="31" operator="equal" id="{66848275-C61E-4326-A79D-D01F5EDA7130}">
            <xm:f>Table!$C$49</xm:f>
            <x14:dxf>
              <fill>
                <patternFill>
                  <bgColor rgb="FFFFC000"/>
                </patternFill>
              </fill>
            </x14:dxf>
          </x14:cfRule>
          <xm:sqref>AK279 K290:K1243 K282:K288 Y282 K60:K80 K279:K280 K82:K277</xm:sqref>
        </x14:conditionalFormatting>
        <x14:conditionalFormatting xmlns:xm="http://schemas.microsoft.com/office/excel/2006/main">
          <x14:cfRule type="cellIs" priority="15" operator="greaterThanOrEqual" id="{726F132E-1027-4E33-B840-096BC8D65F80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6" operator="lessThan" id="{ED8EC43F-BA62-46D3-8ECB-CEB57CEC08F5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K4:K17</xm:sqref>
        </x14:conditionalFormatting>
        <x14:conditionalFormatting xmlns:xm="http://schemas.microsoft.com/office/excel/2006/main">
          <x14:cfRule type="cellIs" priority="13" operator="greaterThanOrEqual" id="{AD341F08-417E-499F-A5CD-710ECD7F298F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lessThan" id="{BD660B54-AB37-4DA6-86BB-FA649D139B70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ellIs" priority="11" operator="greaterThanOrEqual" id="{A04814F6-C44E-4F71-B21E-E989C6B0EEC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01F77F4C-96ED-41D1-9F97-9566CFF400E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K23:K36</xm:sqref>
        </x14:conditionalFormatting>
        <x14:conditionalFormatting xmlns:xm="http://schemas.microsoft.com/office/excel/2006/main">
          <x14:cfRule type="cellIs" priority="9" operator="greaterThanOrEqual" id="{CD630787-90B5-4FB5-BA25-3F5AB4A6FB6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C0A8677B-D3C0-4549-8BFD-299917443C3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ellIs" priority="7" operator="greaterThanOrEqual" id="{4391133D-E954-40F5-8414-FFA245B56837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lessThan" id="{A9565830-0D8A-4A3C-BCE5-08D6F068C98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K42:K55</xm:sqref>
        </x14:conditionalFormatting>
        <x14:conditionalFormatting xmlns:xm="http://schemas.microsoft.com/office/excel/2006/main">
          <x14:cfRule type="cellIs" priority="5" operator="greaterThanOrEqual" id="{EE611FCC-3DD1-4612-B1CF-95A523FBA80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operator="lessThan" id="{BE0B9A0B-9CFC-4F54-B510-17E93DEC335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K56</xm:sqref>
        </x14:conditionalFormatting>
        <x14:conditionalFormatting xmlns:xm="http://schemas.microsoft.com/office/excel/2006/main">
          <x14:cfRule type="cellIs" priority="4" operator="equal" id="{986A2F19-D9E2-4623-AD6A-A562AFBD5DDA}">
            <xm:f>Table!$C$48</xm:f>
            <x14:dxf>
              <fill>
                <patternFill>
                  <bgColor rgb="FF00B0F0"/>
                </patternFill>
              </fill>
            </x14:dxf>
          </x14:cfRule>
          <xm:sqref>K81</xm:sqref>
        </x14:conditionalFormatting>
        <x14:conditionalFormatting xmlns:xm="http://schemas.microsoft.com/office/excel/2006/main">
          <x14:cfRule type="cellIs" priority="1" operator="equal" id="{2C769199-3526-48BC-B4AC-398FAF8906AA}">
            <xm:f>Table!$C$51</xm:f>
            <x14:dxf>
              <fill>
                <patternFill>
                  <bgColor rgb="FFC00000"/>
                </patternFill>
              </fill>
            </x14:dxf>
          </x14:cfRule>
          <x14:cfRule type="cellIs" priority="2" operator="equal" id="{B3134249-754A-4511-A17E-18D885E70F5B}">
            <xm:f>Table!$C$50</xm:f>
            <x14:dxf>
              <fill>
                <patternFill>
                  <bgColor rgb="FFFFFF00"/>
                </patternFill>
              </fill>
            </x14:dxf>
          </x14:cfRule>
          <x14:cfRule type="cellIs" priority="3" operator="equal" id="{49F566EA-5D74-4335-BAD8-AE584078064A}">
            <xm:f>Table!$C$49</xm:f>
            <x14:dxf>
              <fill>
                <patternFill>
                  <bgColor rgb="FFFFC000"/>
                </patternFill>
              </fill>
            </x14:dxf>
          </x14:cfRule>
          <xm:sqref>K81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Table!$C$48:$C$51</xm:f>
          </x14:formula1>
          <xm:sqref>AK279 K60:K276</xm:sqref>
        </x14:dataValidation>
        <x14:dataValidation type="list" allowBlank="1" showInputMessage="1" showErrorMessage="1">
          <x14:formula1>
            <xm:f>Table!$C$27:$C$33</xm:f>
          </x14:formula1>
          <xm:sqref>AA60:AA135 AA137:AA276</xm:sqref>
        </x14:dataValidation>
        <x14:dataValidation type="list" allowBlank="1" showInputMessage="1" showErrorMessage="1">
          <x14:formula1>
            <xm:f>Table!$C$13:$C$23</xm:f>
          </x14:formula1>
          <xm:sqref>S60:S256 T60:T276 S268:S276</xm:sqref>
        </x14:dataValidation>
        <x14:dataValidation type="list" allowBlank="1" showInputMessage="1" showErrorMessage="1">
          <x14:formula1>
            <xm:f>Table!$C$37:$C$39</xm:f>
          </x14:formula1>
          <xm:sqref>AK60:AK276</xm:sqref>
        </x14:dataValidation>
        <x14:dataValidation type="list" allowBlank="1" showInputMessage="1" showErrorMessage="1">
          <x14:formula1>
            <xm:f>Table!$C$8:$C$9</xm:f>
          </x14:formula1>
          <xm:sqref>D60:D276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P389"/>
  <sheetViews>
    <sheetView topLeftCell="R337" zoomScale="85" zoomScaleNormal="70" workbookViewId="0">
      <selection activeCell="AL358" sqref="AL358"/>
    </sheetView>
  </sheetViews>
  <sheetFormatPr defaultRowHeight="15" x14ac:dyDescent="0.25"/>
  <cols>
    <col min="1" max="1" width="9.140625" customWidth="1"/>
    <col min="2" max="2" width="9.28515625" customWidth="1"/>
    <col min="3" max="3" width="21" customWidth="1"/>
    <col min="4" max="4" width="9.28515625" customWidth="1"/>
    <col min="5" max="5" width="49.42578125" bestFit="1" customWidth="1"/>
    <col min="6" max="6" width="17.28515625" customWidth="1"/>
    <col min="7" max="7" width="9.28515625" customWidth="1"/>
    <col min="8" max="8" width="9.28515625" bestFit="1" customWidth="1"/>
    <col min="9" max="9" width="57.7109375" customWidth="1"/>
    <col min="10" max="10" width="25.140625" customWidth="1"/>
    <col min="11" max="11" width="12.42578125" customWidth="1"/>
    <col min="12" max="12" width="9.28515625" customWidth="1"/>
    <col min="13" max="13" width="12.85546875" customWidth="1"/>
    <col min="14" max="14" width="21.85546875" customWidth="1"/>
    <col min="15" max="15" width="17" customWidth="1"/>
    <col min="16" max="16" width="11.5703125" customWidth="1"/>
    <col min="17" max="17" width="9.140625" customWidth="1"/>
    <col min="18" max="18" width="11.5703125" customWidth="1"/>
    <col min="19" max="19" width="21.42578125" customWidth="1"/>
    <col min="20" max="22" width="9.140625" customWidth="1"/>
    <col min="23" max="23" width="22.7109375" style="7" bestFit="1" customWidth="1"/>
    <col min="24" max="24" width="21.42578125" style="7" customWidth="1"/>
    <col min="25" max="25" width="9.140625" style="7" customWidth="1"/>
    <col min="26" max="26" width="11.140625" style="7" customWidth="1"/>
    <col min="27" max="27" width="16.85546875" customWidth="1"/>
    <col min="28" max="28" width="17.140625" customWidth="1"/>
    <col min="29" max="29" width="17.42578125" customWidth="1"/>
    <col min="30" max="30" width="16" customWidth="1"/>
    <col min="31" max="32" width="14.5703125" customWidth="1"/>
    <col min="34" max="36" width="10.5703125" bestFit="1" customWidth="1"/>
    <col min="37" max="37" width="9.28515625" customWidth="1"/>
    <col min="38" max="38" width="11.140625" bestFit="1" customWidth="1"/>
  </cols>
  <sheetData>
    <row r="1" spans="1:17" x14ac:dyDescent="0.25">
      <c r="A1" s="53" t="s">
        <v>108</v>
      </c>
    </row>
    <row r="2" spans="1:17" x14ac:dyDescent="0.25">
      <c r="B2" s="53" t="s">
        <v>49</v>
      </c>
      <c r="C2" s="21"/>
      <c r="D2" s="21"/>
      <c r="E2" s="21"/>
      <c r="F2" s="21"/>
      <c r="G2" s="21"/>
      <c r="H2" s="21"/>
    </row>
    <row r="3" spans="1:17" x14ac:dyDescent="0.25">
      <c r="B3" s="46" t="s">
        <v>0</v>
      </c>
      <c r="C3" s="46" t="s">
        <v>8</v>
      </c>
      <c r="D3" s="46" t="s">
        <v>149</v>
      </c>
      <c r="E3" s="46" t="s">
        <v>50</v>
      </c>
      <c r="F3" s="46" t="s">
        <v>99</v>
      </c>
      <c r="G3" s="46" t="s">
        <v>22</v>
      </c>
      <c r="H3" s="47" t="s">
        <v>24</v>
      </c>
      <c r="I3" s="2" t="s">
        <v>153</v>
      </c>
      <c r="J3" s="2" t="s">
        <v>154</v>
      </c>
      <c r="K3" s="2" t="s">
        <v>22</v>
      </c>
      <c r="O3" s="53" t="s">
        <v>39</v>
      </c>
    </row>
    <row r="4" spans="1:17" x14ac:dyDescent="0.25">
      <c r="B4" s="110">
        <v>1</v>
      </c>
      <c r="C4" s="111" t="s">
        <v>6</v>
      </c>
      <c r="D4" s="112">
        <f>SUMIFS($W$60:$W$378,$D$60:$D$378,Table!$D$3,$S$60:$S$378,C4)</f>
        <v>0</v>
      </c>
      <c r="E4" s="112">
        <f>SUMIFS($X$60:$X$378,$D$60:$D$378,Table!$D$3,$S$60:$S$378,C4)-SUM(SUMIFS($X$60:$X$378,$D$60:$D$378,Table!$D$3,$S$60:$S$378,C4,$AA$60:$AA$378,{"Ongoing","N\A",""}))</f>
        <v>0</v>
      </c>
      <c r="F4" s="112">
        <f>ROUND(1/8*(SUMIFS($Z$60:$Z$378,$D$60:$D$378,Table!$D$3,$S$60:$S$378,C4)-SUM(SUMIFS($Z$60:$Z$378,$D$60:$D$378,Table!$D$3,$S$60:$S$378,C4,$AA$60:$AA$378,{"Ongoing","N/A",""}))),4)</f>
        <v>0</v>
      </c>
      <c r="G4" s="112" t="str">
        <f>IF(ISERROR(E4/(F4)),"N/A",E4/F4)</f>
        <v>N/A</v>
      </c>
      <c r="H4" s="113" t="str">
        <f>IF(ISERROR(E4/D4),"N/A",E4/D4)</f>
        <v>N/A</v>
      </c>
      <c r="I4" s="114">
        <v>0</v>
      </c>
      <c r="J4" s="114">
        <f t="shared" ref="J4:J17" si="0">E4-I4</f>
        <v>0</v>
      </c>
      <c r="K4" s="112" t="str">
        <f>IF(J4&lt;&gt;0,J4/$P$20,G4)</f>
        <v>N/A</v>
      </c>
      <c r="P4" s="53" t="s">
        <v>41</v>
      </c>
    </row>
    <row r="5" spans="1:17" x14ac:dyDescent="0.25">
      <c r="B5" s="48">
        <v>2</v>
      </c>
      <c r="C5" s="58" t="s">
        <v>61</v>
      </c>
      <c r="D5" s="50">
        <f>SUMIFS($W$60:$W$378,$D$60:$D$378,Table!$D$3,$S$60:$S$378,C5)</f>
        <v>2376</v>
      </c>
      <c r="E5" s="50">
        <f>SUMIFS($X$60:$X$378,$D$60:$D$378,Table!$D$3,$S$60:$S$378,C5)-SUM(SUMIFS($X$60:$X$378,$D$60:$D$378,Table!$D$3,$S$60:$S$378,C5,$AA$60:$AA$378,{"Ongoing","N\A",""}))</f>
        <v>2376</v>
      </c>
      <c r="F5" s="50">
        <f>ROUND(1/8*(SUMIFS($Z$60:$Z$378,$D$60:$D$378,Table!$D$3,$S$60:$S$378,C5)-SUM(SUMIFS($Z$60:$Z$378,$D$60:$D$378,Table!$D$3,$S$60:$S$378,C5,$AA$60:$AA$378,{"Ongoing","N/A",""}))),4)</f>
        <v>1.5</v>
      </c>
      <c r="G5" s="50">
        <f t="shared" ref="G5:G12" si="1">IF(ISERROR(E5/(F5)),"N/A",E5/F5)</f>
        <v>1584</v>
      </c>
      <c r="H5" s="51">
        <f t="shared" ref="H5:H18" si="2">IF(ISERROR(E5/D5),"N/A",E5/D5)</f>
        <v>1</v>
      </c>
      <c r="I5" s="3">
        <v>0</v>
      </c>
      <c r="J5" s="3">
        <f t="shared" si="0"/>
        <v>2376</v>
      </c>
      <c r="K5" s="50">
        <f t="shared" ref="K5:K17" ca="1" si="3">IF(J5&lt;&gt;0,J5/$P$20,G5)</f>
        <v>108</v>
      </c>
      <c r="Q5" s="21" t="s">
        <v>40</v>
      </c>
    </row>
    <row r="6" spans="1:17" x14ac:dyDescent="0.25">
      <c r="B6" s="48">
        <v>3</v>
      </c>
      <c r="C6" s="61" t="s">
        <v>62</v>
      </c>
      <c r="D6" s="50">
        <f>SUMIFS($W$60:$W$378,$D$60:$D$378,Table!$D$3,$S$60:$S$378,C6)</f>
        <v>0</v>
      </c>
      <c r="E6" s="50">
        <f>SUMIFS($X$60:$X$378,$D$60:$D$378,Table!$D$3,$S$60:$S$378,C6)-SUM(SUMIFS($X$60:$X$378,$D$60:$D$378,Table!$D$3,$S$60:$S$378,C6,$AA$60:$AA$378,{"Ongoing","N\A",""}))</f>
        <v>0</v>
      </c>
      <c r="F6" s="50">
        <f>ROUND(1/8*(SUMIFS($Z$60:$Z$378,$D$60:$D$378,Table!$D$3,$S$60:$S$378,C6)-SUM(SUMIFS($Z$60:$Z$378,$D$60:$D$378,Table!$D$3,$S$60:$S$378,C6,$AA$60:$AA$378,{"Ongoing","N/A",""}))),4)</f>
        <v>0</v>
      </c>
      <c r="G6" s="50" t="str">
        <f t="shared" si="1"/>
        <v>N/A</v>
      </c>
      <c r="H6" s="51" t="str">
        <f t="shared" si="2"/>
        <v>N/A</v>
      </c>
      <c r="I6" s="3">
        <v>0</v>
      </c>
      <c r="J6" s="3">
        <f t="shared" si="0"/>
        <v>0</v>
      </c>
      <c r="K6" s="50" t="str">
        <f t="shared" si="3"/>
        <v>N/A</v>
      </c>
      <c r="Q6" s="21" t="s">
        <v>80</v>
      </c>
    </row>
    <row r="7" spans="1:17" x14ac:dyDescent="0.25">
      <c r="B7" s="48">
        <v>4</v>
      </c>
      <c r="C7" s="58" t="s">
        <v>63</v>
      </c>
      <c r="D7" s="50">
        <f>SUMIFS($W$60:$W$378,$D$60:$D$378,Table!$D$3,$S$60:$S$378,C7)</f>
        <v>2376</v>
      </c>
      <c r="E7" s="50">
        <f>SUMIFS($X$60:$X$378,$D$60:$D$378,Table!$D$3,$S$60:$S$378,C7)-SUM(SUMIFS($X$60:$X$378,$D$60:$D$378,Table!$D$3,$S$60:$S$378,C7,$AA$60:$AA$378,{"Ongoing","N\A",""}))</f>
        <v>2376</v>
      </c>
      <c r="F7" s="50">
        <f>ROUND(1/8*(SUMIFS($Z$60:$Z$378,$D$60:$D$378,Table!$D$3,$S$60:$S$378,C7)-SUM(SUMIFS($Z$60:$Z$378,$D$60:$D$378,Table!$D$3,$S$60:$S$378,C7,$AA$60:$AA$378,{"Ongoing","N/A",""}))),4)</f>
        <v>5.28</v>
      </c>
      <c r="G7" s="50">
        <f t="shared" si="1"/>
        <v>450</v>
      </c>
      <c r="H7" s="51">
        <f t="shared" si="2"/>
        <v>1</v>
      </c>
      <c r="I7" s="3">
        <v>0</v>
      </c>
      <c r="J7" s="3">
        <f t="shared" si="0"/>
        <v>2376</v>
      </c>
      <c r="K7" s="50">
        <f t="shared" ca="1" si="3"/>
        <v>108</v>
      </c>
      <c r="P7" s="53"/>
    </row>
    <row r="8" spans="1:17" x14ac:dyDescent="0.25">
      <c r="B8" s="48">
        <v>5</v>
      </c>
      <c r="C8" s="58" t="s">
        <v>152</v>
      </c>
      <c r="D8" s="50">
        <f>SUMIFS($W$60:$W$378,$D$60:$D$378,Table!$D$3,$S$60:$S$378,C8)</f>
        <v>0</v>
      </c>
      <c r="E8" s="50">
        <f>SUMIFS($X$60:$X$378,$D$60:$D$378,Table!$D$3,$S$60:$S$378,C8)-SUM(SUMIFS($X$60:$X$378,$D$60:$D$378,Table!$D$3,$S$60:$S$378,C8,$AA$60:$AA$378,{"Ongoing","N\A",""}))</f>
        <v>0</v>
      </c>
      <c r="F8" s="50">
        <f>ROUND(1/8*(SUMIFS($Z$60:$Z$378,$D$60:$D$378,Table!$D$3,$S$60:$S$378,C8)-SUM(SUMIFS($Z$60:$Z$378,$D$60:$D$378,Table!$D$3,$S$60:$S$378,C8,$AA$60:$AA$378,{"Ongoing","N/A",""}))),4)</f>
        <v>0</v>
      </c>
      <c r="G8" s="50" t="str">
        <f t="shared" si="1"/>
        <v>N/A</v>
      </c>
      <c r="H8" s="51" t="str">
        <f t="shared" si="2"/>
        <v>N/A</v>
      </c>
      <c r="I8" s="3">
        <v>0</v>
      </c>
      <c r="J8" s="3">
        <f t="shared" si="0"/>
        <v>0</v>
      </c>
      <c r="K8" s="50" t="str">
        <f t="shared" si="3"/>
        <v>N/A</v>
      </c>
      <c r="Q8" s="21"/>
    </row>
    <row r="9" spans="1:17" x14ac:dyDescent="0.25">
      <c r="B9" s="48">
        <v>6</v>
      </c>
      <c r="C9" s="49" t="s">
        <v>64</v>
      </c>
      <c r="D9" s="50">
        <f>SUMIFS($W$60:$W$378,$D$60:$D$378,Table!$D$3,$S$60:$S$378,C9)</f>
        <v>0</v>
      </c>
      <c r="E9" s="50">
        <f>SUMIFS($X$60:$X$378,$D$60:$D$378,Table!$D$3,$S$60:$S$378,C9)-SUM(SUMIFS($X$60:$X$378,$D$60:$D$378,Table!$D$3,$S$60:$S$378,C9,$AA$60:$AA$378,{"Ongoing","N\A",""}))</f>
        <v>0</v>
      </c>
      <c r="F9" s="50">
        <f>ROUND(1/8*(SUMIFS($Z$60:$Z$378,$D$60:$D$378,Table!$D$3,$S$60:$S$378,C9)-SUM(SUMIFS($Z$60:$Z$378,$D$60:$D$378,Table!$D$3,$S$60:$S$378,C9,$AA$60:$AA$378,{"Ongoing","N/A",""}))),4)</f>
        <v>0</v>
      </c>
      <c r="G9" s="50" t="str">
        <f t="shared" si="1"/>
        <v>N/A</v>
      </c>
      <c r="H9" s="51" t="str">
        <f t="shared" si="2"/>
        <v>N/A</v>
      </c>
      <c r="I9" s="3">
        <v>0</v>
      </c>
      <c r="J9" s="3">
        <f t="shared" si="0"/>
        <v>0</v>
      </c>
      <c r="K9" s="50" t="str">
        <f t="shared" si="3"/>
        <v>N/A</v>
      </c>
      <c r="Q9" s="21"/>
    </row>
    <row r="10" spans="1:17" x14ac:dyDescent="0.25">
      <c r="B10" s="48">
        <v>7</v>
      </c>
      <c r="C10" s="49" t="s">
        <v>65</v>
      </c>
      <c r="D10" s="50">
        <f>SUMIFS($W$60:$W$378,$D$60:$D$378,Table!$D$3,$S$60:$S$378,C10)</f>
        <v>0</v>
      </c>
      <c r="E10" s="50">
        <f>SUMIFS($X$60:$X$378,$D$60:$D$378,Table!$D$3,$S$60:$S$378,C10)-SUM(SUMIFS($X$60:$X$378,$D$60:$D$378,Table!$D$3,$S$60:$S$378,C10,$AA$60:$AA$378,{"Ongoing","N\A",""}))</f>
        <v>0</v>
      </c>
      <c r="F10" s="50">
        <f>ROUND(1/8*(SUMIFS($Z$60:$Z$378,$D$60:$D$378,Table!$D$3,$S$60:$S$378,C10)-SUM(SUMIFS($Z$60:$Z$378,$D$60:$D$378,Table!$D$3,$S$60:$S$378,C10,$AA$60:$AA$378,{"Ongoing","N/A",""}))),4)</f>
        <v>0</v>
      </c>
      <c r="G10" s="50" t="str">
        <f t="shared" si="1"/>
        <v>N/A</v>
      </c>
      <c r="H10" s="51" t="str">
        <f t="shared" si="2"/>
        <v>N/A</v>
      </c>
      <c r="I10" s="3">
        <v>0</v>
      </c>
      <c r="J10" s="3">
        <f t="shared" si="0"/>
        <v>0</v>
      </c>
      <c r="K10" s="50" t="str">
        <f t="shared" si="3"/>
        <v>N/A</v>
      </c>
    </row>
    <row r="11" spans="1:17" x14ac:dyDescent="0.25">
      <c r="B11" s="48">
        <v>8</v>
      </c>
      <c r="C11" s="58" t="s">
        <v>66</v>
      </c>
      <c r="D11" s="50">
        <f>SUMIFS($W$60:$W$378,$D$60:$D$378,Table!$D$3,$S$60:$S$378,C11)</f>
        <v>2358</v>
      </c>
      <c r="E11" s="50">
        <f>SUMIFS($X$60:$X$378,$D$60:$D$378,Table!$D$3,$S$60:$S$378,C11)-SUM(SUMIFS($X$60:$X$378,$D$60:$D$378,Table!$D$3,$S$60:$S$378,C11,$AA$60:$AA$378,{"Ongoing","N\A",""}))</f>
        <v>2358</v>
      </c>
      <c r="F11" s="50">
        <f>ROUND(1/8*(SUMIFS($Z$60:$Z$378,$D$60:$D$378,Table!$D$3,$S$60:$S$378,C11)-SUM(SUMIFS($Z$60:$Z$378,$D$60:$D$378,Table!$D$3,$S$60:$S$378,C11,$AA$60:$AA$378,{"Ongoing","N/A",""}))),4)</f>
        <v>5.73</v>
      </c>
      <c r="G11" s="50">
        <f t="shared" si="1"/>
        <v>411.51832460732982</v>
      </c>
      <c r="H11" s="51">
        <f t="shared" si="2"/>
        <v>1</v>
      </c>
      <c r="I11" s="3">
        <v>0</v>
      </c>
      <c r="J11" s="3">
        <f t="shared" si="0"/>
        <v>2358</v>
      </c>
      <c r="K11" s="50">
        <f t="shared" ca="1" si="3"/>
        <v>107.18181818181819</v>
      </c>
    </row>
    <row r="12" spans="1:17" x14ac:dyDescent="0.25">
      <c r="B12" s="48">
        <v>9</v>
      </c>
      <c r="C12" s="58" t="s">
        <v>109</v>
      </c>
      <c r="D12" s="50">
        <f>SUMIFS($W$60:$W$378,$D$60:$D$378,Table!$D$3,$S$60:$S$378,C12)</f>
        <v>5142.6000000000004</v>
      </c>
      <c r="E12" s="50">
        <f>SUMIFS($X$60:$X$378,$D$60:$D$378,Table!$D$3,$S$60:$S$378,C12)-SUM(SUMIFS($X$60:$X$378,$D$60:$D$378,Table!$D$3,$S$60:$S$378,C12,$AA$60:$AA$378,{"Ongoing","N\A",""}))</f>
        <v>5142.6000000000004</v>
      </c>
      <c r="F12" s="50">
        <f>ROUND(1/8*(SUMIFS($Z$60:$Z$378,$D$60:$D$378,Table!$D$3,$S$60:$S$378,C12)-SUM(SUMIFS($Z$60:$Z$378,$D$60:$D$378,Table!$D$3,$S$60:$S$378,C12,$AA$60:$AA$378,{"Ongoing","N/A",""}))),4)</f>
        <v>11.428000000000001</v>
      </c>
      <c r="G12" s="50">
        <f t="shared" si="1"/>
        <v>450</v>
      </c>
      <c r="H12" s="51">
        <f t="shared" si="2"/>
        <v>1</v>
      </c>
      <c r="I12" s="3">
        <v>0</v>
      </c>
      <c r="J12" s="3">
        <f t="shared" si="0"/>
        <v>5142.6000000000004</v>
      </c>
      <c r="K12" s="50">
        <f t="shared" ca="1" si="3"/>
        <v>233.75454545454548</v>
      </c>
    </row>
    <row r="13" spans="1:17" x14ac:dyDescent="0.25">
      <c r="B13" s="48">
        <v>10</v>
      </c>
      <c r="C13" s="58" t="s">
        <v>110</v>
      </c>
      <c r="D13" s="50">
        <f>SUMIFS($W$60:$W$378,$D$60:$D$378,Table!$D$3,$S$60:$S$378,C13)</f>
        <v>0</v>
      </c>
      <c r="E13" s="50">
        <f>SUMIFS($X$60:$X$378,$D$60:$D$378,Table!$D$3,$S$60:$S$378,C13)-SUM(SUMIFS($X$60:$X$378,$D$60:$D$378,Table!$D$3,$S$60:$S$378,C13,$AA$60:$AA$378,{"Ongoing","N\A",""}))</f>
        <v>0</v>
      </c>
      <c r="F13" s="50">
        <f>ROUND(1/8*(SUMIFS($Z$60:$Z$378,$D$60:$D$378,Table!$D$3,$S$60:$S$378,C13)-SUM(SUMIFS($Z$60:$Z$378,$D$60:$D$378,Table!$D$3,$S$60:$S$378,C13,$AA$60:$AA$378,{"Ongoing","N/A",""}))),4)</f>
        <v>0</v>
      </c>
      <c r="G13" s="50" t="str">
        <f t="shared" ref="G13:G17" si="4">IF(ISERROR(E13/(F13)),"N/A",E13/F13)</f>
        <v>N/A</v>
      </c>
      <c r="H13" s="51" t="str">
        <f t="shared" ref="H13:H17" si="5">IF(ISERROR(E13/D13),"N/A",E13/D13)</f>
        <v>N/A</v>
      </c>
      <c r="I13" s="3">
        <v>0</v>
      </c>
      <c r="J13" s="3">
        <f t="shared" si="0"/>
        <v>0</v>
      </c>
      <c r="K13" s="50" t="str">
        <f t="shared" si="3"/>
        <v>N/A</v>
      </c>
    </row>
    <row r="14" spans="1:17" x14ac:dyDescent="0.25">
      <c r="B14" s="48">
        <v>11</v>
      </c>
      <c r="C14" s="61" t="s">
        <v>147</v>
      </c>
      <c r="D14" s="50">
        <f>SUMIFS($W$60:$W$378,$D$60:$D$378,Table!$D$3,$S$60:$S$378,C14)</f>
        <v>1674</v>
      </c>
      <c r="E14" s="50">
        <f>SUMIFS($X$60:$X$378,$D$60:$D$378,Table!$D$3,$S$60:$S$378,C14)-SUM(SUMIFS($X$60:$X$378,$D$60:$D$378,Table!$D$3,$S$60:$S$378,C14,$AA$60:$AA$378,{"Ongoing","N\A",""}))</f>
        <v>1674</v>
      </c>
      <c r="F14" s="50">
        <f>ROUND(1/8*(SUMIFS($Z$60:$Z$378,$D$60:$D$378,Table!$D$3,$S$60:$S$378,C14)-SUM(SUMIFS($Z$60:$Z$378,$D$60:$D$378,Table!$D$3,$S$60:$S$378,C14,$AA$60:$AA$378,{"Ongoing","N/A",""}))),4)</f>
        <v>3.72</v>
      </c>
      <c r="G14" s="50">
        <f t="shared" si="4"/>
        <v>450</v>
      </c>
      <c r="H14" s="51">
        <f t="shared" si="5"/>
        <v>1</v>
      </c>
      <c r="I14" s="3">
        <v>0</v>
      </c>
      <c r="J14" s="3">
        <f t="shared" si="0"/>
        <v>1674</v>
      </c>
      <c r="K14" s="50">
        <f t="shared" ca="1" si="3"/>
        <v>76.090909090909093</v>
      </c>
    </row>
    <row r="15" spans="1:17" x14ac:dyDescent="0.25">
      <c r="B15" s="48">
        <v>12</v>
      </c>
      <c r="C15" s="61" t="s">
        <v>141</v>
      </c>
      <c r="D15" s="50">
        <f>SUMIFS($W$60:$W$378,$D$60:$D$378,Table!$D$3,$S$60:$S$378,C15)</f>
        <v>0</v>
      </c>
      <c r="E15" s="50">
        <f>SUMIFS($X$60:$X$378,$D$60:$D$378,Table!$D$3,$S$60:$S$378,C15)-SUM(SUMIFS($X$60:$X$378,$D$60:$D$378,Table!$D$3,$S$60:$S$378,C15,$AA$60:$AA$378,{"Ongoing","N\A",""}))</f>
        <v>0</v>
      </c>
      <c r="F15" s="50">
        <f>ROUND(1/8*(SUMIFS($Z$60:$Z$378,$D$60:$D$378,Table!$D$3,$S$60:$S$378,C15)-SUM(SUMIFS($Z$60:$Z$378,$D$60:$D$378,Table!$D$3,$S$60:$S$378,C15,$AA$60:$AA$378,{"Ongoing","N/A",""}))),4)</f>
        <v>0</v>
      </c>
      <c r="G15" s="50" t="str">
        <f t="shared" si="4"/>
        <v>N/A</v>
      </c>
      <c r="H15" s="51" t="str">
        <f t="shared" si="5"/>
        <v>N/A</v>
      </c>
      <c r="I15" s="3">
        <v>0</v>
      </c>
      <c r="J15" s="3">
        <f t="shared" si="0"/>
        <v>0</v>
      </c>
      <c r="K15" s="50" t="str">
        <f t="shared" si="3"/>
        <v>N/A</v>
      </c>
    </row>
    <row r="16" spans="1:17" x14ac:dyDescent="0.25">
      <c r="B16" s="48">
        <v>13</v>
      </c>
      <c r="C16" s="61" t="s">
        <v>142</v>
      </c>
      <c r="D16" s="50">
        <f>SUMIFS($W$60:$W$378,$D$60:$D$378,Table!$D$3,$S$60:$S$378,C16)</f>
        <v>0</v>
      </c>
      <c r="E16" s="50">
        <f>SUMIFS($X$60:$X$378,$D$60:$D$378,Table!$D$3,$S$60:$S$378,C16)-SUM(SUMIFS($X$60:$X$378,$D$60:$D$378,Table!$D$3,$S$60:$S$378,C16,$AA$60:$AA$378,{"Ongoing","N\A",""}))</f>
        <v>0</v>
      </c>
      <c r="F16" s="50">
        <f>ROUND(1/8*(SUMIFS($Z$60:$Z$378,$D$60:$D$378,Table!$D$3,$S$60:$S$378,C16)-SUM(SUMIFS($Z$60:$Z$378,$D$60:$D$378,Table!$D$3,$S$60:$S$378,C16,$AA$60:$AA$378,{"Ongoing","N/A",""}))),4)</f>
        <v>0</v>
      </c>
      <c r="G16" s="50" t="str">
        <f t="shared" si="4"/>
        <v>N/A</v>
      </c>
      <c r="H16" s="51" t="str">
        <f t="shared" si="5"/>
        <v>N/A</v>
      </c>
      <c r="I16" s="3">
        <v>0</v>
      </c>
      <c r="J16" s="3">
        <f t="shared" si="0"/>
        <v>0</v>
      </c>
      <c r="K16" s="50" t="str">
        <f t="shared" si="3"/>
        <v>N/A</v>
      </c>
    </row>
    <row r="17" spans="2:24" x14ac:dyDescent="0.25">
      <c r="B17" s="48">
        <v>14</v>
      </c>
      <c r="C17" s="61" t="s">
        <v>143</v>
      </c>
      <c r="D17" s="50">
        <f>SUMIFS($W$60:$W$378,$D$60:$D$378,Table!$D$3,$S$60:$S$378,C17)</f>
        <v>157.5</v>
      </c>
      <c r="E17" s="50">
        <f>SUMIFS($X$60:$X$378,$D$60:$D$378,Table!$D$3,$S$60:$S$378,C17)-SUM(SUMIFS($X$60:$X$378,$D$60:$D$378,Table!$D$3,$S$60:$S$378,C17,$AA$60:$AA$378,{"Ongoing","N\A",""}))</f>
        <v>157.5</v>
      </c>
      <c r="F17" s="50">
        <f>ROUND(1/8*(SUMIFS($Z$60:$Z$378,$D$60:$D$378,Table!$D$3,$S$60:$S$378,C17)-SUM(SUMIFS($Z$60:$Z$378,$D$60:$D$378,Table!$D$3,$S$60:$S$378,C17,$AA$60:$AA$378,{"Ongoing","N/A",""}))),4)</f>
        <v>0.35</v>
      </c>
      <c r="G17" s="50">
        <f t="shared" si="4"/>
        <v>450.00000000000006</v>
      </c>
      <c r="H17" s="51">
        <f t="shared" si="5"/>
        <v>1</v>
      </c>
      <c r="I17" s="3">
        <v>0</v>
      </c>
      <c r="J17" s="3">
        <f t="shared" si="0"/>
        <v>157.5</v>
      </c>
      <c r="K17" s="50">
        <f t="shared" ca="1" si="3"/>
        <v>7.1590909090909092</v>
      </c>
      <c r="O17" s="53" t="s">
        <v>38</v>
      </c>
      <c r="P17" s="55">
        <f>Template_Total_Report!$L$19</f>
        <v>44120</v>
      </c>
      <c r="R17" s="55">
        <f>Template_Total_Report!$N$19</f>
        <v>44151</v>
      </c>
    </row>
    <row r="18" spans="2:24" x14ac:dyDescent="0.25">
      <c r="B18" s="46" t="s">
        <v>82</v>
      </c>
      <c r="C18" s="52"/>
      <c r="D18" s="54">
        <f>SUMIFS($W$60:$W$378,$D$60:$D$378,Table!$D$3)</f>
        <v>14084.1</v>
      </c>
      <c r="E18" s="54">
        <f>ROUND(SUMIFS($W$60:$W$378,$D$60:$D$378,Table!$D$3)-SUM(SUMIFS($W$60:$W$378,$D$60:$D$378,Table!$D$3,$AA$60:$AA$378,{"Ongoing","N/A",""})),3)</f>
        <v>14084.1</v>
      </c>
      <c r="F18" s="54">
        <f>ROUND(1/8*(SUMIFS($Z$60:$Z$378,$D$60:$D$378,Table!$D$3)-SUM(SUMIFS($Z$60:$Z$378,$D$60:$D$378,Table!$D$3,$AA$60:$AA$378,{"Ongoing","N/A",""}))),4)</f>
        <v>28.007999999999999</v>
      </c>
      <c r="G18" s="50">
        <f>IF(ISERROR(E18/(F18)),"N/A",E18/F18)</f>
        <v>502.85989717223651</v>
      </c>
      <c r="H18" s="51">
        <f t="shared" si="2"/>
        <v>1</v>
      </c>
      <c r="I18" s="3">
        <f>SUM(I4:I17)</f>
        <v>0</v>
      </c>
      <c r="J18" s="3">
        <f>SUM(J4:J17)</f>
        <v>14084.1</v>
      </c>
      <c r="K18" s="50">
        <f ca="1">IFERROR(AVERAGE(K4:K17),"NA")</f>
        <v>106.69772727272728</v>
      </c>
      <c r="O18" s="53" t="s">
        <v>30</v>
      </c>
      <c r="P18" s="56">
        <f>Template_Total_Report!B20</f>
        <v>22</v>
      </c>
    </row>
    <row r="19" spans="2:24" x14ac:dyDescent="0.25">
      <c r="O19" s="53" t="s">
        <v>104</v>
      </c>
      <c r="P19" s="56">
        <f>Template_Total_Report!B21</f>
        <v>0</v>
      </c>
      <c r="Q19" s="57"/>
    </row>
    <row r="20" spans="2:24" x14ac:dyDescent="0.25">
      <c r="O20" s="53" t="s">
        <v>84</v>
      </c>
      <c r="P20" s="21">
        <f ca="1">Template_Total_Report!B22</f>
        <v>22</v>
      </c>
    </row>
    <row r="21" spans="2:24" x14ac:dyDescent="0.25">
      <c r="B21" s="53" t="s">
        <v>48</v>
      </c>
    </row>
    <row r="22" spans="2:24" x14ac:dyDescent="0.25">
      <c r="B22" s="46" t="s">
        <v>0</v>
      </c>
      <c r="C22" s="46" t="s">
        <v>8</v>
      </c>
      <c r="D22" s="46" t="s">
        <v>149</v>
      </c>
      <c r="E22" s="46" t="s">
        <v>50</v>
      </c>
      <c r="F22" s="46" t="s">
        <v>99</v>
      </c>
      <c r="G22" s="46" t="s">
        <v>22</v>
      </c>
      <c r="H22" s="47" t="s">
        <v>24</v>
      </c>
      <c r="I22" s="2" t="s">
        <v>153</v>
      </c>
      <c r="J22" s="2" t="s">
        <v>154</v>
      </c>
      <c r="K22" s="103" t="s">
        <v>175</v>
      </c>
      <c r="X22" s="99"/>
    </row>
    <row r="23" spans="2:24" x14ac:dyDescent="0.25">
      <c r="B23" s="110">
        <v>1</v>
      </c>
      <c r="C23" s="111" t="s">
        <v>6</v>
      </c>
      <c r="D23" s="112">
        <f>SUMIFS($W$60:$W$378,$D$60:$D$378,Table!$C$3,$S$60:$S$378,C23)</f>
        <v>0</v>
      </c>
      <c r="E23" s="112">
        <f>SUMIFS($X$60:$X$378,$D$60:$D$378,Table!$C$3,$S$60:$S$378,C23)-SUM(SUMIFS($X$60:$X$378,$D$60:$D$378,Table!$C$3,$S$60:$S$378,C23,$AA$60:$AA$378,{"Ongoing","N/A",""}))</f>
        <v>0</v>
      </c>
      <c r="F23" s="112">
        <f>ROUND(1/8*(SUMIFS($Z$60:$Z$378,$D$60:$D$378,Table!$C$3,$S$60:$S$378,C23)-SUM(SUMIFS($Z$60:$Z$378,$D$60:$D$378,Table!$C$3,$S$60:$S$378,C23,$AA$60:$AA$378,{"Ongoing","N/A",""}))),4)</f>
        <v>0</v>
      </c>
      <c r="G23" s="112" t="str">
        <f>IF(ISERROR(E23/(F23)),"N/A",E23/F23)</f>
        <v>N/A</v>
      </c>
      <c r="H23" s="113" t="str">
        <f>IF(ISERROR(E23/D23),"N/A",E23/D23)</f>
        <v>N/A</v>
      </c>
      <c r="I23" s="114">
        <v>0</v>
      </c>
      <c r="J23" s="114">
        <f t="shared" ref="J23:J36" si="6">E23-I23</f>
        <v>0</v>
      </c>
      <c r="K23" s="112" t="str">
        <f>IF(J23&lt;&gt;0,J23/$P$20,G23)</f>
        <v>N/A</v>
      </c>
    </row>
    <row r="24" spans="2:24" x14ac:dyDescent="0.25">
      <c r="B24" s="48">
        <v>2</v>
      </c>
      <c r="C24" s="58" t="s">
        <v>61</v>
      </c>
      <c r="D24" s="50">
        <f>SUMIFS($W$60:$W$378,$D$60:$D$378,Table!$C$3,$S$60:$S$378,C24)</f>
        <v>2039.3750000000002</v>
      </c>
      <c r="E24" s="50">
        <f>SUMIFS($X$60:$X$378,$D$60:$D$378,Table!$C$3,$S$60:$S$378,C24)-SUM(SUMIFS($X$60:$X$378,$D$60:$D$378,Table!$C$3,$S$60:$S$378,C24,$AA$60:$AA$378,{"Ongoing","N/A",""}))</f>
        <v>2039.3750000000002</v>
      </c>
      <c r="F24" s="50">
        <f>ROUND(1/8*(SUMIFS($Z$60:$Z$378,$D$60:$D$378,Table!$C$3,$S$60:$S$378,C24)-SUM(SUMIFS($Z$60:$Z$378,$D$60:$D$378,Table!$C$3,$S$60:$S$378,C24,$AA$60:$AA$378,{"Ongoing","N/A",""}))),4)</f>
        <v>2.2000000000000002</v>
      </c>
      <c r="G24" s="50">
        <f t="shared" ref="G24:G37" si="7">IF(ISERROR(E24/(F24)),"N/A",E24/F24)</f>
        <v>926.98863636363637</v>
      </c>
      <c r="H24" s="51">
        <f t="shared" ref="H24:H37" si="8">IF(ISERROR(E24/D24),"N/A",E24/D24)</f>
        <v>1</v>
      </c>
      <c r="I24" s="3">
        <v>0</v>
      </c>
      <c r="J24" s="3">
        <f t="shared" si="6"/>
        <v>2039.3750000000002</v>
      </c>
      <c r="K24" s="50">
        <f t="shared" ref="K24:K36" ca="1" si="9">IF(J24&lt;&gt;0,J24/$P$20,G24)</f>
        <v>92.69886363636364</v>
      </c>
    </row>
    <row r="25" spans="2:24" x14ac:dyDescent="0.25">
      <c r="B25" s="48">
        <v>3</v>
      </c>
      <c r="C25" s="61" t="s">
        <v>62</v>
      </c>
      <c r="D25" s="50">
        <f>SUMIFS($W$60:$W$378,$D$60:$D$378,Table!$C$3,$S$60:$S$378,C25)</f>
        <v>0</v>
      </c>
      <c r="E25" s="50">
        <f>SUMIFS($X$60:$X$378,$D$60:$D$378,Table!$C$3,$S$60:$S$378,C25)-SUM(SUMIFS($X$60:$X$378,$D$60:$D$378,Table!$C$3,$S$60:$S$378,C25,$AA$60:$AA$378,{"Ongoing","N/A",""}))</f>
        <v>0</v>
      </c>
      <c r="F25" s="50">
        <f>ROUND(1/8*(SUMIFS($Z$60:$Z$378,$D$60:$D$378,Table!$C$3,$S$60:$S$378,C25)-SUM(SUMIFS($Z$60:$Z$378,$D$60:$D$378,Table!$C$3,$S$60:$S$378,C25,$AA$60:$AA$378,{"Ongoing","N/A",""}))),4)</f>
        <v>0</v>
      </c>
      <c r="G25" s="50" t="str">
        <f t="shared" si="7"/>
        <v>N/A</v>
      </c>
      <c r="H25" s="51" t="str">
        <f t="shared" si="8"/>
        <v>N/A</v>
      </c>
      <c r="I25" s="3">
        <v>0</v>
      </c>
      <c r="J25" s="3">
        <f t="shared" si="6"/>
        <v>0</v>
      </c>
      <c r="K25" s="50" t="str">
        <f t="shared" si="9"/>
        <v>N/A</v>
      </c>
    </row>
    <row r="26" spans="2:24" x14ac:dyDescent="0.25">
      <c r="B26" s="48">
        <v>4</v>
      </c>
      <c r="C26" s="58" t="s">
        <v>63</v>
      </c>
      <c r="D26" s="50">
        <f>SUMIFS($W$60:$W$378,$D$60:$D$378,Table!$C$3,$S$60:$S$378,C26)</f>
        <v>2065.7000000000003</v>
      </c>
      <c r="E26" s="50">
        <f>SUMIFS($X$60:$X$378,$D$60:$D$378,Table!$C$3,$S$60:$S$378,C26)-SUM(SUMIFS($X$60:$X$378,$D$60:$D$378,Table!$C$3,$S$60:$S$378,C26,$AA$60:$AA$378,{"Ongoing","N/A",""}))</f>
        <v>2065.7000000000003</v>
      </c>
      <c r="F26" s="50">
        <f>ROUND(1/8*(SUMIFS($Z$60:$Z$378,$D$60:$D$378,Table!$C$3,$S$60:$S$378,C26)-SUM(SUMIFS($Z$60:$Z$378,$D$60:$D$378,Table!$C$3,$S$60:$S$378,C26,$AA$60:$AA$378,{"Ongoing","N/A",""}))),4)</f>
        <v>15.89</v>
      </c>
      <c r="G26" s="50">
        <f t="shared" si="7"/>
        <v>130</v>
      </c>
      <c r="H26" s="51">
        <f t="shared" si="8"/>
        <v>1</v>
      </c>
      <c r="I26" s="3">
        <v>0</v>
      </c>
      <c r="J26" s="3">
        <f t="shared" si="6"/>
        <v>2065.7000000000003</v>
      </c>
      <c r="K26" s="50">
        <f t="shared" ca="1" si="9"/>
        <v>93.895454545454555</v>
      </c>
    </row>
    <row r="27" spans="2:24" x14ac:dyDescent="0.25">
      <c r="B27" s="48">
        <v>5</v>
      </c>
      <c r="C27" s="58" t="s">
        <v>152</v>
      </c>
      <c r="D27" s="50">
        <f>SUMIFS($W$60:$W$378,$D$60:$D$378,Table!$C$3,$S$60:$S$378,C27)</f>
        <v>0</v>
      </c>
      <c r="E27" s="50">
        <f>SUMIFS($X$60:$X$378,$D$60:$D$378,Table!$C$3,$S$60:$S$378,C27)-SUM(SUMIFS($X$60:$X$378,$D$60:$D$378,Table!$C$3,$S$60:$S$378,C27,$AA$60:$AA$378,{"Ongoing","N/A",""}))</f>
        <v>0</v>
      </c>
      <c r="F27" s="50">
        <f>ROUND(1/8*(SUMIFS($Z$60:$Z$378,$D$60:$D$378,Table!$C$3,$S$60:$S$378,C27)-SUM(SUMIFS($Z$60:$Z$378,$D$60:$D$378,Table!$C$3,$S$60:$S$378,C27,$AA$60:$AA$378,{"Ongoing","N/A",""}))),4)</f>
        <v>0</v>
      </c>
      <c r="G27" s="50" t="str">
        <f t="shared" si="7"/>
        <v>N/A</v>
      </c>
      <c r="H27" s="51" t="str">
        <f t="shared" si="8"/>
        <v>N/A</v>
      </c>
      <c r="I27" s="3">
        <v>0</v>
      </c>
      <c r="J27" s="3">
        <f t="shared" si="6"/>
        <v>0</v>
      </c>
      <c r="K27" s="50" t="str">
        <f t="shared" si="9"/>
        <v>N/A</v>
      </c>
    </row>
    <row r="28" spans="2:24" x14ac:dyDescent="0.25">
      <c r="B28" s="48">
        <v>6</v>
      </c>
      <c r="C28" s="49" t="s">
        <v>64</v>
      </c>
      <c r="D28" s="50">
        <f>SUMIFS($W$60:$W$378,$D$60:$D$378,Table!$C$3,$S$60:$S$378,C28)</f>
        <v>0</v>
      </c>
      <c r="E28" s="50">
        <f>SUMIFS($X$60:$X$378,$D$60:$D$378,Table!$C$3,$S$60:$S$378,C28)-SUM(SUMIFS($X$60:$X$378,$D$60:$D$378,Table!$C$3,$S$60:$S$378,C28,$AA$60:$AA$378,{"Ongoing","N/A",""}))</f>
        <v>0</v>
      </c>
      <c r="F28" s="50">
        <f>ROUND(1/8*(SUMIFS($Z$60:$Z$378,$D$60:$D$378,Table!$C$3,$S$60:$S$378,C28)-SUM(SUMIFS($Z$60:$Z$378,$D$60:$D$378,Table!$C$3,$S$60:$S$378,C28,$AA$60:$AA$378,{"Ongoing","N/A",""}))),4)</f>
        <v>0</v>
      </c>
      <c r="G28" s="50" t="str">
        <f t="shared" si="7"/>
        <v>N/A</v>
      </c>
      <c r="H28" s="51" t="str">
        <f t="shared" si="8"/>
        <v>N/A</v>
      </c>
      <c r="I28" s="3">
        <v>0</v>
      </c>
      <c r="J28" s="3">
        <f t="shared" si="6"/>
        <v>0</v>
      </c>
      <c r="K28" s="50" t="str">
        <f t="shared" si="9"/>
        <v>N/A</v>
      </c>
    </row>
    <row r="29" spans="2:24" x14ac:dyDescent="0.25">
      <c r="B29" s="48">
        <v>7</v>
      </c>
      <c r="C29" s="49" t="s">
        <v>65</v>
      </c>
      <c r="D29" s="50">
        <f>SUMIFS($W$60:$W$378,$D$60:$D$378,Table!$C$3,$S$60:$S$378,C29)</f>
        <v>0</v>
      </c>
      <c r="E29" s="50">
        <f>SUMIFS($X$60:$X$378,$D$60:$D$378,Table!$C$3,$S$60:$S$378,C29)-SUM(SUMIFS($X$60:$X$378,$D$60:$D$378,Table!$C$3,$S$60:$S$378,C29,$AA$60:$AA$378,{"Ongoing","N/A",""}))</f>
        <v>0</v>
      </c>
      <c r="F29" s="50">
        <f>ROUND(1/8*(SUMIFS($Z$60:$Z$378,$D$60:$D$378,Table!$C$3,$S$60:$S$378,C29)-SUM(SUMIFS($Z$60:$Z$378,$D$60:$D$378,Table!$C$3,$S$60:$S$378,C29,$AA$60:$AA$378,{"Ongoing","N/A",""}))),4)</f>
        <v>0</v>
      </c>
      <c r="G29" s="50" t="str">
        <f t="shared" si="7"/>
        <v>N/A</v>
      </c>
      <c r="H29" s="51" t="str">
        <f t="shared" si="8"/>
        <v>N/A</v>
      </c>
      <c r="I29" s="3">
        <v>0</v>
      </c>
      <c r="J29" s="3">
        <f t="shared" si="6"/>
        <v>0</v>
      </c>
      <c r="K29" s="50" t="str">
        <f t="shared" si="9"/>
        <v>N/A</v>
      </c>
    </row>
    <row r="30" spans="2:24" x14ac:dyDescent="0.25">
      <c r="B30" s="48">
        <v>8</v>
      </c>
      <c r="C30" s="58" t="s">
        <v>66</v>
      </c>
      <c r="D30" s="50">
        <f>SUMIFS($W$60:$W$378,$D$60:$D$378,Table!$C$3,$S$60:$S$378,C30)</f>
        <v>2337.4000000000005</v>
      </c>
      <c r="E30" s="50">
        <f>SUMIFS($X$60:$X$378,$D$60:$D$378,Table!$C$3,$S$60:$S$378,C30)-SUM(SUMIFS($X$60:$X$378,$D$60:$D$378,Table!$C$3,$S$60:$S$378,C30,$AA$60:$AA$378,{"Ongoing","N/A",""}))</f>
        <v>2337.4000000000005</v>
      </c>
      <c r="F30" s="50">
        <f>ROUND(1/8*(SUMIFS($Z$60:$Z$378,$D$60:$D$378,Table!$C$3,$S$60:$S$378,C30)-SUM(SUMIFS($Z$60:$Z$378,$D$60:$D$378,Table!$C$3,$S$60:$S$378,C30,$AA$60:$AA$378,{"Ongoing","N/A",""}))),4)</f>
        <v>17.98</v>
      </c>
      <c r="G30" s="50">
        <f t="shared" si="7"/>
        <v>130.00000000000003</v>
      </c>
      <c r="H30" s="51">
        <f t="shared" si="8"/>
        <v>1</v>
      </c>
      <c r="I30" s="3">
        <v>0</v>
      </c>
      <c r="J30" s="3">
        <f t="shared" si="6"/>
        <v>2337.4000000000005</v>
      </c>
      <c r="K30" s="50">
        <f t="shared" ca="1" si="9"/>
        <v>106.24545454545456</v>
      </c>
    </row>
    <row r="31" spans="2:24" x14ac:dyDescent="0.25">
      <c r="B31" s="48">
        <v>9</v>
      </c>
      <c r="C31" s="58" t="s">
        <v>109</v>
      </c>
      <c r="D31" s="50">
        <f>SUMIFS($W$60:$W$378,$D$60:$D$378,Table!$C$3,$S$60:$S$378,C31)</f>
        <v>1308.45</v>
      </c>
      <c r="E31" s="50">
        <f>SUMIFS($X$60:$X$378,$D$60:$D$378,Table!$C$3,$S$60:$S$378,C31)-SUM(SUMIFS($X$60:$X$378,$D$60:$D$378,Table!$C$3,$S$60:$S$378,C31,$AA$60:$AA$378,{"Ongoing","N/A",""}))</f>
        <v>1308.45</v>
      </c>
      <c r="F31" s="50">
        <f>ROUND(1/8*(SUMIFS($Z$60:$Z$378,$D$60:$D$378,Table!$C$3,$S$60:$S$378,C31)-SUM(SUMIFS($Z$60:$Z$378,$D$60:$D$378,Table!$C$3,$S$60:$S$378,C31,$AA$60:$AA$378,{"Ongoing","N/A",""}))),4)</f>
        <v>10.065</v>
      </c>
      <c r="G31" s="50">
        <f t="shared" si="7"/>
        <v>130</v>
      </c>
      <c r="H31" s="51">
        <f t="shared" si="8"/>
        <v>1</v>
      </c>
      <c r="I31" s="3">
        <v>0</v>
      </c>
      <c r="J31" s="3">
        <f t="shared" si="6"/>
        <v>1308.45</v>
      </c>
      <c r="K31" s="50">
        <f t="shared" ca="1" si="9"/>
        <v>59.475000000000001</v>
      </c>
    </row>
    <row r="32" spans="2:24" x14ac:dyDescent="0.25">
      <c r="B32" s="48">
        <v>10</v>
      </c>
      <c r="C32" s="58" t="s">
        <v>110</v>
      </c>
      <c r="D32" s="50">
        <f>SUMIFS($W$60:$W$378,$D$60:$D$378,Table!$C$3,$S$60:$S$378,C32)</f>
        <v>0</v>
      </c>
      <c r="E32" s="50">
        <f>SUMIFS($X$60:$X$378,$D$60:$D$378,Table!$C$3,$S$60:$S$378,C32)-SUM(SUMIFS($X$60:$X$378,$D$60:$D$378,Table!$C$3,$S$60:$S$378,C32,$AA$60:$AA$378,{"Ongoing","N/A",""}))</f>
        <v>0</v>
      </c>
      <c r="F32" s="50">
        <f>ROUND(1/8*(SUMIFS($Z$60:$Z$378,$D$60:$D$378,Table!$C$3,$S$60:$S$378,C32)-SUM(SUMIFS($Z$60:$Z$378,$D$60:$D$378,Table!$C$3,$S$60:$S$378,C32,$AA$60:$AA$378,{"Ongoing","N/A",""}))),4)</f>
        <v>0</v>
      </c>
      <c r="G32" s="50" t="str">
        <f t="shared" ref="G32:G36" si="10">IF(ISERROR(E32/(F32)),"N/A",E32/F32)</f>
        <v>N/A</v>
      </c>
      <c r="H32" s="51" t="str">
        <f t="shared" ref="H32:H36" si="11">IF(ISERROR(E32/D32),"N/A",E32/D32)</f>
        <v>N/A</v>
      </c>
      <c r="I32" s="3">
        <v>0</v>
      </c>
      <c r="J32" s="3">
        <f t="shared" si="6"/>
        <v>0</v>
      </c>
      <c r="K32" s="50" t="str">
        <f t="shared" si="9"/>
        <v>N/A</v>
      </c>
    </row>
    <row r="33" spans="1:30" x14ac:dyDescent="0.25">
      <c r="B33" s="48">
        <v>11</v>
      </c>
      <c r="C33" s="58" t="s">
        <v>147</v>
      </c>
      <c r="D33" s="50">
        <f>SUMIFS($W$60:$W$378,$D$60:$D$378,Table!$C$3,$S$60:$S$378,C33)</f>
        <v>2042.0400000000002</v>
      </c>
      <c r="E33" s="50">
        <f>SUMIFS($X$60:$X$378,$D$60:$D$378,Table!$C$3,$S$60:$S$378,C33)-SUM(SUMIFS($X$60:$X$378,$D$60:$D$378,Table!$C$3,$S$60:$S$378,C33,$AA$60:$AA$378,{"Ongoing","N/A",""}))</f>
        <v>2042.0400000000002</v>
      </c>
      <c r="F33" s="50">
        <f>ROUND(1/8*(SUMIFS($Z$60:$Z$378,$D$60:$D$378,Table!$C$3,$S$60:$S$378,C33)-SUM(SUMIFS($Z$60:$Z$378,$D$60:$D$378,Table!$C$3,$S$60:$S$378,C33,$AA$60:$AA$378,{"Ongoing","N/A",""}))),4)</f>
        <v>15.708</v>
      </c>
      <c r="G33" s="50">
        <f t="shared" si="10"/>
        <v>130</v>
      </c>
      <c r="H33" s="51">
        <f t="shared" si="11"/>
        <v>1</v>
      </c>
      <c r="I33" s="3">
        <v>0</v>
      </c>
      <c r="J33" s="3">
        <f t="shared" si="6"/>
        <v>2042.0400000000002</v>
      </c>
      <c r="K33" s="50">
        <f t="shared" ca="1" si="9"/>
        <v>92.820000000000007</v>
      </c>
    </row>
    <row r="34" spans="1:30" x14ac:dyDescent="0.25">
      <c r="B34" s="48">
        <v>12</v>
      </c>
      <c r="C34" s="61" t="s">
        <v>141</v>
      </c>
      <c r="D34" s="50">
        <f>SUMIFS($W$60:$W$378,$D$60:$D$378,Table!$C$3,$S$60:$S$378,C34)</f>
        <v>0</v>
      </c>
      <c r="E34" s="50">
        <f>SUMIFS($X$60:$X$378,$D$60:$D$378,Table!$C$3,$S$60:$S$378,C34)-SUM(SUMIFS($X$60:$X$378,$D$60:$D$378,Table!$C$3,$S$60:$S$378,C34,$AA$60:$AA$378,{"Ongoing","N/A",""}))</f>
        <v>0</v>
      </c>
      <c r="F34" s="50">
        <f>ROUND(1/8*(SUMIFS($Z$60:$Z$378,$D$60:$D$378,Table!$C$3,$S$60:$S$378,C34)-SUM(SUMIFS($Z$60:$Z$378,$D$60:$D$378,Table!$C$3,$S$60:$S$378,C34,$AA$60:$AA$378,{"Ongoing","N/A",""}))),4)</f>
        <v>0</v>
      </c>
      <c r="G34" s="50" t="str">
        <f t="shared" si="10"/>
        <v>N/A</v>
      </c>
      <c r="H34" s="51" t="str">
        <f t="shared" si="11"/>
        <v>N/A</v>
      </c>
      <c r="I34" s="3">
        <v>0</v>
      </c>
      <c r="J34" s="3">
        <f t="shared" si="6"/>
        <v>0</v>
      </c>
      <c r="K34" s="50" t="str">
        <f t="shared" si="9"/>
        <v>N/A</v>
      </c>
    </row>
    <row r="35" spans="1:30" x14ac:dyDescent="0.25">
      <c r="B35" s="48">
        <v>13</v>
      </c>
      <c r="C35" s="61" t="s">
        <v>142</v>
      </c>
      <c r="D35" s="50">
        <f>SUMIFS($W$60:$W$378,$D$60:$D$378,Table!$C$3,$S$60:$S$378,C35)</f>
        <v>0</v>
      </c>
      <c r="E35" s="50">
        <f>SUMIFS($X$60:$X$378,$D$60:$D$378,Table!$C$3,$S$60:$S$378,C35)-SUM(SUMIFS($X$60:$X$378,$D$60:$D$378,Table!$C$3,$S$60:$S$378,C35,$AA$60:$AA$378,{"Ongoing","N/A",""}))</f>
        <v>0</v>
      </c>
      <c r="F35" s="50">
        <f>ROUND(1/8*(SUMIFS($Z$60:$Z$378,$D$60:$D$378,Table!$C$3,$S$60:$S$378,C35)-SUM(SUMIFS($Z$60:$Z$378,$D$60:$D$378,Table!$C$3,$S$60:$S$378,C35,$AA$60:$AA$378,{"Ongoing","N/A",""}))),4)</f>
        <v>0</v>
      </c>
      <c r="G35" s="50" t="str">
        <f t="shared" si="10"/>
        <v>N/A</v>
      </c>
      <c r="H35" s="51" t="str">
        <f t="shared" si="11"/>
        <v>N/A</v>
      </c>
      <c r="I35" s="3">
        <v>0</v>
      </c>
      <c r="J35" s="3">
        <f t="shared" si="6"/>
        <v>0</v>
      </c>
      <c r="K35" s="50" t="str">
        <f t="shared" si="9"/>
        <v>N/A</v>
      </c>
    </row>
    <row r="36" spans="1:30" x14ac:dyDescent="0.25">
      <c r="B36" s="48">
        <v>14</v>
      </c>
      <c r="C36" s="61" t="s">
        <v>143</v>
      </c>
      <c r="D36" s="50">
        <f>SUMIFS($W$60:$W$378,$D$60:$D$378,Table!$C$3,$S$60:$S$378,C36)</f>
        <v>130</v>
      </c>
      <c r="E36" s="50">
        <f>SUMIFS($X$60:$X$378,$D$60:$D$378,Table!$C$3,$S$60:$S$378,C36)-SUM(SUMIFS($X$60:$X$378,$D$60:$D$378,Table!$C$3,$S$60:$S$378,C36,$AA$60:$AA$378,{"Ongoing","N/A",""}))</f>
        <v>130</v>
      </c>
      <c r="F36" s="50">
        <f>ROUND(1/8*(SUMIFS($Z$60:$Z$378,$D$60:$D$378,Table!$C$3,$S$60:$S$378,C36)-SUM(SUMIFS($Z$60:$Z$378,$D$60:$D$378,Table!$C$3,$S$60:$S$378,C36,$AA$60:$AA$378,{"Ongoing","N/A",""}))),4)</f>
        <v>1</v>
      </c>
      <c r="G36" s="50">
        <f t="shared" si="10"/>
        <v>130</v>
      </c>
      <c r="H36" s="51">
        <f t="shared" si="11"/>
        <v>1</v>
      </c>
      <c r="I36" s="3">
        <v>0</v>
      </c>
      <c r="J36" s="3">
        <f t="shared" si="6"/>
        <v>130</v>
      </c>
      <c r="K36" s="50">
        <f t="shared" ca="1" si="9"/>
        <v>5.9090909090909092</v>
      </c>
    </row>
    <row r="37" spans="1:30" x14ac:dyDescent="0.25">
      <c r="B37" s="46" t="s">
        <v>82</v>
      </c>
      <c r="C37" s="52"/>
      <c r="D37" s="54">
        <f>ROUND(SUMIFS($W$60:$W$378,$D$60:$D$378,Table!$C$3),3)</f>
        <v>9922.9650000000001</v>
      </c>
      <c r="E37" s="54">
        <f>ROUND(SUMIFS($W$60:$W$378,$D$60:$D$378,Table!$C$3)-SUM(SUMIFS($W$60:$W$378,$D$60:$D$378,Table!$C$3,$AA$60:$AA$378,{"Ongoing","N/A",""})),3)</f>
        <v>9922.9650000000001</v>
      </c>
      <c r="F37" s="54">
        <f>ROUND(1/8*(SUMIFS($Z$60:$Z$378,$D$60:$D$378,Table!$C$3)-SUM(SUMIFS($Z$60:$Z$378,$D$60:$D$378,Table!$C$3,$AA$60:$AA$378,{"Ongoing","N/A",""}))),4)</f>
        <v>62.843000000000004</v>
      </c>
      <c r="G37" s="50">
        <f t="shared" si="7"/>
        <v>157.90087997072067</v>
      </c>
      <c r="H37" s="51">
        <f t="shared" si="8"/>
        <v>1</v>
      </c>
      <c r="I37" s="3">
        <f>SUM(I23:I36)</f>
        <v>0</v>
      </c>
      <c r="J37" s="3">
        <f>SUM(J23:J36)</f>
        <v>9922.965000000002</v>
      </c>
      <c r="K37" s="50">
        <f ca="1">AVERAGE(K23:K36)</f>
        <v>75.173977272727285</v>
      </c>
      <c r="L37" s="6"/>
    </row>
    <row r="40" spans="1:30" x14ac:dyDescent="0.25">
      <c r="A40" s="1" t="s">
        <v>137</v>
      </c>
      <c r="B40" s="53" t="s">
        <v>83</v>
      </c>
    </row>
    <row r="41" spans="1:30" x14ac:dyDescent="0.25">
      <c r="B41" s="46" t="s">
        <v>0</v>
      </c>
      <c r="C41" s="46" t="s">
        <v>8</v>
      </c>
      <c r="D41" s="46" t="s">
        <v>149</v>
      </c>
      <c r="E41" s="46" t="s">
        <v>50</v>
      </c>
      <c r="F41" s="46" t="s">
        <v>81</v>
      </c>
      <c r="G41" s="46" t="s">
        <v>22</v>
      </c>
      <c r="H41" s="47" t="s">
        <v>24</v>
      </c>
      <c r="I41" s="2" t="s">
        <v>153</v>
      </c>
      <c r="J41" s="2" t="s">
        <v>154</v>
      </c>
      <c r="K41" s="2" t="s">
        <v>22</v>
      </c>
      <c r="L41" s="64" t="s">
        <v>107</v>
      </c>
      <c r="M41" s="65" t="s">
        <v>116</v>
      </c>
    </row>
    <row r="42" spans="1:30" x14ac:dyDescent="0.25">
      <c r="B42" s="110">
        <v>1</v>
      </c>
      <c r="C42" s="111" t="s">
        <v>6</v>
      </c>
      <c r="D42" s="112">
        <f>SUM(D23*Table!$D$4/Table!$C$4,D4)</f>
        <v>0</v>
      </c>
      <c r="E42" s="112">
        <f>SUM(E23*Table!$D$4/Table!$C$4,E4)</f>
        <v>0</v>
      </c>
      <c r="F42" s="112">
        <v>0</v>
      </c>
      <c r="G42" s="112" t="str">
        <f t="shared" ref="G42" si="12">IF(ISERROR(E42/(F42)),"N/A",E42/F42)</f>
        <v>N/A</v>
      </c>
      <c r="H42" s="113" t="str">
        <f t="shared" ref="H42:H56" si="13">IF(ISERROR(E42/D42),"N/A",E42/D42)</f>
        <v>N/A</v>
      </c>
      <c r="I42" s="114">
        <f>SUM(I23*Table!$D$4/Table!$C$4,I4)</f>
        <v>0</v>
      </c>
      <c r="J42" s="114">
        <f>SUM(J23*Table!$D$4/Table!$C$4,J4)</f>
        <v>0</v>
      </c>
      <c r="K42" s="112" t="str">
        <f t="shared" ref="K42:K55" si="14">IF(J42&lt;&gt;0,J42/$P$20,"N/A")</f>
        <v>N/A</v>
      </c>
      <c r="L42" s="114">
        <f>COUNTIFS($S$60:$S$378,C42,$AL$60:$AL$378,Table!$C$37)</f>
        <v>0</v>
      </c>
      <c r="M42" s="114">
        <f>COUNTIFS($S$60:$S$378,C42,$AL$60:$AL$378,Table!$C$38)</f>
        <v>0</v>
      </c>
      <c r="AB42" s="122"/>
      <c r="AC42" s="122"/>
      <c r="AD42" s="122"/>
    </row>
    <row r="43" spans="1:30" x14ac:dyDescent="0.25">
      <c r="B43" s="48">
        <v>2</v>
      </c>
      <c r="C43" s="58" t="s">
        <v>61</v>
      </c>
      <c r="D43" s="50">
        <f>SUM(D24*Table!$D$4/Table!$C$4,D5)</f>
        <v>9435.375</v>
      </c>
      <c r="E43" s="50">
        <f>SUM(E24*Table!$D$4/Table!$C$4,E5)</f>
        <v>9435.375</v>
      </c>
      <c r="F43" s="50">
        <f ca="1">$P$20</f>
        <v>22</v>
      </c>
      <c r="G43" s="50">
        <f t="shared" ref="G43:G56" ca="1" si="15">IF(ISERROR(E43/(F43)),"N/A",E43/F43)</f>
        <v>428.88068181818181</v>
      </c>
      <c r="H43" s="51">
        <f t="shared" si="13"/>
        <v>1</v>
      </c>
      <c r="I43" s="3">
        <f>SUM(I24*Table!$D$4/Table!$C$4,I5)</f>
        <v>0</v>
      </c>
      <c r="J43" s="3">
        <f>SUM(J24*Table!$D$4/Table!$C$4,J5)</f>
        <v>9435.375</v>
      </c>
      <c r="K43" s="50">
        <f t="shared" ca="1" si="14"/>
        <v>428.88068181818181</v>
      </c>
      <c r="L43" s="3">
        <f>COUNTIFS($S$60:$S$378,C43,$AL$60:$AL$378,Table!$C$37)</f>
        <v>4</v>
      </c>
      <c r="M43" s="3">
        <f>COUNTIFS($S$60:$S$378,C43,$AL$60:$AL$378,Table!$C$38)</f>
        <v>3</v>
      </c>
      <c r="AB43" s="122"/>
      <c r="AC43" s="122"/>
      <c r="AD43" s="122"/>
    </row>
    <row r="44" spans="1:30" x14ac:dyDescent="0.25">
      <c r="B44" s="110">
        <v>3</v>
      </c>
      <c r="C44" s="123" t="s">
        <v>62</v>
      </c>
      <c r="D44" s="112">
        <f>SUM(D25*Table!$D$4/Table!$C$4,D6)</f>
        <v>0</v>
      </c>
      <c r="E44" s="112">
        <f>SUM(E25*Table!$D$4/Table!$C$4,E6)</f>
        <v>0</v>
      </c>
      <c r="F44" s="112">
        <v>0</v>
      </c>
      <c r="G44" s="112" t="str">
        <f>IF(ISERROR(E44/(F44)),"N/A",E44/F44)</f>
        <v>N/A</v>
      </c>
      <c r="H44" s="113" t="str">
        <f>IF(ISERROR(E44/D44),"N/A",E44/D44)</f>
        <v>N/A</v>
      </c>
      <c r="I44" s="114">
        <f>SUM(I25*Table!$D$4/Table!$C$4,I6)</f>
        <v>0</v>
      </c>
      <c r="J44" s="114">
        <f>SUM(J25*Table!$D$4/Table!$C$4,J6)</f>
        <v>0</v>
      </c>
      <c r="K44" s="112" t="str">
        <f>IF(J44&lt;&gt;0,J44/$P$20,"N/A")</f>
        <v>N/A</v>
      </c>
      <c r="L44" s="114">
        <f>COUNTIFS($S$60:$S$378,C44,$AL$60:$AL$378,Table!$C$37)</f>
        <v>0</v>
      </c>
      <c r="M44" s="114">
        <f>COUNTIFS($S$60:$S$378,C44,$AL$60:$AL$378,Table!$C$38)</f>
        <v>0</v>
      </c>
      <c r="AB44" s="122"/>
      <c r="AC44" s="122"/>
      <c r="AD44" s="122"/>
    </row>
    <row r="45" spans="1:30" x14ac:dyDescent="0.25">
      <c r="B45" s="48">
        <v>4</v>
      </c>
      <c r="C45" s="58" t="s">
        <v>63</v>
      </c>
      <c r="D45" s="50">
        <f>SUM(D26*Table!$D$4/Table!$C$4,D7)</f>
        <v>9526.5</v>
      </c>
      <c r="E45" s="50">
        <f>SUM(E26*Table!$D$4/Table!$C$4,E7)</f>
        <v>9526.5</v>
      </c>
      <c r="F45" s="50">
        <f ca="1">$P$20</f>
        <v>22</v>
      </c>
      <c r="G45" s="50">
        <f t="shared" ca="1" si="15"/>
        <v>433.02272727272725</v>
      </c>
      <c r="H45" s="51">
        <f t="shared" si="13"/>
        <v>1</v>
      </c>
      <c r="I45" s="3">
        <f>SUM(I26*Table!$D$4/Table!$C$4,I7)</f>
        <v>0</v>
      </c>
      <c r="J45" s="3">
        <f>SUM(J26*Table!$D$4/Table!$C$4,J7)</f>
        <v>9526.5</v>
      </c>
      <c r="K45" s="50">
        <f t="shared" ca="1" si="14"/>
        <v>433.02272727272725</v>
      </c>
      <c r="L45" s="3">
        <f>COUNTIFS($S$60:$S$378,C45,$AL$60:$AL$378,Table!$C$37)</f>
        <v>0</v>
      </c>
      <c r="M45" s="3">
        <f>COUNTIFS($S$60:$S$378,C45,$AL$60:$AL$378,Table!$C$38)</f>
        <v>1</v>
      </c>
      <c r="AB45" s="122"/>
      <c r="AC45" s="122"/>
      <c r="AD45" s="122"/>
    </row>
    <row r="46" spans="1:30" x14ac:dyDescent="0.25">
      <c r="B46" s="48">
        <v>5</v>
      </c>
      <c r="C46" s="61" t="s">
        <v>152</v>
      </c>
      <c r="D46" s="50">
        <f>SUM(D27*Table!$D$4/Table!$C$4,D8)</f>
        <v>0</v>
      </c>
      <c r="E46" s="50">
        <f>SUM(E27*Table!$D$4/Table!$C$4,E8)</f>
        <v>0</v>
      </c>
      <c r="F46" s="50">
        <v>0</v>
      </c>
      <c r="G46" s="50" t="str">
        <f>IF(ISERROR(E46/(F46)),"N/A",E46/F46)</f>
        <v>N/A</v>
      </c>
      <c r="H46" s="51" t="str">
        <f t="shared" si="13"/>
        <v>N/A</v>
      </c>
      <c r="I46" s="3">
        <f>SUM(I27*Table!$D$4/Table!$C$4,I8)</f>
        <v>0</v>
      </c>
      <c r="J46" s="3">
        <f>SUM(J27*Table!$D$4/Table!$C$4,J8)</f>
        <v>0</v>
      </c>
      <c r="K46" s="50" t="str">
        <f t="shared" si="14"/>
        <v>N/A</v>
      </c>
      <c r="L46" s="3">
        <f>COUNTIFS($S$60:$S$378,C46,$AL$60:$AL$378,Table!$C$37)</f>
        <v>0</v>
      </c>
      <c r="M46" s="3">
        <f>COUNTIFS($S$60:$S$378,C46,$AL$60:$AL$378,Table!$C$38)</f>
        <v>0</v>
      </c>
      <c r="AB46" s="122"/>
      <c r="AC46" s="122"/>
      <c r="AD46" s="122"/>
    </row>
    <row r="47" spans="1:30" x14ac:dyDescent="0.25">
      <c r="B47" s="48">
        <v>6</v>
      </c>
      <c r="C47" s="49" t="s">
        <v>64</v>
      </c>
      <c r="D47" s="50">
        <f>SUM(D28*Table!$D$4/Table!$C$4,D9)</f>
        <v>0</v>
      </c>
      <c r="E47" s="50">
        <f>SUM(E28*Table!$D$4/Table!$C$4,E9)</f>
        <v>0</v>
      </c>
      <c r="F47" s="50">
        <v>0</v>
      </c>
      <c r="G47" s="50" t="str">
        <f t="shared" si="15"/>
        <v>N/A</v>
      </c>
      <c r="H47" s="51" t="str">
        <f t="shared" si="13"/>
        <v>N/A</v>
      </c>
      <c r="I47" s="3">
        <f>SUM(I28*Table!$D$4/Table!$C$4,I9)</f>
        <v>0</v>
      </c>
      <c r="J47" s="3">
        <f>SUM(J28*Table!$D$4/Table!$C$4,J9)</f>
        <v>0</v>
      </c>
      <c r="K47" s="50" t="str">
        <f t="shared" si="14"/>
        <v>N/A</v>
      </c>
      <c r="L47" s="3">
        <f>COUNTIFS($S$60:$S$378,C47,$AL$60:$AL$378,Table!$C$37)</f>
        <v>0</v>
      </c>
      <c r="M47" s="3">
        <f>COUNTIFS($S$60:$S$378,C47,$AL$60:$AL$378,Table!$C$38)</f>
        <v>0</v>
      </c>
      <c r="AB47" s="122"/>
      <c r="AC47" s="122"/>
      <c r="AD47" s="122"/>
    </row>
    <row r="48" spans="1:30" x14ac:dyDescent="0.25">
      <c r="B48" s="48">
        <v>7</v>
      </c>
      <c r="C48" s="49" t="s">
        <v>65</v>
      </c>
      <c r="D48" s="50">
        <f>SUM(D29*Table!$D$4/Table!$C$4,D10)</f>
        <v>0</v>
      </c>
      <c r="E48" s="50">
        <f>SUM(E29*Table!$D$4/Table!$C$4,E10)</f>
        <v>0</v>
      </c>
      <c r="F48" s="50">
        <v>0</v>
      </c>
      <c r="G48" s="50" t="str">
        <f t="shared" si="15"/>
        <v>N/A</v>
      </c>
      <c r="H48" s="51" t="str">
        <f t="shared" si="13"/>
        <v>N/A</v>
      </c>
      <c r="I48" s="3">
        <f>SUM(I29*Table!$D$4/Table!$C$4,I10)</f>
        <v>0</v>
      </c>
      <c r="J48" s="3">
        <f>SUM(J29*Table!$D$4/Table!$C$4,J10)</f>
        <v>0</v>
      </c>
      <c r="K48" s="50" t="str">
        <f t="shared" si="14"/>
        <v>N/A</v>
      </c>
      <c r="L48" s="3">
        <f>COUNTIFS($S$60:$S$378,C48,$AL$60:$AL$378,Table!$C$37)</f>
        <v>0</v>
      </c>
      <c r="M48" s="3">
        <f>COUNTIFS($S$60:$S$378,C48,$AL$60:$AL$378,Table!$C$38)</f>
        <v>0</v>
      </c>
      <c r="AB48" s="122"/>
      <c r="AC48" s="122"/>
      <c r="AD48" s="122"/>
    </row>
    <row r="49" spans="2:41" x14ac:dyDescent="0.25">
      <c r="B49" s="48">
        <v>8</v>
      </c>
      <c r="C49" s="58" t="s">
        <v>66</v>
      </c>
      <c r="D49" s="50">
        <f>SUM(D30*Table!$D$4/Table!$C$4,D11)</f>
        <v>10449.000000000002</v>
      </c>
      <c r="E49" s="50">
        <f>SUM(E30*Table!$D$4/Table!$C$4,E11)</f>
        <v>10449.000000000002</v>
      </c>
      <c r="F49" s="50">
        <f t="shared" ref="F49:F52" ca="1" si="16">$P$20</f>
        <v>22</v>
      </c>
      <c r="G49" s="50">
        <f ca="1">IF(ISERROR(E49/(F49)),"N/A",E49/F49)</f>
        <v>474.95454545454555</v>
      </c>
      <c r="H49" s="51">
        <f t="shared" si="13"/>
        <v>1</v>
      </c>
      <c r="I49" s="148">
        <f>SUM(I30*Table!$D$4/Table!$C$4,I11)</f>
        <v>0</v>
      </c>
      <c r="J49" s="3">
        <f>SUM(J30*Table!$D$4/Table!$C$4,J11)</f>
        <v>10449.000000000002</v>
      </c>
      <c r="K49" s="50">
        <f t="shared" ca="1" si="14"/>
        <v>474.95454545454555</v>
      </c>
      <c r="L49" s="3">
        <f>COUNTIFS($S$60:$S$378,C49,$AL$60:$AL$378,Table!$C$37)</f>
        <v>3</v>
      </c>
      <c r="M49" s="3">
        <f>COUNTIFS($S$60:$S$378,C49,$AL$60:$AL$378,Table!$C$38)+1</f>
        <v>3</v>
      </c>
      <c r="AB49" s="122"/>
      <c r="AC49" s="122"/>
      <c r="AD49" s="122"/>
    </row>
    <row r="50" spans="2:41" x14ac:dyDescent="0.25">
      <c r="B50" s="48">
        <v>9</v>
      </c>
      <c r="C50" s="58" t="s">
        <v>109</v>
      </c>
      <c r="D50" s="50">
        <f>SUM(D31*Table!$D$4/Table!$C$4,D12)</f>
        <v>9671.85</v>
      </c>
      <c r="E50" s="50">
        <f>SUM(E31*Table!$D$4/Table!$C$4,E12)</f>
        <v>9671.85</v>
      </c>
      <c r="F50" s="50">
        <f t="shared" ca="1" si="16"/>
        <v>22</v>
      </c>
      <c r="G50" s="50">
        <f t="shared" ca="1" si="15"/>
        <v>439.62954545454545</v>
      </c>
      <c r="H50" s="51">
        <f t="shared" si="13"/>
        <v>1</v>
      </c>
      <c r="I50" s="3">
        <f>SUM(I31*Table!$D$4/Table!$C$4,I12)</f>
        <v>0</v>
      </c>
      <c r="J50" s="3">
        <f>SUM(J31*Table!$D$4/Table!$C$4,J12)</f>
        <v>9671.85</v>
      </c>
      <c r="K50" s="50">
        <f t="shared" ca="1" si="14"/>
        <v>439.62954545454545</v>
      </c>
      <c r="L50" s="3">
        <f>COUNTIFS($S$60:$S$378,C50,$AL$60:$AL$378,Table!$C$37)</f>
        <v>2</v>
      </c>
      <c r="M50" s="3">
        <f>COUNTIFS($S$60:$S$378,C50,$AL$60:$AL$378,Table!$C$38)</f>
        <v>1</v>
      </c>
    </row>
    <row r="51" spans="2:41" x14ac:dyDescent="0.25">
      <c r="B51" s="48">
        <v>10</v>
      </c>
      <c r="C51" s="58" t="s">
        <v>110</v>
      </c>
      <c r="D51" s="50">
        <f>SUM(D32*Table!$D$4/Table!$C$4,D13)</f>
        <v>0</v>
      </c>
      <c r="E51" s="50">
        <f>SUM(E32*Table!$D$4/Table!$C$4,E13)</f>
        <v>0</v>
      </c>
      <c r="F51" s="50">
        <v>0</v>
      </c>
      <c r="G51" s="50" t="str">
        <f t="shared" si="15"/>
        <v>N/A</v>
      </c>
      <c r="H51" s="51" t="str">
        <f t="shared" ref="H51:H55" si="17">IF(ISERROR(E51/D51),"N/A",E51/D51)</f>
        <v>N/A</v>
      </c>
      <c r="I51" s="3">
        <f>SUM(I32*Table!$D$4/Table!$C$4,I13)</f>
        <v>0</v>
      </c>
      <c r="J51" s="3">
        <f>SUM(J32*Table!$D$4/Table!$C$4,J13)</f>
        <v>0</v>
      </c>
      <c r="K51" s="50" t="str">
        <f t="shared" si="14"/>
        <v>N/A</v>
      </c>
      <c r="L51" s="3">
        <f>COUNTIFS($S$60:$S$378,C51,$AL$60:$AL$378,Table!$C$37)</f>
        <v>0</v>
      </c>
      <c r="M51" s="3">
        <f>COUNTIFS($S$60:$S$378,C51,$AL$60:$AL$378,Table!$C$38)</f>
        <v>0</v>
      </c>
    </row>
    <row r="52" spans="2:41" x14ac:dyDescent="0.25">
      <c r="B52" s="48">
        <v>11</v>
      </c>
      <c r="C52" s="58" t="s">
        <v>147</v>
      </c>
      <c r="D52" s="50">
        <f>SUM(D33*Table!$D$4/Table!$C$4,D14)</f>
        <v>8742.6000000000022</v>
      </c>
      <c r="E52" s="50">
        <f>SUM(E33*Table!$D$4/Table!$C$4,E14)</f>
        <v>8742.6000000000022</v>
      </c>
      <c r="F52" s="50">
        <f t="shared" ca="1" si="16"/>
        <v>22</v>
      </c>
      <c r="G52" s="50">
        <f t="shared" ca="1" si="15"/>
        <v>397.39090909090919</v>
      </c>
      <c r="H52" s="51">
        <f t="shared" si="17"/>
        <v>1</v>
      </c>
      <c r="I52" s="3">
        <f>SUM(I33*Table!$D$4/Table!$C$4,I14)</f>
        <v>0</v>
      </c>
      <c r="J52" s="3">
        <f>SUM(J33*Table!$D$4/Table!$C$4,J14)</f>
        <v>8742.6000000000022</v>
      </c>
      <c r="K52" s="50">
        <f t="shared" ca="1" si="14"/>
        <v>397.39090909090919</v>
      </c>
      <c r="L52" s="3">
        <f>COUNTIFS($S$60:$S$378,C52,$AL$60:$AL$378,Table!$C$37)</f>
        <v>1</v>
      </c>
      <c r="M52" s="3">
        <f>COUNTIFS($S$60:$S$378,C52,$AL$60:$AL$378,Table!$C$38)</f>
        <v>0</v>
      </c>
    </row>
    <row r="53" spans="2:41" x14ac:dyDescent="0.25">
      <c r="B53" s="48">
        <v>12</v>
      </c>
      <c r="C53" s="61" t="s">
        <v>141</v>
      </c>
      <c r="D53" s="50">
        <f>SUM(D34*Table!$D$4/Table!$C$4,D15)</f>
        <v>0</v>
      </c>
      <c r="E53" s="50">
        <f>SUM(E34*Table!$D$4/Table!$C$4,E15)</f>
        <v>0</v>
      </c>
      <c r="F53" s="50">
        <v>0</v>
      </c>
      <c r="G53" s="50" t="str">
        <f t="shared" si="15"/>
        <v>N/A</v>
      </c>
      <c r="H53" s="51" t="str">
        <f t="shared" si="17"/>
        <v>N/A</v>
      </c>
      <c r="I53" s="3">
        <f>SUM(I34*Table!$D$4/Table!$C$4,I15)</f>
        <v>0</v>
      </c>
      <c r="J53" s="3">
        <f>SUM(J34*Table!$D$4/Table!$C$4,J15)</f>
        <v>0</v>
      </c>
      <c r="K53" s="50" t="str">
        <f t="shared" si="14"/>
        <v>N/A</v>
      </c>
      <c r="L53" s="3">
        <f>COUNTIFS($S$60:$S$378,C53,$AL$60:$AL$378,Table!$C$37)</f>
        <v>0</v>
      </c>
      <c r="M53" s="3">
        <f>COUNTIFS($S$60:$S$378,C53,$AL$60:$AL$378,Table!$C$38)</f>
        <v>0</v>
      </c>
    </row>
    <row r="54" spans="2:41" x14ac:dyDescent="0.25">
      <c r="B54" s="48">
        <v>13</v>
      </c>
      <c r="C54" s="61" t="s">
        <v>142</v>
      </c>
      <c r="D54" s="50">
        <f>SUM(D35*Table!$D$4/Table!$C$4,D16)</f>
        <v>0</v>
      </c>
      <c r="E54" s="50">
        <f>SUM(E35*Table!$D$4/Table!$C$4,E16)</f>
        <v>0</v>
      </c>
      <c r="F54" s="50">
        <v>0</v>
      </c>
      <c r="G54" s="50" t="str">
        <f t="shared" si="15"/>
        <v>N/A</v>
      </c>
      <c r="H54" s="51" t="str">
        <f t="shared" si="17"/>
        <v>N/A</v>
      </c>
      <c r="I54" s="3">
        <f>SUM(I35*Table!$D$4/Table!$C$4,I16)</f>
        <v>0</v>
      </c>
      <c r="J54" s="3">
        <f>SUM(J35*Table!$D$4/Table!$C$4,J16)</f>
        <v>0</v>
      </c>
      <c r="K54" s="50" t="str">
        <f t="shared" si="14"/>
        <v>N/A</v>
      </c>
      <c r="L54" s="3">
        <f>COUNTIFS($S$60:$S$378,C54,$AL$60:$AL$378,Table!$C$37)</f>
        <v>0</v>
      </c>
      <c r="M54" s="3">
        <f>COUNTIFS($S$60:$S$378,C54,$AL$60:$AL$378,Table!$C$38)</f>
        <v>0</v>
      </c>
    </row>
    <row r="55" spans="2:41" x14ac:dyDescent="0.25">
      <c r="B55" s="48">
        <v>14</v>
      </c>
      <c r="C55" s="61" t="s">
        <v>143</v>
      </c>
      <c r="D55" s="50">
        <f>SUM(D36*Table!$D$4/Table!$C$4,D17)</f>
        <v>607.5</v>
      </c>
      <c r="E55" s="50">
        <f>SUM(E36*Table!$D$4/Table!$C$4,E17)</f>
        <v>607.5</v>
      </c>
      <c r="F55" s="50">
        <v>0</v>
      </c>
      <c r="G55" s="50" t="str">
        <f t="shared" si="15"/>
        <v>N/A</v>
      </c>
      <c r="H55" s="51">
        <f t="shared" si="17"/>
        <v>1</v>
      </c>
      <c r="I55" s="3">
        <f>SUM(I36*Table!$D$4/Table!$C$4,I17)</f>
        <v>0</v>
      </c>
      <c r="J55" s="3">
        <f>SUM(J36*Table!$D$4/Table!$C$4,J17)</f>
        <v>607.5</v>
      </c>
      <c r="K55" s="50">
        <f t="shared" ca="1" si="14"/>
        <v>27.613636363636363</v>
      </c>
      <c r="L55" s="3">
        <f>COUNTIFS($S$60:$S$378,C55,$AL$60:$AL$378,Table!$C$37)</f>
        <v>0</v>
      </c>
      <c r="M55" s="3">
        <f>COUNTIFS($S$60:$S$378,C55,$AL$60:$AL$378,Table!$C$38)</f>
        <v>0</v>
      </c>
    </row>
    <row r="56" spans="2:41" x14ac:dyDescent="0.25">
      <c r="B56" s="46" t="s">
        <v>82</v>
      </c>
      <c r="C56" s="52"/>
      <c r="D56" s="50">
        <f>SUM(D42:D55)</f>
        <v>48432.824999999997</v>
      </c>
      <c r="E56" s="50">
        <f>SUM(E42:E55)</f>
        <v>48432.824999999997</v>
      </c>
      <c r="F56" s="50">
        <f ca="1">SUM(F42:F55)</f>
        <v>110</v>
      </c>
      <c r="G56" s="50">
        <f t="shared" ca="1" si="15"/>
        <v>440.29840909090905</v>
      </c>
      <c r="H56" s="51">
        <f t="shared" si="13"/>
        <v>1</v>
      </c>
      <c r="I56" s="3" t="s">
        <v>144</v>
      </c>
      <c r="J56" s="3">
        <f>SUM(J42:J55)</f>
        <v>48432.824999999997</v>
      </c>
      <c r="K56" s="50">
        <f ca="1">IFERROR(AVERAGE(K42:K55),"NA")</f>
        <v>366.91534090909096</v>
      </c>
      <c r="L56" s="3">
        <f>SUM(L42:L55)</f>
        <v>10</v>
      </c>
      <c r="M56" s="3">
        <f>SUM(M42:M55)</f>
        <v>8</v>
      </c>
    </row>
    <row r="59" spans="2:41" x14ac:dyDescent="0.25">
      <c r="B59" s="41" t="s">
        <v>0</v>
      </c>
      <c r="C59" s="41" t="s">
        <v>60</v>
      </c>
      <c r="D59" s="41" t="s">
        <v>1</v>
      </c>
      <c r="E59" s="41" t="s">
        <v>53</v>
      </c>
      <c r="F59" s="41" t="s">
        <v>54</v>
      </c>
      <c r="G59" s="41" t="s">
        <v>111</v>
      </c>
      <c r="H59" s="41" t="s">
        <v>86</v>
      </c>
      <c r="I59" s="41" t="s">
        <v>55</v>
      </c>
      <c r="J59" s="41" t="s">
        <v>85</v>
      </c>
      <c r="K59" s="41" t="s">
        <v>112</v>
      </c>
      <c r="L59" s="41" t="s">
        <v>68</v>
      </c>
      <c r="M59" s="41" t="s">
        <v>114</v>
      </c>
      <c r="N59" s="41" t="s">
        <v>67</v>
      </c>
      <c r="O59" s="41" t="s">
        <v>59</v>
      </c>
      <c r="P59" s="41" t="s">
        <v>76</v>
      </c>
      <c r="Q59" s="38" t="s">
        <v>52</v>
      </c>
      <c r="R59" s="42" t="s">
        <v>7</v>
      </c>
      <c r="S59" s="42" t="s">
        <v>8</v>
      </c>
      <c r="T59" s="42" t="s">
        <v>74</v>
      </c>
      <c r="U59" s="42" t="s">
        <v>78</v>
      </c>
      <c r="V59" s="42" t="s">
        <v>71</v>
      </c>
      <c r="W59" s="100" t="s">
        <v>72</v>
      </c>
      <c r="X59" s="100" t="s">
        <v>50</v>
      </c>
      <c r="Y59" s="100" t="s">
        <v>75</v>
      </c>
      <c r="Z59" s="100" t="s">
        <v>51</v>
      </c>
      <c r="AA59" s="42" t="s">
        <v>17</v>
      </c>
      <c r="AB59" s="42" t="s">
        <v>120</v>
      </c>
      <c r="AC59" s="42" t="s">
        <v>56</v>
      </c>
      <c r="AD59" s="42" t="s">
        <v>57</v>
      </c>
      <c r="AE59" s="41" t="s">
        <v>12</v>
      </c>
      <c r="AF59" s="41" t="s">
        <v>13</v>
      </c>
      <c r="AG59" s="41" t="s">
        <v>73</v>
      </c>
      <c r="AH59" s="41" t="s">
        <v>14</v>
      </c>
      <c r="AI59" s="41" t="s">
        <v>15</v>
      </c>
      <c r="AJ59" s="42" t="s">
        <v>16</v>
      </c>
      <c r="AK59" s="42" t="s">
        <v>402</v>
      </c>
      <c r="AL59" s="41" t="s">
        <v>113</v>
      </c>
      <c r="AM59" s="42" t="s">
        <v>106</v>
      </c>
      <c r="AN59" s="42" t="s">
        <v>105</v>
      </c>
      <c r="AO59" s="42" t="s">
        <v>77</v>
      </c>
    </row>
    <row r="60" spans="2:41" x14ac:dyDescent="0.25">
      <c r="B60" s="95">
        <v>1</v>
      </c>
      <c r="C60" s="16">
        <v>20201014</v>
      </c>
      <c r="D60" s="16" t="s">
        <v>3</v>
      </c>
      <c r="E60" s="74" t="s">
        <v>404</v>
      </c>
      <c r="F60" s="69"/>
      <c r="G60" s="37"/>
      <c r="H60" s="16" t="s">
        <v>220</v>
      </c>
      <c r="I60" s="16" t="s">
        <v>254</v>
      </c>
      <c r="J60" s="16" t="s">
        <v>174</v>
      </c>
      <c r="K60" s="37"/>
      <c r="L60" s="69" t="s">
        <v>403</v>
      </c>
      <c r="M60" s="37"/>
      <c r="N60" s="16"/>
      <c r="O60" s="69" t="s">
        <v>340</v>
      </c>
      <c r="P60" s="69" t="s">
        <v>391</v>
      </c>
      <c r="Q60" s="18"/>
      <c r="R60" s="16" t="s">
        <v>168</v>
      </c>
      <c r="S60" s="16" t="s">
        <v>61</v>
      </c>
      <c r="T60" s="16"/>
      <c r="U60" s="16"/>
      <c r="V60" s="16"/>
      <c r="W60" s="15">
        <f>ROUND(IF(D60=Table!$C$3,Y60*Table!$C$4/8,Y60*Table!$D$4/8),3)</f>
        <v>45</v>
      </c>
      <c r="X60" s="101">
        <f>W60</f>
        <v>45</v>
      </c>
      <c r="Y60" s="101">
        <v>0.8</v>
      </c>
      <c r="Z60" s="101"/>
      <c r="AA60" s="16" t="s">
        <v>70</v>
      </c>
      <c r="AB60" s="70">
        <v>44125</v>
      </c>
      <c r="AC60" s="19">
        <v>44118</v>
      </c>
      <c r="AD60" s="70">
        <v>44125</v>
      </c>
      <c r="AE60" s="70">
        <v>44120</v>
      </c>
      <c r="AF60" s="70">
        <v>44120</v>
      </c>
      <c r="AG60" s="70" t="s">
        <v>130</v>
      </c>
      <c r="AH60" s="97">
        <v>1</v>
      </c>
      <c r="AI60" s="97">
        <v>1</v>
      </c>
      <c r="AJ60" s="97">
        <v>0.94</v>
      </c>
      <c r="AK60" s="71"/>
      <c r="AL60" s="76" t="s">
        <v>117</v>
      </c>
      <c r="AM60" s="73"/>
      <c r="AN60" s="17"/>
      <c r="AO60" s="17"/>
    </row>
    <row r="61" spans="2:41" x14ac:dyDescent="0.25">
      <c r="B61" s="95">
        <f>B60+1</f>
        <v>2</v>
      </c>
      <c r="C61" s="16">
        <v>20201014</v>
      </c>
      <c r="D61" s="16" t="s">
        <v>3</v>
      </c>
      <c r="E61" s="74" t="s">
        <v>404</v>
      </c>
      <c r="F61" s="69"/>
      <c r="G61" s="37"/>
      <c r="H61" s="16" t="s">
        <v>225</v>
      </c>
      <c r="I61" s="16" t="s">
        <v>255</v>
      </c>
      <c r="J61" s="16" t="s">
        <v>174</v>
      </c>
      <c r="K61" s="37"/>
      <c r="L61" s="69" t="s">
        <v>403</v>
      </c>
      <c r="M61" s="37"/>
      <c r="N61" s="16"/>
      <c r="O61" s="69" t="s">
        <v>341</v>
      </c>
      <c r="P61" s="69" t="s">
        <v>391</v>
      </c>
      <c r="Q61" s="18"/>
      <c r="R61" s="16" t="s">
        <v>168</v>
      </c>
      <c r="S61" s="16" t="s">
        <v>61</v>
      </c>
      <c r="T61" s="16"/>
      <c r="U61" s="16"/>
      <c r="V61" s="16"/>
      <c r="W61" s="15">
        <f>ROUND(IF(D61=Table!$C$3,Y61*Table!$C$4/8,Y61*Table!$D$4/8),3)</f>
        <v>193.5</v>
      </c>
      <c r="X61" s="101">
        <f t="shared" ref="X61:X91" si="18">W61</f>
        <v>193.5</v>
      </c>
      <c r="Y61" s="101">
        <v>3.44</v>
      </c>
      <c r="Z61" s="101"/>
      <c r="AA61" s="16" t="s">
        <v>70</v>
      </c>
      <c r="AB61" s="70">
        <v>44125</v>
      </c>
      <c r="AC61" s="19">
        <v>44118</v>
      </c>
      <c r="AD61" s="70">
        <v>44125</v>
      </c>
      <c r="AE61" s="70">
        <v>44120</v>
      </c>
      <c r="AF61" s="70">
        <v>44120</v>
      </c>
      <c r="AG61" s="70" t="s">
        <v>130</v>
      </c>
      <c r="AH61" s="97">
        <v>0.99</v>
      </c>
      <c r="AI61" s="97">
        <v>0.97</v>
      </c>
      <c r="AJ61" s="97">
        <v>0.51</v>
      </c>
      <c r="AK61" s="71"/>
      <c r="AL61" s="76" t="s">
        <v>117</v>
      </c>
      <c r="AM61" s="87" t="s">
        <v>485</v>
      </c>
      <c r="AN61" s="15"/>
      <c r="AO61" s="15"/>
    </row>
    <row r="62" spans="2:41" x14ac:dyDescent="0.25">
      <c r="B62" s="95">
        <f t="shared" ref="B62:B125" si="19">B61+1</f>
        <v>3</v>
      </c>
      <c r="C62" s="16">
        <v>20201014</v>
      </c>
      <c r="D62" s="16" t="s">
        <v>3</v>
      </c>
      <c r="E62" s="74" t="s">
        <v>404</v>
      </c>
      <c r="F62" s="69"/>
      <c r="G62" s="37"/>
      <c r="H62" s="16" t="s">
        <v>226</v>
      </c>
      <c r="I62" s="16" t="s">
        <v>256</v>
      </c>
      <c r="J62" s="16" t="s">
        <v>174</v>
      </c>
      <c r="K62" s="37"/>
      <c r="L62" s="69" t="s">
        <v>403</v>
      </c>
      <c r="M62" s="37"/>
      <c r="N62" s="16"/>
      <c r="O62" s="69" t="s">
        <v>342</v>
      </c>
      <c r="P62" s="69" t="s">
        <v>392</v>
      </c>
      <c r="Q62" s="18"/>
      <c r="R62" s="16" t="s">
        <v>168</v>
      </c>
      <c r="S62" s="16" t="s">
        <v>61</v>
      </c>
      <c r="T62" s="16"/>
      <c r="U62" s="16"/>
      <c r="V62" s="16"/>
      <c r="W62" s="15">
        <f>ROUND(IF(D62=Table!$C$3,Y62*Table!$C$4/8,Y62*Table!$D$4/8),3)</f>
        <v>121.5</v>
      </c>
      <c r="X62" s="101">
        <f t="shared" si="18"/>
        <v>121.5</v>
      </c>
      <c r="Y62" s="101">
        <v>2.16</v>
      </c>
      <c r="Z62" s="101"/>
      <c r="AA62" s="16" t="s">
        <v>70</v>
      </c>
      <c r="AB62" s="70">
        <v>44125</v>
      </c>
      <c r="AC62" s="19">
        <v>44118</v>
      </c>
      <c r="AD62" s="70">
        <v>44125</v>
      </c>
      <c r="AE62" s="70">
        <v>44120</v>
      </c>
      <c r="AF62" s="70">
        <v>44120</v>
      </c>
      <c r="AG62" s="70" t="s">
        <v>130</v>
      </c>
      <c r="AH62" s="97">
        <v>1</v>
      </c>
      <c r="AI62" s="97">
        <v>1</v>
      </c>
      <c r="AJ62" s="97">
        <v>0.55000000000000004</v>
      </c>
      <c r="AK62" s="71"/>
      <c r="AL62" s="76" t="s">
        <v>107</v>
      </c>
      <c r="AM62" s="87"/>
      <c r="AN62" s="15"/>
      <c r="AO62" s="15"/>
    </row>
    <row r="63" spans="2:41" x14ac:dyDescent="0.25">
      <c r="B63" s="95">
        <f t="shared" si="19"/>
        <v>4</v>
      </c>
      <c r="C63" s="16">
        <v>20201014</v>
      </c>
      <c r="D63" s="16" t="s">
        <v>3</v>
      </c>
      <c r="E63" s="74" t="s">
        <v>404</v>
      </c>
      <c r="F63" s="69"/>
      <c r="G63" s="37"/>
      <c r="H63" s="16" t="s">
        <v>221</v>
      </c>
      <c r="I63" s="16" t="s">
        <v>257</v>
      </c>
      <c r="J63" s="16" t="s">
        <v>174</v>
      </c>
      <c r="K63" s="37"/>
      <c r="L63" s="69" t="s">
        <v>403</v>
      </c>
      <c r="M63" s="37"/>
      <c r="N63" s="16"/>
      <c r="O63" s="69" t="s">
        <v>343</v>
      </c>
      <c r="P63" s="69" t="s">
        <v>392</v>
      </c>
      <c r="Q63" s="18"/>
      <c r="R63" s="16" t="s">
        <v>168</v>
      </c>
      <c r="S63" s="16" t="s">
        <v>61</v>
      </c>
      <c r="T63" s="16"/>
      <c r="U63" s="16"/>
      <c r="V63" s="16"/>
      <c r="W63" s="15">
        <f>ROUND(IF(D63=Table!$C$3,Y63*Table!$C$4/8,Y63*Table!$D$4/8),3)</f>
        <v>45</v>
      </c>
      <c r="X63" s="101">
        <f t="shared" si="18"/>
        <v>45</v>
      </c>
      <c r="Y63" s="101">
        <v>0.8</v>
      </c>
      <c r="Z63" s="101"/>
      <c r="AA63" s="16" t="s">
        <v>70</v>
      </c>
      <c r="AB63" s="70">
        <v>44125</v>
      </c>
      <c r="AC63" s="19">
        <v>44118</v>
      </c>
      <c r="AD63" s="70">
        <v>44125</v>
      </c>
      <c r="AE63" s="70">
        <v>44123</v>
      </c>
      <c r="AF63" s="70">
        <v>44123</v>
      </c>
      <c r="AG63" s="70" t="s">
        <v>130</v>
      </c>
      <c r="AH63" s="97">
        <v>1</v>
      </c>
      <c r="AI63" s="97">
        <v>1</v>
      </c>
      <c r="AJ63" s="97">
        <v>0.35</v>
      </c>
      <c r="AK63" s="71"/>
      <c r="AL63" s="76" t="s">
        <v>117</v>
      </c>
      <c r="AM63" s="87"/>
      <c r="AN63" s="15"/>
      <c r="AO63" s="15"/>
    </row>
    <row r="64" spans="2:41" x14ac:dyDescent="0.25">
      <c r="B64" s="95">
        <f t="shared" si="19"/>
        <v>5</v>
      </c>
      <c r="C64" s="16">
        <v>20201014</v>
      </c>
      <c r="D64" s="16" t="s">
        <v>3</v>
      </c>
      <c r="E64" s="74" t="s">
        <v>404</v>
      </c>
      <c r="F64" s="69"/>
      <c r="G64" s="37"/>
      <c r="H64" s="16" t="s">
        <v>190</v>
      </c>
      <c r="I64" s="16" t="s">
        <v>258</v>
      </c>
      <c r="J64" s="16" t="s">
        <v>174</v>
      </c>
      <c r="K64" s="37"/>
      <c r="L64" s="69" t="s">
        <v>403</v>
      </c>
      <c r="M64" s="37"/>
      <c r="N64" s="16"/>
      <c r="O64" s="69" t="s">
        <v>344</v>
      </c>
      <c r="P64" s="69" t="s">
        <v>392</v>
      </c>
      <c r="Q64" s="18"/>
      <c r="R64" s="16" t="s">
        <v>168</v>
      </c>
      <c r="S64" s="16" t="s">
        <v>61</v>
      </c>
      <c r="T64" s="16"/>
      <c r="U64" s="16"/>
      <c r="V64" s="16"/>
      <c r="W64" s="15">
        <f>ROUND(IF(D64=Table!$C$3,Y64*Table!$C$4/8,Y64*Table!$D$4/8),3)</f>
        <v>45</v>
      </c>
      <c r="X64" s="101">
        <f t="shared" si="18"/>
        <v>45</v>
      </c>
      <c r="Y64" s="101">
        <v>0.8</v>
      </c>
      <c r="Z64" s="101"/>
      <c r="AA64" s="16" t="s">
        <v>70</v>
      </c>
      <c r="AB64" s="70">
        <v>44125</v>
      </c>
      <c r="AC64" s="19">
        <v>44118</v>
      </c>
      <c r="AD64" s="70">
        <v>44125</v>
      </c>
      <c r="AE64" s="70">
        <v>44123</v>
      </c>
      <c r="AF64" s="70">
        <v>44123</v>
      </c>
      <c r="AG64" s="70" t="s">
        <v>130</v>
      </c>
      <c r="AH64" s="97">
        <v>1</v>
      </c>
      <c r="AI64" s="97">
        <v>1</v>
      </c>
      <c r="AJ64" s="97">
        <v>0.5</v>
      </c>
      <c r="AK64" s="71"/>
      <c r="AL64" s="76" t="s">
        <v>117</v>
      </c>
      <c r="AM64" s="87"/>
      <c r="AN64" s="15"/>
      <c r="AO64" s="15"/>
    </row>
    <row r="65" spans="2:41" x14ac:dyDescent="0.25">
      <c r="B65" s="95">
        <f t="shared" si="19"/>
        <v>6</v>
      </c>
      <c r="C65" s="16">
        <v>20201014</v>
      </c>
      <c r="D65" s="16" t="s">
        <v>2</v>
      </c>
      <c r="E65" s="74" t="s">
        <v>404</v>
      </c>
      <c r="F65" s="69"/>
      <c r="G65" s="37"/>
      <c r="H65" s="16" t="s">
        <v>409</v>
      </c>
      <c r="I65" s="16" t="s">
        <v>259</v>
      </c>
      <c r="J65" s="16" t="s">
        <v>188</v>
      </c>
      <c r="K65" s="37"/>
      <c r="L65" s="69" t="s">
        <v>403</v>
      </c>
      <c r="M65" s="37"/>
      <c r="N65" s="16"/>
      <c r="O65" s="69" t="s">
        <v>345</v>
      </c>
      <c r="P65" s="69" t="s">
        <v>393</v>
      </c>
      <c r="Q65" s="18"/>
      <c r="R65" s="16" t="s">
        <v>169</v>
      </c>
      <c r="S65" s="16" t="s">
        <v>143</v>
      </c>
      <c r="T65" s="16"/>
      <c r="U65" s="16"/>
      <c r="V65" s="16"/>
      <c r="W65" s="15">
        <f>ROUND(IF(D65=Table!$C$3,Y65*Table!$C$4/8,Y65*Table!$D$4/8),3)</f>
        <v>52</v>
      </c>
      <c r="X65" s="101">
        <f t="shared" si="18"/>
        <v>52</v>
      </c>
      <c r="Y65" s="101">
        <v>3.2</v>
      </c>
      <c r="Z65" s="101">
        <f>Y65</f>
        <v>3.2</v>
      </c>
      <c r="AA65" s="16" t="s">
        <v>70</v>
      </c>
      <c r="AB65" s="70">
        <v>44125</v>
      </c>
      <c r="AC65" s="19">
        <v>44118</v>
      </c>
      <c r="AD65" s="70">
        <v>44125</v>
      </c>
      <c r="AE65" s="70">
        <v>44123</v>
      </c>
      <c r="AF65" s="70">
        <v>44123</v>
      </c>
      <c r="AG65" s="70" t="s">
        <v>131</v>
      </c>
      <c r="AH65" s="97">
        <v>0.84399999999999997</v>
      </c>
      <c r="AI65" s="97">
        <v>0.84799999999999998</v>
      </c>
      <c r="AJ65" s="97">
        <v>0.2</v>
      </c>
      <c r="AK65" s="71"/>
      <c r="AL65" s="76"/>
      <c r="AM65" s="87" t="s">
        <v>596</v>
      </c>
      <c r="AN65" s="15"/>
      <c r="AO65" s="15"/>
    </row>
    <row r="66" spans="2:41" x14ac:dyDescent="0.25">
      <c r="B66" s="95">
        <f t="shared" si="19"/>
        <v>7</v>
      </c>
      <c r="C66" s="16">
        <v>20201014</v>
      </c>
      <c r="D66" s="16" t="s">
        <v>2</v>
      </c>
      <c r="E66" s="74" t="s">
        <v>404</v>
      </c>
      <c r="F66" s="69"/>
      <c r="G66" s="37"/>
      <c r="H66" s="16" t="s">
        <v>410</v>
      </c>
      <c r="I66" s="132" t="s">
        <v>260</v>
      </c>
      <c r="J66" s="16" t="s">
        <v>188</v>
      </c>
      <c r="K66" s="37"/>
      <c r="L66" s="69" t="s">
        <v>403</v>
      </c>
      <c r="M66" s="37"/>
      <c r="N66" s="16"/>
      <c r="O66" s="69" t="s">
        <v>346</v>
      </c>
      <c r="P66" s="69" t="s">
        <v>393</v>
      </c>
      <c r="Q66" s="18"/>
      <c r="R66" s="16" t="s">
        <v>169</v>
      </c>
      <c r="S66" s="16" t="s">
        <v>143</v>
      </c>
      <c r="T66" s="16"/>
      <c r="U66" s="16"/>
      <c r="V66" s="16"/>
      <c r="W66" s="15">
        <f>ROUND(IF(D66=Table!$C$3,Y66*Table!$C$4/8,Y66*Table!$D$4/8),3)</f>
        <v>78</v>
      </c>
      <c r="X66" s="101">
        <f t="shared" si="18"/>
        <v>78</v>
      </c>
      <c r="Y66" s="101">
        <v>4.8</v>
      </c>
      <c r="Z66" s="101">
        <f>Y66</f>
        <v>4.8</v>
      </c>
      <c r="AA66" s="16" t="s">
        <v>70</v>
      </c>
      <c r="AB66" s="70">
        <v>44125</v>
      </c>
      <c r="AC66" s="19">
        <v>44118</v>
      </c>
      <c r="AD66" s="70">
        <v>44125</v>
      </c>
      <c r="AE66" s="70">
        <v>44124</v>
      </c>
      <c r="AF66" s="70">
        <v>44124</v>
      </c>
      <c r="AG66" s="70" t="s">
        <v>131</v>
      </c>
      <c r="AH66" s="97">
        <v>0.96299999999999997</v>
      </c>
      <c r="AI66" s="97">
        <v>0.96599999999999997</v>
      </c>
      <c r="AJ66" s="97">
        <v>0.5</v>
      </c>
      <c r="AK66" s="71"/>
      <c r="AL66" s="76"/>
      <c r="AM66" s="87" t="s">
        <v>595</v>
      </c>
      <c r="AN66" s="15"/>
      <c r="AO66" s="15"/>
    </row>
    <row r="67" spans="2:41" x14ac:dyDescent="0.25">
      <c r="B67" s="95">
        <f t="shared" si="19"/>
        <v>8</v>
      </c>
      <c r="C67" s="16">
        <v>20201014</v>
      </c>
      <c r="D67" s="16" t="s">
        <v>2</v>
      </c>
      <c r="E67" s="74" t="s">
        <v>404</v>
      </c>
      <c r="F67" s="69"/>
      <c r="G67" s="37"/>
      <c r="H67" s="16" t="s">
        <v>411</v>
      </c>
      <c r="I67" s="16" t="s">
        <v>261</v>
      </c>
      <c r="J67" s="16" t="s">
        <v>188</v>
      </c>
      <c r="K67" s="37"/>
      <c r="L67" s="69" t="s">
        <v>403</v>
      </c>
      <c r="M67" s="37"/>
      <c r="N67" s="16"/>
      <c r="O67" s="69" t="s">
        <v>184</v>
      </c>
      <c r="P67" s="69" t="s">
        <v>393</v>
      </c>
      <c r="Q67" s="18"/>
      <c r="R67" s="16" t="s">
        <v>169</v>
      </c>
      <c r="S67" s="16" t="s">
        <v>147</v>
      </c>
      <c r="T67" s="16"/>
      <c r="U67" s="16"/>
      <c r="V67" s="16"/>
      <c r="W67" s="15">
        <f>ROUND(IF(D67=Table!$C$3,Y67*Table!$C$4/8,Y67*Table!$D$4/8),3)</f>
        <v>32.5</v>
      </c>
      <c r="X67" s="101">
        <f t="shared" si="18"/>
        <v>32.5</v>
      </c>
      <c r="Y67" s="101">
        <v>2</v>
      </c>
      <c r="Z67" s="101">
        <f>Y67</f>
        <v>2</v>
      </c>
      <c r="AA67" s="16" t="s">
        <v>70</v>
      </c>
      <c r="AB67" s="70">
        <v>44125</v>
      </c>
      <c r="AC67" s="19">
        <v>44118</v>
      </c>
      <c r="AD67" s="70">
        <v>44125</v>
      </c>
      <c r="AE67" s="70">
        <v>44125</v>
      </c>
      <c r="AF67" s="70">
        <v>44125</v>
      </c>
      <c r="AG67" s="70" t="s">
        <v>130</v>
      </c>
      <c r="AH67" s="97">
        <v>1</v>
      </c>
      <c r="AI67" s="97">
        <v>1</v>
      </c>
      <c r="AJ67" s="97" t="s">
        <v>213</v>
      </c>
      <c r="AK67" s="71"/>
      <c r="AL67" s="76" t="s">
        <v>117</v>
      </c>
      <c r="AM67" s="87"/>
      <c r="AN67" s="15"/>
      <c r="AO67" s="15"/>
    </row>
    <row r="68" spans="2:41" x14ac:dyDescent="0.25">
      <c r="B68" s="95">
        <f t="shared" si="19"/>
        <v>9</v>
      </c>
      <c r="C68" s="16">
        <v>20201014</v>
      </c>
      <c r="D68" s="16" t="s">
        <v>2</v>
      </c>
      <c r="E68" s="74" t="s">
        <v>404</v>
      </c>
      <c r="F68" s="69"/>
      <c r="G68" s="37"/>
      <c r="H68" s="16" t="s">
        <v>412</v>
      </c>
      <c r="I68" s="16" t="s">
        <v>262</v>
      </c>
      <c r="J68" s="16" t="s">
        <v>174</v>
      </c>
      <c r="K68" s="37"/>
      <c r="L68" s="69" t="s">
        <v>403</v>
      </c>
      <c r="M68" s="37"/>
      <c r="N68" s="16"/>
      <c r="O68" s="69" t="s">
        <v>347</v>
      </c>
      <c r="P68" s="69" t="s">
        <v>393</v>
      </c>
      <c r="Q68" s="18"/>
      <c r="R68" s="16" t="s">
        <v>170</v>
      </c>
      <c r="S68" s="16" t="s">
        <v>63</v>
      </c>
      <c r="T68" s="16"/>
      <c r="U68" s="16"/>
      <c r="V68" s="16"/>
      <c r="W68" s="15">
        <f>ROUND(IF(D68=Table!$C$3,Y68*Table!$C$4/8,Y68*Table!$D$4/8),3)</f>
        <v>136.5</v>
      </c>
      <c r="X68" s="101">
        <f t="shared" si="18"/>
        <v>136.5</v>
      </c>
      <c r="Y68" s="101">
        <v>8.4</v>
      </c>
      <c r="Z68" s="101">
        <f>Y68</f>
        <v>8.4</v>
      </c>
      <c r="AA68" s="16" t="s">
        <v>70</v>
      </c>
      <c r="AB68" s="70">
        <v>44125</v>
      </c>
      <c r="AC68" s="19">
        <v>44118</v>
      </c>
      <c r="AD68" s="70">
        <v>44125</v>
      </c>
      <c r="AE68" s="70">
        <v>44125</v>
      </c>
      <c r="AF68" s="70">
        <v>44125</v>
      </c>
      <c r="AG68" s="70" t="s">
        <v>130</v>
      </c>
      <c r="AH68" s="97">
        <v>0.88200000000000001</v>
      </c>
      <c r="AI68" s="97">
        <v>0.90900000000000003</v>
      </c>
      <c r="AJ68" s="97">
        <v>0.5</v>
      </c>
      <c r="AK68" s="71"/>
      <c r="AL68" s="76"/>
      <c r="AM68" s="87" t="s">
        <v>598</v>
      </c>
      <c r="AN68" s="15"/>
      <c r="AO68" s="15"/>
    </row>
    <row r="69" spans="2:41" x14ac:dyDescent="0.25">
      <c r="B69" s="95">
        <f t="shared" si="19"/>
        <v>10</v>
      </c>
      <c r="C69" s="16">
        <v>20201014</v>
      </c>
      <c r="D69" s="16" t="s">
        <v>2</v>
      </c>
      <c r="E69" s="74" t="s">
        <v>404</v>
      </c>
      <c r="F69" s="69"/>
      <c r="G69" s="37"/>
      <c r="H69" s="16" t="s">
        <v>413</v>
      </c>
      <c r="I69" s="16" t="s">
        <v>263</v>
      </c>
      <c r="J69" s="16" t="s">
        <v>174</v>
      </c>
      <c r="K69" s="37"/>
      <c r="L69" s="69" t="s">
        <v>403</v>
      </c>
      <c r="M69" s="37"/>
      <c r="N69" s="16"/>
      <c r="O69" s="69" t="s">
        <v>200</v>
      </c>
      <c r="P69" s="69" t="s">
        <v>393</v>
      </c>
      <c r="Q69" s="18"/>
      <c r="R69" s="16" t="s">
        <v>171</v>
      </c>
      <c r="S69" s="16" t="s">
        <v>66</v>
      </c>
      <c r="T69" s="16"/>
      <c r="U69" s="16"/>
      <c r="V69" s="16"/>
      <c r="W69" s="15">
        <f>ROUND(IF(D69=Table!$C$3,Y69*Table!$C$4/8,Y69*Table!$D$4/8),3)</f>
        <v>32.5</v>
      </c>
      <c r="X69" s="101">
        <f t="shared" si="18"/>
        <v>32.5</v>
      </c>
      <c r="Y69" s="101">
        <v>2</v>
      </c>
      <c r="Z69" s="101">
        <f t="shared" ref="Z69:Z71" si="20">Y69</f>
        <v>2</v>
      </c>
      <c r="AA69" s="16" t="s">
        <v>70</v>
      </c>
      <c r="AB69" s="70">
        <v>44125</v>
      </c>
      <c r="AC69" s="19">
        <v>44118</v>
      </c>
      <c r="AD69" s="70">
        <v>44125</v>
      </c>
      <c r="AE69" s="70">
        <v>44120</v>
      </c>
      <c r="AF69" s="70">
        <v>44120</v>
      </c>
      <c r="AG69" s="70" t="s">
        <v>130</v>
      </c>
      <c r="AH69" s="97">
        <v>0.88900000000000001</v>
      </c>
      <c r="AI69" s="97">
        <v>0.89700000000000002</v>
      </c>
      <c r="AJ69" s="97" t="s">
        <v>213</v>
      </c>
      <c r="AK69" s="71"/>
      <c r="AL69" s="76" t="s">
        <v>117</v>
      </c>
      <c r="AM69" s="87" t="s">
        <v>480</v>
      </c>
      <c r="AN69" s="15"/>
      <c r="AO69" s="15"/>
    </row>
    <row r="70" spans="2:41" x14ac:dyDescent="0.25">
      <c r="B70" s="95">
        <f t="shared" si="19"/>
        <v>11</v>
      </c>
      <c r="C70" s="16">
        <v>20201014</v>
      </c>
      <c r="D70" s="16" t="s">
        <v>2</v>
      </c>
      <c r="E70" s="74" t="s">
        <v>404</v>
      </c>
      <c r="F70" s="69"/>
      <c r="G70" s="37"/>
      <c r="H70" s="16" t="s">
        <v>414</v>
      </c>
      <c r="I70" s="16" t="s">
        <v>264</v>
      </c>
      <c r="J70" s="16" t="s">
        <v>174</v>
      </c>
      <c r="K70" s="37"/>
      <c r="L70" s="69" t="s">
        <v>403</v>
      </c>
      <c r="M70" s="37"/>
      <c r="N70" s="16"/>
      <c r="O70" s="69" t="s">
        <v>348</v>
      </c>
      <c r="P70" s="69" t="s">
        <v>393</v>
      </c>
      <c r="Q70" s="18"/>
      <c r="R70" s="16" t="s">
        <v>171</v>
      </c>
      <c r="S70" s="16" t="s">
        <v>66</v>
      </c>
      <c r="T70" s="16"/>
      <c r="U70" s="16"/>
      <c r="V70" s="16"/>
      <c r="W70" s="15">
        <f>ROUND(IF(D70=Table!$C$3,Y70*Table!$C$4/8,Y70*Table!$D$4/8),3)</f>
        <v>136.5</v>
      </c>
      <c r="X70" s="101">
        <f t="shared" si="18"/>
        <v>136.5</v>
      </c>
      <c r="Y70" s="101">
        <v>8.4</v>
      </c>
      <c r="Z70" s="101">
        <f t="shared" si="20"/>
        <v>8.4</v>
      </c>
      <c r="AA70" s="16" t="s">
        <v>70</v>
      </c>
      <c r="AB70" s="70">
        <v>44125</v>
      </c>
      <c r="AC70" s="19">
        <v>44118</v>
      </c>
      <c r="AD70" s="70">
        <v>44125</v>
      </c>
      <c r="AE70" s="70">
        <v>44123</v>
      </c>
      <c r="AF70" s="70">
        <v>44123</v>
      </c>
      <c r="AG70" s="70" t="s">
        <v>130</v>
      </c>
      <c r="AH70" s="97">
        <v>1</v>
      </c>
      <c r="AI70" s="97">
        <v>1</v>
      </c>
      <c r="AJ70" s="97">
        <v>0.32100000000000001</v>
      </c>
      <c r="AK70" s="71"/>
      <c r="AL70" s="76" t="s">
        <v>117</v>
      </c>
      <c r="AM70" s="87"/>
      <c r="AN70" s="15"/>
      <c r="AO70" s="15"/>
    </row>
    <row r="71" spans="2:41" x14ac:dyDescent="0.25">
      <c r="B71" s="95">
        <f t="shared" si="19"/>
        <v>12</v>
      </c>
      <c r="C71" s="16">
        <v>20201014</v>
      </c>
      <c r="D71" s="16" t="s">
        <v>2</v>
      </c>
      <c r="E71" s="74" t="s">
        <v>404</v>
      </c>
      <c r="F71" s="69"/>
      <c r="G71" s="37"/>
      <c r="H71" s="16" t="s">
        <v>415</v>
      </c>
      <c r="I71" s="16" t="s">
        <v>214</v>
      </c>
      <c r="J71" s="16" t="s">
        <v>174</v>
      </c>
      <c r="K71" s="37"/>
      <c r="L71" s="69" t="s">
        <v>403</v>
      </c>
      <c r="M71" s="37"/>
      <c r="N71" s="16"/>
      <c r="O71" s="69" t="s">
        <v>349</v>
      </c>
      <c r="P71" s="69" t="s">
        <v>393</v>
      </c>
      <c r="Q71" s="18"/>
      <c r="R71" s="16" t="s">
        <v>171</v>
      </c>
      <c r="S71" s="16" t="s">
        <v>66</v>
      </c>
      <c r="T71" s="16"/>
      <c r="U71" s="16"/>
      <c r="V71" s="16"/>
      <c r="W71" s="15">
        <f>ROUND(IF(D71=Table!$C$3,Y71*Table!$C$4/8,Y71*Table!$D$4/8),3)</f>
        <v>71.5</v>
      </c>
      <c r="X71" s="101">
        <f t="shared" si="18"/>
        <v>71.5</v>
      </c>
      <c r="Y71" s="101">
        <v>4.4000000000000004</v>
      </c>
      <c r="Z71" s="101">
        <f t="shared" si="20"/>
        <v>4.4000000000000004</v>
      </c>
      <c r="AA71" s="16" t="s">
        <v>70</v>
      </c>
      <c r="AB71" s="70">
        <v>44125</v>
      </c>
      <c r="AC71" s="19">
        <v>44118</v>
      </c>
      <c r="AD71" s="70">
        <v>44125</v>
      </c>
      <c r="AE71" s="70">
        <v>44123</v>
      </c>
      <c r="AF71" s="70">
        <v>44123</v>
      </c>
      <c r="AG71" s="70" t="s">
        <v>130</v>
      </c>
      <c r="AH71" s="97">
        <v>0.91200000000000003</v>
      </c>
      <c r="AI71" s="97">
        <v>0.91900000000000004</v>
      </c>
      <c r="AJ71" s="97">
        <v>0.8</v>
      </c>
      <c r="AK71" s="71"/>
      <c r="AL71" s="76" t="s">
        <v>117</v>
      </c>
      <c r="AM71" s="87" t="s">
        <v>739</v>
      </c>
      <c r="AN71" s="15"/>
      <c r="AO71" s="15"/>
    </row>
    <row r="72" spans="2:41" x14ac:dyDescent="0.25">
      <c r="B72" s="95">
        <f t="shared" si="19"/>
        <v>13</v>
      </c>
      <c r="C72" s="16">
        <v>20201014</v>
      </c>
      <c r="D72" s="16" t="s">
        <v>3</v>
      </c>
      <c r="E72" s="74" t="s">
        <v>404</v>
      </c>
      <c r="F72" s="69"/>
      <c r="G72" s="37"/>
      <c r="H72" s="16" t="s">
        <v>222</v>
      </c>
      <c r="I72" s="16" t="s">
        <v>223</v>
      </c>
      <c r="J72" s="16" t="s">
        <v>174</v>
      </c>
      <c r="K72" s="37"/>
      <c r="L72" s="69" t="s">
        <v>403</v>
      </c>
      <c r="M72" s="37"/>
      <c r="N72" s="16"/>
      <c r="O72" s="69" t="s">
        <v>350</v>
      </c>
      <c r="P72" s="69" t="s">
        <v>394</v>
      </c>
      <c r="Q72" s="18"/>
      <c r="R72" s="16" t="s">
        <v>170</v>
      </c>
      <c r="S72" s="16" t="s">
        <v>63</v>
      </c>
      <c r="T72" s="16"/>
      <c r="U72" s="16"/>
      <c r="V72" s="16"/>
      <c r="W72" s="15">
        <f>ROUND(IF(D72=Table!$C$3,Y72*Table!$C$4/8,Y72*Table!$D$4/8),3)</f>
        <v>121.5</v>
      </c>
      <c r="X72" s="101">
        <f t="shared" si="18"/>
        <v>121.5</v>
      </c>
      <c r="Y72" s="101">
        <v>2.16</v>
      </c>
      <c r="Z72" s="101">
        <f t="shared" ref="Z72:Z80" si="21">Y72</f>
        <v>2.16</v>
      </c>
      <c r="AA72" s="16" t="s">
        <v>70</v>
      </c>
      <c r="AB72" s="70">
        <v>44125</v>
      </c>
      <c r="AC72" s="19">
        <v>44118</v>
      </c>
      <c r="AD72" s="70">
        <v>44125</v>
      </c>
      <c r="AE72" s="70">
        <v>44120</v>
      </c>
      <c r="AF72" s="70">
        <v>44120</v>
      </c>
      <c r="AG72" s="70" t="s">
        <v>130</v>
      </c>
      <c r="AH72" s="97">
        <v>1</v>
      </c>
      <c r="AI72" s="97">
        <v>1</v>
      </c>
      <c r="AJ72" s="97">
        <v>0.1</v>
      </c>
      <c r="AK72" s="71"/>
      <c r="AL72" s="76" t="s">
        <v>117</v>
      </c>
      <c r="AM72" s="87"/>
      <c r="AN72" s="15"/>
      <c r="AO72" s="15"/>
    </row>
    <row r="73" spans="2:41" x14ac:dyDescent="0.25">
      <c r="B73" s="95">
        <f t="shared" si="19"/>
        <v>14</v>
      </c>
      <c r="C73" s="16">
        <v>20201014</v>
      </c>
      <c r="D73" s="16" t="s">
        <v>3</v>
      </c>
      <c r="E73" s="74" t="s">
        <v>404</v>
      </c>
      <c r="F73" s="69"/>
      <c r="G73" s="37"/>
      <c r="H73" s="16" t="s">
        <v>217</v>
      </c>
      <c r="I73" s="16" t="s">
        <v>215</v>
      </c>
      <c r="J73" s="16" t="s">
        <v>174</v>
      </c>
      <c r="K73" s="37"/>
      <c r="L73" s="69" t="s">
        <v>403</v>
      </c>
      <c r="M73" s="37"/>
      <c r="N73" s="16"/>
      <c r="O73" s="69" t="s">
        <v>216</v>
      </c>
      <c r="P73" s="69" t="s">
        <v>392</v>
      </c>
      <c r="Q73" s="18"/>
      <c r="R73" s="16" t="s">
        <v>170</v>
      </c>
      <c r="S73" s="16" t="s">
        <v>63</v>
      </c>
      <c r="T73" s="16"/>
      <c r="U73" s="16"/>
      <c r="V73" s="16"/>
      <c r="W73" s="15">
        <f>ROUND(IF(D73=Table!$C$3,Y73*Table!$C$4/8,Y73*Table!$D$4/8),3)</f>
        <v>157.5</v>
      </c>
      <c r="X73" s="101">
        <f t="shared" si="18"/>
        <v>157.5</v>
      </c>
      <c r="Y73" s="101">
        <v>2.8000000000000003</v>
      </c>
      <c r="Z73" s="101">
        <f t="shared" si="21"/>
        <v>2.8000000000000003</v>
      </c>
      <c r="AA73" s="16" t="s">
        <v>70</v>
      </c>
      <c r="AB73" s="70">
        <v>44125</v>
      </c>
      <c r="AC73" s="19">
        <v>44118</v>
      </c>
      <c r="AD73" s="70">
        <v>44125</v>
      </c>
      <c r="AE73" s="70">
        <v>44120</v>
      </c>
      <c r="AF73" s="70">
        <v>44120</v>
      </c>
      <c r="AG73" s="70" t="s">
        <v>130</v>
      </c>
      <c r="AH73" s="97">
        <v>1</v>
      </c>
      <c r="AI73" s="97">
        <v>1</v>
      </c>
      <c r="AJ73" s="97">
        <v>0.91</v>
      </c>
      <c r="AK73" s="71"/>
      <c r="AL73" s="76" t="s">
        <v>117</v>
      </c>
      <c r="AM73" s="87"/>
      <c r="AN73" s="15"/>
      <c r="AO73" s="15"/>
    </row>
    <row r="74" spans="2:41" x14ac:dyDescent="0.25">
      <c r="B74" s="95">
        <f t="shared" si="19"/>
        <v>15</v>
      </c>
      <c r="C74" s="16">
        <v>20201014</v>
      </c>
      <c r="D74" s="16" t="s">
        <v>3</v>
      </c>
      <c r="E74" s="74" t="s">
        <v>404</v>
      </c>
      <c r="F74" s="69"/>
      <c r="G74" s="37"/>
      <c r="H74" s="16" t="s">
        <v>218</v>
      </c>
      <c r="I74" s="16" t="s">
        <v>224</v>
      </c>
      <c r="J74" s="16" t="s">
        <v>174</v>
      </c>
      <c r="K74" s="37"/>
      <c r="L74" s="69" t="s">
        <v>403</v>
      </c>
      <c r="M74" s="37"/>
      <c r="N74" s="16"/>
      <c r="O74" s="69" t="s">
        <v>351</v>
      </c>
      <c r="P74" s="69" t="s">
        <v>392</v>
      </c>
      <c r="Q74" s="18"/>
      <c r="R74" s="16" t="s">
        <v>170</v>
      </c>
      <c r="S74" s="16" t="s">
        <v>63</v>
      </c>
      <c r="T74" s="16"/>
      <c r="U74" s="16"/>
      <c r="V74" s="16"/>
      <c r="W74" s="15">
        <f>ROUND(IF(D74=Table!$C$3,Y74*Table!$C$4/8,Y74*Table!$D$4/8),3)</f>
        <v>45</v>
      </c>
      <c r="X74" s="101">
        <f t="shared" si="18"/>
        <v>45</v>
      </c>
      <c r="Y74" s="101">
        <v>0.8</v>
      </c>
      <c r="Z74" s="101">
        <f t="shared" si="21"/>
        <v>0.8</v>
      </c>
      <c r="AA74" s="16" t="s">
        <v>70</v>
      </c>
      <c r="AB74" s="70">
        <v>44125</v>
      </c>
      <c r="AC74" s="19">
        <v>44118</v>
      </c>
      <c r="AD74" s="70">
        <v>44125</v>
      </c>
      <c r="AE74" s="70">
        <v>44120</v>
      </c>
      <c r="AF74" s="70">
        <v>44120</v>
      </c>
      <c r="AG74" s="70" t="s">
        <v>130</v>
      </c>
      <c r="AH74" s="97">
        <v>1</v>
      </c>
      <c r="AI74" s="97">
        <v>1</v>
      </c>
      <c r="AJ74" s="97">
        <v>1</v>
      </c>
      <c r="AK74" s="71"/>
      <c r="AL74" s="76" t="s">
        <v>117</v>
      </c>
      <c r="AM74" s="87"/>
      <c r="AN74" s="15"/>
      <c r="AO74" s="15"/>
    </row>
    <row r="75" spans="2:41" x14ac:dyDescent="0.25">
      <c r="B75" s="95">
        <f t="shared" si="19"/>
        <v>16</v>
      </c>
      <c r="C75" s="16">
        <v>20201014</v>
      </c>
      <c r="D75" s="16" t="s">
        <v>3</v>
      </c>
      <c r="E75" s="74" t="s">
        <v>404</v>
      </c>
      <c r="F75" s="69"/>
      <c r="G75" s="37"/>
      <c r="H75" s="16" t="s">
        <v>246</v>
      </c>
      <c r="I75" s="16" t="s">
        <v>265</v>
      </c>
      <c r="J75" s="16" t="s">
        <v>174</v>
      </c>
      <c r="K75" s="37"/>
      <c r="L75" s="69" t="s">
        <v>403</v>
      </c>
      <c r="M75" s="37"/>
      <c r="N75" s="16"/>
      <c r="O75" s="69" t="s">
        <v>352</v>
      </c>
      <c r="P75" s="69" t="s">
        <v>392</v>
      </c>
      <c r="Q75" s="18"/>
      <c r="R75" s="16" t="s">
        <v>170</v>
      </c>
      <c r="S75" s="16" t="s">
        <v>63</v>
      </c>
      <c r="T75" s="16"/>
      <c r="U75" s="16"/>
      <c r="V75" s="16"/>
      <c r="W75" s="15">
        <f>ROUND(IF(D75=Table!$C$3,Y75*Table!$C$4/8,Y75*Table!$D$4/8),3)</f>
        <v>45</v>
      </c>
      <c r="X75" s="101">
        <f t="shared" si="18"/>
        <v>45</v>
      </c>
      <c r="Y75" s="101">
        <v>0.8</v>
      </c>
      <c r="Z75" s="101">
        <f t="shared" si="21"/>
        <v>0.8</v>
      </c>
      <c r="AA75" s="16" t="s">
        <v>70</v>
      </c>
      <c r="AB75" s="70">
        <v>44125</v>
      </c>
      <c r="AC75" s="19">
        <v>44118</v>
      </c>
      <c r="AD75" s="70">
        <v>44125</v>
      </c>
      <c r="AE75" s="70">
        <v>44120</v>
      </c>
      <c r="AF75" s="70">
        <v>44120</v>
      </c>
      <c r="AG75" s="70" t="s">
        <v>130</v>
      </c>
      <c r="AH75" s="97">
        <v>1</v>
      </c>
      <c r="AI75" s="97">
        <v>1</v>
      </c>
      <c r="AJ75" s="97">
        <v>0.73</v>
      </c>
      <c r="AK75" s="71"/>
      <c r="AL75" s="76" t="s">
        <v>117</v>
      </c>
      <c r="AM75" s="87"/>
      <c r="AN75" s="15"/>
      <c r="AO75" s="15"/>
    </row>
    <row r="76" spans="2:41" x14ac:dyDescent="0.25">
      <c r="B76" s="95">
        <f t="shared" si="19"/>
        <v>17</v>
      </c>
      <c r="C76" s="16">
        <v>20201014</v>
      </c>
      <c r="D76" s="16" t="s">
        <v>3</v>
      </c>
      <c r="E76" s="74" t="s">
        <v>404</v>
      </c>
      <c r="F76" s="69"/>
      <c r="G76" s="37"/>
      <c r="H76" s="16" t="s">
        <v>219</v>
      </c>
      <c r="I76" s="16" t="s">
        <v>266</v>
      </c>
      <c r="J76" s="16" t="s">
        <v>174</v>
      </c>
      <c r="K76" s="37"/>
      <c r="L76" s="69" t="s">
        <v>403</v>
      </c>
      <c r="M76" s="37"/>
      <c r="N76" s="16"/>
      <c r="O76" s="69" t="s">
        <v>353</v>
      </c>
      <c r="P76" s="69" t="s">
        <v>392</v>
      </c>
      <c r="Q76" s="18"/>
      <c r="R76" s="16" t="s">
        <v>170</v>
      </c>
      <c r="S76" s="16" t="s">
        <v>63</v>
      </c>
      <c r="T76" s="16"/>
      <c r="U76" s="16"/>
      <c r="V76" s="16"/>
      <c r="W76" s="15">
        <f>ROUND(IF(D76=Table!$C$3,Y76*Table!$C$4/8,Y76*Table!$D$4/8),3)</f>
        <v>45</v>
      </c>
      <c r="X76" s="101">
        <f t="shared" si="18"/>
        <v>45</v>
      </c>
      <c r="Y76" s="101">
        <v>0.8</v>
      </c>
      <c r="Z76" s="101">
        <f t="shared" si="21"/>
        <v>0.8</v>
      </c>
      <c r="AA76" s="16" t="s">
        <v>70</v>
      </c>
      <c r="AB76" s="70">
        <v>44125</v>
      </c>
      <c r="AC76" s="19">
        <v>44118</v>
      </c>
      <c r="AD76" s="70">
        <v>44125</v>
      </c>
      <c r="AE76" s="70">
        <v>44120</v>
      </c>
      <c r="AF76" s="70">
        <v>44120</v>
      </c>
      <c r="AG76" s="70" t="s">
        <v>130</v>
      </c>
      <c r="AH76" s="97">
        <v>1</v>
      </c>
      <c r="AI76" s="97">
        <v>1</v>
      </c>
      <c r="AJ76" s="97">
        <v>1</v>
      </c>
      <c r="AK76" s="71"/>
      <c r="AL76" s="76" t="s">
        <v>117</v>
      </c>
      <c r="AM76" s="87"/>
      <c r="AN76" s="15"/>
      <c r="AO76" s="15"/>
    </row>
    <row r="77" spans="2:41" x14ac:dyDescent="0.25">
      <c r="B77" s="95">
        <f t="shared" si="19"/>
        <v>18</v>
      </c>
      <c r="C77" s="16">
        <v>20201014</v>
      </c>
      <c r="D77" s="16" t="s">
        <v>3</v>
      </c>
      <c r="E77" s="74" t="s">
        <v>404</v>
      </c>
      <c r="F77" s="69"/>
      <c r="G77" s="37"/>
      <c r="H77" s="131" t="s">
        <v>247</v>
      </c>
      <c r="I77" s="16" t="s">
        <v>267</v>
      </c>
      <c r="J77" s="16" t="s">
        <v>174</v>
      </c>
      <c r="K77" s="37"/>
      <c r="L77" s="69" t="s">
        <v>403</v>
      </c>
      <c r="M77" s="37"/>
      <c r="N77" s="16"/>
      <c r="O77" s="69" t="s">
        <v>354</v>
      </c>
      <c r="P77" s="69" t="s">
        <v>391</v>
      </c>
      <c r="Q77" s="18"/>
      <c r="R77" s="16" t="s">
        <v>170</v>
      </c>
      <c r="S77" s="16" t="s">
        <v>63</v>
      </c>
      <c r="T77" s="16"/>
      <c r="U77" s="16"/>
      <c r="V77" s="16"/>
      <c r="W77" s="15">
        <f>ROUND(IF(D77=Table!$C$3,Y77*Table!$C$4/8,Y77*Table!$D$4/8),3)</f>
        <v>193.5</v>
      </c>
      <c r="X77" s="101">
        <f t="shared" si="18"/>
        <v>193.5</v>
      </c>
      <c r="Y77" s="101">
        <v>3.44</v>
      </c>
      <c r="Z77" s="101">
        <f t="shared" si="21"/>
        <v>3.44</v>
      </c>
      <c r="AA77" s="16" t="s">
        <v>70</v>
      </c>
      <c r="AB77" s="70">
        <v>44125</v>
      </c>
      <c r="AC77" s="19">
        <v>44118</v>
      </c>
      <c r="AD77" s="70">
        <v>44125</v>
      </c>
      <c r="AE77" s="70">
        <v>44120</v>
      </c>
      <c r="AF77" s="70">
        <v>44120</v>
      </c>
      <c r="AG77" s="70" t="s">
        <v>130</v>
      </c>
      <c r="AH77" s="97">
        <v>1</v>
      </c>
      <c r="AI77" s="97">
        <v>1</v>
      </c>
      <c r="AJ77" s="97">
        <v>0.72</v>
      </c>
      <c r="AK77" s="71"/>
      <c r="AL77" s="76" t="s">
        <v>117</v>
      </c>
      <c r="AM77" s="87"/>
      <c r="AN77" s="15"/>
      <c r="AO77" s="15"/>
    </row>
    <row r="78" spans="2:41" x14ac:dyDescent="0.25">
      <c r="B78" s="95">
        <f t="shared" si="19"/>
        <v>19</v>
      </c>
      <c r="C78" s="16">
        <v>20201014</v>
      </c>
      <c r="D78" s="16" t="s">
        <v>3</v>
      </c>
      <c r="E78" s="74" t="s">
        <v>404</v>
      </c>
      <c r="F78" s="69"/>
      <c r="G78" s="37"/>
      <c r="H78" s="16" t="s">
        <v>227</v>
      </c>
      <c r="I78" s="16" t="s">
        <v>268</v>
      </c>
      <c r="J78" s="16" t="s">
        <v>174</v>
      </c>
      <c r="K78" s="37"/>
      <c r="L78" s="69" t="s">
        <v>403</v>
      </c>
      <c r="M78" s="37"/>
      <c r="N78" s="16"/>
      <c r="O78" s="69" t="s">
        <v>355</v>
      </c>
      <c r="P78" s="69" t="s">
        <v>392</v>
      </c>
      <c r="Q78" s="18"/>
      <c r="R78" s="16" t="s">
        <v>170</v>
      </c>
      <c r="S78" s="16" t="s">
        <v>63</v>
      </c>
      <c r="T78" s="16"/>
      <c r="U78" s="16"/>
      <c r="V78" s="16"/>
      <c r="W78" s="15">
        <f>ROUND(IF(D78=Table!$C$3,Y78*Table!$C$4/8,Y78*Table!$D$4/8),3)</f>
        <v>45</v>
      </c>
      <c r="X78" s="101">
        <f t="shared" si="18"/>
        <v>45</v>
      </c>
      <c r="Y78" s="101">
        <v>0.8</v>
      </c>
      <c r="Z78" s="101">
        <f t="shared" si="21"/>
        <v>0.8</v>
      </c>
      <c r="AA78" s="16" t="s">
        <v>70</v>
      </c>
      <c r="AB78" s="70">
        <v>44125</v>
      </c>
      <c r="AC78" s="19">
        <v>44118</v>
      </c>
      <c r="AD78" s="70">
        <v>44125</v>
      </c>
      <c r="AE78" s="70">
        <v>44120</v>
      </c>
      <c r="AF78" s="70">
        <v>44120</v>
      </c>
      <c r="AG78" s="70" t="s">
        <v>130</v>
      </c>
      <c r="AH78" s="97">
        <v>1</v>
      </c>
      <c r="AI78" s="97">
        <v>1</v>
      </c>
      <c r="AJ78" s="97">
        <v>0.5</v>
      </c>
      <c r="AK78" s="71"/>
      <c r="AL78" s="76" t="s">
        <v>117</v>
      </c>
      <c r="AM78" s="87"/>
      <c r="AN78" s="15"/>
      <c r="AO78" s="15"/>
    </row>
    <row r="79" spans="2:41" x14ac:dyDescent="0.25">
      <c r="B79" s="95">
        <f t="shared" si="19"/>
        <v>20</v>
      </c>
      <c r="C79" s="16">
        <v>20201014</v>
      </c>
      <c r="D79" s="16" t="s">
        <v>3</v>
      </c>
      <c r="E79" s="74" t="s">
        <v>404</v>
      </c>
      <c r="F79" s="69"/>
      <c r="G79" s="37"/>
      <c r="H79" s="16" t="s">
        <v>248</v>
      </c>
      <c r="I79" s="126" t="s">
        <v>269</v>
      </c>
      <c r="J79" s="16" t="s">
        <v>174</v>
      </c>
      <c r="K79" s="37"/>
      <c r="L79" s="69" t="s">
        <v>403</v>
      </c>
      <c r="M79" s="37"/>
      <c r="N79" s="16"/>
      <c r="O79" s="69" t="s">
        <v>356</v>
      </c>
      <c r="P79" s="69" t="s">
        <v>391</v>
      </c>
      <c r="Q79" s="18"/>
      <c r="R79" s="16" t="s">
        <v>169</v>
      </c>
      <c r="S79" s="16" t="s">
        <v>147</v>
      </c>
      <c r="T79" s="16"/>
      <c r="U79" s="16"/>
      <c r="V79" s="16"/>
      <c r="W79" s="15">
        <f>ROUND(IF(D79=Table!$C$3,Y79*Table!$C$4/8,Y79*Table!$D$4/8),3)</f>
        <v>193.5</v>
      </c>
      <c r="X79" s="101">
        <f t="shared" si="18"/>
        <v>193.5</v>
      </c>
      <c r="Y79" s="101">
        <v>3.44</v>
      </c>
      <c r="Z79" s="101">
        <f t="shared" si="21"/>
        <v>3.44</v>
      </c>
      <c r="AA79" s="16" t="s">
        <v>70</v>
      </c>
      <c r="AB79" s="70">
        <v>44125</v>
      </c>
      <c r="AC79" s="19">
        <v>44118</v>
      </c>
      <c r="AD79" s="70">
        <v>44125</v>
      </c>
      <c r="AE79" s="70">
        <v>44119</v>
      </c>
      <c r="AF79" s="70">
        <v>44119</v>
      </c>
      <c r="AG79" s="70" t="s">
        <v>130</v>
      </c>
      <c r="AH79" s="97">
        <v>1</v>
      </c>
      <c r="AI79" s="97">
        <v>1</v>
      </c>
      <c r="AJ79" s="97">
        <v>0.92</v>
      </c>
      <c r="AK79" s="71"/>
      <c r="AL79" s="76" t="s">
        <v>107</v>
      </c>
      <c r="AM79" s="87"/>
      <c r="AN79" s="15"/>
      <c r="AO79" s="15"/>
    </row>
    <row r="80" spans="2:41" x14ac:dyDescent="0.25">
      <c r="B80" s="95">
        <f t="shared" si="19"/>
        <v>21</v>
      </c>
      <c r="C80" s="16">
        <v>20201014</v>
      </c>
      <c r="D80" s="16" t="s">
        <v>3</v>
      </c>
      <c r="E80" s="74" t="s">
        <v>404</v>
      </c>
      <c r="F80" s="69"/>
      <c r="G80" s="37"/>
      <c r="H80" s="16" t="s">
        <v>228</v>
      </c>
      <c r="I80" s="126" t="s">
        <v>236</v>
      </c>
      <c r="J80" s="16" t="s">
        <v>174</v>
      </c>
      <c r="K80" s="37"/>
      <c r="L80" s="69" t="s">
        <v>403</v>
      </c>
      <c r="M80" s="37"/>
      <c r="N80" s="16"/>
      <c r="O80" s="69" t="s">
        <v>241</v>
      </c>
      <c r="P80" s="69" t="s">
        <v>395</v>
      </c>
      <c r="Q80" s="18"/>
      <c r="R80" s="16" t="s">
        <v>169</v>
      </c>
      <c r="S80" s="16" t="s">
        <v>147</v>
      </c>
      <c r="T80" s="16"/>
      <c r="U80" s="16"/>
      <c r="V80" s="16"/>
      <c r="W80" s="15">
        <f>ROUND(IF(D80=Table!$C$3,Y80*Table!$C$4/8,Y80*Table!$D$4/8),3)</f>
        <v>45</v>
      </c>
      <c r="X80" s="101">
        <f t="shared" si="18"/>
        <v>45</v>
      </c>
      <c r="Y80" s="101">
        <v>0.8</v>
      </c>
      <c r="Z80" s="101">
        <f t="shared" si="21"/>
        <v>0.8</v>
      </c>
      <c r="AA80" s="16" t="s">
        <v>70</v>
      </c>
      <c r="AB80" s="70">
        <v>44125</v>
      </c>
      <c r="AC80" s="19">
        <v>44118</v>
      </c>
      <c r="AD80" s="70">
        <v>44125</v>
      </c>
      <c r="AE80" s="70">
        <v>44119</v>
      </c>
      <c r="AF80" s="70">
        <v>44119</v>
      </c>
      <c r="AG80" s="70" t="s">
        <v>130</v>
      </c>
      <c r="AH80" s="97">
        <v>1</v>
      </c>
      <c r="AI80" s="97">
        <v>1</v>
      </c>
      <c r="AJ80" s="97">
        <v>0.8</v>
      </c>
      <c r="AK80" s="71"/>
      <c r="AL80" s="76" t="s">
        <v>117</v>
      </c>
      <c r="AM80" s="87"/>
      <c r="AN80" s="15"/>
      <c r="AO80" s="15"/>
    </row>
    <row r="81" spans="2:41" x14ac:dyDescent="0.25">
      <c r="B81" s="95">
        <f t="shared" si="19"/>
        <v>22</v>
      </c>
      <c r="C81" s="16">
        <v>20201014</v>
      </c>
      <c r="D81" s="16" t="s">
        <v>3</v>
      </c>
      <c r="E81" s="74" t="s">
        <v>404</v>
      </c>
      <c r="F81" s="69"/>
      <c r="G81" s="37"/>
      <c r="H81" s="16" t="s">
        <v>205</v>
      </c>
      <c r="I81" s="126" t="s">
        <v>270</v>
      </c>
      <c r="J81" s="16" t="s">
        <v>174</v>
      </c>
      <c r="K81" s="37"/>
      <c r="L81" s="69" t="s">
        <v>403</v>
      </c>
      <c r="M81" s="37"/>
      <c r="N81" s="16"/>
      <c r="O81" s="69" t="s">
        <v>357</v>
      </c>
      <c r="P81" s="69" t="s">
        <v>251</v>
      </c>
      <c r="Q81" s="18"/>
      <c r="R81" s="16" t="s">
        <v>169</v>
      </c>
      <c r="S81" s="16" t="s">
        <v>143</v>
      </c>
      <c r="T81" s="16"/>
      <c r="U81" s="16"/>
      <c r="V81" s="16"/>
      <c r="W81" s="15">
        <f>ROUND(IF(D81=Table!$C$3,Y81*Table!$C$4/8,Y81*Table!$D$4/8),3)</f>
        <v>157.5</v>
      </c>
      <c r="X81" s="101">
        <f t="shared" si="18"/>
        <v>157.5</v>
      </c>
      <c r="Y81" s="101">
        <v>2.8000000000000003</v>
      </c>
      <c r="Z81" s="101">
        <f>Y81</f>
        <v>2.8000000000000003</v>
      </c>
      <c r="AA81" s="16" t="s">
        <v>70</v>
      </c>
      <c r="AB81" s="70">
        <v>44125</v>
      </c>
      <c r="AC81" s="19">
        <v>44118</v>
      </c>
      <c r="AD81" s="70">
        <v>44125</v>
      </c>
      <c r="AE81" s="70">
        <v>44125</v>
      </c>
      <c r="AF81" s="70">
        <v>44125</v>
      </c>
      <c r="AG81" s="70" t="s">
        <v>130</v>
      </c>
      <c r="AH81" s="97">
        <v>1</v>
      </c>
      <c r="AI81" s="97">
        <v>1</v>
      </c>
      <c r="AJ81" s="97">
        <v>1</v>
      </c>
      <c r="AK81" s="71"/>
      <c r="AL81" s="76" t="s">
        <v>117</v>
      </c>
      <c r="AM81" s="87"/>
      <c r="AN81" s="15"/>
      <c r="AO81" s="15"/>
    </row>
    <row r="82" spans="2:41" x14ac:dyDescent="0.25">
      <c r="B82" s="95">
        <f t="shared" si="19"/>
        <v>23</v>
      </c>
      <c r="C82" s="16">
        <v>20201014</v>
      </c>
      <c r="D82" s="16" t="s">
        <v>3</v>
      </c>
      <c r="E82" s="74" t="s">
        <v>404</v>
      </c>
      <c r="F82" s="69"/>
      <c r="G82" s="37"/>
      <c r="H82" s="16" t="s">
        <v>207</v>
      </c>
      <c r="I82" s="16" t="s">
        <v>271</v>
      </c>
      <c r="J82" s="16" t="s">
        <v>174</v>
      </c>
      <c r="K82" s="37"/>
      <c r="L82" s="69" t="s">
        <v>403</v>
      </c>
      <c r="M82" s="37"/>
      <c r="N82" s="16"/>
      <c r="O82" s="69" t="s">
        <v>358</v>
      </c>
      <c r="P82" s="69" t="s">
        <v>251</v>
      </c>
      <c r="Q82" s="18"/>
      <c r="R82" s="16" t="s">
        <v>168</v>
      </c>
      <c r="S82" s="16" t="s">
        <v>61</v>
      </c>
      <c r="T82" s="16"/>
      <c r="U82" s="16"/>
      <c r="V82" s="16"/>
      <c r="W82" s="15">
        <f>ROUND(IF(D82=Table!$C$3,Y82*Table!$C$4/8,Y82*Table!$D$4/8),3)</f>
        <v>121.5</v>
      </c>
      <c r="X82" s="101">
        <f t="shared" si="18"/>
        <v>121.5</v>
      </c>
      <c r="Y82" s="101">
        <v>2.16</v>
      </c>
      <c r="Z82" s="101"/>
      <c r="AA82" s="16" t="s">
        <v>70</v>
      </c>
      <c r="AB82" s="70">
        <v>44125</v>
      </c>
      <c r="AC82" s="19">
        <v>44118</v>
      </c>
      <c r="AD82" s="70">
        <v>44125</v>
      </c>
      <c r="AE82" s="70">
        <v>44123</v>
      </c>
      <c r="AF82" s="70">
        <v>44123</v>
      </c>
      <c r="AG82" s="67" t="s">
        <v>130</v>
      </c>
      <c r="AH82" s="97">
        <v>1</v>
      </c>
      <c r="AI82" s="97">
        <v>1</v>
      </c>
      <c r="AJ82" s="97">
        <v>0.75</v>
      </c>
      <c r="AK82" s="71"/>
      <c r="AL82" s="76" t="s">
        <v>117</v>
      </c>
      <c r="AM82" s="87"/>
      <c r="AN82" s="15"/>
      <c r="AO82" s="15"/>
    </row>
    <row r="83" spans="2:41" x14ac:dyDescent="0.25">
      <c r="B83" s="95">
        <f t="shared" si="19"/>
        <v>24</v>
      </c>
      <c r="C83" s="16">
        <v>20201014</v>
      </c>
      <c r="D83" s="16" t="s">
        <v>3</v>
      </c>
      <c r="E83" s="74" t="s">
        <v>404</v>
      </c>
      <c r="F83" s="69"/>
      <c r="G83" s="37"/>
      <c r="H83" s="16" t="s">
        <v>243</v>
      </c>
      <c r="I83" s="16" t="s">
        <v>249</v>
      </c>
      <c r="J83" s="16" t="s">
        <v>174</v>
      </c>
      <c r="K83" s="37"/>
      <c r="L83" s="69" t="s">
        <v>403</v>
      </c>
      <c r="M83" s="37"/>
      <c r="N83" s="16"/>
      <c r="O83" s="69" t="s">
        <v>250</v>
      </c>
      <c r="P83" s="69" t="s">
        <v>251</v>
      </c>
      <c r="Q83" s="18"/>
      <c r="R83" s="16" t="s">
        <v>171</v>
      </c>
      <c r="S83" s="16" t="s">
        <v>66</v>
      </c>
      <c r="T83" s="16"/>
      <c r="U83" s="16"/>
      <c r="V83" s="16"/>
      <c r="W83" s="15">
        <f>ROUND(IF(D83=Table!$C$3,Y83*Table!$C$4/8,Y83*Table!$D$4/8),3)</f>
        <v>45</v>
      </c>
      <c r="X83" s="101">
        <f t="shared" si="18"/>
        <v>45</v>
      </c>
      <c r="Y83" s="101">
        <v>0.8</v>
      </c>
      <c r="Z83" s="101">
        <f>Y83</f>
        <v>0.8</v>
      </c>
      <c r="AA83" s="16" t="s">
        <v>70</v>
      </c>
      <c r="AB83" s="70">
        <v>44125</v>
      </c>
      <c r="AC83" s="19">
        <v>44118</v>
      </c>
      <c r="AD83" s="70">
        <v>44125</v>
      </c>
      <c r="AE83" s="70">
        <v>44119</v>
      </c>
      <c r="AF83" s="70">
        <v>44119</v>
      </c>
      <c r="AG83" s="70" t="s">
        <v>130</v>
      </c>
      <c r="AH83" s="97">
        <v>1</v>
      </c>
      <c r="AI83" s="97">
        <v>1</v>
      </c>
      <c r="AJ83" s="97">
        <v>1</v>
      </c>
      <c r="AK83" s="71"/>
      <c r="AL83" s="76" t="s">
        <v>117</v>
      </c>
      <c r="AM83" s="87"/>
      <c r="AN83" s="15"/>
      <c r="AO83" s="15"/>
    </row>
    <row r="84" spans="2:41" x14ac:dyDescent="0.25">
      <c r="B84" s="95">
        <f t="shared" si="19"/>
        <v>25</v>
      </c>
      <c r="C84" s="16">
        <v>20201014</v>
      </c>
      <c r="D84" s="16" t="s">
        <v>3</v>
      </c>
      <c r="E84" s="74" t="s">
        <v>404</v>
      </c>
      <c r="F84" s="69"/>
      <c r="G84" s="37"/>
      <c r="H84" s="16" t="s">
        <v>244</v>
      </c>
      <c r="I84" s="16" t="s">
        <v>272</v>
      </c>
      <c r="J84" s="16" t="s">
        <v>174</v>
      </c>
      <c r="K84" s="37"/>
      <c r="L84" s="69" t="s">
        <v>403</v>
      </c>
      <c r="M84" s="37"/>
      <c r="N84" s="16"/>
      <c r="O84" s="69" t="s">
        <v>359</v>
      </c>
      <c r="P84" s="69" t="s">
        <v>251</v>
      </c>
      <c r="Q84" s="18"/>
      <c r="R84" s="16" t="s">
        <v>171</v>
      </c>
      <c r="S84" s="16" t="s">
        <v>66</v>
      </c>
      <c r="T84" s="16"/>
      <c r="U84" s="16"/>
      <c r="V84" s="16"/>
      <c r="W84" s="15">
        <f>ROUND(IF(D84=Table!$C$3,Y84*Table!$C$4/8,Y84*Table!$D$4/8),3)</f>
        <v>45</v>
      </c>
      <c r="X84" s="101">
        <f t="shared" si="18"/>
        <v>45</v>
      </c>
      <c r="Y84" s="101">
        <v>0.8</v>
      </c>
      <c r="Z84" s="101">
        <f>Y84</f>
        <v>0.8</v>
      </c>
      <c r="AA84" s="16" t="s">
        <v>70</v>
      </c>
      <c r="AB84" s="70">
        <v>44125</v>
      </c>
      <c r="AC84" s="19">
        <v>44118</v>
      </c>
      <c r="AD84" s="70">
        <v>44125</v>
      </c>
      <c r="AE84" s="70">
        <v>44119</v>
      </c>
      <c r="AF84" s="70">
        <v>44119</v>
      </c>
      <c r="AG84" s="70" t="s">
        <v>130</v>
      </c>
      <c r="AH84" s="97">
        <v>1</v>
      </c>
      <c r="AI84" s="97">
        <v>1</v>
      </c>
      <c r="AJ84" s="97">
        <v>1</v>
      </c>
      <c r="AK84" s="71"/>
      <c r="AL84" s="76" t="s">
        <v>117</v>
      </c>
      <c r="AM84" s="87"/>
      <c r="AN84" s="15"/>
      <c r="AO84" s="15"/>
    </row>
    <row r="85" spans="2:41" x14ac:dyDescent="0.25">
      <c r="B85" s="95">
        <f t="shared" si="19"/>
        <v>26</v>
      </c>
      <c r="C85" s="16">
        <v>20201014</v>
      </c>
      <c r="D85" s="16" t="s">
        <v>3</v>
      </c>
      <c r="E85" s="74" t="s">
        <v>404</v>
      </c>
      <c r="F85" s="69"/>
      <c r="G85" s="37"/>
      <c r="H85" s="16" t="s">
        <v>245</v>
      </c>
      <c r="I85" s="16" t="s">
        <v>273</v>
      </c>
      <c r="J85" s="16" t="s">
        <v>188</v>
      </c>
      <c r="K85" s="37"/>
      <c r="L85" s="69" t="s">
        <v>403</v>
      </c>
      <c r="M85" s="37"/>
      <c r="N85" s="16"/>
      <c r="O85" s="69" t="s">
        <v>360</v>
      </c>
      <c r="P85" s="69" t="s">
        <v>396</v>
      </c>
      <c r="Q85" s="18"/>
      <c r="R85" s="16" t="s">
        <v>172</v>
      </c>
      <c r="S85" s="16" t="s">
        <v>109</v>
      </c>
      <c r="T85" s="16"/>
      <c r="U85" s="16"/>
      <c r="V85" s="16"/>
      <c r="W85" s="15">
        <f>ROUND(IF(D85=Table!$C$3,Y85*Table!$C$4/8,Y85*Table!$D$4/8),3)</f>
        <v>85.5</v>
      </c>
      <c r="X85" s="101">
        <f t="shared" si="18"/>
        <v>85.5</v>
      </c>
      <c r="Y85" s="101">
        <v>1.52</v>
      </c>
      <c r="Z85" s="101">
        <v>1.52</v>
      </c>
      <c r="AA85" s="16" t="s">
        <v>70</v>
      </c>
      <c r="AB85" s="70">
        <v>44125</v>
      </c>
      <c r="AC85" s="19">
        <v>44118</v>
      </c>
      <c r="AD85" s="70">
        <v>44125</v>
      </c>
      <c r="AE85" s="70">
        <v>44119</v>
      </c>
      <c r="AF85" s="70">
        <v>44119</v>
      </c>
      <c r="AG85" s="67" t="s">
        <v>130</v>
      </c>
      <c r="AH85" s="97">
        <v>1</v>
      </c>
      <c r="AI85" s="97">
        <v>1</v>
      </c>
      <c r="AJ85" s="97">
        <v>0.71</v>
      </c>
      <c r="AK85" s="71"/>
      <c r="AL85" s="76" t="s">
        <v>117</v>
      </c>
      <c r="AM85" s="87"/>
      <c r="AN85" s="15"/>
      <c r="AO85" s="15"/>
    </row>
    <row r="86" spans="2:41" x14ac:dyDescent="0.25">
      <c r="B86" s="95">
        <f t="shared" si="19"/>
        <v>27</v>
      </c>
      <c r="C86" s="16">
        <v>20201014</v>
      </c>
      <c r="D86" s="16" t="s">
        <v>3</v>
      </c>
      <c r="E86" s="74" t="s">
        <v>404</v>
      </c>
      <c r="F86" s="69"/>
      <c r="G86" s="37"/>
      <c r="H86" s="16" t="s">
        <v>405</v>
      </c>
      <c r="I86" s="16" t="s">
        <v>274</v>
      </c>
      <c r="J86" s="16" t="s">
        <v>174</v>
      </c>
      <c r="K86" s="37"/>
      <c r="L86" s="69" t="s">
        <v>403</v>
      </c>
      <c r="M86" s="37"/>
      <c r="N86" s="16"/>
      <c r="O86" s="69" t="s">
        <v>361</v>
      </c>
      <c r="P86" s="69" t="s">
        <v>395</v>
      </c>
      <c r="Q86" s="18"/>
      <c r="R86" s="16" t="s">
        <v>172</v>
      </c>
      <c r="S86" s="16" t="s">
        <v>109</v>
      </c>
      <c r="T86" s="16"/>
      <c r="U86" s="16"/>
      <c r="V86" s="16"/>
      <c r="W86" s="15">
        <f>ROUND(IF(D86=Table!$C$3,Y86*Table!$C$4/8,Y86*Table!$D$4/8),3)</f>
        <v>45</v>
      </c>
      <c r="X86" s="101">
        <f t="shared" si="18"/>
        <v>45</v>
      </c>
      <c r="Y86" s="101">
        <v>0.8</v>
      </c>
      <c r="Z86" s="101">
        <v>0.8</v>
      </c>
      <c r="AA86" s="16" t="s">
        <v>70</v>
      </c>
      <c r="AB86" s="70">
        <v>44125</v>
      </c>
      <c r="AC86" s="19">
        <v>44118</v>
      </c>
      <c r="AD86" s="70">
        <v>44125</v>
      </c>
      <c r="AE86" s="70">
        <v>44119</v>
      </c>
      <c r="AF86" s="70">
        <v>44119</v>
      </c>
      <c r="AG86" s="67" t="s">
        <v>130</v>
      </c>
      <c r="AH86" s="97">
        <v>1</v>
      </c>
      <c r="AI86" s="97">
        <v>1</v>
      </c>
      <c r="AJ86" s="97">
        <v>1</v>
      </c>
      <c r="AK86" s="71"/>
      <c r="AL86" s="76" t="s">
        <v>117</v>
      </c>
      <c r="AM86" s="87"/>
      <c r="AN86" s="15"/>
      <c r="AO86" s="15"/>
    </row>
    <row r="87" spans="2:41" x14ac:dyDescent="0.25">
      <c r="B87" s="95">
        <f t="shared" si="19"/>
        <v>28</v>
      </c>
      <c r="C87" s="16">
        <v>20201014</v>
      </c>
      <c r="D87" s="16" t="s">
        <v>3</v>
      </c>
      <c r="E87" s="74" t="s">
        <v>404</v>
      </c>
      <c r="F87" s="69"/>
      <c r="G87" s="37"/>
      <c r="H87" s="16" t="s">
        <v>252</v>
      </c>
      <c r="I87" s="16" t="s">
        <v>237</v>
      </c>
      <c r="J87" s="16" t="s">
        <v>174</v>
      </c>
      <c r="K87" s="37"/>
      <c r="L87" s="69" t="s">
        <v>403</v>
      </c>
      <c r="M87" s="37"/>
      <c r="N87" s="16"/>
      <c r="O87" s="69" t="s">
        <v>362</v>
      </c>
      <c r="P87" s="69" t="s">
        <v>395</v>
      </c>
      <c r="Q87" s="18"/>
      <c r="R87" s="16" t="s">
        <v>172</v>
      </c>
      <c r="S87" s="16" t="s">
        <v>109</v>
      </c>
      <c r="T87" s="16"/>
      <c r="U87" s="16"/>
      <c r="V87" s="16"/>
      <c r="W87" s="15">
        <f>ROUND(IF(D87=Table!$C$3,Y87*Table!$C$4/8,Y87*Table!$D$4/8),3)</f>
        <v>45</v>
      </c>
      <c r="X87" s="101">
        <f t="shared" si="18"/>
        <v>45</v>
      </c>
      <c r="Y87" s="101">
        <v>0.8</v>
      </c>
      <c r="Z87" s="101">
        <v>0.8</v>
      </c>
      <c r="AA87" s="16" t="s">
        <v>70</v>
      </c>
      <c r="AB87" s="70">
        <v>44125</v>
      </c>
      <c r="AC87" s="19">
        <v>44118</v>
      </c>
      <c r="AD87" s="70">
        <v>44125</v>
      </c>
      <c r="AE87" s="70">
        <v>44119</v>
      </c>
      <c r="AF87" s="70">
        <v>44119</v>
      </c>
      <c r="AG87" s="67" t="s">
        <v>130</v>
      </c>
      <c r="AH87" s="97">
        <v>1</v>
      </c>
      <c r="AI87" s="97">
        <v>1</v>
      </c>
      <c r="AJ87" s="97">
        <v>1</v>
      </c>
      <c r="AK87" s="71"/>
      <c r="AL87" s="76" t="s">
        <v>117</v>
      </c>
      <c r="AM87" s="87"/>
      <c r="AN87" s="15"/>
      <c r="AO87" s="15"/>
    </row>
    <row r="88" spans="2:41" x14ac:dyDescent="0.25">
      <c r="B88" s="95">
        <f t="shared" si="19"/>
        <v>29</v>
      </c>
      <c r="C88" s="16">
        <v>20201014</v>
      </c>
      <c r="D88" s="16" t="s">
        <v>3</v>
      </c>
      <c r="E88" s="74" t="s">
        <v>404</v>
      </c>
      <c r="F88" s="69"/>
      <c r="G88" s="37"/>
      <c r="H88" s="16" t="s">
        <v>211</v>
      </c>
      <c r="I88" s="16" t="s">
        <v>275</v>
      </c>
      <c r="J88" s="16" t="s">
        <v>174</v>
      </c>
      <c r="K88" s="37"/>
      <c r="L88" s="69" t="s">
        <v>403</v>
      </c>
      <c r="M88" s="37"/>
      <c r="N88" s="16"/>
      <c r="O88" s="69" t="s">
        <v>363</v>
      </c>
      <c r="P88" s="69" t="s">
        <v>397</v>
      </c>
      <c r="Q88" s="18"/>
      <c r="R88" s="16" t="s">
        <v>172</v>
      </c>
      <c r="S88" s="16" t="s">
        <v>109</v>
      </c>
      <c r="T88" s="16"/>
      <c r="U88" s="16"/>
      <c r="V88" s="16"/>
      <c r="W88" s="15">
        <f>ROUND(IF(D88=Table!$C$3,Y88*Table!$C$4/8,Y88*Table!$D$4/8),3)</f>
        <v>45</v>
      </c>
      <c r="X88" s="101">
        <f t="shared" si="18"/>
        <v>45</v>
      </c>
      <c r="Y88" s="101">
        <v>0.8</v>
      </c>
      <c r="Z88" s="101">
        <v>0.8</v>
      </c>
      <c r="AA88" s="16" t="s">
        <v>70</v>
      </c>
      <c r="AB88" s="70">
        <v>44125</v>
      </c>
      <c r="AC88" s="19">
        <v>44118</v>
      </c>
      <c r="AD88" s="70">
        <v>44125</v>
      </c>
      <c r="AE88" s="70">
        <v>44119</v>
      </c>
      <c r="AF88" s="70">
        <v>44119</v>
      </c>
      <c r="AG88" s="67" t="s">
        <v>130</v>
      </c>
      <c r="AH88" s="97" t="s">
        <v>213</v>
      </c>
      <c r="AI88" s="97" t="s">
        <v>213</v>
      </c>
      <c r="AJ88" s="97" t="s">
        <v>213</v>
      </c>
      <c r="AK88" s="71"/>
      <c r="AL88" s="76" t="s">
        <v>117</v>
      </c>
      <c r="AM88" s="87"/>
      <c r="AN88" s="15"/>
      <c r="AO88" s="15" t="s">
        <v>464</v>
      </c>
    </row>
    <row r="89" spans="2:41" x14ac:dyDescent="0.25">
      <c r="B89" s="95">
        <f t="shared" si="19"/>
        <v>30</v>
      </c>
      <c r="C89" s="16">
        <v>20201014</v>
      </c>
      <c r="D89" s="16" t="s">
        <v>3</v>
      </c>
      <c r="E89" s="74" t="s">
        <v>404</v>
      </c>
      <c r="F89" s="69"/>
      <c r="G89" s="37"/>
      <c r="H89" s="16" t="s">
        <v>212</v>
      </c>
      <c r="I89" s="16" t="s">
        <v>238</v>
      </c>
      <c r="J89" s="16" t="s">
        <v>401</v>
      </c>
      <c r="K89" s="37"/>
      <c r="L89" s="69" t="s">
        <v>403</v>
      </c>
      <c r="M89" s="37"/>
      <c r="N89" s="16"/>
      <c r="O89" s="69" t="s">
        <v>364</v>
      </c>
      <c r="P89" s="69" t="s">
        <v>395</v>
      </c>
      <c r="Q89" s="18"/>
      <c r="R89" s="16" t="s">
        <v>172</v>
      </c>
      <c r="S89" s="16" t="s">
        <v>109</v>
      </c>
      <c r="T89" s="16"/>
      <c r="U89" s="16"/>
      <c r="V89" s="16"/>
      <c r="W89" s="15">
        <f>ROUND(IF(D89=Table!$C$3,Y89*Table!$C$4/8,Y89*Table!$D$4/8),3)</f>
        <v>85.5</v>
      </c>
      <c r="X89" s="101">
        <f t="shared" si="18"/>
        <v>85.5</v>
      </c>
      <c r="Y89" s="101">
        <v>1.52</v>
      </c>
      <c r="Z89" s="101">
        <v>1.52</v>
      </c>
      <c r="AA89" s="16" t="s">
        <v>70</v>
      </c>
      <c r="AB89" s="70">
        <v>44125</v>
      </c>
      <c r="AC89" s="19">
        <v>44118</v>
      </c>
      <c r="AD89" s="70">
        <v>44125</v>
      </c>
      <c r="AE89" s="70">
        <v>44123</v>
      </c>
      <c r="AF89" s="70">
        <v>44123</v>
      </c>
      <c r="AG89" s="67" t="s">
        <v>130</v>
      </c>
      <c r="AH89" s="97">
        <v>0.99</v>
      </c>
      <c r="AI89" s="97">
        <v>0.97</v>
      </c>
      <c r="AJ89" s="97">
        <v>0.28999999999999998</v>
      </c>
      <c r="AK89" s="71"/>
      <c r="AL89" s="76" t="s">
        <v>117</v>
      </c>
      <c r="AM89" s="87" t="s">
        <v>488</v>
      </c>
      <c r="AN89" s="15"/>
      <c r="AO89" s="15"/>
    </row>
    <row r="90" spans="2:41" x14ac:dyDescent="0.25">
      <c r="B90" s="95">
        <f t="shared" si="19"/>
        <v>31</v>
      </c>
      <c r="C90" s="16">
        <v>20201014</v>
      </c>
      <c r="D90" s="16" t="s">
        <v>3</v>
      </c>
      <c r="E90" s="74" t="s">
        <v>404</v>
      </c>
      <c r="F90" s="69"/>
      <c r="G90" s="37"/>
      <c r="H90" s="16" t="s">
        <v>229</v>
      </c>
      <c r="I90" s="16" t="s">
        <v>239</v>
      </c>
      <c r="J90" s="16" t="s">
        <v>174</v>
      </c>
      <c r="K90" s="37"/>
      <c r="L90" s="69" t="s">
        <v>403</v>
      </c>
      <c r="M90" s="37"/>
      <c r="N90" s="16"/>
      <c r="O90" s="69" t="s">
        <v>365</v>
      </c>
      <c r="P90" s="69" t="s">
        <v>395</v>
      </c>
      <c r="Q90" s="18"/>
      <c r="R90" s="16" t="s">
        <v>172</v>
      </c>
      <c r="S90" s="16" t="s">
        <v>109</v>
      </c>
      <c r="T90" s="16"/>
      <c r="U90" s="16"/>
      <c r="V90" s="16"/>
      <c r="W90" s="15">
        <f>ROUND(IF(D90=Table!$C$3,Y90*Table!$C$4/8,Y90*Table!$D$4/8),3)</f>
        <v>103.5</v>
      </c>
      <c r="X90" s="101">
        <f t="shared" si="18"/>
        <v>103.5</v>
      </c>
      <c r="Y90" s="101">
        <v>1.8399999999999999</v>
      </c>
      <c r="Z90" s="101">
        <v>1.8399999999999999</v>
      </c>
      <c r="AA90" s="16" t="s">
        <v>70</v>
      </c>
      <c r="AB90" s="70">
        <v>44125</v>
      </c>
      <c r="AC90" s="19">
        <v>44118</v>
      </c>
      <c r="AD90" s="70">
        <v>44125</v>
      </c>
      <c r="AE90" s="70">
        <v>44119</v>
      </c>
      <c r="AF90" s="70">
        <v>44119</v>
      </c>
      <c r="AG90" s="67" t="s">
        <v>130</v>
      </c>
      <c r="AH90" s="97">
        <v>1</v>
      </c>
      <c r="AI90" s="97">
        <v>1</v>
      </c>
      <c r="AJ90" s="97">
        <v>0.67</v>
      </c>
      <c r="AK90" s="71"/>
      <c r="AL90" s="76" t="s">
        <v>117</v>
      </c>
      <c r="AM90" s="87"/>
      <c r="AN90" s="15"/>
      <c r="AO90" s="15"/>
    </row>
    <row r="91" spans="2:41" x14ac:dyDescent="0.25">
      <c r="B91" s="95">
        <f t="shared" si="19"/>
        <v>32</v>
      </c>
      <c r="C91" s="16">
        <v>20201014</v>
      </c>
      <c r="D91" s="16" t="s">
        <v>3</v>
      </c>
      <c r="E91" s="74" t="s">
        <v>404</v>
      </c>
      <c r="F91" s="69"/>
      <c r="G91" s="37"/>
      <c r="H91" s="16" t="s">
        <v>230</v>
      </c>
      <c r="I91" s="16" t="s">
        <v>240</v>
      </c>
      <c r="J91" s="16" t="s">
        <v>174</v>
      </c>
      <c r="K91" s="37"/>
      <c r="L91" s="69" t="s">
        <v>403</v>
      </c>
      <c r="M91" s="37"/>
      <c r="N91" s="16"/>
      <c r="O91" s="69" t="s">
        <v>366</v>
      </c>
      <c r="P91" s="69" t="s">
        <v>395</v>
      </c>
      <c r="Q91" s="18"/>
      <c r="R91" s="16" t="s">
        <v>172</v>
      </c>
      <c r="S91" s="16" t="s">
        <v>109</v>
      </c>
      <c r="T91" s="16"/>
      <c r="U91" s="16"/>
      <c r="V91" s="16"/>
      <c r="W91" s="15">
        <f>ROUND(IF(D91=Table!$C$3,Y91*Table!$C$4/8,Y91*Table!$D$4/8),3)</f>
        <v>67.5</v>
      </c>
      <c r="X91" s="101">
        <f t="shared" si="18"/>
        <v>67.5</v>
      </c>
      <c r="Y91" s="101">
        <v>1.2000000000000002</v>
      </c>
      <c r="Z91" s="101">
        <v>1.2000000000000002</v>
      </c>
      <c r="AA91" s="16" t="s">
        <v>70</v>
      </c>
      <c r="AB91" s="70">
        <v>44125</v>
      </c>
      <c r="AC91" s="19">
        <v>44118</v>
      </c>
      <c r="AD91" s="70">
        <v>44125</v>
      </c>
      <c r="AE91" s="70">
        <v>44119</v>
      </c>
      <c r="AF91" s="70">
        <v>44119</v>
      </c>
      <c r="AG91" s="67" t="s">
        <v>130</v>
      </c>
      <c r="AH91" s="97">
        <v>1</v>
      </c>
      <c r="AI91" s="97">
        <v>1</v>
      </c>
      <c r="AJ91" s="97">
        <v>0.5</v>
      </c>
      <c r="AK91" s="71"/>
      <c r="AL91" s="76" t="s">
        <v>117</v>
      </c>
      <c r="AM91" s="87"/>
      <c r="AN91" s="15"/>
      <c r="AO91" s="15"/>
    </row>
    <row r="92" spans="2:41" x14ac:dyDescent="0.25">
      <c r="B92" s="95">
        <f t="shared" si="19"/>
        <v>33</v>
      </c>
      <c r="C92" s="16">
        <v>20201014</v>
      </c>
      <c r="D92" s="16" t="s">
        <v>3</v>
      </c>
      <c r="E92" s="74" t="s">
        <v>404</v>
      </c>
      <c r="F92" s="69"/>
      <c r="G92" s="37"/>
      <c r="H92" s="16" t="s">
        <v>178</v>
      </c>
      <c r="I92" s="16" t="s">
        <v>210</v>
      </c>
      <c r="J92" s="16" t="s">
        <v>174</v>
      </c>
      <c r="K92" s="37"/>
      <c r="L92" s="69" t="s">
        <v>403</v>
      </c>
      <c r="M92" s="37"/>
      <c r="N92" s="16"/>
      <c r="O92" s="69" t="s">
        <v>367</v>
      </c>
      <c r="P92" s="69" t="s">
        <v>251</v>
      </c>
      <c r="Q92" s="18"/>
      <c r="R92" s="16" t="s">
        <v>172</v>
      </c>
      <c r="S92" s="16" t="s">
        <v>109</v>
      </c>
      <c r="T92" s="16"/>
      <c r="U92" s="16"/>
      <c r="V92" s="16"/>
      <c r="W92" s="15">
        <f>ROUND(IF(D92=Table!$C$3,Y92*Table!$C$4/8,Y92*Table!$D$4/8),3)</f>
        <v>45</v>
      </c>
      <c r="X92" s="101">
        <f t="shared" ref="X92:X123" si="22">W92</f>
        <v>45</v>
      </c>
      <c r="Y92" s="101">
        <v>0.8</v>
      </c>
      <c r="Z92" s="101">
        <v>0.8</v>
      </c>
      <c r="AA92" s="16" t="s">
        <v>70</v>
      </c>
      <c r="AB92" s="70">
        <v>44125</v>
      </c>
      <c r="AC92" s="19">
        <v>44118</v>
      </c>
      <c r="AD92" s="70">
        <v>44125</v>
      </c>
      <c r="AE92" s="70">
        <v>44119</v>
      </c>
      <c r="AF92" s="70">
        <v>44119</v>
      </c>
      <c r="AG92" s="67" t="s">
        <v>130</v>
      </c>
      <c r="AH92" s="97">
        <v>1</v>
      </c>
      <c r="AI92" s="97">
        <v>1</v>
      </c>
      <c r="AJ92" s="97">
        <v>0.82</v>
      </c>
      <c r="AK92" s="71"/>
      <c r="AL92" s="76" t="s">
        <v>117</v>
      </c>
      <c r="AM92" s="87"/>
      <c r="AN92" s="15"/>
      <c r="AO92" s="15"/>
    </row>
    <row r="93" spans="2:41" x14ac:dyDescent="0.25">
      <c r="B93" s="95">
        <f t="shared" si="19"/>
        <v>34</v>
      </c>
      <c r="C93" s="16">
        <v>20201014</v>
      </c>
      <c r="D93" s="16" t="s">
        <v>3</v>
      </c>
      <c r="E93" s="74" t="s">
        <v>404</v>
      </c>
      <c r="F93" s="69"/>
      <c r="G93" s="37"/>
      <c r="H93" s="16" t="s">
        <v>179</v>
      </c>
      <c r="I93" s="16" t="s">
        <v>276</v>
      </c>
      <c r="J93" s="16" t="s">
        <v>174</v>
      </c>
      <c r="K93" s="37"/>
      <c r="L93" s="69" t="s">
        <v>403</v>
      </c>
      <c r="M93" s="37"/>
      <c r="N93" s="16"/>
      <c r="O93" s="69" t="s">
        <v>368</v>
      </c>
      <c r="P93" s="69" t="s">
        <v>251</v>
      </c>
      <c r="Q93" s="18"/>
      <c r="R93" s="16" t="s">
        <v>172</v>
      </c>
      <c r="S93" s="16" t="s">
        <v>109</v>
      </c>
      <c r="T93" s="16"/>
      <c r="U93" s="16"/>
      <c r="V93" s="16"/>
      <c r="W93" s="15">
        <f>ROUND(IF(D93=Table!$C$3,Y93*Table!$C$4/8,Y93*Table!$D$4/8),3)</f>
        <v>45</v>
      </c>
      <c r="X93" s="101">
        <f t="shared" si="22"/>
        <v>45</v>
      </c>
      <c r="Y93" s="101">
        <v>0.8</v>
      </c>
      <c r="Z93" s="101">
        <v>0.8</v>
      </c>
      <c r="AA93" s="16" t="s">
        <v>70</v>
      </c>
      <c r="AB93" s="70">
        <v>44125</v>
      </c>
      <c r="AC93" s="19">
        <v>44118</v>
      </c>
      <c r="AD93" s="70">
        <v>44125</v>
      </c>
      <c r="AE93" s="70">
        <v>44119</v>
      </c>
      <c r="AF93" s="70">
        <v>44119</v>
      </c>
      <c r="AG93" s="67" t="s">
        <v>130</v>
      </c>
      <c r="AH93" s="97">
        <v>1</v>
      </c>
      <c r="AI93" s="97">
        <v>1</v>
      </c>
      <c r="AJ93" s="97">
        <v>0.83</v>
      </c>
      <c r="AK93" s="71"/>
      <c r="AL93" s="76" t="s">
        <v>117</v>
      </c>
      <c r="AM93" s="87"/>
      <c r="AN93" s="15"/>
      <c r="AO93" s="15"/>
    </row>
    <row r="94" spans="2:41" x14ac:dyDescent="0.25">
      <c r="B94" s="95">
        <f t="shared" si="19"/>
        <v>35</v>
      </c>
      <c r="C94" s="16">
        <v>20201014</v>
      </c>
      <c r="D94" s="16" t="s">
        <v>3</v>
      </c>
      <c r="E94" s="74" t="s">
        <v>404</v>
      </c>
      <c r="F94" s="69"/>
      <c r="G94" s="37"/>
      <c r="H94" s="16" t="s">
        <v>180</v>
      </c>
      <c r="I94" s="16" t="s">
        <v>277</v>
      </c>
      <c r="J94" s="16" t="s">
        <v>174</v>
      </c>
      <c r="K94" s="37"/>
      <c r="L94" s="69" t="s">
        <v>403</v>
      </c>
      <c r="M94" s="37"/>
      <c r="N94" s="16"/>
      <c r="O94" s="69" t="s">
        <v>369</v>
      </c>
      <c r="P94" s="69" t="s">
        <v>251</v>
      </c>
      <c r="Q94" s="18"/>
      <c r="R94" s="16" t="s">
        <v>172</v>
      </c>
      <c r="S94" s="16" t="s">
        <v>109</v>
      </c>
      <c r="T94" s="16"/>
      <c r="U94" s="16"/>
      <c r="V94" s="16"/>
      <c r="W94" s="15">
        <f>ROUND(IF(D94=Table!$C$3,Y94*Table!$C$4/8,Y94*Table!$D$4/8),3)</f>
        <v>139.5</v>
      </c>
      <c r="X94" s="101">
        <f t="shared" si="22"/>
        <v>139.5</v>
      </c>
      <c r="Y94" s="101">
        <v>2.4800000000000004</v>
      </c>
      <c r="Z94" s="101">
        <v>2.4800000000000004</v>
      </c>
      <c r="AA94" s="16" t="s">
        <v>70</v>
      </c>
      <c r="AB94" s="70">
        <v>44125</v>
      </c>
      <c r="AC94" s="19">
        <v>44118</v>
      </c>
      <c r="AD94" s="70">
        <v>44125</v>
      </c>
      <c r="AE94" s="70">
        <v>44120</v>
      </c>
      <c r="AF94" s="70">
        <v>44120</v>
      </c>
      <c r="AG94" s="67" t="s">
        <v>130</v>
      </c>
      <c r="AH94" s="97">
        <v>1</v>
      </c>
      <c r="AI94" s="97">
        <v>1</v>
      </c>
      <c r="AJ94" s="97">
        <v>0.55000000000000004</v>
      </c>
      <c r="AK94" s="71"/>
      <c r="AL94" s="76" t="s">
        <v>117</v>
      </c>
      <c r="AM94" s="87"/>
      <c r="AN94" s="15"/>
      <c r="AO94" s="15"/>
    </row>
    <row r="95" spans="2:41" x14ac:dyDescent="0.25">
      <c r="B95" s="95">
        <f t="shared" si="19"/>
        <v>36</v>
      </c>
      <c r="C95" s="16">
        <v>20201014</v>
      </c>
      <c r="D95" s="16" t="s">
        <v>3</v>
      </c>
      <c r="E95" s="74" t="s">
        <v>404</v>
      </c>
      <c r="F95" s="69"/>
      <c r="G95" s="37"/>
      <c r="H95" s="16" t="s">
        <v>181</v>
      </c>
      <c r="I95" s="16" t="s">
        <v>278</v>
      </c>
      <c r="J95" s="16" t="s">
        <v>174</v>
      </c>
      <c r="K95" s="37"/>
      <c r="L95" s="69" t="s">
        <v>403</v>
      </c>
      <c r="M95" s="37"/>
      <c r="N95" s="16"/>
      <c r="O95" s="69" t="s">
        <v>370</v>
      </c>
      <c r="P95" s="69" t="s">
        <v>251</v>
      </c>
      <c r="Q95" s="18"/>
      <c r="R95" s="16" t="s">
        <v>172</v>
      </c>
      <c r="S95" s="16" t="s">
        <v>109</v>
      </c>
      <c r="T95" s="16"/>
      <c r="U95" s="16"/>
      <c r="V95" s="16"/>
      <c r="W95" s="15">
        <f>ROUND(IF(D95=Table!$C$3,Y95*Table!$C$4/8,Y95*Table!$D$4/8),3)</f>
        <v>45</v>
      </c>
      <c r="X95" s="101">
        <f t="shared" si="22"/>
        <v>45</v>
      </c>
      <c r="Y95" s="101">
        <v>0.8</v>
      </c>
      <c r="Z95" s="101">
        <v>0.8</v>
      </c>
      <c r="AA95" s="16" t="s">
        <v>70</v>
      </c>
      <c r="AB95" s="70">
        <v>44125</v>
      </c>
      <c r="AC95" s="19">
        <v>44118</v>
      </c>
      <c r="AD95" s="70">
        <v>44125</v>
      </c>
      <c r="AE95" s="70">
        <v>44120</v>
      </c>
      <c r="AF95" s="70">
        <v>44120</v>
      </c>
      <c r="AG95" s="67" t="s">
        <v>130</v>
      </c>
      <c r="AH95" s="97">
        <v>1</v>
      </c>
      <c r="AI95" s="97">
        <v>1</v>
      </c>
      <c r="AJ95" s="97">
        <v>0.5</v>
      </c>
      <c r="AK95" s="71"/>
      <c r="AL95" s="76" t="s">
        <v>117</v>
      </c>
      <c r="AM95" s="87"/>
      <c r="AN95" s="15"/>
      <c r="AO95" s="15"/>
    </row>
    <row r="96" spans="2:41" x14ac:dyDescent="0.25">
      <c r="B96" s="95">
        <f t="shared" si="19"/>
        <v>37</v>
      </c>
      <c r="C96" s="16">
        <v>20201014</v>
      </c>
      <c r="D96" s="16" t="s">
        <v>3</v>
      </c>
      <c r="E96" s="74" t="s">
        <v>404</v>
      </c>
      <c r="F96" s="69"/>
      <c r="G96" s="37"/>
      <c r="H96" s="16" t="s">
        <v>182</v>
      </c>
      <c r="I96" s="16" t="s">
        <v>279</v>
      </c>
      <c r="J96" s="16" t="s">
        <v>174</v>
      </c>
      <c r="K96" s="37"/>
      <c r="L96" s="69" t="s">
        <v>403</v>
      </c>
      <c r="M96" s="37"/>
      <c r="N96" s="16"/>
      <c r="O96" s="69" t="s">
        <v>371</v>
      </c>
      <c r="P96" s="69" t="s">
        <v>251</v>
      </c>
      <c r="Q96" s="18"/>
      <c r="R96" s="16" t="s">
        <v>172</v>
      </c>
      <c r="S96" s="16" t="s">
        <v>109</v>
      </c>
      <c r="T96" s="16"/>
      <c r="U96" s="16"/>
      <c r="V96" s="16"/>
      <c r="W96" s="15">
        <f>ROUND(IF(D96=Table!$C$3,Y96*Table!$C$4/8,Y96*Table!$D$4/8),3)</f>
        <v>45</v>
      </c>
      <c r="X96" s="101">
        <f t="shared" si="22"/>
        <v>45</v>
      </c>
      <c r="Y96" s="101">
        <v>0.8</v>
      </c>
      <c r="Z96" s="101">
        <v>0.8</v>
      </c>
      <c r="AA96" s="16" t="s">
        <v>70</v>
      </c>
      <c r="AB96" s="70">
        <v>44125</v>
      </c>
      <c r="AC96" s="19">
        <v>44118</v>
      </c>
      <c r="AD96" s="70">
        <v>44125</v>
      </c>
      <c r="AE96" s="70">
        <v>44120</v>
      </c>
      <c r="AF96" s="70">
        <v>44120</v>
      </c>
      <c r="AG96" s="67" t="s">
        <v>130</v>
      </c>
      <c r="AH96" s="97">
        <v>1</v>
      </c>
      <c r="AI96" s="97">
        <v>1</v>
      </c>
      <c r="AJ96" s="97">
        <v>0.5</v>
      </c>
      <c r="AK96" s="71"/>
      <c r="AL96" s="76" t="s">
        <v>117</v>
      </c>
      <c r="AM96" s="87"/>
      <c r="AN96" s="15"/>
      <c r="AO96" s="15"/>
    </row>
    <row r="97" spans="2:41" x14ac:dyDescent="0.25">
      <c r="B97" s="95">
        <f t="shared" si="19"/>
        <v>38</v>
      </c>
      <c r="C97" s="16">
        <v>20201014</v>
      </c>
      <c r="D97" s="16" t="s">
        <v>3</v>
      </c>
      <c r="E97" s="74" t="s">
        <v>404</v>
      </c>
      <c r="F97" s="69"/>
      <c r="G97" s="37"/>
      <c r="H97" s="16" t="s">
        <v>183</v>
      </c>
      <c r="I97" s="16" t="s">
        <v>280</v>
      </c>
      <c r="J97" s="16" t="s">
        <v>174</v>
      </c>
      <c r="K97" s="37"/>
      <c r="L97" s="69" t="s">
        <v>403</v>
      </c>
      <c r="M97" s="37"/>
      <c r="N97" s="16"/>
      <c r="O97" s="69" t="s">
        <v>372</v>
      </c>
      <c r="P97" s="69" t="s">
        <v>251</v>
      </c>
      <c r="Q97" s="18"/>
      <c r="R97" s="16" t="s">
        <v>172</v>
      </c>
      <c r="S97" s="16" t="s">
        <v>109</v>
      </c>
      <c r="T97" s="16"/>
      <c r="U97" s="16"/>
      <c r="V97" s="16"/>
      <c r="W97" s="15">
        <f>ROUND(IF(D97=Table!$C$3,Y97*Table!$C$4/8,Y97*Table!$D$4/8),3)</f>
        <v>45</v>
      </c>
      <c r="X97" s="101">
        <f t="shared" si="22"/>
        <v>45</v>
      </c>
      <c r="Y97" s="101">
        <v>0.8</v>
      </c>
      <c r="Z97" s="101">
        <v>0.8</v>
      </c>
      <c r="AA97" s="16" t="s">
        <v>70</v>
      </c>
      <c r="AB97" s="70">
        <v>44125</v>
      </c>
      <c r="AC97" s="19">
        <v>44118</v>
      </c>
      <c r="AD97" s="70">
        <v>44125</v>
      </c>
      <c r="AE97" s="70">
        <v>44120</v>
      </c>
      <c r="AF97" s="70">
        <v>44120</v>
      </c>
      <c r="AG97" s="67" t="s">
        <v>130</v>
      </c>
      <c r="AH97" s="97">
        <v>1</v>
      </c>
      <c r="AI97" s="97">
        <v>1</v>
      </c>
      <c r="AJ97" s="97">
        <v>0.5</v>
      </c>
      <c r="AK97" s="71"/>
      <c r="AL97" s="76" t="s">
        <v>117</v>
      </c>
      <c r="AM97" s="87"/>
      <c r="AN97" s="15"/>
      <c r="AO97" s="15"/>
    </row>
    <row r="98" spans="2:41" x14ac:dyDescent="0.25">
      <c r="B98" s="95">
        <f t="shared" si="19"/>
        <v>39</v>
      </c>
      <c r="C98" s="16">
        <v>20201014</v>
      </c>
      <c r="D98" s="16" t="s">
        <v>3</v>
      </c>
      <c r="E98" s="74" t="s">
        <v>404</v>
      </c>
      <c r="F98" s="69"/>
      <c r="G98" s="37"/>
      <c r="H98" s="16" t="s">
        <v>185</v>
      </c>
      <c r="I98" s="16" t="s">
        <v>281</v>
      </c>
      <c r="J98" s="16" t="s">
        <v>174</v>
      </c>
      <c r="K98" s="37"/>
      <c r="L98" s="69" t="s">
        <v>403</v>
      </c>
      <c r="M98" s="37"/>
      <c r="N98" s="16"/>
      <c r="O98" s="69" t="s">
        <v>373</v>
      </c>
      <c r="P98" s="69" t="s">
        <v>251</v>
      </c>
      <c r="Q98" s="18"/>
      <c r="R98" s="16" t="s">
        <v>172</v>
      </c>
      <c r="S98" s="16" t="s">
        <v>109</v>
      </c>
      <c r="T98" s="16"/>
      <c r="U98" s="16"/>
      <c r="V98" s="16"/>
      <c r="W98" s="15">
        <f>ROUND(IF(D98=Table!$C$3,Y98*Table!$C$4/8,Y98*Table!$D$4/8),3)</f>
        <v>45</v>
      </c>
      <c r="X98" s="101">
        <f t="shared" si="22"/>
        <v>45</v>
      </c>
      <c r="Y98" s="101">
        <v>0.8</v>
      </c>
      <c r="Z98" s="101">
        <v>0.8</v>
      </c>
      <c r="AA98" s="16" t="s">
        <v>70</v>
      </c>
      <c r="AB98" s="70">
        <v>44125</v>
      </c>
      <c r="AC98" s="19">
        <v>44118</v>
      </c>
      <c r="AD98" s="70">
        <v>44125</v>
      </c>
      <c r="AE98" s="70">
        <v>44120</v>
      </c>
      <c r="AF98" s="70">
        <v>44120</v>
      </c>
      <c r="AG98" s="67" t="s">
        <v>130</v>
      </c>
      <c r="AH98" s="97">
        <v>1</v>
      </c>
      <c r="AI98" s="97">
        <v>1</v>
      </c>
      <c r="AJ98" s="97">
        <v>0.5</v>
      </c>
      <c r="AK98" s="71"/>
      <c r="AL98" s="76" t="s">
        <v>117</v>
      </c>
      <c r="AM98" s="87"/>
      <c r="AN98" s="15"/>
      <c r="AO98" s="15"/>
    </row>
    <row r="99" spans="2:41" x14ac:dyDescent="0.25">
      <c r="B99" s="95">
        <f t="shared" si="19"/>
        <v>40</v>
      </c>
      <c r="C99" s="16">
        <v>20201014</v>
      </c>
      <c r="D99" s="16" t="s">
        <v>3</v>
      </c>
      <c r="E99" s="74" t="s">
        <v>404</v>
      </c>
      <c r="F99" s="69"/>
      <c r="G99" s="37"/>
      <c r="H99" s="16" t="s">
        <v>186</v>
      </c>
      <c r="I99" s="16" t="s">
        <v>282</v>
      </c>
      <c r="J99" s="16" t="s">
        <v>174</v>
      </c>
      <c r="K99" s="37"/>
      <c r="L99" s="69" t="s">
        <v>403</v>
      </c>
      <c r="M99" s="37"/>
      <c r="N99" s="16"/>
      <c r="O99" s="69" t="s">
        <v>374</v>
      </c>
      <c r="P99" s="69" t="s">
        <v>251</v>
      </c>
      <c r="Q99" s="18"/>
      <c r="R99" s="16" t="s">
        <v>172</v>
      </c>
      <c r="S99" s="16" t="s">
        <v>109</v>
      </c>
      <c r="T99" s="16"/>
      <c r="U99" s="16"/>
      <c r="V99" s="16"/>
      <c r="W99" s="15">
        <f>ROUND(IF(D99=Table!$C$3,Y99*Table!$C$4/8,Y99*Table!$D$4/8),3)</f>
        <v>45</v>
      </c>
      <c r="X99" s="101">
        <f t="shared" si="22"/>
        <v>45</v>
      </c>
      <c r="Y99" s="101">
        <v>0.8</v>
      </c>
      <c r="Z99" s="101">
        <v>0.8</v>
      </c>
      <c r="AA99" s="16" t="s">
        <v>70</v>
      </c>
      <c r="AB99" s="70">
        <v>44125</v>
      </c>
      <c r="AC99" s="19">
        <v>44118</v>
      </c>
      <c r="AD99" s="70">
        <v>44125</v>
      </c>
      <c r="AE99" s="70">
        <v>44120</v>
      </c>
      <c r="AF99" s="70">
        <v>44120</v>
      </c>
      <c r="AG99" s="67" t="s">
        <v>130</v>
      </c>
      <c r="AH99" s="97">
        <v>1</v>
      </c>
      <c r="AI99" s="97">
        <v>1</v>
      </c>
      <c r="AJ99" s="97">
        <v>0.5</v>
      </c>
      <c r="AK99" s="71"/>
      <c r="AL99" s="76" t="s">
        <v>117</v>
      </c>
      <c r="AM99" s="87"/>
      <c r="AN99" s="15"/>
      <c r="AO99" s="15"/>
    </row>
    <row r="100" spans="2:41" x14ac:dyDescent="0.25">
      <c r="B100" s="95">
        <f t="shared" si="19"/>
        <v>41</v>
      </c>
      <c r="C100" s="16">
        <v>20201014</v>
      </c>
      <c r="D100" s="16" t="s">
        <v>3</v>
      </c>
      <c r="E100" s="74" t="s">
        <v>404</v>
      </c>
      <c r="F100" s="69"/>
      <c r="G100" s="37"/>
      <c r="H100" s="16" t="s">
        <v>187</v>
      </c>
      <c r="I100" s="16" t="s">
        <v>283</v>
      </c>
      <c r="J100" s="16" t="s">
        <v>174</v>
      </c>
      <c r="K100" s="37"/>
      <c r="L100" s="69" t="s">
        <v>403</v>
      </c>
      <c r="M100" s="37"/>
      <c r="N100" s="16"/>
      <c r="O100" s="69" t="s">
        <v>375</v>
      </c>
      <c r="P100" s="69" t="s">
        <v>251</v>
      </c>
      <c r="Q100" s="18"/>
      <c r="R100" s="16" t="s">
        <v>172</v>
      </c>
      <c r="S100" s="16" t="s">
        <v>109</v>
      </c>
      <c r="T100" s="16"/>
      <c r="U100" s="16"/>
      <c r="V100" s="16"/>
      <c r="W100" s="15">
        <f>ROUND(IF(D100=Table!$C$3,Y100*Table!$C$4/8,Y100*Table!$D$4/8),3)</f>
        <v>45</v>
      </c>
      <c r="X100" s="101">
        <f t="shared" si="22"/>
        <v>45</v>
      </c>
      <c r="Y100" s="101">
        <v>0.8</v>
      </c>
      <c r="Z100" s="101">
        <v>0.8</v>
      </c>
      <c r="AA100" s="16" t="s">
        <v>70</v>
      </c>
      <c r="AB100" s="70">
        <v>44125</v>
      </c>
      <c r="AC100" s="19">
        <v>44118</v>
      </c>
      <c r="AD100" s="70">
        <v>44125</v>
      </c>
      <c r="AE100" s="70">
        <v>44120</v>
      </c>
      <c r="AF100" s="70">
        <v>44120</v>
      </c>
      <c r="AG100" s="67" t="s">
        <v>130</v>
      </c>
      <c r="AH100" s="97">
        <v>1</v>
      </c>
      <c r="AI100" s="97">
        <v>1</v>
      </c>
      <c r="AJ100" s="97">
        <v>0.5</v>
      </c>
      <c r="AK100" s="71"/>
      <c r="AL100" s="76" t="s">
        <v>117</v>
      </c>
      <c r="AM100" s="87"/>
      <c r="AN100" s="15"/>
      <c r="AO100" s="15"/>
    </row>
    <row r="101" spans="2:41" x14ac:dyDescent="0.25">
      <c r="B101" s="95">
        <f t="shared" si="19"/>
        <v>42</v>
      </c>
      <c r="C101" s="16">
        <v>20201014</v>
      </c>
      <c r="D101" s="16" t="s">
        <v>3</v>
      </c>
      <c r="E101" s="74" t="s">
        <v>404</v>
      </c>
      <c r="F101" s="69"/>
      <c r="G101" s="37"/>
      <c r="H101" s="16" t="s">
        <v>189</v>
      </c>
      <c r="I101" s="16" t="s">
        <v>284</v>
      </c>
      <c r="J101" s="16" t="s">
        <v>174</v>
      </c>
      <c r="K101" s="37"/>
      <c r="L101" s="69" t="s">
        <v>403</v>
      </c>
      <c r="M101" s="37"/>
      <c r="N101" s="16"/>
      <c r="O101" s="69" t="s">
        <v>376</v>
      </c>
      <c r="P101" s="69" t="s">
        <v>251</v>
      </c>
      <c r="Q101" s="18"/>
      <c r="R101" s="16" t="s">
        <v>171</v>
      </c>
      <c r="S101" s="16" t="s">
        <v>66</v>
      </c>
      <c r="T101" s="16"/>
      <c r="U101" s="16"/>
      <c r="V101" s="16"/>
      <c r="W101" s="15">
        <f>ROUND(IF(D101=Table!$C$3,Y101*Table!$C$4/8,Y101*Table!$D$4/8),3)</f>
        <v>45</v>
      </c>
      <c r="X101" s="101">
        <f t="shared" si="22"/>
        <v>45</v>
      </c>
      <c r="Y101" s="101">
        <v>0.8</v>
      </c>
      <c r="Z101" s="101">
        <f t="shared" ref="Z101:Z118" si="23">Y101</f>
        <v>0.8</v>
      </c>
      <c r="AA101" s="16" t="s">
        <v>70</v>
      </c>
      <c r="AB101" s="70">
        <v>44125</v>
      </c>
      <c r="AC101" s="19">
        <v>44118</v>
      </c>
      <c r="AD101" s="70">
        <v>44125</v>
      </c>
      <c r="AE101" s="70">
        <v>44119</v>
      </c>
      <c r="AF101" s="70">
        <v>44119</v>
      </c>
      <c r="AG101" s="70" t="s">
        <v>130</v>
      </c>
      <c r="AH101" s="97">
        <v>1</v>
      </c>
      <c r="AI101" s="97">
        <v>1</v>
      </c>
      <c r="AJ101" s="97">
        <v>1</v>
      </c>
      <c r="AK101" s="71"/>
      <c r="AL101" s="76" t="s">
        <v>117</v>
      </c>
      <c r="AM101" s="87"/>
      <c r="AN101" s="15"/>
      <c r="AO101" s="15"/>
    </row>
    <row r="102" spans="2:41" x14ac:dyDescent="0.25">
      <c r="B102" s="95">
        <f t="shared" si="19"/>
        <v>43</v>
      </c>
      <c r="C102" s="16">
        <v>20201014</v>
      </c>
      <c r="D102" s="16" t="s">
        <v>3</v>
      </c>
      <c r="E102" s="74" t="s">
        <v>404</v>
      </c>
      <c r="F102" s="69"/>
      <c r="G102" s="37"/>
      <c r="H102" s="16" t="s">
        <v>191</v>
      </c>
      <c r="I102" s="16" t="s">
        <v>285</v>
      </c>
      <c r="J102" s="16" t="s">
        <v>174</v>
      </c>
      <c r="K102" s="37"/>
      <c r="L102" s="69" t="s">
        <v>403</v>
      </c>
      <c r="M102" s="37"/>
      <c r="N102" s="16"/>
      <c r="O102" s="69" t="s">
        <v>377</v>
      </c>
      <c r="P102" s="69" t="s">
        <v>251</v>
      </c>
      <c r="Q102" s="18"/>
      <c r="R102" s="16" t="s">
        <v>171</v>
      </c>
      <c r="S102" s="16" t="s">
        <v>66</v>
      </c>
      <c r="T102" s="16"/>
      <c r="U102" s="16"/>
      <c r="V102" s="16"/>
      <c r="W102" s="15">
        <f>ROUND(IF(D102=Table!$C$3,Y102*Table!$C$4/8,Y102*Table!$D$4/8),3)</f>
        <v>45</v>
      </c>
      <c r="X102" s="101">
        <f t="shared" si="22"/>
        <v>45</v>
      </c>
      <c r="Y102" s="101">
        <v>0.8</v>
      </c>
      <c r="Z102" s="101">
        <f t="shared" si="23"/>
        <v>0.8</v>
      </c>
      <c r="AA102" s="16" t="s">
        <v>70</v>
      </c>
      <c r="AB102" s="70">
        <v>44125</v>
      </c>
      <c r="AC102" s="19">
        <v>44118</v>
      </c>
      <c r="AD102" s="70">
        <v>44125</v>
      </c>
      <c r="AE102" s="70">
        <v>44119</v>
      </c>
      <c r="AF102" s="70">
        <v>44119</v>
      </c>
      <c r="AG102" s="70" t="s">
        <v>130</v>
      </c>
      <c r="AH102" s="97">
        <v>1</v>
      </c>
      <c r="AI102" s="97">
        <v>1</v>
      </c>
      <c r="AJ102" s="97">
        <v>1</v>
      </c>
      <c r="AK102" s="71"/>
      <c r="AL102" s="76" t="s">
        <v>117</v>
      </c>
      <c r="AM102" s="87"/>
      <c r="AN102" s="15"/>
      <c r="AO102" s="15"/>
    </row>
    <row r="103" spans="2:41" x14ac:dyDescent="0.25">
      <c r="B103" s="95">
        <f t="shared" si="19"/>
        <v>44</v>
      </c>
      <c r="C103" s="16">
        <v>20201014</v>
      </c>
      <c r="D103" s="16" t="s">
        <v>3</v>
      </c>
      <c r="E103" s="74" t="s">
        <v>404</v>
      </c>
      <c r="F103" s="69"/>
      <c r="G103" s="37"/>
      <c r="H103" s="16" t="s">
        <v>193</v>
      </c>
      <c r="I103" s="16" t="s">
        <v>286</v>
      </c>
      <c r="J103" s="16" t="s">
        <v>174</v>
      </c>
      <c r="K103" s="37"/>
      <c r="L103" s="69" t="s">
        <v>403</v>
      </c>
      <c r="M103" s="37"/>
      <c r="N103" s="16"/>
      <c r="O103" s="69" t="s">
        <v>378</v>
      </c>
      <c r="P103" s="69" t="s">
        <v>251</v>
      </c>
      <c r="Q103" s="18"/>
      <c r="R103" s="16" t="s">
        <v>171</v>
      </c>
      <c r="S103" s="16" t="s">
        <v>66</v>
      </c>
      <c r="T103" s="16"/>
      <c r="U103" s="16"/>
      <c r="V103" s="16"/>
      <c r="W103" s="15">
        <f>ROUND(IF(D103=Table!$C$3,Y103*Table!$C$4/8,Y103*Table!$D$4/8),3)</f>
        <v>45</v>
      </c>
      <c r="X103" s="101">
        <f t="shared" si="22"/>
        <v>45</v>
      </c>
      <c r="Y103" s="101">
        <v>0.8</v>
      </c>
      <c r="Z103" s="101">
        <f t="shared" si="23"/>
        <v>0.8</v>
      </c>
      <c r="AA103" s="16" t="s">
        <v>70</v>
      </c>
      <c r="AB103" s="70">
        <v>44125</v>
      </c>
      <c r="AC103" s="19">
        <v>44118</v>
      </c>
      <c r="AD103" s="70">
        <v>44125</v>
      </c>
      <c r="AE103" s="70">
        <v>44119</v>
      </c>
      <c r="AF103" s="70">
        <v>44119</v>
      </c>
      <c r="AG103" s="70" t="s">
        <v>130</v>
      </c>
      <c r="AH103" s="97">
        <v>1</v>
      </c>
      <c r="AI103" s="97">
        <v>1</v>
      </c>
      <c r="AJ103" s="97">
        <v>1</v>
      </c>
      <c r="AK103" s="71"/>
      <c r="AL103" s="76" t="s">
        <v>117</v>
      </c>
      <c r="AM103" s="87"/>
      <c r="AN103" s="15"/>
      <c r="AO103" s="15"/>
    </row>
    <row r="104" spans="2:41" x14ac:dyDescent="0.25">
      <c r="B104" s="95">
        <f t="shared" si="19"/>
        <v>45</v>
      </c>
      <c r="C104" s="16">
        <v>20201014</v>
      </c>
      <c r="D104" s="16" t="s">
        <v>3</v>
      </c>
      <c r="E104" s="74" t="s">
        <v>404</v>
      </c>
      <c r="F104" s="69"/>
      <c r="G104" s="37"/>
      <c r="H104" s="16" t="s">
        <v>194</v>
      </c>
      <c r="I104" s="16" t="s">
        <v>287</v>
      </c>
      <c r="J104" s="16" t="s">
        <v>174</v>
      </c>
      <c r="K104" s="37"/>
      <c r="L104" s="69" t="s">
        <v>403</v>
      </c>
      <c r="M104" s="37"/>
      <c r="N104" s="16"/>
      <c r="O104" s="69" t="s">
        <v>379</v>
      </c>
      <c r="P104" s="69" t="s">
        <v>251</v>
      </c>
      <c r="Q104" s="18"/>
      <c r="R104" s="16" t="s">
        <v>171</v>
      </c>
      <c r="S104" s="16" t="s">
        <v>66</v>
      </c>
      <c r="T104" s="16"/>
      <c r="U104" s="16"/>
      <c r="V104" s="16"/>
      <c r="W104" s="15">
        <f>ROUND(IF(D104=Table!$C$3,Y104*Table!$C$4/8,Y104*Table!$D$4/8),3)</f>
        <v>45</v>
      </c>
      <c r="X104" s="101">
        <f t="shared" si="22"/>
        <v>45</v>
      </c>
      <c r="Y104" s="101">
        <v>0.8</v>
      </c>
      <c r="Z104" s="101">
        <f t="shared" si="23"/>
        <v>0.8</v>
      </c>
      <c r="AA104" s="16" t="s">
        <v>70</v>
      </c>
      <c r="AB104" s="70">
        <v>44125</v>
      </c>
      <c r="AC104" s="19">
        <v>44118</v>
      </c>
      <c r="AD104" s="70">
        <v>44125</v>
      </c>
      <c r="AE104" s="70">
        <v>44119</v>
      </c>
      <c r="AF104" s="70">
        <v>44119</v>
      </c>
      <c r="AG104" s="70" t="s">
        <v>130</v>
      </c>
      <c r="AH104" s="97">
        <v>1</v>
      </c>
      <c r="AI104" s="97">
        <v>1</v>
      </c>
      <c r="AJ104" s="97">
        <v>1</v>
      </c>
      <c r="AK104" s="71"/>
      <c r="AL104" s="76" t="s">
        <v>117</v>
      </c>
      <c r="AM104" s="87"/>
      <c r="AN104" s="15"/>
      <c r="AO104" s="15"/>
    </row>
    <row r="105" spans="2:41" x14ac:dyDescent="0.25">
      <c r="B105" s="95">
        <f t="shared" si="19"/>
        <v>46</v>
      </c>
      <c r="C105" s="16">
        <v>20201014</v>
      </c>
      <c r="D105" s="16" t="s">
        <v>3</v>
      </c>
      <c r="E105" s="74" t="s">
        <v>404</v>
      </c>
      <c r="F105" s="69"/>
      <c r="G105" s="37"/>
      <c r="H105" s="16" t="s">
        <v>196</v>
      </c>
      <c r="I105" s="16" t="s">
        <v>288</v>
      </c>
      <c r="J105" s="16" t="s">
        <v>174</v>
      </c>
      <c r="K105" s="37"/>
      <c r="L105" s="69" t="s">
        <v>403</v>
      </c>
      <c r="M105" s="37"/>
      <c r="N105" s="16"/>
      <c r="O105" s="69" t="s">
        <v>380</v>
      </c>
      <c r="P105" s="69" t="s">
        <v>251</v>
      </c>
      <c r="Q105" s="18"/>
      <c r="R105" s="16" t="s">
        <v>171</v>
      </c>
      <c r="S105" s="16" t="s">
        <v>66</v>
      </c>
      <c r="T105" s="16"/>
      <c r="U105" s="16"/>
      <c r="V105" s="16"/>
      <c r="W105" s="15">
        <f>ROUND(IF(D105=Table!$C$3,Y105*Table!$C$4/8,Y105*Table!$D$4/8),3)</f>
        <v>45</v>
      </c>
      <c r="X105" s="101">
        <f t="shared" si="22"/>
        <v>45</v>
      </c>
      <c r="Y105" s="101">
        <v>0.8</v>
      </c>
      <c r="Z105" s="101">
        <f t="shared" si="23"/>
        <v>0.8</v>
      </c>
      <c r="AA105" s="16" t="s">
        <v>70</v>
      </c>
      <c r="AB105" s="70">
        <v>44125</v>
      </c>
      <c r="AC105" s="19">
        <v>44118</v>
      </c>
      <c r="AD105" s="70">
        <v>44125</v>
      </c>
      <c r="AE105" s="70">
        <v>44119</v>
      </c>
      <c r="AF105" s="70">
        <v>44119</v>
      </c>
      <c r="AG105" s="70" t="s">
        <v>130</v>
      </c>
      <c r="AH105" s="97">
        <v>1</v>
      </c>
      <c r="AI105" s="97">
        <v>1</v>
      </c>
      <c r="AJ105" s="97">
        <v>1</v>
      </c>
      <c r="AK105" s="71"/>
      <c r="AL105" s="76" t="s">
        <v>117</v>
      </c>
      <c r="AM105" s="87"/>
      <c r="AN105" s="15"/>
      <c r="AO105" s="15"/>
    </row>
    <row r="106" spans="2:41" x14ac:dyDescent="0.25">
      <c r="B106" s="95">
        <f t="shared" si="19"/>
        <v>47</v>
      </c>
      <c r="C106" s="16">
        <v>20201014</v>
      </c>
      <c r="D106" s="16" t="s">
        <v>3</v>
      </c>
      <c r="E106" s="74" t="s">
        <v>404</v>
      </c>
      <c r="F106" s="69"/>
      <c r="G106" s="37"/>
      <c r="H106" s="16" t="s">
        <v>197</v>
      </c>
      <c r="I106" s="16" t="s">
        <v>289</v>
      </c>
      <c r="J106" s="16" t="s">
        <v>174</v>
      </c>
      <c r="K106" s="37"/>
      <c r="L106" s="69" t="s">
        <v>403</v>
      </c>
      <c r="M106" s="37"/>
      <c r="N106" s="16"/>
      <c r="O106" s="69" t="s">
        <v>381</v>
      </c>
      <c r="P106" s="69" t="s">
        <v>251</v>
      </c>
      <c r="Q106" s="18"/>
      <c r="R106" s="16" t="s">
        <v>171</v>
      </c>
      <c r="S106" s="16" t="s">
        <v>66</v>
      </c>
      <c r="T106" s="16"/>
      <c r="U106" s="16"/>
      <c r="V106" s="16"/>
      <c r="W106" s="15">
        <f>ROUND(IF(D106=Table!$C$3,Y106*Table!$C$4/8,Y106*Table!$D$4/8),3)</f>
        <v>45</v>
      </c>
      <c r="X106" s="101">
        <f t="shared" si="22"/>
        <v>45</v>
      </c>
      <c r="Y106" s="101">
        <v>0.8</v>
      </c>
      <c r="Z106" s="101">
        <f t="shared" si="23"/>
        <v>0.8</v>
      </c>
      <c r="AA106" s="16" t="s">
        <v>70</v>
      </c>
      <c r="AB106" s="70">
        <v>44125</v>
      </c>
      <c r="AC106" s="19">
        <v>44118</v>
      </c>
      <c r="AD106" s="70">
        <v>44125</v>
      </c>
      <c r="AE106" s="70">
        <v>44119</v>
      </c>
      <c r="AF106" s="70">
        <v>44119</v>
      </c>
      <c r="AG106" s="70" t="s">
        <v>130</v>
      </c>
      <c r="AH106" s="97">
        <v>1</v>
      </c>
      <c r="AI106" s="97">
        <v>1</v>
      </c>
      <c r="AJ106" s="97">
        <v>1</v>
      </c>
      <c r="AK106" s="71"/>
      <c r="AL106" s="76" t="s">
        <v>117</v>
      </c>
      <c r="AM106" s="87"/>
      <c r="AN106" s="15"/>
      <c r="AO106" s="15"/>
    </row>
    <row r="107" spans="2:41" x14ac:dyDescent="0.25">
      <c r="B107" s="95">
        <f t="shared" si="19"/>
        <v>48</v>
      </c>
      <c r="C107" s="16">
        <v>20201014</v>
      </c>
      <c r="D107" s="16" t="s">
        <v>3</v>
      </c>
      <c r="E107" s="74" t="s">
        <v>404</v>
      </c>
      <c r="F107" s="69"/>
      <c r="G107" s="37"/>
      <c r="H107" s="16" t="s">
        <v>198</v>
      </c>
      <c r="I107" s="16" t="s">
        <v>290</v>
      </c>
      <c r="J107" s="16" t="s">
        <v>174</v>
      </c>
      <c r="K107" s="37"/>
      <c r="L107" s="69" t="s">
        <v>403</v>
      </c>
      <c r="M107" s="37"/>
      <c r="N107" s="16"/>
      <c r="O107" s="69" t="s">
        <v>382</v>
      </c>
      <c r="P107" s="69" t="s">
        <v>251</v>
      </c>
      <c r="Q107" s="18"/>
      <c r="R107" s="16" t="s">
        <v>171</v>
      </c>
      <c r="S107" s="16" t="s">
        <v>66</v>
      </c>
      <c r="T107" s="16"/>
      <c r="U107" s="16"/>
      <c r="V107" s="16"/>
      <c r="W107" s="15">
        <f>ROUND(IF(D107=Table!$C$3,Y107*Table!$C$4/8,Y107*Table!$D$4/8),3)</f>
        <v>45</v>
      </c>
      <c r="X107" s="101">
        <f t="shared" si="22"/>
        <v>45</v>
      </c>
      <c r="Y107" s="101">
        <v>0.8</v>
      </c>
      <c r="Z107" s="101">
        <f t="shared" si="23"/>
        <v>0.8</v>
      </c>
      <c r="AA107" s="16" t="s">
        <v>70</v>
      </c>
      <c r="AB107" s="70">
        <v>44125</v>
      </c>
      <c r="AC107" s="19">
        <v>44118</v>
      </c>
      <c r="AD107" s="70">
        <v>44125</v>
      </c>
      <c r="AE107" s="70">
        <v>44119</v>
      </c>
      <c r="AF107" s="70">
        <v>44119</v>
      </c>
      <c r="AG107" s="70" t="s">
        <v>130</v>
      </c>
      <c r="AH107" s="97">
        <v>1</v>
      </c>
      <c r="AI107" s="97">
        <v>1</v>
      </c>
      <c r="AJ107" s="97">
        <v>1</v>
      </c>
      <c r="AK107" s="71"/>
      <c r="AL107" s="76" t="s">
        <v>117</v>
      </c>
      <c r="AM107" s="87"/>
      <c r="AN107" s="15"/>
      <c r="AO107" s="15"/>
    </row>
    <row r="108" spans="2:41" x14ac:dyDescent="0.25">
      <c r="B108" s="95">
        <f t="shared" si="19"/>
        <v>49</v>
      </c>
      <c r="C108" s="16">
        <v>20201014</v>
      </c>
      <c r="D108" s="16" t="s">
        <v>3</v>
      </c>
      <c r="E108" s="74" t="s">
        <v>404</v>
      </c>
      <c r="F108" s="69"/>
      <c r="G108" s="37"/>
      <c r="H108" s="16" t="s">
        <v>199</v>
      </c>
      <c r="I108" s="16" t="s">
        <v>291</v>
      </c>
      <c r="J108" s="16" t="s">
        <v>174</v>
      </c>
      <c r="K108" s="37"/>
      <c r="L108" s="69" t="s">
        <v>403</v>
      </c>
      <c r="M108" s="37"/>
      <c r="N108" s="16"/>
      <c r="O108" s="69" t="s">
        <v>383</v>
      </c>
      <c r="P108" s="69" t="s">
        <v>251</v>
      </c>
      <c r="Q108" s="18"/>
      <c r="R108" s="16" t="s">
        <v>171</v>
      </c>
      <c r="S108" s="16" t="s">
        <v>66</v>
      </c>
      <c r="T108" s="16"/>
      <c r="U108" s="16"/>
      <c r="V108" s="16"/>
      <c r="W108" s="15">
        <f>ROUND(IF(D108=Table!$C$3,Y108*Table!$C$4/8,Y108*Table!$D$4/8),3)</f>
        <v>45</v>
      </c>
      <c r="X108" s="101">
        <f t="shared" si="22"/>
        <v>45</v>
      </c>
      <c r="Y108" s="101">
        <v>0.8</v>
      </c>
      <c r="Z108" s="101">
        <f t="shared" si="23"/>
        <v>0.8</v>
      </c>
      <c r="AA108" s="16" t="s">
        <v>70</v>
      </c>
      <c r="AB108" s="70">
        <v>44125</v>
      </c>
      <c r="AC108" s="19">
        <v>44118</v>
      </c>
      <c r="AD108" s="70">
        <v>44125</v>
      </c>
      <c r="AE108" s="70">
        <v>44119</v>
      </c>
      <c r="AF108" s="70">
        <v>44119</v>
      </c>
      <c r="AG108" s="70" t="s">
        <v>131</v>
      </c>
      <c r="AH108" s="97">
        <v>0.95</v>
      </c>
      <c r="AI108" s="97">
        <v>0.94</v>
      </c>
      <c r="AJ108" s="97">
        <v>0.47</v>
      </c>
      <c r="AK108" s="71"/>
      <c r="AL108" s="76" t="s">
        <v>107</v>
      </c>
      <c r="AM108" s="87" t="s">
        <v>463</v>
      </c>
      <c r="AN108" s="15"/>
      <c r="AO108" s="15"/>
    </row>
    <row r="109" spans="2:41" x14ac:dyDescent="0.25">
      <c r="B109" s="95">
        <f t="shared" si="19"/>
        <v>50</v>
      </c>
      <c r="C109" s="16">
        <v>20201014</v>
      </c>
      <c r="D109" s="16" t="s">
        <v>3</v>
      </c>
      <c r="E109" s="74" t="s">
        <v>404</v>
      </c>
      <c r="F109" s="69"/>
      <c r="G109" s="37"/>
      <c r="H109" s="16" t="s">
        <v>201</v>
      </c>
      <c r="I109" s="16" t="s">
        <v>292</v>
      </c>
      <c r="J109" s="16" t="s">
        <v>174</v>
      </c>
      <c r="K109" s="37"/>
      <c r="L109" s="69" t="s">
        <v>403</v>
      </c>
      <c r="M109" s="37"/>
      <c r="N109" s="16"/>
      <c r="O109" s="69" t="s">
        <v>384</v>
      </c>
      <c r="P109" s="69" t="s">
        <v>251</v>
      </c>
      <c r="Q109" s="18"/>
      <c r="R109" s="16" t="s">
        <v>171</v>
      </c>
      <c r="S109" s="16" t="s">
        <v>66</v>
      </c>
      <c r="T109" s="16"/>
      <c r="U109" s="16"/>
      <c r="V109" s="16"/>
      <c r="W109" s="15">
        <f>ROUND(IF(D109=Table!$C$3,Y109*Table!$C$4/8,Y109*Table!$D$4/8),3)</f>
        <v>45</v>
      </c>
      <c r="X109" s="101">
        <f t="shared" si="22"/>
        <v>45</v>
      </c>
      <c r="Y109" s="101">
        <v>0.8</v>
      </c>
      <c r="Z109" s="101">
        <f t="shared" si="23"/>
        <v>0.8</v>
      </c>
      <c r="AA109" s="16" t="s">
        <v>70</v>
      </c>
      <c r="AB109" s="70">
        <v>44125</v>
      </c>
      <c r="AC109" s="19">
        <v>44118</v>
      </c>
      <c r="AD109" s="70">
        <v>44125</v>
      </c>
      <c r="AE109" s="70">
        <v>44119</v>
      </c>
      <c r="AF109" s="70">
        <v>44119</v>
      </c>
      <c r="AG109" s="70" t="s">
        <v>130</v>
      </c>
      <c r="AH109" s="97">
        <v>1</v>
      </c>
      <c r="AI109" s="97">
        <v>1</v>
      </c>
      <c r="AJ109" s="97">
        <v>1</v>
      </c>
      <c r="AK109" s="71"/>
      <c r="AL109" s="76" t="s">
        <v>117</v>
      </c>
      <c r="AM109" s="87"/>
      <c r="AN109" s="15"/>
      <c r="AO109" s="15"/>
    </row>
    <row r="110" spans="2:41" x14ac:dyDescent="0.25">
      <c r="B110" s="95">
        <f t="shared" si="19"/>
        <v>51</v>
      </c>
      <c r="C110" s="16">
        <v>20201014</v>
      </c>
      <c r="D110" s="16" t="s">
        <v>3</v>
      </c>
      <c r="E110" s="74" t="s">
        <v>404</v>
      </c>
      <c r="F110" s="69"/>
      <c r="G110" s="37"/>
      <c r="H110" s="16" t="s">
        <v>202</v>
      </c>
      <c r="I110" s="16" t="s">
        <v>293</v>
      </c>
      <c r="J110" s="16" t="s">
        <v>174</v>
      </c>
      <c r="K110" s="37"/>
      <c r="L110" s="69" t="s">
        <v>403</v>
      </c>
      <c r="M110" s="37"/>
      <c r="N110" s="16"/>
      <c r="O110" s="69" t="s">
        <v>385</v>
      </c>
      <c r="P110" s="69" t="s">
        <v>251</v>
      </c>
      <c r="Q110" s="18"/>
      <c r="R110" s="16" t="s">
        <v>171</v>
      </c>
      <c r="S110" s="16" t="s">
        <v>66</v>
      </c>
      <c r="T110" s="16"/>
      <c r="U110" s="16"/>
      <c r="V110" s="16"/>
      <c r="W110" s="15">
        <f>ROUND(IF(D110=Table!$C$3,Y110*Table!$C$4/8,Y110*Table!$D$4/8),3)</f>
        <v>45</v>
      </c>
      <c r="X110" s="101">
        <f t="shared" si="22"/>
        <v>45</v>
      </c>
      <c r="Y110" s="101">
        <v>0.8</v>
      </c>
      <c r="Z110" s="101">
        <f t="shared" si="23"/>
        <v>0.8</v>
      </c>
      <c r="AA110" s="16" t="s">
        <v>70</v>
      </c>
      <c r="AB110" s="70">
        <v>44125</v>
      </c>
      <c r="AC110" s="19">
        <v>44118</v>
      </c>
      <c r="AD110" s="70">
        <v>44125</v>
      </c>
      <c r="AE110" s="70">
        <v>44119</v>
      </c>
      <c r="AF110" s="70">
        <v>44119</v>
      </c>
      <c r="AG110" s="70" t="s">
        <v>130</v>
      </c>
      <c r="AH110" s="97">
        <v>1</v>
      </c>
      <c r="AI110" s="97">
        <v>1</v>
      </c>
      <c r="AJ110" s="97">
        <v>1</v>
      </c>
      <c r="AK110" s="71"/>
      <c r="AL110" s="76" t="s">
        <v>117</v>
      </c>
      <c r="AM110" s="87"/>
      <c r="AN110" s="15"/>
      <c r="AO110" s="15"/>
    </row>
    <row r="111" spans="2:41" x14ac:dyDescent="0.25">
      <c r="B111" s="95">
        <f t="shared" si="19"/>
        <v>52</v>
      </c>
      <c r="C111" s="16">
        <v>20201014</v>
      </c>
      <c r="D111" s="16" t="s">
        <v>2</v>
      </c>
      <c r="E111" s="74" t="s">
        <v>404</v>
      </c>
      <c r="F111" s="69"/>
      <c r="G111" s="37"/>
      <c r="H111" s="16" t="s">
        <v>416</v>
      </c>
      <c r="I111" s="16" t="s">
        <v>294</v>
      </c>
      <c r="J111" s="16" t="s">
        <v>188</v>
      </c>
      <c r="K111" s="37"/>
      <c r="L111" s="69" t="s">
        <v>403</v>
      </c>
      <c r="M111" s="37"/>
      <c r="N111" s="16"/>
      <c r="O111" s="69" t="s">
        <v>203</v>
      </c>
      <c r="P111" s="69" t="s">
        <v>398</v>
      </c>
      <c r="Q111" s="18"/>
      <c r="R111" s="16" t="s">
        <v>171</v>
      </c>
      <c r="S111" s="16" t="s">
        <v>66</v>
      </c>
      <c r="T111" s="16"/>
      <c r="U111" s="16"/>
      <c r="V111" s="16"/>
      <c r="W111" s="15">
        <f>ROUND(IF(D111=Table!$C$3,Y111*Table!$C$4/8,Y111*Table!$D$4/8),3)</f>
        <v>26</v>
      </c>
      <c r="X111" s="101">
        <f t="shared" si="22"/>
        <v>26</v>
      </c>
      <c r="Y111" s="101">
        <v>1.6</v>
      </c>
      <c r="Z111" s="101">
        <f t="shared" si="23"/>
        <v>1.6</v>
      </c>
      <c r="AA111" s="16" t="s">
        <v>70</v>
      </c>
      <c r="AB111" s="70">
        <v>44125</v>
      </c>
      <c r="AC111" s="19">
        <v>44118</v>
      </c>
      <c r="AD111" s="70">
        <v>44125</v>
      </c>
      <c r="AE111" s="70">
        <v>44123</v>
      </c>
      <c r="AF111" s="70">
        <v>44123</v>
      </c>
      <c r="AG111" s="70" t="s">
        <v>130</v>
      </c>
      <c r="AH111" s="97">
        <v>1</v>
      </c>
      <c r="AI111" s="97">
        <v>1</v>
      </c>
      <c r="AJ111" s="97">
        <v>0</v>
      </c>
      <c r="AK111" s="71"/>
      <c r="AL111" s="76" t="s">
        <v>117</v>
      </c>
      <c r="AM111" s="87"/>
      <c r="AN111" s="15"/>
      <c r="AO111" s="15"/>
    </row>
    <row r="112" spans="2:41" x14ac:dyDescent="0.25">
      <c r="B112" s="95">
        <f t="shared" si="19"/>
        <v>53</v>
      </c>
      <c r="C112" s="16">
        <v>20201014</v>
      </c>
      <c r="D112" s="16" t="s">
        <v>2</v>
      </c>
      <c r="E112" s="74" t="s">
        <v>404</v>
      </c>
      <c r="F112" s="69"/>
      <c r="G112" s="37"/>
      <c r="H112" s="16" t="s">
        <v>417</v>
      </c>
      <c r="I112" s="16" t="s">
        <v>295</v>
      </c>
      <c r="J112" s="16" t="s">
        <v>188</v>
      </c>
      <c r="K112" s="37"/>
      <c r="L112" s="69" t="s">
        <v>403</v>
      </c>
      <c r="M112" s="37"/>
      <c r="N112" s="16"/>
      <c r="O112" s="69" t="s">
        <v>203</v>
      </c>
      <c r="P112" s="69" t="s">
        <v>398</v>
      </c>
      <c r="Q112" s="18"/>
      <c r="R112" s="16" t="s">
        <v>171</v>
      </c>
      <c r="S112" s="16" t="s">
        <v>66</v>
      </c>
      <c r="T112" s="16"/>
      <c r="U112" s="16"/>
      <c r="V112" s="16"/>
      <c r="W112" s="15">
        <f>ROUND(IF(D112=Table!$C$3,Y112*Table!$C$4/8,Y112*Table!$D$4/8),3)</f>
        <v>26</v>
      </c>
      <c r="X112" s="101">
        <f t="shared" si="22"/>
        <v>26</v>
      </c>
      <c r="Y112" s="101">
        <v>1.6</v>
      </c>
      <c r="Z112" s="101">
        <f t="shared" si="23"/>
        <v>1.6</v>
      </c>
      <c r="AA112" s="16" t="s">
        <v>70</v>
      </c>
      <c r="AB112" s="70">
        <v>44125</v>
      </c>
      <c r="AC112" s="19">
        <v>44118</v>
      </c>
      <c r="AD112" s="70">
        <v>44125</v>
      </c>
      <c r="AE112" s="70">
        <v>44123</v>
      </c>
      <c r="AF112" s="70">
        <v>44123</v>
      </c>
      <c r="AG112" s="70" t="s">
        <v>130</v>
      </c>
      <c r="AH112" s="97">
        <v>1</v>
      </c>
      <c r="AI112" s="97">
        <v>1</v>
      </c>
      <c r="AJ112" s="97">
        <v>0.5</v>
      </c>
      <c r="AK112" s="71"/>
      <c r="AL112" s="76" t="s">
        <v>117</v>
      </c>
      <c r="AM112" s="87"/>
      <c r="AN112" s="15"/>
      <c r="AO112" s="15"/>
    </row>
    <row r="113" spans="2:41" x14ac:dyDescent="0.25">
      <c r="B113" s="95">
        <f t="shared" si="19"/>
        <v>54</v>
      </c>
      <c r="C113" s="16">
        <v>20201014</v>
      </c>
      <c r="D113" s="16" t="s">
        <v>2</v>
      </c>
      <c r="E113" s="74" t="s">
        <v>404</v>
      </c>
      <c r="F113" s="69"/>
      <c r="G113" s="37"/>
      <c r="H113" s="16" t="s">
        <v>418</v>
      </c>
      <c r="I113" s="16" t="s">
        <v>296</v>
      </c>
      <c r="J113" s="16" t="s">
        <v>188</v>
      </c>
      <c r="K113" s="37"/>
      <c r="L113" s="69" t="s">
        <v>403</v>
      </c>
      <c r="M113" s="37"/>
      <c r="N113" s="16"/>
      <c r="O113" s="69" t="s">
        <v>203</v>
      </c>
      <c r="P113" s="69" t="s">
        <v>398</v>
      </c>
      <c r="Q113" s="18"/>
      <c r="R113" s="16" t="s">
        <v>171</v>
      </c>
      <c r="S113" s="16" t="s">
        <v>66</v>
      </c>
      <c r="T113" s="16"/>
      <c r="U113" s="16"/>
      <c r="V113" s="16"/>
      <c r="W113" s="15">
        <f>ROUND(IF(D113=Table!$C$3,Y113*Table!$C$4/8,Y113*Table!$D$4/8),3)</f>
        <v>26</v>
      </c>
      <c r="X113" s="101">
        <f t="shared" si="22"/>
        <v>26</v>
      </c>
      <c r="Y113" s="101">
        <v>1.6</v>
      </c>
      <c r="Z113" s="101">
        <f t="shared" si="23"/>
        <v>1.6</v>
      </c>
      <c r="AA113" s="16" t="s">
        <v>70</v>
      </c>
      <c r="AB113" s="70">
        <v>44125</v>
      </c>
      <c r="AC113" s="19">
        <v>44118</v>
      </c>
      <c r="AD113" s="70">
        <v>44125</v>
      </c>
      <c r="AE113" s="70">
        <v>44123</v>
      </c>
      <c r="AF113" s="70">
        <v>44123</v>
      </c>
      <c r="AG113" s="70" t="s">
        <v>130</v>
      </c>
      <c r="AH113" s="97">
        <v>1</v>
      </c>
      <c r="AI113" s="97">
        <v>1</v>
      </c>
      <c r="AJ113" s="97">
        <v>0.5</v>
      </c>
      <c r="AK113" s="71"/>
      <c r="AL113" s="76" t="s">
        <v>117</v>
      </c>
      <c r="AM113" s="87"/>
      <c r="AN113" s="15"/>
      <c r="AO113" s="15"/>
    </row>
    <row r="114" spans="2:41" x14ac:dyDescent="0.25">
      <c r="B114" s="95">
        <f t="shared" si="19"/>
        <v>55</v>
      </c>
      <c r="C114" s="16">
        <v>20201014</v>
      </c>
      <c r="D114" s="16" t="s">
        <v>2</v>
      </c>
      <c r="E114" s="74" t="s">
        <v>404</v>
      </c>
      <c r="F114" s="69"/>
      <c r="G114" s="37"/>
      <c r="H114" s="16" t="s">
        <v>419</v>
      </c>
      <c r="I114" s="16" t="s">
        <v>297</v>
      </c>
      <c r="J114" s="16" t="s">
        <v>188</v>
      </c>
      <c r="K114" s="37"/>
      <c r="L114" s="69" t="s">
        <v>403</v>
      </c>
      <c r="M114" s="37"/>
      <c r="N114" s="16"/>
      <c r="O114" s="69" t="s">
        <v>203</v>
      </c>
      <c r="P114" s="69" t="s">
        <v>398</v>
      </c>
      <c r="Q114" s="18"/>
      <c r="R114" s="16" t="s">
        <v>171</v>
      </c>
      <c r="S114" s="16" t="s">
        <v>66</v>
      </c>
      <c r="T114" s="16"/>
      <c r="U114" s="16"/>
      <c r="V114" s="16"/>
      <c r="W114" s="15">
        <f>ROUND(IF(D114=Table!$C$3,Y114*Table!$C$4/8,Y114*Table!$D$4/8),3)</f>
        <v>26</v>
      </c>
      <c r="X114" s="101">
        <f t="shared" si="22"/>
        <v>26</v>
      </c>
      <c r="Y114" s="101">
        <v>1.6</v>
      </c>
      <c r="Z114" s="101">
        <f t="shared" si="23"/>
        <v>1.6</v>
      </c>
      <c r="AA114" s="16" t="s">
        <v>70</v>
      </c>
      <c r="AB114" s="70">
        <v>44125</v>
      </c>
      <c r="AC114" s="19">
        <v>44118</v>
      </c>
      <c r="AD114" s="70">
        <v>44125</v>
      </c>
      <c r="AE114" s="70">
        <v>44123</v>
      </c>
      <c r="AF114" s="70">
        <v>44123</v>
      </c>
      <c r="AG114" s="70" t="s">
        <v>130</v>
      </c>
      <c r="AH114" s="97">
        <v>1</v>
      </c>
      <c r="AI114" s="97">
        <v>1</v>
      </c>
      <c r="AJ114" s="97">
        <v>0.5</v>
      </c>
      <c r="AK114" s="71"/>
      <c r="AL114" s="76" t="s">
        <v>117</v>
      </c>
      <c r="AM114" s="87"/>
      <c r="AN114" s="15"/>
      <c r="AO114" s="15"/>
    </row>
    <row r="115" spans="2:41" x14ac:dyDescent="0.25">
      <c r="B115" s="95">
        <f t="shared" si="19"/>
        <v>56</v>
      </c>
      <c r="C115" s="16">
        <v>20201014</v>
      </c>
      <c r="D115" s="16" t="s">
        <v>2</v>
      </c>
      <c r="E115" s="74" t="s">
        <v>404</v>
      </c>
      <c r="F115" s="69"/>
      <c r="G115" s="37"/>
      <c r="H115" s="16" t="s">
        <v>420</v>
      </c>
      <c r="I115" s="16" t="s">
        <v>298</v>
      </c>
      <c r="J115" s="16" t="s">
        <v>188</v>
      </c>
      <c r="K115" s="37"/>
      <c r="L115" s="69" t="s">
        <v>403</v>
      </c>
      <c r="M115" s="37"/>
      <c r="N115" s="16"/>
      <c r="O115" s="69" t="s">
        <v>203</v>
      </c>
      <c r="P115" s="69" t="s">
        <v>398</v>
      </c>
      <c r="Q115" s="18"/>
      <c r="R115" s="16" t="s">
        <v>171</v>
      </c>
      <c r="S115" s="16" t="s">
        <v>66</v>
      </c>
      <c r="T115" s="16"/>
      <c r="U115" s="16"/>
      <c r="V115" s="16"/>
      <c r="W115" s="15">
        <f>ROUND(IF(D115=Table!$C$3,Y115*Table!$C$4/8,Y115*Table!$D$4/8),3)</f>
        <v>26</v>
      </c>
      <c r="X115" s="101">
        <f t="shared" si="22"/>
        <v>26</v>
      </c>
      <c r="Y115" s="101">
        <v>1.6</v>
      </c>
      <c r="Z115" s="101">
        <f t="shared" si="23"/>
        <v>1.6</v>
      </c>
      <c r="AA115" s="16" t="s">
        <v>70</v>
      </c>
      <c r="AB115" s="70">
        <v>44125</v>
      </c>
      <c r="AC115" s="19">
        <v>44118</v>
      </c>
      <c r="AD115" s="70">
        <v>44125</v>
      </c>
      <c r="AE115" s="70">
        <v>44123</v>
      </c>
      <c r="AF115" s="70">
        <v>44123</v>
      </c>
      <c r="AG115" s="70" t="s">
        <v>130</v>
      </c>
      <c r="AH115" s="97">
        <v>1</v>
      </c>
      <c r="AI115" s="97">
        <v>1</v>
      </c>
      <c r="AJ115" s="97">
        <v>0.5</v>
      </c>
      <c r="AK115" s="71"/>
      <c r="AL115" s="76" t="s">
        <v>117</v>
      </c>
      <c r="AM115" s="87"/>
      <c r="AN115" s="15"/>
      <c r="AO115" s="15"/>
    </row>
    <row r="116" spans="2:41" x14ac:dyDescent="0.25">
      <c r="B116" s="95">
        <f t="shared" si="19"/>
        <v>57</v>
      </c>
      <c r="C116" s="16">
        <v>20201014</v>
      </c>
      <c r="D116" s="16" t="s">
        <v>2</v>
      </c>
      <c r="E116" s="74" t="s">
        <v>404</v>
      </c>
      <c r="F116" s="69"/>
      <c r="G116" s="37"/>
      <c r="H116" s="16" t="s">
        <v>421</v>
      </c>
      <c r="I116" s="16" t="s">
        <v>299</v>
      </c>
      <c r="J116" s="16" t="s">
        <v>188</v>
      </c>
      <c r="K116" s="37"/>
      <c r="L116" s="69" t="s">
        <v>403</v>
      </c>
      <c r="M116" s="37"/>
      <c r="N116" s="16"/>
      <c r="O116" s="69" t="s">
        <v>203</v>
      </c>
      <c r="P116" s="69" t="s">
        <v>398</v>
      </c>
      <c r="Q116" s="18"/>
      <c r="R116" s="16" t="s">
        <v>171</v>
      </c>
      <c r="S116" s="16" t="s">
        <v>66</v>
      </c>
      <c r="T116" s="16"/>
      <c r="U116" s="16"/>
      <c r="V116" s="16"/>
      <c r="W116" s="15">
        <f>ROUND(IF(D116=Table!$C$3,Y116*Table!$C$4/8,Y116*Table!$D$4/8),3)</f>
        <v>26</v>
      </c>
      <c r="X116" s="101">
        <f t="shared" si="22"/>
        <v>26</v>
      </c>
      <c r="Y116" s="101">
        <v>1.6</v>
      </c>
      <c r="Z116" s="101">
        <f t="shared" si="23"/>
        <v>1.6</v>
      </c>
      <c r="AA116" s="16" t="s">
        <v>70</v>
      </c>
      <c r="AB116" s="70">
        <v>44125</v>
      </c>
      <c r="AC116" s="19">
        <v>44118</v>
      </c>
      <c r="AD116" s="70">
        <v>44125</v>
      </c>
      <c r="AE116" s="70">
        <v>44123</v>
      </c>
      <c r="AF116" s="70">
        <v>44123</v>
      </c>
      <c r="AG116" s="70" t="s">
        <v>130</v>
      </c>
      <c r="AH116" s="97">
        <v>1</v>
      </c>
      <c r="AI116" s="97">
        <v>1</v>
      </c>
      <c r="AJ116" s="97">
        <v>0.5</v>
      </c>
      <c r="AK116" s="71"/>
      <c r="AL116" s="76" t="s">
        <v>117</v>
      </c>
      <c r="AM116" s="87"/>
      <c r="AN116" s="15"/>
      <c r="AO116" s="15"/>
    </row>
    <row r="117" spans="2:41" x14ac:dyDescent="0.25">
      <c r="B117" s="95">
        <f t="shared" si="19"/>
        <v>58</v>
      </c>
      <c r="C117" s="16">
        <v>20201014</v>
      </c>
      <c r="D117" s="16" t="s">
        <v>2</v>
      </c>
      <c r="E117" s="74" t="s">
        <v>404</v>
      </c>
      <c r="F117" s="69"/>
      <c r="G117" s="37"/>
      <c r="H117" s="16" t="s">
        <v>422</v>
      </c>
      <c r="I117" s="16" t="s">
        <v>300</v>
      </c>
      <c r="J117" s="16" t="s">
        <v>188</v>
      </c>
      <c r="K117" s="37"/>
      <c r="L117" s="69" t="s">
        <v>403</v>
      </c>
      <c r="M117" s="37"/>
      <c r="N117" s="16"/>
      <c r="O117" s="69" t="s">
        <v>203</v>
      </c>
      <c r="P117" s="69" t="s">
        <v>398</v>
      </c>
      <c r="Q117" s="18"/>
      <c r="R117" s="16" t="s">
        <v>171</v>
      </c>
      <c r="S117" s="16" t="s">
        <v>66</v>
      </c>
      <c r="T117" s="16"/>
      <c r="U117" s="16"/>
      <c r="V117" s="16"/>
      <c r="W117" s="15">
        <f>ROUND(IF(D117=Table!$C$3,Y117*Table!$C$4/8,Y117*Table!$D$4/8),3)</f>
        <v>26</v>
      </c>
      <c r="X117" s="101">
        <f t="shared" si="22"/>
        <v>26</v>
      </c>
      <c r="Y117" s="101">
        <v>1.6</v>
      </c>
      <c r="Z117" s="101">
        <f t="shared" si="23"/>
        <v>1.6</v>
      </c>
      <c r="AA117" s="16" t="s">
        <v>70</v>
      </c>
      <c r="AB117" s="70">
        <v>44125</v>
      </c>
      <c r="AC117" s="19">
        <v>44118</v>
      </c>
      <c r="AD117" s="70">
        <v>44125</v>
      </c>
      <c r="AE117" s="70">
        <v>44123</v>
      </c>
      <c r="AF117" s="70">
        <v>44123</v>
      </c>
      <c r="AG117" s="70" t="s">
        <v>130</v>
      </c>
      <c r="AH117" s="97">
        <v>1</v>
      </c>
      <c r="AI117" s="97">
        <v>1</v>
      </c>
      <c r="AJ117" s="97">
        <v>0.5</v>
      </c>
      <c r="AK117" s="71"/>
      <c r="AL117" s="76" t="s">
        <v>117</v>
      </c>
      <c r="AM117" s="87"/>
      <c r="AN117" s="15"/>
      <c r="AO117" s="15"/>
    </row>
    <row r="118" spans="2:41" x14ac:dyDescent="0.25">
      <c r="B118" s="95">
        <f t="shared" si="19"/>
        <v>59</v>
      </c>
      <c r="C118" s="16">
        <v>20201014</v>
      </c>
      <c r="D118" s="16" t="s">
        <v>2</v>
      </c>
      <c r="E118" s="74" t="s">
        <v>404</v>
      </c>
      <c r="F118" s="69"/>
      <c r="G118" s="37"/>
      <c r="H118" s="16" t="s">
        <v>423</v>
      </c>
      <c r="I118" s="16" t="s">
        <v>301</v>
      </c>
      <c r="J118" s="16" t="s">
        <v>188</v>
      </c>
      <c r="K118" s="37"/>
      <c r="L118" s="69" t="s">
        <v>403</v>
      </c>
      <c r="M118" s="37"/>
      <c r="N118" s="16"/>
      <c r="O118" s="69" t="s">
        <v>203</v>
      </c>
      <c r="P118" s="69" t="s">
        <v>398</v>
      </c>
      <c r="Q118" s="18"/>
      <c r="R118" s="16" t="s">
        <v>171</v>
      </c>
      <c r="S118" s="16" t="s">
        <v>66</v>
      </c>
      <c r="T118" s="16"/>
      <c r="U118" s="16"/>
      <c r="V118" s="16"/>
      <c r="W118" s="15">
        <f>ROUND(IF(D118=Table!$C$3,Y118*Table!$C$4/8,Y118*Table!$D$4/8),3)</f>
        <v>26</v>
      </c>
      <c r="X118" s="101">
        <f t="shared" si="22"/>
        <v>26</v>
      </c>
      <c r="Y118" s="101">
        <v>1.6</v>
      </c>
      <c r="Z118" s="101">
        <f t="shared" si="23"/>
        <v>1.6</v>
      </c>
      <c r="AA118" s="16" t="s">
        <v>70</v>
      </c>
      <c r="AB118" s="70">
        <v>44125</v>
      </c>
      <c r="AC118" s="19">
        <v>44118</v>
      </c>
      <c r="AD118" s="70">
        <v>44125</v>
      </c>
      <c r="AE118" s="70">
        <v>44123</v>
      </c>
      <c r="AF118" s="70">
        <v>44123</v>
      </c>
      <c r="AG118" s="70" t="s">
        <v>130</v>
      </c>
      <c r="AH118" s="97">
        <v>1</v>
      </c>
      <c r="AI118" s="97">
        <v>1</v>
      </c>
      <c r="AJ118" s="97">
        <v>0.5</v>
      </c>
      <c r="AK118" s="71"/>
      <c r="AL118" s="76" t="s">
        <v>117</v>
      </c>
      <c r="AM118" s="87"/>
      <c r="AN118" s="15"/>
      <c r="AO118" s="15"/>
    </row>
    <row r="119" spans="2:41" x14ac:dyDescent="0.25">
      <c r="B119" s="95">
        <f t="shared" si="19"/>
        <v>60</v>
      </c>
      <c r="C119" s="16">
        <v>20201014</v>
      </c>
      <c r="D119" s="16" t="s">
        <v>2</v>
      </c>
      <c r="E119" s="74" t="s">
        <v>404</v>
      </c>
      <c r="F119" s="69"/>
      <c r="G119" s="37"/>
      <c r="H119" s="16" t="s">
        <v>424</v>
      </c>
      <c r="I119" s="16" t="s">
        <v>302</v>
      </c>
      <c r="J119" s="16" t="s">
        <v>188</v>
      </c>
      <c r="K119" s="37"/>
      <c r="L119" s="69" t="s">
        <v>403</v>
      </c>
      <c r="M119" s="37"/>
      <c r="N119" s="16"/>
      <c r="O119" s="69" t="s">
        <v>203</v>
      </c>
      <c r="P119" s="69" t="s">
        <v>398</v>
      </c>
      <c r="Q119" s="18"/>
      <c r="R119" s="16" t="s">
        <v>169</v>
      </c>
      <c r="S119" s="16" t="s">
        <v>147</v>
      </c>
      <c r="T119" s="16"/>
      <c r="U119" s="16"/>
      <c r="V119" s="16"/>
      <c r="W119" s="15">
        <f>ROUND(IF(D119=Table!$C$3,Y119*Table!$C$4/8,Y119*Table!$D$4/8),3)</f>
        <v>26</v>
      </c>
      <c r="X119" s="101">
        <f t="shared" si="22"/>
        <v>26</v>
      </c>
      <c r="Y119" s="101">
        <v>1.6</v>
      </c>
      <c r="Z119" s="101">
        <f t="shared" ref="Z119:Z125" si="24">Y119</f>
        <v>1.6</v>
      </c>
      <c r="AA119" s="16" t="s">
        <v>70</v>
      </c>
      <c r="AB119" s="70">
        <v>44125</v>
      </c>
      <c r="AC119" s="19">
        <v>44118</v>
      </c>
      <c r="AD119" s="70">
        <v>44125</v>
      </c>
      <c r="AE119" s="70">
        <v>44123</v>
      </c>
      <c r="AF119" s="70">
        <v>44123</v>
      </c>
      <c r="AG119" s="70" t="s">
        <v>130</v>
      </c>
      <c r="AH119" s="97">
        <v>1</v>
      </c>
      <c r="AI119" s="97">
        <v>1</v>
      </c>
      <c r="AJ119" s="97">
        <v>0</v>
      </c>
      <c r="AK119" s="71"/>
      <c r="AL119" s="76" t="s">
        <v>117</v>
      </c>
      <c r="AM119" s="87"/>
      <c r="AN119" s="15"/>
      <c r="AO119" s="15"/>
    </row>
    <row r="120" spans="2:41" x14ac:dyDescent="0.25">
      <c r="B120" s="95">
        <f t="shared" si="19"/>
        <v>61</v>
      </c>
      <c r="C120" s="16">
        <v>20201014</v>
      </c>
      <c r="D120" s="16" t="s">
        <v>2</v>
      </c>
      <c r="E120" s="74" t="s">
        <v>404</v>
      </c>
      <c r="F120" s="69"/>
      <c r="G120" s="37"/>
      <c r="H120" s="16" t="s">
        <v>425</v>
      </c>
      <c r="I120" s="16" t="s">
        <v>303</v>
      </c>
      <c r="J120" s="16" t="s">
        <v>188</v>
      </c>
      <c r="K120" s="37"/>
      <c r="L120" s="69" t="s">
        <v>403</v>
      </c>
      <c r="M120" s="37"/>
      <c r="N120" s="16"/>
      <c r="O120" s="69" t="s">
        <v>203</v>
      </c>
      <c r="P120" s="69" t="s">
        <v>398</v>
      </c>
      <c r="Q120" s="18"/>
      <c r="R120" s="16" t="s">
        <v>169</v>
      </c>
      <c r="S120" s="16" t="s">
        <v>147</v>
      </c>
      <c r="T120" s="16"/>
      <c r="U120" s="16"/>
      <c r="V120" s="16"/>
      <c r="W120" s="15">
        <f>ROUND(IF(D120=Table!$C$3,Y120*Table!$C$4/8,Y120*Table!$D$4/8),3)</f>
        <v>26</v>
      </c>
      <c r="X120" s="101">
        <f t="shared" si="22"/>
        <v>26</v>
      </c>
      <c r="Y120" s="101">
        <v>1.6</v>
      </c>
      <c r="Z120" s="101">
        <f t="shared" si="24"/>
        <v>1.6</v>
      </c>
      <c r="AA120" s="16" t="s">
        <v>70</v>
      </c>
      <c r="AB120" s="70">
        <v>44125</v>
      </c>
      <c r="AC120" s="19">
        <v>44118</v>
      </c>
      <c r="AD120" s="70">
        <v>44125</v>
      </c>
      <c r="AE120" s="70">
        <v>44123</v>
      </c>
      <c r="AF120" s="70">
        <v>44123</v>
      </c>
      <c r="AG120" s="70" t="s">
        <v>130</v>
      </c>
      <c r="AH120" s="97">
        <v>1</v>
      </c>
      <c r="AI120" s="97">
        <v>1</v>
      </c>
      <c r="AJ120" s="97">
        <v>0</v>
      </c>
      <c r="AK120" s="71"/>
      <c r="AL120" s="76" t="s">
        <v>117</v>
      </c>
      <c r="AM120" s="87"/>
      <c r="AN120" s="15"/>
      <c r="AO120" s="15"/>
    </row>
    <row r="121" spans="2:41" x14ac:dyDescent="0.25">
      <c r="B121" s="95">
        <f t="shared" si="19"/>
        <v>62</v>
      </c>
      <c r="C121" s="16">
        <v>20201014</v>
      </c>
      <c r="D121" s="16" t="s">
        <v>2</v>
      </c>
      <c r="E121" s="74" t="s">
        <v>404</v>
      </c>
      <c r="F121" s="69"/>
      <c r="G121" s="37"/>
      <c r="H121" s="16" t="s">
        <v>426</v>
      </c>
      <c r="I121" s="16" t="s">
        <v>304</v>
      </c>
      <c r="J121" s="16" t="s">
        <v>188</v>
      </c>
      <c r="K121" s="37"/>
      <c r="L121" s="69" t="s">
        <v>403</v>
      </c>
      <c r="M121" s="37"/>
      <c r="N121" s="16"/>
      <c r="O121" s="69" t="s">
        <v>203</v>
      </c>
      <c r="P121" s="69" t="s">
        <v>398</v>
      </c>
      <c r="Q121" s="18"/>
      <c r="R121" s="16" t="s">
        <v>169</v>
      </c>
      <c r="S121" s="16" t="s">
        <v>147</v>
      </c>
      <c r="T121" s="16"/>
      <c r="U121" s="16"/>
      <c r="V121" s="16"/>
      <c r="W121" s="15">
        <f>ROUND(IF(D121=Table!$C$3,Y121*Table!$C$4/8,Y121*Table!$D$4/8),3)</f>
        <v>26</v>
      </c>
      <c r="X121" s="101">
        <f t="shared" si="22"/>
        <v>26</v>
      </c>
      <c r="Y121" s="101">
        <v>1.6</v>
      </c>
      <c r="Z121" s="101">
        <f t="shared" si="24"/>
        <v>1.6</v>
      </c>
      <c r="AA121" s="16" t="s">
        <v>70</v>
      </c>
      <c r="AB121" s="70">
        <v>44125</v>
      </c>
      <c r="AC121" s="19">
        <v>44118</v>
      </c>
      <c r="AD121" s="70">
        <v>44125</v>
      </c>
      <c r="AE121" s="70">
        <v>44123</v>
      </c>
      <c r="AF121" s="70">
        <v>44123</v>
      </c>
      <c r="AG121" s="70" t="s">
        <v>130</v>
      </c>
      <c r="AH121" s="97">
        <v>1</v>
      </c>
      <c r="AI121" s="97">
        <v>1</v>
      </c>
      <c r="AJ121" s="97">
        <v>0</v>
      </c>
      <c r="AK121" s="71"/>
      <c r="AL121" s="76" t="s">
        <v>117</v>
      </c>
      <c r="AM121" s="87"/>
      <c r="AN121" s="15"/>
      <c r="AO121" s="15"/>
    </row>
    <row r="122" spans="2:41" x14ac:dyDescent="0.25">
      <c r="B122" s="95">
        <f t="shared" si="19"/>
        <v>63</v>
      </c>
      <c r="C122" s="16">
        <v>20201014</v>
      </c>
      <c r="D122" s="16" t="s">
        <v>2</v>
      </c>
      <c r="E122" s="74" t="s">
        <v>404</v>
      </c>
      <c r="F122" s="69"/>
      <c r="G122" s="37"/>
      <c r="H122" s="16" t="s">
        <v>427</v>
      </c>
      <c r="I122" s="16" t="s">
        <v>305</v>
      </c>
      <c r="J122" s="16" t="s">
        <v>188</v>
      </c>
      <c r="K122" s="37"/>
      <c r="L122" s="69" t="s">
        <v>403</v>
      </c>
      <c r="M122" s="37"/>
      <c r="N122" s="16"/>
      <c r="O122" s="69" t="s">
        <v>203</v>
      </c>
      <c r="P122" s="69" t="s">
        <v>398</v>
      </c>
      <c r="Q122" s="18"/>
      <c r="R122" s="16" t="s">
        <v>169</v>
      </c>
      <c r="S122" s="16" t="s">
        <v>147</v>
      </c>
      <c r="T122" s="16"/>
      <c r="U122" s="16"/>
      <c r="V122" s="16"/>
      <c r="W122" s="15">
        <f>ROUND(IF(D122=Table!$C$3,Y122*Table!$C$4/8,Y122*Table!$D$4/8),3)</f>
        <v>26</v>
      </c>
      <c r="X122" s="101">
        <f t="shared" si="22"/>
        <v>26</v>
      </c>
      <c r="Y122" s="101">
        <v>1.6</v>
      </c>
      <c r="Z122" s="101">
        <f t="shared" si="24"/>
        <v>1.6</v>
      </c>
      <c r="AA122" s="16" t="s">
        <v>70</v>
      </c>
      <c r="AB122" s="70">
        <v>44125</v>
      </c>
      <c r="AC122" s="19">
        <v>44118</v>
      </c>
      <c r="AD122" s="70">
        <v>44125</v>
      </c>
      <c r="AE122" s="70">
        <v>44123</v>
      </c>
      <c r="AF122" s="70">
        <v>44123</v>
      </c>
      <c r="AG122" s="70" t="s">
        <v>130</v>
      </c>
      <c r="AH122" s="97">
        <v>1</v>
      </c>
      <c r="AI122" s="97">
        <v>1</v>
      </c>
      <c r="AJ122" s="97">
        <v>0</v>
      </c>
      <c r="AK122" s="71"/>
      <c r="AL122" s="76" t="s">
        <v>117</v>
      </c>
      <c r="AM122" s="87"/>
      <c r="AN122" s="15"/>
      <c r="AO122" s="15"/>
    </row>
    <row r="123" spans="2:41" x14ac:dyDescent="0.25">
      <c r="B123" s="95">
        <f t="shared" si="19"/>
        <v>64</v>
      </c>
      <c r="C123" s="16">
        <v>20201014</v>
      </c>
      <c r="D123" s="16" t="s">
        <v>2</v>
      </c>
      <c r="E123" s="74" t="s">
        <v>404</v>
      </c>
      <c r="F123" s="69"/>
      <c r="G123" s="37"/>
      <c r="H123" s="16" t="s">
        <v>428</v>
      </c>
      <c r="I123" s="16" t="s">
        <v>306</v>
      </c>
      <c r="J123" s="16" t="s">
        <v>188</v>
      </c>
      <c r="K123" s="37"/>
      <c r="L123" s="69" t="s">
        <v>403</v>
      </c>
      <c r="M123" s="37"/>
      <c r="N123" s="16"/>
      <c r="O123" s="69" t="s">
        <v>203</v>
      </c>
      <c r="P123" s="69" t="s">
        <v>398</v>
      </c>
      <c r="Q123" s="18"/>
      <c r="R123" s="16" t="s">
        <v>169</v>
      </c>
      <c r="S123" s="16" t="s">
        <v>147</v>
      </c>
      <c r="T123" s="16"/>
      <c r="U123" s="16"/>
      <c r="V123" s="16"/>
      <c r="W123" s="15">
        <f>ROUND(IF(D123=Table!$C$3,Y123*Table!$C$4/8,Y123*Table!$D$4/8),3)</f>
        <v>26</v>
      </c>
      <c r="X123" s="101">
        <f t="shared" si="22"/>
        <v>26</v>
      </c>
      <c r="Y123" s="101">
        <v>1.6</v>
      </c>
      <c r="Z123" s="101">
        <f t="shared" si="24"/>
        <v>1.6</v>
      </c>
      <c r="AA123" s="16" t="s">
        <v>70</v>
      </c>
      <c r="AB123" s="70">
        <v>44125</v>
      </c>
      <c r="AC123" s="19">
        <v>44118</v>
      </c>
      <c r="AD123" s="70">
        <v>44125</v>
      </c>
      <c r="AE123" s="70">
        <v>44123</v>
      </c>
      <c r="AF123" s="70">
        <v>44123</v>
      </c>
      <c r="AG123" s="70" t="s">
        <v>130</v>
      </c>
      <c r="AH123" s="97">
        <v>1</v>
      </c>
      <c r="AI123" s="97">
        <v>1</v>
      </c>
      <c r="AJ123" s="97">
        <v>0</v>
      </c>
      <c r="AK123" s="71"/>
      <c r="AL123" s="76" t="s">
        <v>117</v>
      </c>
      <c r="AM123" s="87"/>
      <c r="AN123" s="15"/>
      <c r="AO123" s="15"/>
    </row>
    <row r="124" spans="2:41" x14ac:dyDescent="0.25">
      <c r="B124" s="95">
        <f t="shared" si="19"/>
        <v>65</v>
      </c>
      <c r="C124" s="16">
        <v>20201014</v>
      </c>
      <c r="D124" s="16" t="s">
        <v>2</v>
      </c>
      <c r="E124" s="74" t="s">
        <v>404</v>
      </c>
      <c r="F124" s="69"/>
      <c r="G124" s="37"/>
      <c r="H124" s="16" t="s">
        <v>429</v>
      </c>
      <c r="I124" s="16" t="s">
        <v>307</v>
      </c>
      <c r="J124" s="16" t="s">
        <v>188</v>
      </c>
      <c r="K124" s="37"/>
      <c r="L124" s="69" t="s">
        <v>403</v>
      </c>
      <c r="M124" s="37"/>
      <c r="N124" s="16"/>
      <c r="O124" s="69" t="s">
        <v>203</v>
      </c>
      <c r="P124" s="69" t="s">
        <v>398</v>
      </c>
      <c r="Q124" s="18"/>
      <c r="R124" s="16" t="s">
        <v>169</v>
      </c>
      <c r="S124" s="16" t="s">
        <v>147</v>
      </c>
      <c r="T124" s="16"/>
      <c r="U124" s="16"/>
      <c r="V124" s="16"/>
      <c r="W124" s="15">
        <f>ROUND(IF(D124=Table!$C$3,Y124*Table!$C$4/8,Y124*Table!$D$4/8),3)</f>
        <v>26</v>
      </c>
      <c r="X124" s="101">
        <f t="shared" ref="X124:X155" si="25">W124</f>
        <v>26</v>
      </c>
      <c r="Y124" s="101">
        <v>1.6</v>
      </c>
      <c r="Z124" s="101">
        <f t="shared" si="24"/>
        <v>1.6</v>
      </c>
      <c r="AA124" s="16" t="s">
        <v>70</v>
      </c>
      <c r="AB124" s="70">
        <v>44125</v>
      </c>
      <c r="AC124" s="19">
        <v>44118</v>
      </c>
      <c r="AD124" s="70">
        <v>44125</v>
      </c>
      <c r="AE124" s="70">
        <v>44123</v>
      </c>
      <c r="AF124" s="70">
        <v>44123</v>
      </c>
      <c r="AG124" s="70" t="s">
        <v>130</v>
      </c>
      <c r="AH124" s="97">
        <v>1</v>
      </c>
      <c r="AI124" s="97">
        <v>1</v>
      </c>
      <c r="AJ124" s="97">
        <v>0</v>
      </c>
      <c r="AK124" s="71"/>
      <c r="AL124" s="76" t="s">
        <v>117</v>
      </c>
      <c r="AM124" s="87"/>
      <c r="AN124" s="15"/>
      <c r="AO124" s="15"/>
    </row>
    <row r="125" spans="2:41" x14ac:dyDescent="0.25">
      <c r="B125" s="95">
        <f t="shared" si="19"/>
        <v>66</v>
      </c>
      <c r="C125" s="16">
        <v>20201014</v>
      </c>
      <c r="D125" s="16" t="s">
        <v>2</v>
      </c>
      <c r="E125" s="74" t="s">
        <v>404</v>
      </c>
      <c r="F125" s="69"/>
      <c r="G125" s="37"/>
      <c r="H125" s="16" t="s">
        <v>430</v>
      </c>
      <c r="I125" s="16" t="s">
        <v>308</v>
      </c>
      <c r="J125" s="16" t="s">
        <v>188</v>
      </c>
      <c r="K125" s="37"/>
      <c r="L125" s="69" t="s">
        <v>403</v>
      </c>
      <c r="M125" s="37"/>
      <c r="N125" s="16"/>
      <c r="O125" s="69" t="s">
        <v>203</v>
      </c>
      <c r="P125" s="69" t="s">
        <v>398</v>
      </c>
      <c r="Q125" s="18"/>
      <c r="R125" s="16" t="s">
        <v>169</v>
      </c>
      <c r="S125" s="16" t="s">
        <v>147</v>
      </c>
      <c r="T125" s="16"/>
      <c r="U125" s="16"/>
      <c r="V125" s="16"/>
      <c r="W125" s="15">
        <f>ROUND(IF(D125=Table!$C$3,Y125*Table!$C$4/8,Y125*Table!$D$4/8),3)</f>
        <v>26</v>
      </c>
      <c r="X125" s="101">
        <f t="shared" si="25"/>
        <v>26</v>
      </c>
      <c r="Y125" s="101">
        <v>1.6</v>
      </c>
      <c r="Z125" s="101">
        <f t="shared" si="24"/>
        <v>1.6</v>
      </c>
      <c r="AA125" s="16" t="s">
        <v>70</v>
      </c>
      <c r="AB125" s="70">
        <v>44125</v>
      </c>
      <c r="AC125" s="19">
        <v>44118</v>
      </c>
      <c r="AD125" s="70">
        <v>44125</v>
      </c>
      <c r="AE125" s="70">
        <v>44123</v>
      </c>
      <c r="AF125" s="70">
        <v>44123</v>
      </c>
      <c r="AG125" s="70" t="s">
        <v>130</v>
      </c>
      <c r="AH125" s="97">
        <v>1</v>
      </c>
      <c r="AI125" s="97">
        <v>1</v>
      </c>
      <c r="AJ125" s="97">
        <v>0</v>
      </c>
      <c r="AK125" s="71"/>
      <c r="AL125" s="76" t="s">
        <v>117</v>
      </c>
      <c r="AM125" s="87"/>
      <c r="AN125" s="15"/>
      <c r="AO125" s="15"/>
    </row>
    <row r="126" spans="2:41" x14ac:dyDescent="0.25">
      <c r="B126" s="95">
        <f t="shared" ref="B126:B159" si="26">B125+1</f>
        <v>67</v>
      </c>
      <c r="C126" s="16">
        <v>20201014</v>
      </c>
      <c r="D126" s="16" t="s">
        <v>3</v>
      </c>
      <c r="E126" s="74" t="s">
        <v>404</v>
      </c>
      <c r="F126" s="69"/>
      <c r="G126" s="37"/>
      <c r="H126" s="16" t="s">
        <v>431</v>
      </c>
      <c r="I126" s="129" t="s">
        <v>309</v>
      </c>
      <c r="J126" s="16" t="s">
        <v>188</v>
      </c>
      <c r="K126" s="109" t="s">
        <v>461</v>
      </c>
      <c r="L126" s="69" t="s">
        <v>403</v>
      </c>
      <c r="M126" s="37"/>
      <c r="N126" s="16"/>
      <c r="O126" s="69" t="s">
        <v>203</v>
      </c>
      <c r="P126" s="69" t="s">
        <v>398</v>
      </c>
      <c r="Q126" s="18"/>
      <c r="R126" s="16" t="s">
        <v>169</v>
      </c>
      <c r="S126" s="16" t="s">
        <v>147</v>
      </c>
      <c r="T126" s="16"/>
      <c r="U126" s="16"/>
      <c r="V126" s="16"/>
      <c r="W126" s="15">
        <f>ROUND(IF(D126=Table!$C$3,Y126*Table!$C$4/8,Y126*Table!$D$4/8),3)</f>
        <v>67.5</v>
      </c>
      <c r="X126" s="101">
        <f t="shared" si="25"/>
        <v>67.5</v>
      </c>
      <c r="Y126" s="101">
        <v>1.2</v>
      </c>
      <c r="Z126" s="101">
        <f t="shared" ref="Z126:Z134" si="27">Y126</f>
        <v>1.2</v>
      </c>
      <c r="AA126" s="16" t="s">
        <v>70</v>
      </c>
      <c r="AB126" s="70">
        <v>44125</v>
      </c>
      <c r="AC126" s="19">
        <v>44118</v>
      </c>
      <c r="AD126" s="70">
        <v>44125</v>
      </c>
      <c r="AE126" s="70">
        <v>44124</v>
      </c>
      <c r="AF126" s="70">
        <v>44124</v>
      </c>
      <c r="AG126" s="70" t="s">
        <v>130</v>
      </c>
      <c r="AH126" s="97">
        <v>1</v>
      </c>
      <c r="AI126" s="97">
        <v>1</v>
      </c>
      <c r="AJ126" s="97">
        <v>1</v>
      </c>
      <c r="AK126" s="71"/>
      <c r="AL126" s="76" t="s">
        <v>117</v>
      </c>
      <c r="AM126" s="87"/>
      <c r="AN126" s="15"/>
      <c r="AO126" s="15"/>
    </row>
    <row r="127" spans="2:41" x14ac:dyDescent="0.25">
      <c r="B127" s="95">
        <f t="shared" si="26"/>
        <v>68</v>
      </c>
      <c r="C127" s="16">
        <v>20201014</v>
      </c>
      <c r="D127" s="16" t="s">
        <v>3</v>
      </c>
      <c r="E127" s="74" t="s">
        <v>404</v>
      </c>
      <c r="F127" s="69"/>
      <c r="G127" s="37"/>
      <c r="H127" s="16" t="s">
        <v>432</v>
      </c>
      <c r="I127" s="129" t="s">
        <v>310</v>
      </c>
      <c r="J127" s="16" t="s">
        <v>188</v>
      </c>
      <c r="K127" s="109" t="s">
        <v>461</v>
      </c>
      <c r="L127" s="69" t="s">
        <v>403</v>
      </c>
      <c r="M127" s="37"/>
      <c r="N127" s="16"/>
      <c r="O127" s="69" t="s">
        <v>192</v>
      </c>
      <c r="P127" s="69" t="s">
        <v>398</v>
      </c>
      <c r="Q127" s="18"/>
      <c r="R127" s="16" t="s">
        <v>169</v>
      </c>
      <c r="S127" s="16" t="s">
        <v>147</v>
      </c>
      <c r="T127" s="16"/>
      <c r="U127" s="16"/>
      <c r="V127" s="16"/>
      <c r="W127" s="15">
        <f>ROUND(IF(D127=Table!$C$3,Y127*Table!$C$4/8,Y127*Table!$D$4/8),3)</f>
        <v>67.5</v>
      </c>
      <c r="X127" s="101">
        <f t="shared" si="25"/>
        <v>67.5</v>
      </c>
      <c r="Y127" s="101">
        <v>1.2</v>
      </c>
      <c r="Z127" s="101">
        <f t="shared" si="27"/>
        <v>1.2</v>
      </c>
      <c r="AA127" s="16" t="s">
        <v>70</v>
      </c>
      <c r="AB127" s="70">
        <v>44125</v>
      </c>
      <c r="AC127" s="19">
        <v>44118</v>
      </c>
      <c r="AD127" s="70">
        <v>44125</v>
      </c>
      <c r="AE127" s="70">
        <v>44124</v>
      </c>
      <c r="AF127" s="70">
        <v>44124</v>
      </c>
      <c r="AG127" s="70" t="s">
        <v>130</v>
      </c>
      <c r="AH127" s="97">
        <v>1</v>
      </c>
      <c r="AI127" s="97">
        <v>1</v>
      </c>
      <c r="AJ127" s="97">
        <v>1</v>
      </c>
      <c r="AK127" s="71"/>
      <c r="AL127" s="76" t="s">
        <v>117</v>
      </c>
      <c r="AM127" s="87"/>
      <c r="AN127" s="15"/>
      <c r="AO127" s="15"/>
    </row>
    <row r="128" spans="2:41" x14ac:dyDescent="0.25">
      <c r="B128" s="95">
        <f t="shared" si="26"/>
        <v>69</v>
      </c>
      <c r="C128" s="16">
        <v>20201014</v>
      </c>
      <c r="D128" s="16" t="s">
        <v>3</v>
      </c>
      <c r="E128" s="74" t="s">
        <v>404</v>
      </c>
      <c r="F128" s="69"/>
      <c r="G128" s="37"/>
      <c r="H128" s="16" t="s">
        <v>433</v>
      </c>
      <c r="I128" s="129" t="s">
        <v>311</v>
      </c>
      <c r="J128" s="16" t="s">
        <v>188</v>
      </c>
      <c r="K128" s="109" t="s">
        <v>461</v>
      </c>
      <c r="L128" s="69" t="s">
        <v>403</v>
      </c>
      <c r="M128" s="37"/>
      <c r="N128" s="16"/>
      <c r="O128" s="69" t="s">
        <v>203</v>
      </c>
      <c r="P128" s="69" t="s">
        <v>398</v>
      </c>
      <c r="Q128" s="18"/>
      <c r="R128" s="16" t="s">
        <v>169</v>
      </c>
      <c r="S128" s="16" t="s">
        <v>147</v>
      </c>
      <c r="T128" s="16"/>
      <c r="U128" s="16"/>
      <c r="V128" s="16"/>
      <c r="W128" s="15">
        <f>ROUND(IF(D128=Table!$C$3,Y128*Table!$C$4/8,Y128*Table!$D$4/8),3)</f>
        <v>67.5</v>
      </c>
      <c r="X128" s="101">
        <f t="shared" si="25"/>
        <v>67.5</v>
      </c>
      <c r="Y128" s="101">
        <v>1.2</v>
      </c>
      <c r="Z128" s="101">
        <f t="shared" si="27"/>
        <v>1.2</v>
      </c>
      <c r="AA128" s="16" t="s">
        <v>70</v>
      </c>
      <c r="AB128" s="70">
        <v>44125</v>
      </c>
      <c r="AC128" s="19">
        <v>44118</v>
      </c>
      <c r="AD128" s="70">
        <v>44125</v>
      </c>
      <c r="AE128" s="70">
        <v>44124</v>
      </c>
      <c r="AF128" s="70">
        <v>44124</v>
      </c>
      <c r="AG128" s="70" t="s">
        <v>130</v>
      </c>
      <c r="AH128" s="97">
        <v>1</v>
      </c>
      <c r="AI128" s="97">
        <v>1</v>
      </c>
      <c r="AJ128" s="97">
        <v>1</v>
      </c>
      <c r="AK128" s="71"/>
      <c r="AL128" s="76" t="s">
        <v>117</v>
      </c>
      <c r="AM128" s="87"/>
      <c r="AN128" s="15"/>
      <c r="AO128" s="15"/>
    </row>
    <row r="129" spans="2:42" x14ac:dyDescent="0.25">
      <c r="B129" s="95">
        <f t="shared" si="26"/>
        <v>70</v>
      </c>
      <c r="C129" s="16">
        <v>20201014</v>
      </c>
      <c r="D129" s="16" t="s">
        <v>3</v>
      </c>
      <c r="E129" s="74" t="s">
        <v>404</v>
      </c>
      <c r="F129" s="69"/>
      <c r="G129" s="37"/>
      <c r="H129" s="16" t="s">
        <v>434</v>
      </c>
      <c r="I129" s="129" t="s">
        <v>312</v>
      </c>
      <c r="J129" s="16" t="s">
        <v>188</v>
      </c>
      <c r="K129" s="109" t="s">
        <v>461</v>
      </c>
      <c r="L129" s="69" t="s">
        <v>403</v>
      </c>
      <c r="M129" s="37"/>
      <c r="N129" s="16"/>
      <c r="O129" s="69" t="s">
        <v>203</v>
      </c>
      <c r="P129" s="69" t="s">
        <v>398</v>
      </c>
      <c r="Q129" s="18"/>
      <c r="R129" s="16" t="s">
        <v>169</v>
      </c>
      <c r="S129" s="16" t="s">
        <v>147</v>
      </c>
      <c r="T129" s="16"/>
      <c r="U129" s="16"/>
      <c r="V129" s="16"/>
      <c r="W129" s="15">
        <f>ROUND(IF(D129=Table!$C$3,Y129*Table!$C$4/8,Y129*Table!$D$4/8),3)</f>
        <v>67.5</v>
      </c>
      <c r="X129" s="101">
        <f t="shared" si="25"/>
        <v>67.5</v>
      </c>
      <c r="Y129" s="101">
        <v>1.2</v>
      </c>
      <c r="Z129" s="101">
        <f t="shared" si="27"/>
        <v>1.2</v>
      </c>
      <c r="AA129" s="16" t="s">
        <v>70</v>
      </c>
      <c r="AB129" s="70">
        <v>44125</v>
      </c>
      <c r="AC129" s="19">
        <v>44118</v>
      </c>
      <c r="AD129" s="70">
        <v>44125</v>
      </c>
      <c r="AE129" s="70">
        <v>44124</v>
      </c>
      <c r="AF129" s="70">
        <v>44124</v>
      </c>
      <c r="AG129" s="70" t="s">
        <v>130</v>
      </c>
      <c r="AH129" s="97">
        <v>1</v>
      </c>
      <c r="AI129" s="97">
        <v>1</v>
      </c>
      <c r="AJ129" s="97">
        <v>1</v>
      </c>
      <c r="AK129" s="71"/>
      <c r="AL129" s="76" t="s">
        <v>117</v>
      </c>
      <c r="AM129" s="87"/>
      <c r="AN129" s="15"/>
      <c r="AO129" s="15"/>
    </row>
    <row r="130" spans="2:42" x14ac:dyDescent="0.25">
      <c r="B130" s="95">
        <f t="shared" si="26"/>
        <v>71</v>
      </c>
      <c r="C130" s="16">
        <v>20201014</v>
      </c>
      <c r="D130" s="16" t="s">
        <v>3</v>
      </c>
      <c r="E130" s="74" t="s">
        <v>404</v>
      </c>
      <c r="F130" s="69"/>
      <c r="G130" s="37"/>
      <c r="H130" s="16" t="s">
        <v>435</v>
      </c>
      <c r="I130" s="129" t="s">
        <v>313</v>
      </c>
      <c r="J130" s="16" t="s">
        <v>188</v>
      </c>
      <c r="K130" s="109" t="s">
        <v>461</v>
      </c>
      <c r="L130" s="69" t="s">
        <v>403</v>
      </c>
      <c r="M130" s="37"/>
      <c r="N130" s="16"/>
      <c r="O130" s="69" t="s">
        <v>203</v>
      </c>
      <c r="P130" s="69" t="s">
        <v>398</v>
      </c>
      <c r="Q130" s="18"/>
      <c r="R130" s="16" t="s">
        <v>169</v>
      </c>
      <c r="S130" s="16" t="s">
        <v>147</v>
      </c>
      <c r="T130" s="16"/>
      <c r="U130" s="16"/>
      <c r="V130" s="16"/>
      <c r="W130" s="15">
        <f>ROUND(IF(D130=Table!$C$3,Y130*Table!$C$4/8,Y130*Table!$D$4/8),3)</f>
        <v>67.5</v>
      </c>
      <c r="X130" s="101">
        <f t="shared" si="25"/>
        <v>67.5</v>
      </c>
      <c r="Y130" s="101">
        <v>1.2</v>
      </c>
      <c r="Z130" s="101">
        <f t="shared" si="27"/>
        <v>1.2</v>
      </c>
      <c r="AA130" s="16" t="s">
        <v>70</v>
      </c>
      <c r="AB130" s="70">
        <v>44125</v>
      </c>
      <c r="AC130" s="19">
        <v>44118</v>
      </c>
      <c r="AD130" s="70">
        <v>44125</v>
      </c>
      <c r="AE130" s="70">
        <v>44124</v>
      </c>
      <c r="AF130" s="70">
        <v>44124</v>
      </c>
      <c r="AG130" s="70" t="s">
        <v>130</v>
      </c>
      <c r="AH130" s="97">
        <v>1</v>
      </c>
      <c r="AI130" s="97">
        <v>1</v>
      </c>
      <c r="AJ130" s="97">
        <v>1</v>
      </c>
      <c r="AK130" s="71"/>
      <c r="AL130" s="76" t="s">
        <v>117</v>
      </c>
      <c r="AM130" s="87"/>
      <c r="AN130" s="15"/>
      <c r="AO130" s="15"/>
    </row>
    <row r="131" spans="2:42" x14ac:dyDescent="0.25">
      <c r="B131" s="95">
        <f t="shared" si="26"/>
        <v>72</v>
      </c>
      <c r="C131" s="16">
        <v>20201014</v>
      </c>
      <c r="D131" s="16" t="s">
        <v>3</v>
      </c>
      <c r="E131" s="74" t="s">
        <v>404</v>
      </c>
      <c r="F131" s="69"/>
      <c r="G131" s="37"/>
      <c r="H131" s="16" t="s">
        <v>436</v>
      </c>
      <c r="I131" s="129" t="s">
        <v>314</v>
      </c>
      <c r="J131" s="16" t="s">
        <v>188</v>
      </c>
      <c r="K131" s="109" t="s">
        <v>461</v>
      </c>
      <c r="L131" s="69" t="s">
        <v>403</v>
      </c>
      <c r="M131" s="37"/>
      <c r="N131" s="16"/>
      <c r="O131" s="69" t="s">
        <v>203</v>
      </c>
      <c r="P131" s="69" t="s">
        <v>398</v>
      </c>
      <c r="Q131" s="18"/>
      <c r="R131" s="16" t="s">
        <v>169</v>
      </c>
      <c r="S131" s="16" t="s">
        <v>147</v>
      </c>
      <c r="T131" s="16"/>
      <c r="U131" s="16"/>
      <c r="V131" s="16"/>
      <c r="W131" s="15">
        <f>ROUND(IF(D131=Table!$C$3,Y131*Table!$C$4/8,Y131*Table!$D$4/8),3)</f>
        <v>67.5</v>
      </c>
      <c r="X131" s="101">
        <f t="shared" si="25"/>
        <v>67.5</v>
      </c>
      <c r="Y131" s="101">
        <v>1.2</v>
      </c>
      <c r="Z131" s="101">
        <f t="shared" si="27"/>
        <v>1.2</v>
      </c>
      <c r="AA131" s="16" t="s">
        <v>70</v>
      </c>
      <c r="AB131" s="70">
        <v>44125</v>
      </c>
      <c r="AC131" s="19">
        <v>44118</v>
      </c>
      <c r="AD131" s="70">
        <v>44125</v>
      </c>
      <c r="AE131" s="70">
        <v>44124</v>
      </c>
      <c r="AF131" s="70">
        <v>44124</v>
      </c>
      <c r="AG131" s="70" t="s">
        <v>130</v>
      </c>
      <c r="AH131" s="97">
        <v>1</v>
      </c>
      <c r="AI131" s="97">
        <v>1</v>
      </c>
      <c r="AJ131" s="97">
        <v>1</v>
      </c>
      <c r="AK131" s="71"/>
      <c r="AL131" s="76" t="s">
        <v>117</v>
      </c>
      <c r="AM131" s="87"/>
      <c r="AN131" s="15"/>
      <c r="AO131" s="15"/>
    </row>
    <row r="132" spans="2:42" x14ac:dyDescent="0.25">
      <c r="B132" s="95">
        <f t="shared" si="26"/>
        <v>73</v>
      </c>
      <c r="C132" s="16">
        <v>20201014</v>
      </c>
      <c r="D132" s="16" t="s">
        <v>3</v>
      </c>
      <c r="E132" s="74" t="s">
        <v>404</v>
      </c>
      <c r="F132" s="69"/>
      <c r="G132" s="37"/>
      <c r="H132" s="16" t="s">
        <v>437</v>
      </c>
      <c r="I132" s="129" t="s">
        <v>315</v>
      </c>
      <c r="J132" s="16" t="s">
        <v>188</v>
      </c>
      <c r="K132" s="109" t="s">
        <v>461</v>
      </c>
      <c r="L132" s="69" t="s">
        <v>403</v>
      </c>
      <c r="M132" s="37"/>
      <c r="N132" s="16"/>
      <c r="O132" s="69" t="s">
        <v>203</v>
      </c>
      <c r="P132" s="69" t="s">
        <v>398</v>
      </c>
      <c r="Q132" s="18"/>
      <c r="R132" s="16" t="s">
        <v>169</v>
      </c>
      <c r="S132" s="16" t="s">
        <v>147</v>
      </c>
      <c r="T132" s="16"/>
      <c r="U132" s="16"/>
      <c r="V132" s="16"/>
      <c r="W132" s="15">
        <f>ROUND(IF(D132=Table!$C$3,Y132*Table!$C$4/8,Y132*Table!$D$4/8),3)</f>
        <v>67.5</v>
      </c>
      <c r="X132" s="101">
        <f t="shared" si="25"/>
        <v>67.5</v>
      </c>
      <c r="Y132" s="101">
        <v>1.2</v>
      </c>
      <c r="Z132" s="101">
        <f t="shared" si="27"/>
        <v>1.2</v>
      </c>
      <c r="AA132" s="16" t="s">
        <v>70</v>
      </c>
      <c r="AB132" s="70">
        <v>44125</v>
      </c>
      <c r="AC132" s="19">
        <v>44118</v>
      </c>
      <c r="AD132" s="70">
        <v>44125</v>
      </c>
      <c r="AE132" s="70">
        <v>44124</v>
      </c>
      <c r="AF132" s="70">
        <v>44124</v>
      </c>
      <c r="AG132" s="70" t="s">
        <v>130</v>
      </c>
      <c r="AH132" s="97">
        <v>1</v>
      </c>
      <c r="AI132" s="97">
        <v>1</v>
      </c>
      <c r="AJ132" s="97">
        <v>1</v>
      </c>
      <c r="AK132" s="71"/>
      <c r="AL132" s="76" t="s">
        <v>117</v>
      </c>
      <c r="AM132" s="87"/>
      <c r="AN132" s="15"/>
      <c r="AO132" s="15"/>
    </row>
    <row r="133" spans="2:42" x14ac:dyDescent="0.25">
      <c r="B133" s="95">
        <f t="shared" si="26"/>
        <v>74</v>
      </c>
      <c r="C133" s="16">
        <v>20201014</v>
      </c>
      <c r="D133" s="16" t="s">
        <v>3</v>
      </c>
      <c r="E133" s="74" t="s">
        <v>404</v>
      </c>
      <c r="F133" s="69"/>
      <c r="G133" s="37"/>
      <c r="H133" s="16" t="s">
        <v>438</v>
      </c>
      <c r="I133" s="129" t="s">
        <v>316</v>
      </c>
      <c r="J133" s="16" t="s">
        <v>188</v>
      </c>
      <c r="K133" s="109" t="s">
        <v>461</v>
      </c>
      <c r="L133" s="69" t="s">
        <v>403</v>
      </c>
      <c r="M133" s="37"/>
      <c r="N133" s="16"/>
      <c r="O133" s="69" t="s">
        <v>203</v>
      </c>
      <c r="P133" s="69" t="s">
        <v>398</v>
      </c>
      <c r="Q133" s="18"/>
      <c r="R133" s="16" t="s">
        <v>169</v>
      </c>
      <c r="S133" s="16" t="s">
        <v>147</v>
      </c>
      <c r="T133" s="16"/>
      <c r="U133" s="16"/>
      <c r="V133" s="16"/>
      <c r="W133" s="15">
        <f>ROUND(IF(D133=Table!$C$3,Y133*Table!$C$4/8,Y133*Table!$D$4/8),3)</f>
        <v>67.5</v>
      </c>
      <c r="X133" s="101">
        <f t="shared" si="25"/>
        <v>67.5</v>
      </c>
      <c r="Y133" s="101">
        <v>1.2</v>
      </c>
      <c r="Z133" s="101">
        <f t="shared" si="27"/>
        <v>1.2</v>
      </c>
      <c r="AA133" s="16" t="s">
        <v>70</v>
      </c>
      <c r="AB133" s="70">
        <v>44125</v>
      </c>
      <c r="AC133" s="19">
        <v>44118</v>
      </c>
      <c r="AD133" s="70">
        <v>44125</v>
      </c>
      <c r="AE133" s="70">
        <v>44124</v>
      </c>
      <c r="AF133" s="70">
        <v>44124</v>
      </c>
      <c r="AG133" s="70" t="s">
        <v>130</v>
      </c>
      <c r="AH133" s="97">
        <v>1</v>
      </c>
      <c r="AI133" s="97">
        <v>1</v>
      </c>
      <c r="AJ133" s="97">
        <v>1</v>
      </c>
      <c r="AK133" s="71"/>
      <c r="AL133" s="76" t="s">
        <v>117</v>
      </c>
      <c r="AM133" s="87"/>
      <c r="AN133" s="15"/>
      <c r="AO133" s="15"/>
    </row>
    <row r="134" spans="2:42" x14ac:dyDescent="0.25">
      <c r="B134" s="95">
        <f t="shared" si="26"/>
        <v>75</v>
      </c>
      <c r="C134" s="16">
        <v>20201014</v>
      </c>
      <c r="D134" s="16" t="s">
        <v>3</v>
      </c>
      <c r="E134" s="74" t="s">
        <v>404</v>
      </c>
      <c r="F134" s="69"/>
      <c r="G134" s="37"/>
      <c r="H134" s="16" t="s">
        <v>439</v>
      </c>
      <c r="I134" s="129" t="s">
        <v>317</v>
      </c>
      <c r="J134" s="16" t="s">
        <v>188</v>
      </c>
      <c r="K134" s="109" t="s">
        <v>461</v>
      </c>
      <c r="L134" s="69" t="s">
        <v>403</v>
      </c>
      <c r="M134" s="37"/>
      <c r="N134" s="16"/>
      <c r="O134" s="69" t="s">
        <v>203</v>
      </c>
      <c r="P134" s="69" t="s">
        <v>399</v>
      </c>
      <c r="Q134" s="18"/>
      <c r="R134" s="16" t="s">
        <v>169</v>
      </c>
      <c r="S134" s="16" t="s">
        <v>147</v>
      </c>
      <c r="T134" s="16"/>
      <c r="U134" s="16"/>
      <c r="V134" s="16"/>
      <c r="W134" s="15">
        <f>ROUND(IF(D134=Table!$C$3,Y134*Table!$C$4/8,Y134*Table!$D$4/8),3)</f>
        <v>67.5</v>
      </c>
      <c r="X134" s="101">
        <f t="shared" si="25"/>
        <v>67.5</v>
      </c>
      <c r="Y134" s="101">
        <v>1.2</v>
      </c>
      <c r="Z134" s="101">
        <f t="shared" si="27"/>
        <v>1.2</v>
      </c>
      <c r="AA134" s="16" t="s">
        <v>70</v>
      </c>
      <c r="AB134" s="70">
        <v>44125</v>
      </c>
      <c r="AC134" s="19">
        <v>44118</v>
      </c>
      <c r="AD134" s="70">
        <v>44125</v>
      </c>
      <c r="AE134" s="70">
        <v>44124</v>
      </c>
      <c r="AF134" s="70">
        <v>44124</v>
      </c>
      <c r="AG134" s="70" t="s">
        <v>130</v>
      </c>
      <c r="AH134" s="97">
        <v>1</v>
      </c>
      <c r="AI134" s="97">
        <v>1</v>
      </c>
      <c r="AJ134" s="97">
        <v>1</v>
      </c>
      <c r="AK134" s="71"/>
      <c r="AL134" s="76" t="s">
        <v>117</v>
      </c>
      <c r="AM134" s="87"/>
      <c r="AN134" s="15"/>
      <c r="AO134" s="15"/>
    </row>
    <row r="135" spans="2:42" x14ac:dyDescent="0.25">
      <c r="B135" s="95">
        <f t="shared" si="26"/>
        <v>76</v>
      </c>
      <c r="C135" s="16">
        <v>20201014</v>
      </c>
      <c r="D135" s="16" t="s">
        <v>3</v>
      </c>
      <c r="E135" s="74" t="s">
        <v>404</v>
      </c>
      <c r="F135" s="69"/>
      <c r="G135" s="37"/>
      <c r="H135" s="16" t="s">
        <v>440</v>
      </c>
      <c r="I135" s="16" t="s">
        <v>318</v>
      </c>
      <c r="J135" s="16" t="s">
        <v>188</v>
      </c>
      <c r="K135" s="109" t="s">
        <v>461</v>
      </c>
      <c r="L135" s="69" t="s">
        <v>403</v>
      </c>
      <c r="M135" s="37"/>
      <c r="N135" s="16"/>
      <c r="O135" s="69" t="s">
        <v>203</v>
      </c>
      <c r="P135" s="69" t="s">
        <v>400</v>
      </c>
      <c r="Q135" s="18"/>
      <c r="R135" s="16" t="s">
        <v>171</v>
      </c>
      <c r="S135" s="16" t="s">
        <v>66</v>
      </c>
      <c r="T135" s="16"/>
      <c r="U135" s="16"/>
      <c r="V135" s="16"/>
      <c r="W135" s="15">
        <f>ROUND(IF(D135=Table!$C$3,Y135*Table!$C$4/8,Y135*Table!$D$4/8),3)</f>
        <v>67.5</v>
      </c>
      <c r="X135" s="101">
        <f t="shared" si="25"/>
        <v>67.5</v>
      </c>
      <c r="Y135" s="101">
        <v>1.2</v>
      </c>
      <c r="Z135" s="101">
        <f t="shared" ref="Z135:Z141" si="28">Y135</f>
        <v>1.2</v>
      </c>
      <c r="AA135" s="16" t="s">
        <v>70</v>
      </c>
      <c r="AB135" s="70">
        <v>44125</v>
      </c>
      <c r="AC135" s="19">
        <v>44118</v>
      </c>
      <c r="AD135" s="70">
        <v>44125</v>
      </c>
      <c r="AE135" s="70">
        <v>44124</v>
      </c>
      <c r="AF135" s="70">
        <v>44124</v>
      </c>
      <c r="AG135" s="70" t="s">
        <v>130</v>
      </c>
      <c r="AH135" s="97">
        <v>1</v>
      </c>
      <c r="AI135" s="97">
        <v>1</v>
      </c>
      <c r="AJ135" s="97">
        <v>1</v>
      </c>
      <c r="AK135" s="71"/>
      <c r="AL135" s="76" t="s">
        <v>117</v>
      </c>
      <c r="AM135" s="87"/>
      <c r="AN135" s="15"/>
      <c r="AO135" s="15"/>
    </row>
    <row r="136" spans="2:42" x14ac:dyDescent="0.25">
      <c r="B136" s="95">
        <f t="shared" si="26"/>
        <v>77</v>
      </c>
      <c r="C136" s="16">
        <v>20201014</v>
      </c>
      <c r="D136" s="16" t="s">
        <v>3</v>
      </c>
      <c r="E136" s="74" t="s">
        <v>404</v>
      </c>
      <c r="F136" s="69"/>
      <c r="G136" s="37"/>
      <c r="H136" s="16" t="s">
        <v>441</v>
      </c>
      <c r="I136" s="16" t="s">
        <v>319</v>
      </c>
      <c r="J136" s="16" t="s">
        <v>188</v>
      </c>
      <c r="K136" s="109" t="s">
        <v>461</v>
      </c>
      <c r="L136" s="69" t="s">
        <v>403</v>
      </c>
      <c r="M136" s="37"/>
      <c r="N136" s="16"/>
      <c r="O136" s="69" t="s">
        <v>203</v>
      </c>
      <c r="P136" s="69" t="s">
        <v>398</v>
      </c>
      <c r="Q136" s="18"/>
      <c r="R136" s="16" t="s">
        <v>171</v>
      </c>
      <c r="S136" s="16" t="s">
        <v>66</v>
      </c>
      <c r="T136" s="16"/>
      <c r="U136" s="16"/>
      <c r="V136" s="16"/>
      <c r="W136" s="15">
        <f>ROUND(IF(D136=Table!$C$3,Y136*Table!$C$4/8,Y136*Table!$D$4/8),3)</f>
        <v>67.5</v>
      </c>
      <c r="X136" s="101">
        <f t="shared" si="25"/>
        <v>67.5</v>
      </c>
      <c r="Y136" s="101">
        <v>1.2</v>
      </c>
      <c r="Z136" s="101">
        <f t="shared" si="28"/>
        <v>1.2</v>
      </c>
      <c r="AA136" s="16" t="s">
        <v>70</v>
      </c>
      <c r="AB136" s="70">
        <v>44125</v>
      </c>
      <c r="AC136" s="19">
        <v>44118</v>
      </c>
      <c r="AD136" s="70">
        <v>44125</v>
      </c>
      <c r="AE136" s="70">
        <v>44124</v>
      </c>
      <c r="AF136" s="70">
        <v>44124</v>
      </c>
      <c r="AG136" s="70" t="s">
        <v>130</v>
      </c>
      <c r="AH136" s="97">
        <v>1</v>
      </c>
      <c r="AI136" s="97">
        <v>1</v>
      </c>
      <c r="AJ136" s="97">
        <v>1</v>
      </c>
      <c r="AK136" s="71"/>
      <c r="AL136" s="76" t="s">
        <v>117</v>
      </c>
      <c r="AM136" s="87"/>
      <c r="AN136" s="15"/>
      <c r="AO136" s="15"/>
    </row>
    <row r="137" spans="2:42" x14ac:dyDescent="0.25">
      <c r="B137" s="95">
        <f t="shared" si="26"/>
        <v>78</v>
      </c>
      <c r="C137" s="16">
        <v>20201014</v>
      </c>
      <c r="D137" s="16" t="s">
        <v>3</v>
      </c>
      <c r="E137" s="74" t="s">
        <v>404</v>
      </c>
      <c r="F137" s="69"/>
      <c r="G137" s="37"/>
      <c r="H137" s="16" t="s">
        <v>442</v>
      </c>
      <c r="I137" s="16" t="s">
        <v>320</v>
      </c>
      <c r="J137" s="16" t="s">
        <v>188</v>
      </c>
      <c r="K137" s="109" t="s">
        <v>461</v>
      </c>
      <c r="L137" s="69" t="s">
        <v>403</v>
      </c>
      <c r="M137" s="37"/>
      <c r="N137" s="16"/>
      <c r="O137" s="69" t="s">
        <v>203</v>
      </c>
      <c r="P137" s="69" t="s">
        <v>398</v>
      </c>
      <c r="Q137" s="18"/>
      <c r="R137" s="16" t="s">
        <v>171</v>
      </c>
      <c r="S137" s="16" t="s">
        <v>66</v>
      </c>
      <c r="T137" s="16"/>
      <c r="U137" s="16"/>
      <c r="V137" s="16"/>
      <c r="W137" s="15">
        <f>ROUND(IF(D137=Table!$C$3,Y137*Table!$C$4/8,Y137*Table!$D$4/8),3)</f>
        <v>67.5</v>
      </c>
      <c r="X137" s="101">
        <f t="shared" si="25"/>
        <v>67.5</v>
      </c>
      <c r="Y137" s="101">
        <v>1.2</v>
      </c>
      <c r="Z137" s="101">
        <f t="shared" si="28"/>
        <v>1.2</v>
      </c>
      <c r="AA137" s="16" t="s">
        <v>70</v>
      </c>
      <c r="AB137" s="70">
        <v>44125</v>
      </c>
      <c r="AC137" s="19">
        <v>44118</v>
      </c>
      <c r="AD137" s="70">
        <v>44125</v>
      </c>
      <c r="AE137" s="70">
        <v>44124</v>
      </c>
      <c r="AF137" s="70">
        <v>44124</v>
      </c>
      <c r="AG137" s="70" t="s">
        <v>130</v>
      </c>
      <c r="AH137" s="97">
        <v>1</v>
      </c>
      <c r="AI137" s="97">
        <v>1</v>
      </c>
      <c r="AJ137" s="97">
        <v>1</v>
      </c>
      <c r="AK137" s="71"/>
      <c r="AL137" s="76" t="s">
        <v>117</v>
      </c>
      <c r="AM137" s="87"/>
      <c r="AN137" s="15"/>
      <c r="AO137" s="15"/>
      <c r="AP137" s="125"/>
    </row>
    <row r="138" spans="2:42" x14ac:dyDescent="0.25">
      <c r="B138" s="95">
        <f t="shared" si="26"/>
        <v>79</v>
      </c>
      <c r="C138" s="16">
        <v>20201014</v>
      </c>
      <c r="D138" s="16" t="s">
        <v>3</v>
      </c>
      <c r="E138" s="74" t="s">
        <v>404</v>
      </c>
      <c r="F138" s="69"/>
      <c r="G138" s="37"/>
      <c r="H138" s="16" t="s">
        <v>443</v>
      </c>
      <c r="I138" s="16" t="s">
        <v>321</v>
      </c>
      <c r="J138" s="16" t="s">
        <v>188</v>
      </c>
      <c r="K138" s="109" t="s">
        <v>461</v>
      </c>
      <c r="L138" s="69" t="s">
        <v>403</v>
      </c>
      <c r="M138" s="37"/>
      <c r="N138" s="16"/>
      <c r="O138" s="69" t="s">
        <v>203</v>
      </c>
      <c r="P138" s="69" t="s">
        <v>398</v>
      </c>
      <c r="Q138" s="18"/>
      <c r="R138" s="16" t="s">
        <v>171</v>
      </c>
      <c r="S138" s="16" t="s">
        <v>66</v>
      </c>
      <c r="T138" s="16"/>
      <c r="U138" s="16"/>
      <c r="V138" s="16"/>
      <c r="W138" s="15">
        <f>ROUND(IF(D138=Table!$C$3,Y138*Table!$C$4/8,Y138*Table!$D$4/8),3)</f>
        <v>67.5</v>
      </c>
      <c r="X138" s="101">
        <f t="shared" si="25"/>
        <v>67.5</v>
      </c>
      <c r="Y138" s="101">
        <v>1.2</v>
      </c>
      <c r="Z138" s="101">
        <f t="shared" si="28"/>
        <v>1.2</v>
      </c>
      <c r="AA138" s="16" t="s">
        <v>70</v>
      </c>
      <c r="AB138" s="70">
        <v>44125</v>
      </c>
      <c r="AC138" s="19">
        <v>44118</v>
      </c>
      <c r="AD138" s="70">
        <v>44125</v>
      </c>
      <c r="AE138" s="70">
        <v>44124</v>
      </c>
      <c r="AF138" s="70">
        <v>44124</v>
      </c>
      <c r="AG138" s="70" t="s">
        <v>130</v>
      </c>
      <c r="AH138" s="97">
        <v>1</v>
      </c>
      <c r="AI138" s="97">
        <v>1</v>
      </c>
      <c r="AJ138" s="97">
        <v>1</v>
      </c>
      <c r="AK138" s="71"/>
      <c r="AL138" s="76" t="s">
        <v>117</v>
      </c>
      <c r="AM138" s="87"/>
      <c r="AN138" s="15"/>
      <c r="AO138" s="15"/>
    </row>
    <row r="139" spans="2:42" x14ac:dyDescent="0.25">
      <c r="B139" s="95">
        <f t="shared" si="26"/>
        <v>80</v>
      </c>
      <c r="C139" s="16">
        <v>20201014</v>
      </c>
      <c r="D139" s="16" t="s">
        <v>3</v>
      </c>
      <c r="E139" s="74" t="s">
        <v>404</v>
      </c>
      <c r="F139" s="69"/>
      <c r="G139" s="37"/>
      <c r="H139" s="16" t="s">
        <v>444</v>
      </c>
      <c r="I139" s="16" t="s">
        <v>322</v>
      </c>
      <c r="J139" s="16" t="s">
        <v>188</v>
      </c>
      <c r="K139" s="109" t="s">
        <v>461</v>
      </c>
      <c r="L139" s="69" t="s">
        <v>403</v>
      </c>
      <c r="M139" s="37"/>
      <c r="N139" s="16"/>
      <c r="O139" s="69" t="s">
        <v>203</v>
      </c>
      <c r="P139" s="69" t="s">
        <v>398</v>
      </c>
      <c r="Q139" s="18"/>
      <c r="R139" s="16" t="s">
        <v>171</v>
      </c>
      <c r="S139" s="16" t="s">
        <v>66</v>
      </c>
      <c r="T139" s="16"/>
      <c r="U139" s="16"/>
      <c r="V139" s="16"/>
      <c r="W139" s="15">
        <f>ROUND(IF(D139=Table!$C$3,Y139*Table!$C$4/8,Y139*Table!$D$4/8),3)</f>
        <v>67.5</v>
      </c>
      <c r="X139" s="101">
        <f t="shared" si="25"/>
        <v>67.5</v>
      </c>
      <c r="Y139" s="101">
        <v>1.2</v>
      </c>
      <c r="Z139" s="101">
        <f t="shared" si="28"/>
        <v>1.2</v>
      </c>
      <c r="AA139" s="16" t="s">
        <v>70</v>
      </c>
      <c r="AB139" s="70">
        <v>44125</v>
      </c>
      <c r="AC139" s="19">
        <v>44118</v>
      </c>
      <c r="AD139" s="70">
        <v>44125</v>
      </c>
      <c r="AE139" s="70">
        <v>44124</v>
      </c>
      <c r="AF139" s="70">
        <v>44124</v>
      </c>
      <c r="AG139" s="70" t="s">
        <v>130</v>
      </c>
      <c r="AH139" s="97">
        <v>1</v>
      </c>
      <c r="AI139" s="97">
        <v>1</v>
      </c>
      <c r="AJ139" s="97">
        <v>1</v>
      </c>
      <c r="AK139" s="71"/>
      <c r="AL139" s="76" t="s">
        <v>117</v>
      </c>
      <c r="AM139" s="87"/>
      <c r="AN139" s="15"/>
      <c r="AO139" s="15"/>
    </row>
    <row r="140" spans="2:42" x14ac:dyDescent="0.25">
      <c r="B140" s="95">
        <f t="shared" si="26"/>
        <v>81</v>
      </c>
      <c r="C140" s="16">
        <v>20201014</v>
      </c>
      <c r="D140" s="16" t="s">
        <v>3</v>
      </c>
      <c r="E140" s="74" t="s">
        <v>404</v>
      </c>
      <c r="F140" s="69"/>
      <c r="G140" s="37"/>
      <c r="H140" s="16" t="s">
        <v>445</v>
      </c>
      <c r="I140" s="16" t="s">
        <v>323</v>
      </c>
      <c r="J140" s="16" t="s">
        <v>188</v>
      </c>
      <c r="K140" s="109" t="s">
        <v>461</v>
      </c>
      <c r="L140" s="69" t="s">
        <v>403</v>
      </c>
      <c r="M140" s="37"/>
      <c r="N140" s="16"/>
      <c r="O140" s="69" t="s">
        <v>203</v>
      </c>
      <c r="P140" s="69" t="s">
        <v>398</v>
      </c>
      <c r="Q140" s="18"/>
      <c r="R140" s="16" t="s">
        <v>171</v>
      </c>
      <c r="S140" s="16" t="s">
        <v>66</v>
      </c>
      <c r="T140" s="16"/>
      <c r="U140" s="16"/>
      <c r="V140" s="16"/>
      <c r="W140" s="15">
        <f>ROUND(IF(D140=Table!$C$3,Y140*Table!$C$4/8,Y140*Table!$D$4/8),3)</f>
        <v>67.5</v>
      </c>
      <c r="X140" s="101">
        <f t="shared" si="25"/>
        <v>67.5</v>
      </c>
      <c r="Y140" s="101">
        <v>1.2</v>
      </c>
      <c r="Z140" s="101">
        <f t="shared" si="28"/>
        <v>1.2</v>
      </c>
      <c r="AA140" s="16" t="s">
        <v>70</v>
      </c>
      <c r="AB140" s="70">
        <v>44125</v>
      </c>
      <c r="AC140" s="19">
        <v>44118</v>
      </c>
      <c r="AD140" s="70">
        <v>44125</v>
      </c>
      <c r="AE140" s="70">
        <v>44124</v>
      </c>
      <c r="AF140" s="70">
        <v>44124</v>
      </c>
      <c r="AG140" s="70" t="s">
        <v>130</v>
      </c>
      <c r="AH140" s="97">
        <v>1</v>
      </c>
      <c r="AI140" s="97">
        <v>1</v>
      </c>
      <c r="AJ140" s="97">
        <v>1</v>
      </c>
      <c r="AK140" s="71"/>
      <c r="AL140" s="76" t="s">
        <v>117</v>
      </c>
      <c r="AM140" s="87"/>
      <c r="AN140" s="15"/>
      <c r="AO140" s="15"/>
    </row>
    <row r="141" spans="2:42" x14ac:dyDescent="0.25">
      <c r="B141" s="95">
        <f t="shared" si="26"/>
        <v>82</v>
      </c>
      <c r="C141" s="16">
        <v>20201014</v>
      </c>
      <c r="D141" s="16" t="s">
        <v>3</v>
      </c>
      <c r="E141" s="74" t="s">
        <v>404</v>
      </c>
      <c r="F141" s="69"/>
      <c r="G141" s="37"/>
      <c r="H141" s="16" t="s">
        <v>446</v>
      </c>
      <c r="I141" s="16" t="s">
        <v>324</v>
      </c>
      <c r="J141" s="16" t="s">
        <v>188</v>
      </c>
      <c r="K141" s="109" t="s">
        <v>461</v>
      </c>
      <c r="L141" s="69" t="s">
        <v>403</v>
      </c>
      <c r="M141" s="37"/>
      <c r="N141" s="16"/>
      <c r="O141" s="69" t="s">
        <v>203</v>
      </c>
      <c r="P141" s="69" t="s">
        <v>398</v>
      </c>
      <c r="Q141" s="18"/>
      <c r="R141" s="16" t="s">
        <v>171</v>
      </c>
      <c r="S141" s="16" t="s">
        <v>66</v>
      </c>
      <c r="T141" s="16"/>
      <c r="U141" s="16"/>
      <c r="V141" s="16"/>
      <c r="W141" s="15">
        <f>ROUND(IF(D141=Table!$C$3,Y141*Table!$C$4/8,Y141*Table!$D$4/8),3)</f>
        <v>67.5</v>
      </c>
      <c r="X141" s="101">
        <f t="shared" si="25"/>
        <v>67.5</v>
      </c>
      <c r="Y141" s="101">
        <v>1.2</v>
      </c>
      <c r="Z141" s="101">
        <f t="shared" si="28"/>
        <v>1.2</v>
      </c>
      <c r="AA141" s="16" t="s">
        <v>70</v>
      </c>
      <c r="AB141" s="70">
        <v>44125</v>
      </c>
      <c r="AC141" s="19">
        <v>44118</v>
      </c>
      <c r="AD141" s="70">
        <v>44125</v>
      </c>
      <c r="AE141" s="70">
        <v>44124</v>
      </c>
      <c r="AF141" s="70">
        <v>44124</v>
      </c>
      <c r="AG141" s="70" t="s">
        <v>130</v>
      </c>
      <c r="AH141" s="97" t="s">
        <v>58</v>
      </c>
      <c r="AI141" s="97" t="s">
        <v>58</v>
      </c>
      <c r="AJ141" s="97" t="s">
        <v>58</v>
      </c>
      <c r="AK141" s="71"/>
      <c r="AL141" s="76" t="s">
        <v>117</v>
      </c>
      <c r="AM141" s="87"/>
      <c r="AN141" s="15"/>
      <c r="AO141" s="15" t="s">
        <v>516</v>
      </c>
    </row>
    <row r="142" spans="2:42" x14ac:dyDescent="0.25">
      <c r="B142" s="95">
        <f t="shared" si="26"/>
        <v>83</v>
      </c>
      <c r="C142" s="16">
        <v>20201014</v>
      </c>
      <c r="D142" s="16" t="s">
        <v>2</v>
      </c>
      <c r="E142" s="74" t="s">
        <v>404</v>
      </c>
      <c r="F142" s="69"/>
      <c r="G142" s="37"/>
      <c r="H142" s="16" t="s">
        <v>447</v>
      </c>
      <c r="I142" s="16" t="s">
        <v>325</v>
      </c>
      <c r="J142" s="16" t="s">
        <v>188</v>
      </c>
      <c r="K142" s="37"/>
      <c r="L142" s="69" t="s">
        <v>403</v>
      </c>
      <c r="M142" s="37"/>
      <c r="N142" s="16"/>
      <c r="O142" s="69" t="s">
        <v>386</v>
      </c>
      <c r="P142" s="69" t="s">
        <v>398</v>
      </c>
      <c r="Q142" s="18"/>
      <c r="R142" s="16" t="s">
        <v>169</v>
      </c>
      <c r="S142" s="16" t="s">
        <v>147</v>
      </c>
      <c r="T142" s="16"/>
      <c r="U142" s="16"/>
      <c r="V142" s="16"/>
      <c r="W142" s="15">
        <f>ROUND(IF(D142=Table!$C$3,Y142*Table!$C$4/8,Y142*Table!$D$4/8),3)</f>
        <v>52</v>
      </c>
      <c r="X142" s="101">
        <f t="shared" si="25"/>
        <v>52</v>
      </c>
      <c r="Y142" s="101">
        <v>3.2</v>
      </c>
      <c r="Z142" s="101">
        <f t="shared" ref="Z142:Z159" si="29">Y142</f>
        <v>3.2</v>
      </c>
      <c r="AA142" s="16" t="s">
        <v>70</v>
      </c>
      <c r="AB142" s="70">
        <v>44125</v>
      </c>
      <c r="AC142" s="19">
        <v>44118</v>
      </c>
      <c r="AD142" s="70">
        <v>44125</v>
      </c>
      <c r="AE142" s="70">
        <v>44123</v>
      </c>
      <c r="AF142" s="70">
        <v>44123</v>
      </c>
      <c r="AG142" s="70" t="s">
        <v>130</v>
      </c>
      <c r="AH142" s="97">
        <v>1</v>
      </c>
      <c r="AI142" s="97">
        <v>1</v>
      </c>
      <c r="AJ142" s="97">
        <v>0.66700000000000004</v>
      </c>
      <c r="AK142" s="71"/>
      <c r="AL142" s="76" t="s">
        <v>117</v>
      </c>
      <c r="AM142" s="87"/>
      <c r="AN142" s="15"/>
      <c r="AO142" s="15"/>
    </row>
    <row r="143" spans="2:42" x14ac:dyDescent="0.25">
      <c r="B143" s="95">
        <f t="shared" si="26"/>
        <v>84</v>
      </c>
      <c r="C143" s="16">
        <v>20201014</v>
      </c>
      <c r="D143" s="16" t="s">
        <v>2</v>
      </c>
      <c r="E143" s="74" t="s">
        <v>404</v>
      </c>
      <c r="F143" s="69"/>
      <c r="G143" s="37"/>
      <c r="H143" s="16" t="s">
        <v>448</v>
      </c>
      <c r="I143" s="16" t="s">
        <v>326</v>
      </c>
      <c r="J143" s="16" t="s">
        <v>188</v>
      </c>
      <c r="K143" s="37"/>
      <c r="L143" s="69" t="s">
        <v>403</v>
      </c>
      <c r="M143" s="37"/>
      <c r="N143" s="16"/>
      <c r="O143" s="69" t="s">
        <v>184</v>
      </c>
      <c r="P143" s="69" t="s">
        <v>398</v>
      </c>
      <c r="Q143" s="18"/>
      <c r="R143" s="16" t="s">
        <v>169</v>
      </c>
      <c r="S143" s="16" t="s">
        <v>147</v>
      </c>
      <c r="T143" s="16"/>
      <c r="U143" s="16"/>
      <c r="V143" s="16"/>
      <c r="W143" s="15">
        <f>ROUND(IF(D143=Table!$C$3,Y143*Table!$C$4/8,Y143*Table!$D$4/8),3)</f>
        <v>26</v>
      </c>
      <c r="X143" s="101">
        <f t="shared" si="25"/>
        <v>26</v>
      </c>
      <c r="Y143" s="101">
        <v>1.6</v>
      </c>
      <c r="Z143" s="101">
        <f t="shared" si="29"/>
        <v>1.6</v>
      </c>
      <c r="AA143" s="16" t="s">
        <v>70</v>
      </c>
      <c r="AB143" s="70">
        <v>44125</v>
      </c>
      <c r="AC143" s="19">
        <v>44118</v>
      </c>
      <c r="AD143" s="70">
        <v>44125</v>
      </c>
      <c r="AE143" s="70">
        <v>44119</v>
      </c>
      <c r="AF143" s="70">
        <v>44119</v>
      </c>
      <c r="AG143" s="70" t="s">
        <v>130</v>
      </c>
      <c r="AH143" s="97">
        <v>1</v>
      </c>
      <c r="AI143" s="97">
        <v>1</v>
      </c>
      <c r="AJ143" s="97">
        <v>0.33300000000000002</v>
      </c>
      <c r="AK143" s="71"/>
      <c r="AL143" s="76" t="s">
        <v>117</v>
      </c>
      <c r="AM143" s="87"/>
      <c r="AN143" s="15"/>
      <c r="AO143" s="15"/>
    </row>
    <row r="144" spans="2:42" x14ac:dyDescent="0.25">
      <c r="B144" s="95">
        <f t="shared" si="26"/>
        <v>85</v>
      </c>
      <c r="C144" s="16">
        <v>20201014</v>
      </c>
      <c r="D144" s="16" t="s">
        <v>2</v>
      </c>
      <c r="E144" s="74" t="s">
        <v>404</v>
      </c>
      <c r="F144" s="69"/>
      <c r="G144" s="37"/>
      <c r="H144" s="16" t="s">
        <v>449</v>
      </c>
      <c r="I144" s="16" t="s">
        <v>327</v>
      </c>
      <c r="J144" s="16" t="s">
        <v>188</v>
      </c>
      <c r="K144" s="37"/>
      <c r="L144" s="69" t="s">
        <v>403</v>
      </c>
      <c r="M144" s="37"/>
      <c r="N144" s="16"/>
      <c r="O144" s="69" t="s">
        <v>195</v>
      </c>
      <c r="P144" s="69" t="s">
        <v>398</v>
      </c>
      <c r="Q144" s="18"/>
      <c r="R144" s="16" t="s">
        <v>170</v>
      </c>
      <c r="S144" s="16" t="s">
        <v>63</v>
      </c>
      <c r="T144" s="16"/>
      <c r="U144" s="16"/>
      <c r="V144" s="16"/>
      <c r="W144" s="15">
        <f>ROUND(IF(D144=Table!$C$3,Y144*Table!$C$4/8,Y144*Table!$D$4/8),3)</f>
        <v>32.5</v>
      </c>
      <c r="X144" s="101">
        <f t="shared" si="25"/>
        <v>32.5</v>
      </c>
      <c r="Y144" s="101">
        <v>2</v>
      </c>
      <c r="Z144" s="101">
        <f t="shared" si="29"/>
        <v>2</v>
      </c>
      <c r="AA144" s="16" t="s">
        <v>70</v>
      </c>
      <c r="AB144" s="70">
        <v>44125</v>
      </c>
      <c r="AC144" s="19">
        <v>44118</v>
      </c>
      <c r="AD144" s="70">
        <v>44125</v>
      </c>
      <c r="AE144" s="70">
        <v>44125</v>
      </c>
      <c r="AF144" s="70">
        <v>44125</v>
      </c>
      <c r="AG144" s="70" t="s">
        <v>130</v>
      </c>
      <c r="AH144" s="97">
        <v>0.88900000000000001</v>
      </c>
      <c r="AI144" s="97">
        <v>0.91700000000000004</v>
      </c>
      <c r="AJ144" s="97">
        <v>0.75</v>
      </c>
      <c r="AK144" s="71"/>
      <c r="AL144" s="76" t="s">
        <v>117</v>
      </c>
      <c r="AM144" s="147" t="s">
        <v>599</v>
      </c>
      <c r="AN144" s="15"/>
      <c r="AO144" s="15"/>
    </row>
    <row r="145" spans="2:41" x14ac:dyDescent="0.25">
      <c r="B145" s="95">
        <f t="shared" si="26"/>
        <v>86</v>
      </c>
      <c r="C145" s="16">
        <v>20201014</v>
      </c>
      <c r="D145" s="16" t="s">
        <v>2</v>
      </c>
      <c r="E145" s="74" t="s">
        <v>404</v>
      </c>
      <c r="F145" s="69"/>
      <c r="G145" s="37"/>
      <c r="H145" s="16" t="s">
        <v>450</v>
      </c>
      <c r="I145" s="16" t="s">
        <v>328</v>
      </c>
      <c r="J145" s="16" t="s">
        <v>188</v>
      </c>
      <c r="K145" s="37"/>
      <c r="L145" s="69" t="s">
        <v>403</v>
      </c>
      <c r="M145" s="37"/>
      <c r="N145" s="16"/>
      <c r="O145" s="69" t="s">
        <v>184</v>
      </c>
      <c r="P145" s="69" t="s">
        <v>398</v>
      </c>
      <c r="Q145" s="18"/>
      <c r="R145" s="16" t="s">
        <v>170</v>
      </c>
      <c r="S145" s="16" t="s">
        <v>63</v>
      </c>
      <c r="T145" s="16"/>
      <c r="U145" s="16"/>
      <c r="V145" s="16"/>
      <c r="W145" s="15">
        <f>ROUND(IF(D145=Table!$C$3,Y145*Table!$C$4/8,Y145*Table!$D$4/8),3)</f>
        <v>26</v>
      </c>
      <c r="X145" s="101">
        <f t="shared" si="25"/>
        <v>26</v>
      </c>
      <c r="Y145" s="101">
        <v>1.6</v>
      </c>
      <c r="Z145" s="101">
        <f t="shared" si="29"/>
        <v>1.6</v>
      </c>
      <c r="AA145" s="16" t="s">
        <v>70</v>
      </c>
      <c r="AB145" s="70">
        <v>44125</v>
      </c>
      <c r="AC145" s="19">
        <v>44118</v>
      </c>
      <c r="AD145" s="70">
        <v>44125</v>
      </c>
      <c r="AE145" s="70">
        <v>44125</v>
      </c>
      <c r="AF145" s="70">
        <v>44125</v>
      </c>
      <c r="AG145" s="70" t="s">
        <v>130</v>
      </c>
      <c r="AH145" s="97">
        <v>1</v>
      </c>
      <c r="AI145" s="97">
        <v>1</v>
      </c>
      <c r="AJ145" s="97">
        <v>1</v>
      </c>
      <c r="AK145" s="71"/>
      <c r="AL145" s="76" t="s">
        <v>117</v>
      </c>
      <c r="AM145" s="87"/>
      <c r="AN145" s="15"/>
      <c r="AO145" s="15"/>
    </row>
    <row r="146" spans="2:41" x14ac:dyDescent="0.25">
      <c r="B146" s="95">
        <f t="shared" si="26"/>
        <v>87</v>
      </c>
      <c r="C146" s="16">
        <v>20201014</v>
      </c>
      <c r="D146" s="16" t="s">
        <v>2</v>
      </c>
      <c r="E146" s="74" t="s">
        <v>404</v>
      </c>
      <c r="F146" s="69"/>
      <c r="G146" s="37"/>
      <c r="H146" s="16" t="s">
        <v>451</v>
      </c>
      <c r="I146" s="16" t="s">
        <v>329</v>
      </c>
      <c r="J146" s="16" t="s">
        <v>188</v>
      </c>
      <c r="K146" s="37"/>
      <c r="L146" s="69" t="s">
        <v>403</v>
      </c>
      <c r="M146" s="37"/>
      <c r="N146" s="16"/>
      <c r="O146" s="69" t="s">
        <v>184</v>
      </c>
      <c r="P146" s="69" t="s">
        <v>398</v>
      </c>
      <c r="Q146" s="18"/>
      <c r="R146" s="16" t="s">
        <v>170</v>
      </c>
      <c r="S146" s="16" t="s">
        <v>63</v>
      </c>
      <c r="T146" s="16"/>
      <c r="U146" s="16"/>
      <c r="V146" s="16"/>
      <c r="W146" s="15">
        <f>ROUND(IF(D146=Table!$C$3,Y146*Table!$C$4/8,Y146*Table!$D$4/8),3)</f>
        <v>26</v>
      </c>
      <c r="X146" s="101">
        <f t="shared" si="25"/>
        <v>26</v>
      </c>
      <c r="Y146" s="101">
        <v>1.6</v>
      </c>
      <c r="Z146" s="101">
        <f t="shared" si="29"/>
        <v>1.6</v>
      </c>
      <c r="AA146" s="16" t="s">
        <v>70</v>
      </c>
      <c r="AB146" s="70">
        <v>44125</v>
      </c>
      <c r="AC146" s="19">
        <v>44118</v>
      </c>
      <c r="AD146" s="70">
        <v>44125</v>
      </c>
      <c r="AE146" s="70">
        <v>44125</v>
      </c>
      <c r="AF146" s="70">
        <v>44125</v>
      </c>
      <c r="AG146" s="70" t="s">
        <v>130</v>
      </c>
      <c r="AH146" s="97">
        <v>1</v>
      </c>
      <c r="AI146" s="97">
        <v>1</v>
      </c>
      <c r="AJ146" s="97">
        <v>1</v>
      </c>
      <c r="AK146" s="71"/>
      <c r="AL146" s="76" t="s">
        <v>117</v>
      </c>
      <c r="AM146" s="87"/>
      <c r="AN146" s="15"/>
      <c r="AO146" s="15"/>
    </row>
    <row r="147" spans="2:41" x14ac:dyDescent="0.25">
      <c r="B147" s="95">
        <f t="shared" si="26"/>
        <v>88</v>
      </c>
      <c r="C147" s="16">
        <v>20201014</v>
      </c>
      <c r="D147" s="16" t="s">
        <v>2</v>
      </c>
      <c r="E147" s="74" t="s">
        <v>404</v>
      </c>
      <c r="F147" s="69"/>
      <c r="G147" s="37"/>
      <c r="H147" s="16" t="s">
        <v>452</v>
      </c>
      <c r="I147" s="16" t="s">
        <v>330</v>
      </c>
      <c r="J147" s="16" t="s">
        <v>174</v>
      </c>
      <c r="K147" s="37"/>
      <c r="L147" s="69" t="s">
        <v>403</v>
      </c>
      <c r="M147" s="37"/>
      <c r="N147" s="16"/>
      <c r="O147" s="69" t="s">
        <v>200</v>
      </c>
      <c r="P147" s="69" t="s">
        <v>398</v>
      </c>
      <c r="Q147" s="18"/>
      <c r="R147" s="16" t="s">
        <v>170</v>
      </c>
      <c r="S147" s="16" t="s">
        <v>63</v>
      </c>
      <c r="T147" s="16"/>
      <c r="U147" s="16"/>
      <c r="V147" s="16"/>
      <c r="W147" s="15">
        <f>ROUND(IF(D147=Table!$C$3,Y147*Table!$C$4/8,Y147*Table!$D$4/8),3)</f>
        <v>32.5</v>
      </c>
      <c r="X147" s="101">
        <f t="shared" si="25"/>
        <v>32.5</v>
      </c>
      <c r="Y147" s="101">
        <v>2</v>
      </c>
      <c r="Z147" s="101">
        <f t="shared" si="29"/>
        <v>2</v>
      </c>
      <c r="AA147" s="16" t="s">
        <v>70</v>
      </c>
      <c r="AB147" s="70">
        <v>44125</v>
      </c>
      <c r="AC147" s="19">
        <v>44118</v>
      </c>
      <c r="AD147" s="70">
        <v>44125</v>
      </c>
      <c r="AE147" s="70">
        <v>44125</v>
      </c>
      <c r="AF147" s="70">
        <v>44125</v>
      </c>
      <c r="AG147" s="70" t="s">
        <v>130</v>
      </c>
      <c r="AH147" s="97">
        <v>0.9</v>
      </c>
      <c r="AI147" s="97">
        <v>0.9</v>
      </c>
      <c r="AJ147" s="97">
        <v>0.66700000000000004</v>
      </c>
      <c r="AK147" s="71"/>
      <c r="AL147" s="76" t="s">
        <v>117</v>
      </c>
      <c r="AM147" s="87" t="s">
        <v>601</v>
      </c>
      <c r="AN147" s="15"/>
      <c r="AO147" s="15"/>
    </row>
    <row r="148" spans="2:41" x14ac:dyDescent="0.25">
      <c r="B148" s="95">
        <f t="shared" si="26"/>
        <v>89</v>
      </c>
      <c r="C148" s="16">
        <v>20201014</v>
      </c>
      <c r="D148" s="16" t="s">
        <v>2</v>
      </c>
      <c r="E148" s="74" t="s">
        <v>404</v>
      </c>
      <c r="F148" s="69"/>
      <c r="G148" s="37"/>
      <c r="H148" s="16" t="s">
        <v>453</v>
      </c>
      <c r="I148" s="16" t="s">
        <v>331</v>
      </c>
      <c r="J148" s="16" t="s">
        <v>188</v>
      </c>
      <c r="K148" s="37"/>
      <c r="L148" s="69" t="s">
        <v>403</v>
      </c>
      <c r="M148" s="37"/>
      <c r="N148" s="16"/>
      <c r="O148" s="69" t="s">
        <v>184</v>
      </c>
      <c r="P148" s="69" t="s">
        <v>398</v>
      </c>
      <c r="Q148" s="18"/>
      <c r="R148" s="16" t="s">
        <v>170</v>
      </c>
      <c r="S148" s="16" t="s">
        <v>63</v>
      </c>
      <c r="T148" s="16"/>
      <c r="U148" s="16"/>
      <c r="V148" s="16"/>
      <c r="W148" s="15">
        <f>ROUND(IF(D148=Table!$C$3,Y148*Table!$C$4/8,Y148*Table!$D$4/8),3)</f>
        <v>26</v>
      </c>
      <c r="X148" s="101">
        <f t="shared" si="25"/>
        <v>26</v>
      </c>
      <c r="Y148" s="101">
        <v>1.6</v>
      </c>
      <c r="Z148" s="101">
        <f t="shared" si="29"/>
        <v>1.6</v>
      </c>
      <c r="AA148" s="16" t="s">
        <v>70</v>
      </c>
      <c r="AB148" s="70">
        <v>44125</v>
      </c>
      <c r="AC148" s="19">
        <v>44118</v>
      </c>
      <c r="AD148" s="70">
        <v>44125</v>
      </c>
      <c r="AE148" s="70">
        <v>44125</v>
      </c>
      <c r="AF148" s="70">
        <v>44125</v>
      </c>
      <c r="AG148" s="70" t="s">
        <v>130</v>
      </c>
      <c r="AH148" s="97">
        <v>1</v>
      </c>
      <c r="AI148" s="97">
        <v>1</v>
      </c>
      <c r="AJ148" s="97">
        <v>0.5</v>
      </c>
      <c r="AK148" s="71"/>
      <c r="AL148" s="76" t="s">
        <v>117</v>
      </c>
      <c r="AM148" s="87"/>
      <c r="AN148" s="15"/>
      <c r="AO148" s="15"/>
    </row>
    <row r="149" spans="2:41" x14ac:dyDescent="0.25">
      <c r="B149" s="95">
        <f t="shared" si="26"/>
        <v>90</v>
      </c>
      <c r="C149" s="16">
        <v>20201014</v>
      </c>
      <c r="D149" s="16" t="s">
        <v>2</v>
      </c>
      <c r="E149" s="74" t="s">
        <v>404</v>
      </c>
      <c r="F149" s="69"/>
      <c r="G149" s="37"/>
      <c r="H149" s="16" t="s">
        <v>454</v>
      </c>
      <c r="I149" s="16" t="s">
        <v>332</v>
      </c>
      <c r="J149" s="16" t="s">
        <v>188</v>
      </c>
      <c r="K149" s="37"/>
      <c r="L149" s="69" t="s">
        <v>403</v>
      </c>
      <c r="M149" s="37"/>
      <c r="N149" s="16"/>
      <c r="O149" s="69" t="s">
        <v>184</v>
      </c>
      <c r="P149" s="69" t="s">
        <v>398</v>
      </c>
      <c r="Q149" s="18"/>
      <c r="R149" s="16" t="s">
        <v>170</v>
      </c>
      <c r="S149" s="16" t="s">
        <v>63</v>
      </c>
      <c r="T149" s="16"/>
      <c r="U149" s="16"/>
      <c r="V149" s="16"/>
      <c r="W149" s="15">
        <f>ROUND(IF(D149=Table!$C$3,Y149*Table!$C$4/8,Y149*Table!$D$4/8),3)</f>
        <v>26</v>
      </c>
      <c r="X149" s="101">
        <f t="shared" si="25"/>
        <v>26</v>
      </c>
      <c r="Y149" s="101">
        <v>1.6</v>
      </c>
      <c r="Z149" s="101">
        <f t="shared" si="29"/>
        <v>1.6</v>
      </c>
      <c r="AA149" s="16" t="s">
        <v>70</v>
      </c>
      <c r="AB149" s="70">
        <v>44125</v>
      </c>
      <c r="AC149" s="19">
        <v>44118</v>
      </c>
      <c r="AD149" s="70">
        <v>44125</v>
      </c>
      <c r="AE149" s="70">
        <v>44125</v>
      </c>
      <c r="AF149" s="70">
        <v>44125</v>
      </c>
      <c r="AG149" s="70" t="s">
        <v>130</v>
      </c>
      <c r="AH149" s="97">
        <v>1</v>
      </c>
      <c r="AI149" s="97">
        <v>1</v>
      </c>
      <c r="AJ149" s="97">
        <v>0.5</v>
      </c>
      <c r="AK149" s="71"/>
      <c r="AL149" s="76" t="s">
        <v>117</v>
      </c>
      <c r="AM149" s="87"/>
      <c r="AN149" s="15"/>
      <c r="AO149" s="15"/>
    </row>
    <row r="150" spans="2:41" x14ac:dyDescent="0.25">
      <c r="B150" s="95">
        <f t="shared" si="26"/>
        <v>91</v>
      </c>
      <c r="C150" s="16">
        <v>20201014</v>
      </c>
      <c r="D150" s="16" t="s">
        <v>2</v>
      </c>
      <c r="E150" s="74" t="s">
        <v>404</v>
      </c>
      <c r="F150" s="69"/>
      <c r="G150" s="37"/>
      <c r="H150" s="16" t="s">
        <v>455</v>
      </c>
      <c r="I150" s="16" t="s">
        <v>333</v>
      </c>
      <c r="J150" s="16" t="s">
        <v>188</v>
      </c>
      <c r="K150" s="37"/>
      <c r="L150" s="69" t="s">
        <v>403</v>
      </c>
      <c r="M150" s="37"/>
      <c r="N150" s="16"/>
      <c r="O150" s="69" t="s">
        <v>203</v>
      </c>
      <c r="P150" s="69" t="s">
        <v>398</v>
      </c>
      <c r="Q150" s="18"/>
      <c r="R150" s="16" t="s">
        <v>170</v>
      </c>
      <c r="S150" s="16" t="s">
        <v>63</v>
      </c>
      <c r="T150" s="16"/>
      <c r="U150" s="16"/>
      <c r="V150" s="16"/>
      <c r="W150" s="15">
        <f>ROUND(IF(D150=Table!$C$3,Y150*Table!$C$4/8,Y150*Table!$D$4/8),3)</f>
        <v>26</v>
      </c>
      <c r="X150" s="101">
        <f t="shared" si="25"/>
        <v>26</v>
      </c>
      <c r="Y150" s="101">
        <v>1.6</v>
      </c>
      <c r="Z150" s="101">
        <f t="shared" si="29"/>
        <v>1.6</v>
      </c>
      <c r="AA150" s="16" t="s">
        <v>70</v>
      </c>
      <c r="AB150" s="70">
        <v>44125</v>
      </c>
      <c r="AC150" s="19">
        <v>44118</v>
      </c>
      <c r="AD150" s="70">
        <v>44125</v>
      </c>
      <c r="AE150" s="70">
        <v>44125</v>
      </c>
      <c r="AF150" s="70">
        <v>44125</v>
      </c>
      <c r="AG150" s="70" t="s">
        <v>130</v>
      </c>
      <c r="AH150" s="97">
        <v>1</v>
      </c>
      <c r="AI150" s="97">
        <v>1</v>
      </c>
      <c r="AJ150" s="97">
        <v>0.5</v>
      </c>
      <c r="AK150" s="71"/>
      <c r="AL150" s="76" t="s">
        <v>117</v>
      </c>
      <c r="AM150" s="87"/>
      <c r="AN150" s="15"/>
      <c r="AO150" s="15"/>
    </row>
    <row r="151" spans="2:41" x14ac:dyDescent="0.25">
      <c r="B151" s="95">
        <f t="shared" si="26"/>
        <v>92</v>
      </c>
      <c r="C151" s="16">
        <v>20201014</v>
      </c>
      <c r="D151" s="16" t="s">
        <v>2</v>
      </c>
      <c r="E151" s="74" t="s">
        <v>404</v>
      </c>
      <c r="F151" s="69"/>
      <c r="G151" s="37"/>
      <c r="H151" s="16" t="s">
        <v>456</v>
      </c>
      <c r="I151" s="16" t="s">
        <v>334</v>
      </c>
      <c r="J151" s="16" t="s">
        <v>188</v>
      </c>
      <c r="K151" s="37"/>
      <c r="L151" s="69" t="s">
        <v>403</v>
      </c>
      <c r="M151" s="37"/>
      <c r="N151" s="16"/>
      <c r="O151" s="69" t="s">
        <v>192</v>
      </c>
      <c r="P151" s="69" t="s">
        <v>398</v>
      </c>
      <c r="Q151" s="18"/>
      <c r="R151" s="16" t="s">
        <v>170</v>
      </c>
      <c r="S151" s="16" t="s">
        <v>63</v>
      </c>
      <c r="T151" s="16"/>
      <c r="U151" s="16"/>
      <c r="V151" s="16"/>
      <c r="W151" s="15">
        <f>ROUND(IF(D151=Table!$C$3,Y151*Table!$C$4/8,Y151*Table!$D$4/8),3)</f>
        <v>32.5</v>
      </c>
      <c r="X151" s="101">
        <f t="shared" si="25"/>
        <v>32.5</v>
      </c>
      <c r="Y151" s="101">
        <v>2</v>
      </c>
      <c r="Z151" s="101">
        <f t="shared" si="29"/>
        <v>2</v>
      </c>
      <c r="AA151" s="16" t="s">
        <v>70</v>
      </c>
      <c r="AB151" s="70">
        <v>44125</v>
      </c>
      <c r="AC151" s="19">
        <v>44118</v>
      </c>
      <c r="AD151" s="70">
        <v>44125</v>
      </c>
      <c r="AE151" s="70">
        <v>44125</v>
      </c>
      <c r="AF151" s="70">
        <v>44125</v>
      </c>
      <c r="AG151" s="70" t="s">
        <v>130</v>
      </c>
      <c r="AH151" s="97">
        <v>0.9</v>
      </c>
      <c r="AI151" s="97">
        <v>0.9</v>
      </c>
      <c r="AJ151" s="97">
        <v>0.5</v>
      </c>
      <c r="AK151" s="71"/>
      <c r="AL151" s="76" t="s">
        <v>117</v>
      </c>
      <c r="AM151" s="147" t="s">
        <v>600</v>
      </c>
      <c r="AN151" s="15"/>
      <c r="AO151" s="15"/>
    </row>
    <row r="152" spans="2:41" x14ac:dyDescent="0.25">
      <c r="B152" s="95">
        <f t="shared" si="26"/>
        <v>93</v>
      </c>
      <c r="C152" s="16">
        <v>20201014</v>
      </c>
      <c r="D152" s="16" t="s">
        <v>2</v>
      </c>
      <c r="E152" s="74" t="s">
        <v>404</v>
      </c>
      <c r="F152" s="69"/>
      <c r="G152" s="37"/>
      <c r="H152" s="16" t="s">
        <v>457</v>
      </c>
      <c r="I152" s="16" t="s">
        <v>335</v>
      </c>
      <c r="J152" s="16" t="s">
        <v>188</v>
      </c>
      <c r="K152" s="37"/>
      <c r="L152" s="69" t="s">
        <v>403</v>
      </c>
      <c r="M152" s="37"/>
      <c r="N152" s="16"/>
      <c r="O152" s="69" t="s">
        <v>200</v>
      </c>
      <c r="P152" s="69" t="s">
        <v>398</v>
      </c>
      <c r="Q152" s="18"/>
      <c r="R152" s="16" t="s">
        <v>170</v>
      </c>
      <c r="S152" s="16" t="s">
        <v>63</v>
      </c>
      <c r="T152" s="16"/>
      <c r="U152" s="16"/>
      <c r="V152" s="16"/>
      <c r="W152" s="15">
        <f>ROUND(IF(D152=Table!$C$3,Y152*Table!$C$4/8,Y152*Table!$D$4/8),3)</f>
        <v>26</v>
      </c>
      <c r="X152" s="101">
        <f t="shared" si="25"/>
        <v>26</v>
      </c>
      <c r="Y152" s="101">
        <v>1.6</v>
      </c>
      <c r="Z152" s="101">
        <f t="shared" si="29"/>
        <v>1.6</v>
      </c>
      <c r="AA152" s="16" t="s">
        <v>70</v>
      </c>
      <c r="AB152" s="70">
        <v>44125</v>
      </c>
      <c r="AC152" s="19">
        <v>44118</v>
      </c>
      <c r="AD152" s="70">
        <v>44125</v>
      </c>
      <c r="AE152" s="70">
        <v>44125</v>
      </c>
      <c r="AF152" s="70">
        <v>44125</v>
      </c>
      <c r="AG152" s="70" t="s">
        <v>130</v>
      </c>
      <c r="AH152" s="97">
        <v>1</v>
      </c>
      <c r="AI152" s="97">
        <v>1</v>
      </c>
      <c r="AJ152" s="97">
        <v>0.66700000000000004</v>
      </c>
      <c r="AK152" s="71"/>
      <c r="AL152" s="76" t="s">
        <v>117</v>
      </c>
      <c r="AM152" s="87"/>
      <c r="AN152" s="15"/>
      <c r="AO152" s="15"/>
    </row>
    <row r="153" spans="2:41" x14ac:dyDescent="0.25">
      <c r="B153" s="95">
        <f t="shared" si="26"/>
        <v>94</v>
      </c>
      <c r="C153" s="16">
        <v>20201014</v>
      </c>
      <c r="D153" s="16" t="s">
        <v>2</v>
      </c>
      <c r="E153" s="74" t="s">
        <v>404</v>
      </c>
      <c r="F153" s="69"/>
      <c r="G153" s="37"/>
      <c r="H153" s="16" t="s">
        <v>458</v>
      </c>
      <c r="I153" s="16" t="s">
        <v>336</v>
      </c>
      <c r="J153" s="16" t="s">
        <v>188</v>
      </c>
      <c r="K153" s="37"/>
      <c r="L153" s="69" t="s">
        <v>403</v>
      </c>
      <c r="M153" s="37"/>
      <c r="N153" s="16"/>
      <c r="O153" s="69" t="s">
        <v>200</v>
      </c>
      <c r="P153" s="69" t="s">
        <v>398</v>
      </c>
      <c r="Q153" s="18"/>
      <c r="R153" s="16" t="s">
        <v>170</v>
      </c>
      <c r="S153" s="16" t="s">
        <v>63</v>
      </c>
      <c r="T153" s="16"/>
      <c r="U153" s="16"/>
      <c r="V153" s="16"/>
      <c r="W153" s="15">
        <f>ROUND(IF(D153=Table!$C$3,Y153*Table!$C$4/8,Y153*Table!$D$4/8),3)</f>
        <v>32.5</v>
      </c>
      <c r="X153" s="101">
        <f t="shared" si="25"/>
        <v>32.5</v>
      </c>
      <c r="Y153" s="101">
        <v>2</v>
      </c>
      <c r="Z153" s="101">
        <f t="shared" si="29"/>
        <v>2</v>
      </c>
      <c r="AA153" s="16" t="s">
        <v>70</v>
      </c>
      <c r="AB153" s="70">
        <v>44125</v>
      </c>
      <c r="AC153" s="19">
        <v>44118</v>
      </c>
      <c r="AD153" s="70">
        <v>44125</v>
      </c>
      <c r="AE153" s="70">
        <v>44125</v>
      </c>
      <c r="AF153" s="70">
        <v>44125</v>
      </c>
      <c r="AG153" s="70" t="s">
        <v>130</v>
      </c>
      <c r="AH153" s="97">
        <v>1</v>
      </c>
      <c r="AI153" s="97">
        <v>1</v>
      </c>
      <c r="AJ153" s="97">
        <v>0.5</v>
      </c>
      <c r="AK153" s="71"/>
      <c r="AL153" s="76" t="s">
        <v>117</v>
      </c>
      <c r="AM153" s="87"/>
      <c r="AN153" s="15"/>
      <c r="AO153" s="15"/>
    </row>
    <row r="154" spans="2:41" x14ac:dyDescent="0.25">
      <c r="B154" s="95">
        <f t="shared" si="26"/>
        <v>95</v>
      </c>
      <c r="C154" s="16">
        <v>20201014</v>
      </c>
      <c r="D154" s="16" t="s">
        <v>2</v>
      </c>
      <c r="E154" s="74" t="s">
        <v>404</v>
      </c>
      <c r="F154" s="69"/>
      <c r="G154" s="37"/>
      <c r="H154" s="16" t="s">
        <v>459</v>
      </c>
      <c r="I154" s="16" t="s">
        <v>337</v>
      </c>
      <c r="J154" s="16" t="s">
        <v>174</v>
      </c>
      <c r="K154" s="37"/>
      <c r="L154" s="69" t="s">
        <v>403</v>
      </c>
      <c r="M154" s="37"/>
      <c r="N154" s="16"/>
      <c r="O154" s="69" t="s">
        <v>200</v>
      </c>
      <c r="P154" s="69" t="s">
        <v>400</v>
      </c>
      <c r="Q154" s="18"/>
      <c r="R154" s="16" t="s">
        <v>170</v>
      </c>
      <c r="S154" s="16" t="s">
        <v>63</v>
      </c>
      <c r="T154" s="16"/>
      <c r="U154" s="16"/>
      <c r="V154" s="16"/>
      <c r="W154" s="15">
        <f>ROUND(IF(D154=Table!$C$3,Y154*Table!$C$4/8,Y154*Table!$D$4/8),3)</f>
        <v>26</v>
      </c>
      <c r="X154" s="101">
        <f t="shared" si="25"/>
        <v>26</v>
      </c>
      <c r="Y154" s="101">
        <v>1.6</v>
      </c>
      <c r="Z154" s="101">
        <f t="shared" si="29"/>
        <v>1.6</v>
      </c>
      <c r="AA154" s="16" t="s">
        <v>70</v>
      </c>
      <c r="AB154" s="70">
        <v>44125</v>
      </c>
      <c r="AC154" s="19">
        <v>44118</v>
      </c>
      <c r="AD154" s="70">
        <v>44125</v>
      </c>
      <c r="AE154" s="70">
        <v>44125</v>
      </c>
      <c r="AF154" s="70">
        <v>44125</v>
      </c>
      <c r="AG154" s="70" t="s">
        <v>130</v>
      </c>
      <c r="AH154" s="97">
        <v>1</v>
      </c>
      <c r="AI154" s="97">
        <v>1</v>
      </c>
      <c r="AJ154" s="97" t="s">
        <v>213</v>
      </c>
      <c r="AK154" s="71"/>
      <c r="AL154" s="76" t="s">
        <v>117</v>
      </c>
      <c r="AM154" s="87"/>
      <c r="AN154" s="15"/>
      <c r="AO154" s="15"/>
    </row>
    <row r="155" spans="2:41" x14ac:dyDescent="0.25">
      <c r="B155" s="95">
        <f t="shared" si="26"/>
        <v>96</v>
      </c>
      <c r="C155" s="16">
        <v>20201014</v>
      </c>
      <c r="D155" s="16" t="s">
        <v>3</v>
      </c>
      <c r="E155" s="74" t="s">
        <v>404</v>
      </c>
      <c r="F155" s="69"/>
      <c r="G155" s="37"/>
      <c r="H155" s="16" t="s">
        <v>460</v>
      </c>
      <c r="I155" s="16" t="s">
        <v>338</v>
      </c>
      <c r="J155" s="16" t="s">
        <v>188</v>
      </c>
      <c r="K155" s="109" t="s">
        <v>461</v>
      </c>
      <c r="L155" s="69" t="s">
        <v>403</v>
      </c>
      <c r="M155" s="37"/>
      <c r="N155" s="16"/>
      <c r="O155" s="69" t="s">
        <v>203</v>
      </c>
      <c r="P155" s="69" t="s">
        <v>398</v>
      </c>
      <c r="Q155" s="18"/>
      <c r="R155" s="16" t="s">
        <v>169</v>
      </c>
      <c r="S155" s="16" t="s">
        <v>147</v>
      </c>
      <c r="T155" s="16"/>
      <c r="U155" s="16"/>
      <c r="V155" s="16"/>
      <c r="W155" s="15">
        <f>ROUND(IF(D155=Table!$C$3,Y155*Table!$C$4/8,Y155*Table!$D$4/8),3)</f>
        <v>90</v>
      </c>
      <c r="X155" s="101">
        <f t="shared" si="25"/>
        <v>90</v>
      </c>
      <c r="Y155" s="101">
        <v>1.6</v>
      </c>
      <c r="Z155" s="101">
        <f t="shared" si="29"/>
        <v>1.6</v>
      </c>
      <c r="AA155" s="16" t="s">
        <v>70</v>
      </c>
      <c r="AB155" s="70">
        <v>44125</v>
      </c>
      <c r="AC155" s="19">
        <v>44118</v>
      </c>
      <c r="AD155" s="70">
        <v>44125</v>
      </c>
      <c r="AE155" s="70">
        <v>44124</v>
      </c>
      <c r="AF155" s="70">
        <v>44124</v>
      </c>
      <c r="AG155" s="70" t="s">
        <v>130</v>
      </c>
      <c r="AH155" s="97">
        <v>1</v>
      </c>
      <c r="AI155" s="97">
        <v>1</v>
      </c>
      <c r="AJ155" s="97">
        <v>1</v>
      </c>
      <c r="AK155" s="71"/>
      <c r="AL155" s="76" t="s">
        <v>117</v>
      </c>
      <c r="AM155" s="87"/>
      <c r="AN155" s="15"/>
      <c r="AO155" s="15"/>
    </row>
    <row r="156" spans="2:41" x14ac:dyDescent="0.25">
      <c r="B156" s="95">
        <f t="shared" si="26"/>
        <v>97</v>
      </c>
      <c r="C156" s="16">
        <v>20201014</v>
      </c>
      <c r="D156" s="16" t="s">
        <v>3</v>
      </c>
      <c r="E156" s="74" t="s">
        <v>404</v>
      </c>
      <c r="F156" s="69"/>
      <c r="G156" s="37"/>
      <c r="H156" s="16" t="s">
        <v>204</v>
      </c>
      <c r="I156" s="16" t="s">
        <v>339</v>
      </c>
      <c r="J156" s="16" t="s">
        <v>174</v>
      </c>
      <c r="K156" s="37"/>
      <c r="L156" s="69" t="s">
        <v>403</v>
      </c>
      <c r="M156" s="37"/>
      <c r="N156" s="16"/>
      <c r="O156" s="69" t="s">
        <v>387</v>
      </c>
      <c r="P156" s="69" t="s">
        <v>251</v>
      </c>
      <c r="Q156" s="18"/>
      <c r="R156" s="16" t="s">
        <v>170</v>
      </c>
      <c r="S156" s="16" t="s">
        <v>63</v>
      </c>
      <c r="T156" s="16"/>
      <c r="U156" s="16"/>
      <c r="V156" s="16"/>
      <c r="W156" s="15">
        <f>ROUND(IF(D156=Table!$C$3,Y156*Table!$C$4/8,Y156*Table!$D$4/8),3)</f>
        <v>49.5</v>
      </c>
      <c r="X156" s="101">
        <f t="shared" ref="X156:X164" si="30">W156</f>
        <v>49.5</v>
      </c>
      <c r="Y156" s="101">
        <v>0.88000000000000012</v>
      </c>
      <c r="Z156" s="101">
        <f t="shared" si="29"/>
        <v>0.88000000000000012</v>
      </c>
      <c r="AA156" s="16" t="s">
        <v>70</v>
      </c>
      <c r="AB156" s="70">
        <v>44125</v>
      </c>
      <c r="AC156" s="19">
        <v>44118</v>
      </c>
      <c r="AD156" s="70">
        <v>44125</v>
      </c>
      <c r="AE156" s="70">
        <v>44120</v>
      </c>
      <c r="AF156" s="70">
        <v>44120</v>
      </c>
      <c r="AG156" s="70" t="s">
        <v>130</v>
      </c>
      <c r="AH156" s="97">
        <v>1</v>
      </c>
      <c r="AI156" s="97">
        <v>1</v>
      </c>
      <c r="AJ156" s="97">
        <v>1</v>
      </c>
      <c r="AK156" s="71"/>
      <c r="AL156" s="76" t="s">
        <v>117</v>
      </c>
      <c r="AM156" s="84"/>
      <c r="AN156" s="15"/>
      <c r="AO156" s="15"/>
    </row>
    <row r="157" spans="2:41" x14ac:dyDescent="0.25">
      <c r="B157" s="95">
        <f t="shared" si="26"/>
        <v>98</v>
      </c>
      <c r="C157" s="16">
        <v>20201014</v>
      </c>
      <c r="D157" s="16" t="s">
        <v>3</v>
      </c>
      <c r="E157" s="74" t="s">
        <v>404</v>
      </c>
      <c r="F157" s="69"/>
      <c r="G157" s="37"/>
      <c r="H157" s="16" t="s">
        <v>406</v>
      </c>
      <c r="I157" s="16" t="s">
        <v>206</v>
      </c>
      <c r="J157" s="16" t="s">
        <v>174</v>
      </c>
      <c r="K157" s="37"/>
      <c r="L157" s="69" t="s">
        <v>403</v>
      </c>
      <c r="M157" s="37"/>
      <c r="N157" s="16"/>
      <c r="O157" s="69" t="s">
        <v>388</v>
      </c>
      <c r="P157" s="69" t="s">
        <v>251</v>
      </c>
      <c r="Q157" s="18"/>
      <c r="R157" s="16" t="s">
        <v>170</v>
      </c>
      <c r="S157" s="16" t="s">
        <v>63</v>
      </c>
      <c r="T157" s="16"/>
      <c r="U157" s="16"/>
      <c r="V157" s="16"/>
      <c r="W157" s="15">
        <f>ROUND(IF(D157=Table!$C$3,Y157*Table!$C$4/8,Y157*Table!$D$4/8),3)</f>
        <v>45</v>
      </c>
      <c r="X157" s="101">
        <f t="shared" si="30"/>
        <v>45</v>
      </c>
      <c r="Y157" s="101">
        <v>0.8</v>
      </c>
      <c r="Z157" s="101">
        <f t="shared" si="29"/>
        <v>0.8</v>
      </c>
      <c r="AA157" s="16" t="s">
        <v>70</v>
      </c>
      <c r="AB157" s="70">
        <v>44125</v>
      </c>
      <c r="AC157" s="19">
        <v>44118</v>
      </c>
      <c r="AD157" s="70">
        <v>44125</v>
      </c>
      <c r="AE157" s="70">
        <v>44120</v>
      </c>
      <c r="AF157" s="70">
        <v>44120</v>
      </c>
      <c r="AG157" s="70" t="s">
        <v>130</v>
      </c>
      <c r="AH157" s="97">
        <v>1</v>
      </c>
      <c r="AI157" s="97">
        <v>1</v>
      </c>
      <c r="AJ157" s="97">
        <v>0.83</v>
      </c>
      <c r="AK157" s="71"/>
      <c r="AL157" s="76" t="s">
        <v>117</v>
      </c>
      <c r="AM157" s="79"/>
      <c r="AN157" s="15"/>
      <c r="AO157" s="15"/>
    </row>
    <row r="158" spans="2:41" x14ac:dyDescent="0.25">
      <c r="B158" s="95">
        <f t="shared" si="26"/>
        <v>99</v>
      </c>
      <c r="C158" s="16">
        <v>20201014</v>
      </c>
      <c r="D158" s="16" t="s">
        <v>3</v>
      </c>
      <c r="E158" s="74" t="s">
        <v>404</v>
      </c>
      <c r="F158" s="69"/>
      <c r="G158" s="37"/>
      <c r="H158" s="16" t="s">
        <v>407</v>
      </c>
      <c r="I158" s="16" t="s">
        <v>208</v>
      </c>
      <c r="J158" s="16" t="s">
        <v>174</v>
      </c>
      <c r="K158" s="37"/>
      <c r="L158" s="69" t="s">
        <v>403</v>
      </c>
      <c r="M158" s="37"/>
      <c r="N158" s="16"/>
      <c r="O158" s="69" t="s">
        <v>389</v>
      </c>
      <c r="P158" s="69" t="s">
        <v>251</v>
      </c>
      <c r="Q158" s="18"/>
      <c r="R158" s="16" t="s">
        <v>170</v>
      </c>
      <c r="S158" s="16" t="s">
        <v>63</v>
      </c>
      <c r="T158" s="16"/>
      <c r="U158" s="16"/>
      <c r="V158" s="16"/>
      <c r="W158" s="15">
        <f>ROUND(IF(D158=Table!$C$3,Y158*Table!$C$4/8,Y158*Table!$D$4/8),3)</f>
        <v>45</v>
      </c>
      <c r="X158" s="101">
        <f t="shared" si="30"/>
        <v>45</v>
      </c>
      <c r="Y158" s="101">
        <v>0.8</v>
      </c>
      <c r="Z158" s="101">
        <f t="shared" si="29"/>
        <v>0.8</v>
      </c>
      <c r="AA158" s="16" t="s">
        <v>70</v>
      </c>
      <c r="AB158" s="70">
        <v>44125</v>
      </c>
      <c r="AC158" s="19">
        <v>44118</v>
      </c>
      <c r="AD158" s="70">
        <v>44125</v>
      </c>
      <c r="AE158" s="70">
        <v>44120</v>
      </c>
      <c r="AF158" s="70">
        <v>44120</v>
      </c>
      <c r="AG158" s="70" t="s">
        <v>130</v>
      </c>
      <c r="AH158" s="97">
        <v>1</v>
      </c>
      <c r="AI158" s="97">
        <v>1</v>
      </c>
      <c r="AJ158" s="97">
        <v>1</v>
      </c>
      <c r="AK158" s="71"/>
      <c r="AL158" s="76" t="s">
        <v>117</v>
      </c>
      <c r="AM158" s="79"/>
      <c r="AN158" s="15"/>
      <c r="AO158" s="15"/>
    </row>
    <row r="159" spans="2:41" x14ac:dyDescent="0.25">
      <c r="B159" s="95">
        <f t="shared" si="26"/>
        <v>100</v>
      </c>
      <c r="C159" s="16">
        <v>20201014</v>
      </c>
      <c r="D159" s="16" t="s">
        <v>3</v>
      </c>
      <c r="E159" s="74" t="s">
        <v>404</v>
      </c>
      <c r="F159" s="69"/>
      <c r="G159" s="37"/>
      <c r="H159" s="117" t="s">
        <v>408</v>
      </c>
      <c r="I159" s="130" t="s">
        <v>209</v>
      </c>
      <c r="J159" s="16" t="s">
        <v>174</v>
      </c>
      <c r="K159" s="37"/>
      <c r="L159" s="69" t="s">
        <v>403</v>
      </c>
      <c r="M159" s="37"/>
      <c r="N159" s="16"/>
      <c r="O159" s="69" t="s">
        <v>390</v>
      </c>
      <c r="P159" s="69" t="s">
        <v>251</v>
      </c>
      <c r="Q159" s="18"/>
      <c r="R159" s="16" t="s">
        <v>170</v>
      </c>
      <c r="S159" s="16" t="s">
        <v>63</v>
      </c>
      <c r="T159" s="16"/>
      <c r="U159" s="16"/>
      <c r="V159" s="16"/>
      <c r="W159" s="15">
        <f>ROUND(IF(D159=Table!$C$3,Y159*Table!$C$4/8,Y159*Table!$D$4/8),3)</f>
        <v>45</v>
      </c>
      <c r="X159" s="101">
        <f t="shared" si="30"/>
        <v>45</v>
      </c>
      <c r="Y159" s="101">
        <v>0.8</v>
      </c>
      <c r="Z159" s="101">
        <f t="shared" si="29"/>
        <v>0.8</v>
      </c>
      <c r="AA159" s="16" t="s">
        <v>70</v>
      </c>
      <c r="AB159" s="70">
        <v>44125</v>
      </c>
      <c r="AC159" s="19">
        <v>44118</v>
      </c>
      <c r="AD159" s="70">
        <v>44125</v>
      </c>
      <c r="AE159" s="70">
        <v>44120</v>
      </c>
      <c r="AF159" s="70">
        <v>44120</v>
      </c>
      <c r="AG159" s="70" t="s">
        <v>130</v>
      </c>
      <c r="AH159" s="97">
        <v>1</v>
      </c>
      <c r="AI159" s="97">
        <v>1</v>
      </c>
      <c r="AJ159" s="97">
        <v>1</v>
      </c>
      <c r="AK159" s="71"/>
      <c r="AL159" s="76" t="s">
        <v>117</v>
      </c>
      <c r="AM159" s="73"/>
      <c r="AN159" s="15"/>
      <c r="AO159" s="15"/>
    </row>
    <row r="160" spans="2:41" x14ac:dyDescent="0.25">
      <c r="B160" s="98">
        <f t="shared" ref="B160:B178" si="31">B159+1</f>
        <v>101</v>
      </c>
      <c r="C160" s="16">
        <v>20201019</v>
      </c>
      <c r="D160" s="16" t="s">
        <v>3</v>
      </c>
      <c r="E160" s="74" t="s">
        <v>490</v>
      </c>
      <c r="F160" s="69"/>
      <c r="G160" s="37"/>
      <c r="H160" s="16" t="s">
        <v>220</v>
      </c>
      <c r="I160" s="16" t="s">
        <v>491</v>
      </c>
      <c r="J160" s="16" t="s">
        <v>174</v>
      </c>
      <c r="K160" s="37"/>
      <c r="L160" s="69" t="s">
        <v>496</v>
      </c>
      <c r="M160" s="37"/>
      <c r="N160" s="16"/>
      <c r="O160" s="69"/>
      <c r="P160" s="69" t="s">
        <v>494</v>
      </c>
      <c r="Q160" s="18"/>
      <c r="R160" s="16" t="s">
        <v>168</v>
      </c>
      <c r="S160" s="16" t="s">
        <v>61</v>
      </c>
      <c r="T160" s="16"/>
      <c r="U160" s="16"/>
      <c r="V160" s="16"/>
      <c r="W160" s="15">
        <f>ROUND(IF(D160=Table!$C$3,Y160*Table!$C$4/8,Y160*Table!$D$4/8),3)</f>
        <v>450</v>
      </c>
      <c r="X160" s="101">
        <f t="shared" si="30"/>
        <v>450</v>
      </c>
      <c r="Y160" s="101">
        <v>8</v>
      </c>
      <c r="Z160" s="101">
        <v>8</v>
      </c>
      <c r="AA160" s="16" t="s">
        <v>70</v>
      </c>
      <c r="AB160" s="70">
        <v>44124</v>
      </c>
      <c r="AC160" s="19">
        <v>44123</v>
      </c>
      <c r="AD160" s="70">
        <v>44124</v>
      </c>
      <c r="AE160" s="70">
        <v>44123</v>
      </c>
      <c r="AF160" s="70">
        <v>44124</v>
      </c>
      <c r="AG160" s="70" t="s">
        <v>130</v>
      </c>
      <c r="AH160" s="97">
        <v>0.99</v>
      </c>
      <c r="AI160" s="97">
        <v>0.97</v>
      </c>
      <c r="AJ160" s="97">
        <v>0.6</v>
      </c>
      <c r="AK160" s="71"/>
      <c r="AL160" s="76" t="s">
        <v>117</v>
      </c>
      <c r="AM160" s="87" t="s">
        <v>524</v>
      </c>
      <c r="AN160" s="15"/>
      <c r="AO160" s="15"/>
    </row>
    <row r="161" spans="2:41" x14ac:dyDescent="0.25">
      <c r="B161" s="98">
        <f t="shared" si="31"/>
        <v>102</v>
      </c>
      <c r="C161" s="16">
        <v>20201019</v>
      </c>
      <c r="D161" s="16" t="s">
        <v>3</v>
      </c>
      <c r="E161" s="74" t="s">
        <v>490</v>
      </c>
      <c r="F161" s="69"/>
      <c r="G161" s="37"/>
      <c r="H161" s="16" t="s">
        <v>493</v>
      </c>
      <c r="I161" s="16" t="s">
        <v>492</v>
      </c>
      <c r="J161" s="16" t="s">
        <v>188</v>
      </c>
      <c r="K161" s="37"/>
      <c r="L161" s="69" t="s">
        <v>496</v>
      </c>
      <c r="M161" s="37"/>
      <c r="N161" s="16"/>
      <c r="O161" s="69"/>
      <c r="P161" s="69" t="s">
        <v>495</v>
      </c>
      <c r="Q161" s="18"/>
      <c r="R161" s="16" t="s">
        <v>168</v>
      </c>
      <c r="S161" s="16" t="s">
        <v>61</v>
      </c>
      <c r="T161" s="16"/>
      <c r="U161" s="16"/>
      <c r="V161" s="16"/>
      <c r="W161" s="15">
        <f>ROUND(IF(D161=Table!$C$3,Y161*Table!$C$4/8,Y161*Table!$D$4/8),3)</f>
        <v>283.5</v>
      </c>
      <c r="X161" s="101">
        <f t="shared" si="30"/>
        <v>283.5</v>
      </c>
      <c r="Y161" s="101">
        <v>5.04</v>
      </c>
      <c r="Z161" s="101">
        <v>4</v>
      </c>
      <c r="AA161" s="16" t="s">
        <v>70</v>
      </c>
      <c r="AB161" s="70">
        <v>44124</v>
      </c>
      <c r="AC161" s="19">
        <v>44123</v>
      </c>
      <c r="AD161" s="70">
        <v>44124</v>
      </c>
      <c r="AE161" s="70">
        <v>44123</v>
      </c>
      <c r="AF161" s="70">
        <v>44124</v>
      </c>
      <c r="AG161" s="70" t="s">
        <v>130</v>
      </c>
      <c r="AH161" s="97">
        <v>1</v>
      </c>
      <c r="AI161" s="97">
        <v>1</v>
      </c>
      <c r="AJ161" s="97">
        <v>0.73</v>
      </c>
      <c r="AK161" s="71"/>
      <c r="AL161" s="76" t="s">
        <v>117</v>
      </c>
      <c r="AM161" s="87"/>
      <c r="AN161" s="15"/>
      <c r="AO161" s="15"/>
    </row>
    <row r="162" spans="2:41" x14ac:dyDescent="0.25">
      <c r="B162" s="98">
        <f t="shared" si="31"/>
        <v>103</v>
      </c>
      <c r="C162" s="16">
        <v>20201019</v>
      </c>
      <c r="D162" s="16" t="s">
        <v>2</v>
      </c>
      <c r="E162" s="74" t="s">
        <v>519</v>
      </c>
      <c r="F162" s="69"/>
      <c r="G162" s="37"/>
      <c r="H162" s="16"/>
      <c r="I162" s="16" t="s">
        <v>517</v>
      </c>
      <c r="J162" s="16"/>
      <c r="K162" s="37"/>
      <c r="L162" s="69"/>
      <c r="M162" s="37"/>
      <c r="N162" s="16"/>
      <c r="O162" s="69">
        <v>1</v>
      </c>
      <c r="P162" s="69"/>
      <c r="Q162" s="18"/>
      <c r="R162" s="16"/>
      <c r="S162" s="16" t="s">
        <v>61</v>
      </c>
      <c r="T162" s="16"/>
      <c r="U162" s="16"/>
      <c r="V162" s="16"/>
      <c r="W162" s="15">
        <f>ROUND(IF(D162=Table!$C$3,Y162*Table!$C$4/8,Y162*Table!$D$4/8),3)</f>
        <v>24.375</v>
      </c>
      <c r="X162" s="101">
        <f t="shared" si="30"/>
        <v>24.375</v>
      </c>
      <c r="Y162" s="101">
        <v>1.5</v>
      </c>
      <c r="Z162" s="101"/>
      <c r="AA162" s="16" t="s">
        <v>70</v>
      </c>
      <c r="AB162" s="70">
        <v>44123</v>
      </c>
      <c r="AC162" s="19">
        <v>44123</v>
      </c>
      <c r="AD162" s="70">
        <v>44123</v>
      </c>
      <c r="AE162" s="70">
        <v>44123</v>
      </c>
      <c r="AF162" s="70">
        <v>44123</v>
      </c>
      <c r="AG162" s="70" t="s">
        <v>130</v>
      </c>
      <c r="AH162" s="97">
        <v>1</v>
      </c>
      <c r="AI162" s="97">
        <v>1</v>
      </c>
      <c r="AJ162" s="97">
        <v>1</v>
      </c>
      <c r="AK162" s="71"/>
      <c r="AL162" s="76" t="s">
        <v>117</v>
      </c>
      <c r="AM162" s="87"/>
      <c r="AN162" s="15"/>
      <c r="AO162" s="15"/>
    </row>
    <row r="163" spans="2:41" x14ac:dyDescent="0.25">
      <c r="B163" s="98">
        <f t="shared" si="31"/>
        <v>104</v>
      </c>
      <c r="C163" s="16">
        <v>20201019</v>
      </c>
      <c r="D163" s="16" t="s">
        <v>2</v>
      </c>
      <c r="E163" s="74" t="s">
        <v>519</v>
      </c>
      <c r="F163" s="69"/>
      <c r="G163" s="37"/>
      <c r="H163" s="16"/>
      <c r="I163" s="16" t="s">
        <v>518</v>
      </c>
      <c r="J163" s="16"/>
      <c r="K163" s="37"/>
      <c r="L163" s="69"/>
      <c r="M163" s="37"/>
      <c r="N163" s="16"/>
      <c r="O163" s="69">
        <v>1</v>
      </c>
      <c r="P163" s="69"/>
      <c r="Q163" s="18"/>
      <c r="R163" s="16"/>
      <c r="S163" s="16" t="s">
        <v>61</v>
      </c>
      <c r="T163" s="16"/>
      <c r="U163" s="16"/>
      <c r="V163" s="16"/>
      <c r="W163" s="15">
        <f>ROUND(IF(D163=Table!$C$3,Y163*Table!$C$4/8,Y163*Table!$D$4/8),3)</f>
        <v>24.375</v>
      </c>
      <c r="X163" s="101">
        <f t="shared" si="30"/>
        <v>24.375</v>
      </c>
      <c r="Y163" s="101">
        <v>1.5</v>
      </c>
      <c r="Z163" s="101"/>
      <c r="AA163" s="16" t="s">
        <v>70</v>
      </c>
      <c r="AB163" s="70">
        <v>44123</v>
      </c>
      <c r="AC163" s="19">
        <v>44123</v>
      </c>
      <c r="AD163" s="70">
        <v>44123</v>
      </c>
      <c r="AE163" s="70">
        <v>44123</v>
      </c>
      <c r="AF163" s="70">
        <v>44123</v>
      </c>
      <c r="AG163" s="70" t="s">
        <v>130</v>
      </c>
      <c r="AH163" s="97">
        <v>1</v>
      </c>
      <c r="AI163" s="97">
        <v>1</v>
      </c>
      <c r="AJ163" s="97">
        <v>1</v>
      </c>
      <c r="AK163" s="71"/>
      <c r="AL163" s="76" t="s">
        <v>117</v>
      </c>
      <c r="AM163" s="87"/>
      <c r="AN163" s="15"/>
      <c r="AO163" s="15"/>
    </row>
    <row r="164" spans="2:41" x14ac:dyDescent="0.25">
      <c r="B164" s="98">
        <f t="shared" si="31"/>
        <v>105</v>
      </c>
      <c r="C164" s="16">
        <v>20201020</v>
      </c>
      <c r="D164" s="16" t="s">
        <v>2</v>
      </c>
      <c r="E164" s="74" t="s">
        <v>520</v>
      </c>
      <c r="F164" s="69"/>
      <c r="G164" s="37"/>
      <c r="H164" s="16"/>
      <c r="I164" s="16" t="s">
        <v>521</v>
      </c>
      <c r="J164" s="16"/>
      <c r="K164" s="37"/>
      <c r="L164" s="69"/>
      <c r="M164" s="37"/>
      <c r="N164" s="16"/>
      <c r="O164" s="69">
        <v>1.1000000000000001</v>
      </c>
      <c r="P164" s="69"/>
      <c r="Q164" s="18"/>
      <c r="R164" s="16"/>
      <c r="S164" s="16" t="s">
        <v>61</v>
      </c>
      <c r="T164" s="16"/>
      <c r="U164" s="16"/>
      <c r="V164" s="16"/>
      <c r="W164" s="15">
        <f>ROUND(IF(D164=Table!$C$3,Y164*Table!$C$4/8,Y164*Table!$D$4/8),3)</f>
        <v>105.625</v>
      </c>
      <c r="X164" s="101">
        <f t="shared" si="30"/>
        <v>105.625</v>
      </c>
      <c r="Y164" s="101">
        <v>6.5</v>
      </c>
      <c r="Z164" s="101"/>
      <c r="AA164" s="16" t="s">
        <v>70</v>
      </c>
      <c r="AB164" s="70">
        <v>44125</v>
      </c>
      <c r="AC164" s="19">
        <v>44124</v>
      </c>
      <c r="AD164" s="70">
        <v>44125</v>
      </c>
      <c r="AE164" s="70">
        <v>44124</v>
      </c>
      <c r="AF164" s="70">
        <v>44125</v>
      </c>
      <c r="AG164" s="70" t="s">
        <v>130</v>
      </c>
      <c r="AH164" s="97">
        <v>0.93899999999999995</v>
      </c>
      <c r="AI164" s="97">
        <v>0.94299999999999995</v>
      </c>
      <c r="AJ164" s="97">
        <v>1</v>
      </c>
      <c r="AK164" s="71"/>
      <c r="AL164" s="76" t="s">
        <v>116</v>
      </c>
      <c r="AM164" s="87" t="s">
        <v>605</v>
      </c>
      <c r="AO164" s="18" t="s">
        <v>1014</v>
      </c>
    </row>
    <row r="165" spans="2:41" x14ac:dyDescent="0.25">
      <c r="B165" s="98">
        <f t="shared" si="31"/>
        <v>106</v>
      </c>
      <c r="C165" s="16">
        <v>20201020</v>
      </c>
      <c r="D165" s="16" t="s">
        <v>2</v>
      </c>
      <c r="E165" s="74" t="s">
        <v>520</v>
      </c>
      <c r="F165" s="69"/>
      <c r="G165" s="37"/>
      <c r="H165" s="16"/>
      <c r="I165" s="16" t="s">
        <v>522</v>
      </c>
      <c r="J165" s="16"/>
      <c r="K165" s="37"/>
      <c r="L165" s="69"/>
      <c r="M165" s="37"/>
      <c r="N165" s="16"/>
      <c r="O165" s="69">
        <v>1.1000000000000001</v>
      </c>
      <c r="P165" s="69"/>
      <c r="Q165" s="18"/>
      <c r="R165" s="16"/>
      <c r="S165" s="16" t="s">
        <v>109</v>
      </c>
      <c r="T165" s="16"/>
      <c r="U165" s="16"/>
      <c r="V165" s="16"/>
      <c r="W165" s="15">
        <f>ROUND(IF(D165=Table!$C$3,Y165*Table!$C$4/8,Y165*Table!$D$4/8),3)</f>
        <v>65</v>
      </c>
      <c r="X165" s="101">
        <f>W165</f>
        <v>65</v>
      </c>
      <c r="Y165" s="101">
        <v>4</v>
      </c>
      <c r="Z165" s="101">
        <f>Y165</f>
        <v>4</v>
      </c>
      <c r="AA165" s="16" t="s">
        <v>70</v>
      </c>
      <c r="AB165" s="70">
        <v>44125</v>
      </c>
      <c r="AC165" s="19">
        <v>44124</v>
      </c>
      <c r="AD165" s="70">
        <v>44125</v>
      </c>
      <c r="AE165" s="70">
        <v>44124</v>
      </c>
      <c r="AF165" s="70">
        <v>44124</v>
      </c>
      <c r="AG165" s="70" t="s">
        <v>130</v>
      </c>
      <c r="AH165" s="97">
        <v>0.92</v>
      </c>
      <c r="AI165" s="97">
        <v>0.92</v>
      </c>
      <c r="AJ165" s="97" t="s">
        <v>213</v>
      </c>
      <c r="AK165" s="71"/>
      <c r="AL165" s="76" t="s">
        <v>107</v>
      </c>
      <c r="AM165" s="87" t="s">
        <v>523</v>
      </c>
      <c r="AN165" s="15"/>
      <c r="AO165" s="15"/>
    </row>
    <row r="166" spans="2:41" x14ac:dyDescent="0.25">
      <c r="B166" s="142">
        <f t="shared" si="31"/>
        <v>107</v>
      </c>
      <c r="C166" s="16">
        <v>20201020</v>
      </c>
      <c r="D166" s="16" t="s">
        <v>3</v>
      </c>
      <c r="E166" s="74" t="s">
        <v>530</v>
      </c>
      <c r="F166" s="69"/>
      <c r="G166" s="37"/>
      <c r="H166" s="16" t="s">
        <v>531</v>
      </c>
      <c r="I166" s="16" t="s">
        <v>525</v>
      </c>
      <c r="J166" s="16" t="s">
        <v>174</v>
      </c>
      <c r="K166" s="37"/>
      <c r="L166" s="69" t="s">
        <v>534</v>
      </c>
      <c r="M166" s="37"/>
      <c r="N166" s="16"/>
      <c r="O166" s="69" t="s">
        <v>539</v>
      </c>
      <c r="P166" s="69" t="s">
        <v>535</v>
      </c>
      <c r="Q166" s="18"/>
      <c r="R166" s="16" t="s">
        <v>556</v>
      </c>
      <c r="S166" s="16" t="s">
        <v>63</v>
      </c>
      <c r="T166" s="16"/>
      <c r="U166" s="16"/>
      <c r="V166" s="16"/>
      <c r="W166" s="15">
        <f>ROUND(IF(D166=Table!$C$3,Y166*Table!$C$4/8,Y166*Table!$D$4/8),3)</f>
        <v>198</v>
      </c>
      <c r="X166" s="101">
        <f t="shared" ref="X166:X169" si="32">W166</f>
        <v>198</v>
      </c>
      <c r="Y166" s="101">
        <v>3.5200000000000005</v>
      </c>
      <c r="Z166" s="101">
        <f t="shared" ref="Z166:Z169" si="33">Y166</f>
        <v>3.5200000000000005</v>
      </c>
      <c r="AA166" s="16" t="s">
        <v>70</v>
      </c>
      <c r="AB166" s="70">
        <v>44127</v>
      </c>
      <c r="AC166" s="70">
        <v>44125</v>
      </c>
      <c r="AD166" s="70">
        <v>44127</v>
      </c>
      <c r="AE166" s="70">
        <v>44120</v>
      </c>
      <c r="AF166" s="70">
        <v>44120</v>
      </c>
      <c r="AG166" s="70" t="s">
        <v>130</v>
      </c>
      <c r="AH166" s="97">
        <v>1</v>
      </c>
      <c r="AI166" s="97">
        <v>1</v>
      </c>
      <c r="AJ166" s="97">
        <v>1</v>
      </c>
      <c r="AK166" s="71"/>
      <c r="AL166" s="76" t="s">
        <v>117</v>
      </c>
      <c r="AM166" s="87"/>
      <c r="AN166" s="15"/>
      <c r="AO166" s="15"/>
    </row>
    <row r="167" spans="2:41" x14ac:dyDescent="0.25">
      <c r="B167" s="142">
        <f t="shared" si="31"/>
        <v>108</v>
      </c>
      <c r="C167" s="16">
        <v>20201020</v>
      </c>
      <c r="D167" s="16" t="s">
        <v>3</v>
      </c>
      <c r="E167" s="74" t="s">
        <v>530</v>
      </c>
      <c r="F167" s="69"/>
      <c r="G167" s="37"/>
      <c r="H167" s="16" t="s">
        <v>221</v>
      </c>
      <c r="I167" s="16" t="s">
        <v>526</v>
      </c>
      <c r="J167" s="16" t="s">
        <v>174</v>
      </c>
      <c r="K167" s="37"/>
      <c r="L167" s="69" t="s">
        <v>534</v>
      </c>
      <c r="M167" s="37"/>
      <c r="N167" s="16"/>
      <c r="O167" s="69" t="s">
        <v>540</v>
      </c>
      <c r="P167" s="69" t="s">
        <v>536</v>
      </c>
      <c r="Q167" s="18"/>
      <c r="R167" s="16" t="s">
        <v>554</v>
      </c>
      <c r="S167" s="16" t="s">
        <v>66</v>
      </c>
      <c r="T167" s="16"/>
      <c r="U167" s="16"/>
      <c r="V167" s="16"/>
      <c r="W167" s="15">
        <f>ROUND(IF(D167=Table!$C$3,Y167*Table!$C$4/8,Y167*Table!$D$4/8),3)</f>
        <v>180</v>
      </c>
      <c r="X167" s="101">
        <f t="shared" si="32"/>
        <v>180</v>
      </c>
      <c r="Y167" s="101">
        <v>3.2</v>
      </c>
      <c r="Z167" s="101">
        <f t="shared" si="33"/>
        <v>3.2</v>
      </c>
      <c r="AA167" s="16" t="s">
        <v>70</v>
      </c>
      <c r="AB167" s="70">
        <v>44127</v>
      </c>
      <c r="AC167" s="70">
        <v>44125</v>
      </c>
      <c r="AD167" s="70">
        <v>44127</v>
      </c>
      <c r="AE167" s="70">
        <v>44125</v>
      </c>
      <c r="AF167" s="70">
        <v>44125</v>
      </c>
      <c r="AG167" s="70" t="s">
        <v>130</v>
      </c>
      <c r="AH167" s="97">
        <v>1</v>
      </c>
      <c r="AI167" s="97">
        <v>1</v>
      </c>
      <c r="AJ167" s="97">
        <v>1</v>
      </c>
      <c r="AK167" s="71"/>
      <c r="AL167" s="76" t="s">
        <v>462</v>
      </c>
      <c r="AM167" s="87"/>
      <c r="AN167" s="15"/>
      <c r="AO167" s="15"/>
    </row>
    <row r="168" spans="2:41" x14ac:dyDescent="0.25">
      <c r="B168" s="142">
        <f t="shared" si="31"/>
        <v>109</v>
      </c>
      <c r="C168" s="16">
        <v>20201020</v>
      </c>
      <c r="D168" s="16" t="s">
        <v>3</v>
      </c>
      <c r="E168" s="74" t="s">
        <v>530</v>
      </c>
      <c r="F168" s="69"/>
      <c r="G168" s="37"/>
      <c r="H168" s="16" t="s">
        <v>222</v>
      </c>
      <c r="I168" s="16" t="s">
        <v>527</v>
      </c>
      <c r="J168" s="16" t="s">
        <v>174</v>
      </c>
      <c r="K168" s="37"/>
      <c r="L168" s="69" t="s">
        <v>534</v>
      </c>
      <c r="M168" s="37"/>
      <c r="N168" s="16"/>
      <c r="O168" s="69" t="s">
        <v>541</v>
      </c>
      <c r="P168" s="69" t="s">
        <v>537</v>
      </c>
      <c r="Q168" s="18"/>
      <c r="R168" s="16" t="s">
        <v>554</v>
      </c>
      <c r="S168" s="16" t="s">
        <v>66</v>
      </c>
      <c r="T168" s="16"/>
      <c r="U168" s="16"/>
      <c r="V168" s="16"/>
      <c r="W168" s="15">
        <f>ROUND(IF(D168=Table!$C$3,Y168*Table!$C$4/8,Y168*Table!$D$4/8),3)</f>
        <v>234</v>
      </c>
      <c r="X168" s="101">
        <f>W168</f>
        <v>234</v>
      </c>
      <c r="Y168" s="101">
        <v>4.16</v>
      </c>
      <c r="Z168" s="101">
        <f t="shared" si="33"/>
        <v>4.16</v>
      </c>
      <c r="AA168" s="16" t="s">
        <v>70</v>
      </c>
      <c r="AB168" s="70">
        <v>44127</v>
      </c>
      <c r="AC168" s="70">
        <v>44125</v>
      </c>
      <c r="AD168" s="70">
        <v>44127</v>
      </c>
      <c r="AE168" s="70">
        <v>44125</v>
      </c>
      <c r="AF168" s="70">
        <v>44125</v>
      </c>
      <c r="AG168" s="70" t="s">
        <v>130</v>
      </c>
      <c r="AH168" s="97">
        <v>1</v>
      </c>
      <c r="AI168" s="97">
        <v>1</v>
      </c>
      <c r="AJ168" s="97">
        <v>1</v>
      </c>
      <c r="AK168" s="71"/>
      <c r="AL168" s="76" t="s">
        <v>462</v>
      </c>
      <c r="AM168" s="87"/>
      <c r="AN168" s="15"/>
      <c r="AO168" s="15"/>
    </row>
    <row r="169" spans="2:41" x14ac:dyDescent="0.25">
      <c r="B169" s="142">
        <f t="shared" si="31"/>
        <v>110</v>
      </c>
      <c r="C169" s="16">
        <v>20201020</v>
      </c>
      <c r="D169" s="16" t="s">
        <v>3</v>
      </c>
      <c r="E169" s="74" t="s">
        <v>530</v>
      </c>
      <c r="F169" s="69"/>
      <c r="G169" s="37"/>
      <c r="H169" s="16" t="s">
        <v>532</v>
      </c>
      <c r="I169" s="16" t="s">
        <v>528</v>
      </c>
      <c r="J169" s="16" t="s">
        <v>174</v>
      </c>
      <c r="K169" s="37"/>
      <c r="L169" s="69" t="s">
        <v>534</v>
      </c>
      <c r="M169" s="37"/>
      <c r="N169" s="16"/>
      <c r="O169" s="69" t="s">
        <v>542</v>
      </c>
      <c r="P169" s="69" t="s">
        <v>538</v>
      </c>
      <c r="Q169" s="18"/>
      <c r="R169" s="16" t="s">
        <v>556</v>
      </c>
      <c r="S169" s="16" t="s">
        <v>63</v>
      </c>
      <c r="T169" s="16"/>
      <c r="U169" s="16"/>
      <c r="V169" s="16"/>
      <c r="W169" s="15">
        <f>ROUND(IF(D169=Table!$C$3,Y169*Table!$C$4/8,Y169*Table!$D$4/8),3)</f>
        <v>198</v>
      </c>
      <c r="X169" s="101">
        <f t="shared" si="32"/>
        <v>198</v>
      </c>
      <c r="Y169" s="101">
        <v>3.5200000000000005</v>
      </c>
      <c r="Z169" s="101">
        <f t="shared" si="33"/>
        <v>3.5200000000000005</v>
      </c>
      <c r="AA169" s="16" t="s">
        <v>70</v>
      </c>
      <c r="AB169" s="70">
        <v>44127</v>
      </c>
      <c r="AC169" s="70">
        <v>44125</v>
      </c>
      <c r="AD169" s="70">
        <v>44127</v>
      </c>
      <c r="AE169" s="70">
        <v>44120</v>
      </c>
      <c r="AF169" s="70">
        <v>44120</v>
      </c>
      <c r="AG169" s="70" t="s">
        <v>130</v>
      </c>
      <c r="AH169" s="97">
        <v>1</v>
      </c>
      <c r="AI169" s="97">
        <v>1</v>
      </c>
      <c r="AJ169" s="97">
        <v>1</v>
      </c>
      <c r="AK169" s="71"/>
      <c r="AL169" s="76" t="s">
        <v>117</v>
      </c>
      <c r="AM169" s="87"/>
      <c r="AN169" s="15"/>
      <c r="AO169" s="15"/>
    </row>
    <row r="170" spans="2:41" x14ac:dyDescent="0.25">
      <c r="B170" s="142">
        <f t="shared" si="31"/>
        <v>111</v>
      </c>
      <c r="C170" s="16">
        <v>20201020</v>
      </c>
      <c r="D170" s="16" t="s">
        <v>3</v>
      </c>
      <c r="E170" s="74" t="s">
        <v>530</v>
      </c>
      <c r="F170" s="69"/>
      <c r="G170" s="37"/>
      <c r="H170" s="16" t="s">
        <v>533</v>
      </c>
      <c r="I170" s="16" t="s">
        <v>240</v>
      </c>
      <c r="J170" s="16" t="s">
        <v>174</v>
      </c>
      <c r="K170" s="37"/>
      <c r="L170" s="69" t="s">
        <v>534</v>
      </c>
      <c r="M170" s="37"/>
      <c r="N170" s="16"/>
      <c r="O170" s="69" t="s">
        <v>543</v>
      </c>
      <c r="P170" s="69" t="s">
        <v>395</v>
      </c>
      <c r="Q170" s="18"/>
      <c r="R170" s="16" t="s">
        <v>555</v>
      </c>
      <c r="S170" s="16" t="s">
        <v>109</v>
      </c>
      <c r="T170" s="16"/>
      <c r="U170" s="16"/>
      <c r="V170" s="16"/>
      <c r="W170" s="15">
        <f>ROUND(IF(D170=Table!$C$3,Y170*Table!$C$4/8,Y170*Table!$D$4/8),3)</f>
        <v>54</v>
      </c>
      <c r="X170" s="101">
        <f t="shared" ref="X170:X181" si="34">W170</f>
        <v>54</v>
      </c>
      <c r="Y170" s="101">
        <v>0.96</v>
      </c>
      <c r="Z170" s="101">
        <f t="shared" ref="Z170:Z178" si="35">Y170</f>
        <v>0.96</v>
      </c>
      <c r="AA170" s="16" t="s">
        <v>70</v>
      </c>
      <c r="AB170" s="70">
        <v>44127</v>
      </c>
      <c r="AC170" s="70">
        <v>44125</v>
      </c>
      <c r="AD170" s="70">
        <v>44127</v>
      </c>
      <c r="AE170" s="19">
        <v>44125</v>
      </c>
      <c r="AF170" s="70">
        <v>44125</v>
      </c>
      <c r="AG170" s="70" t="s">
        <v>130</v>
      </c>
      <c r="AH170" s="97">
        <v>1</v>
      </c>
      <c r="AI170" s="97">
        <v>1</v>
      </c>
      <c r="AJ170" s="97">
        <v>0.5</v>
      </c>
      <c r="AK170" s="71"/>
      <c r="AL170" s="76" t="s">
        <v>117</v>
      </c>
      <c r="AM170" s="87"/>
      <c r="AN170" s="15"/>
      <c r="AO170" s="15"/>
    </row>
    <row r="171" spans="2:41" x14ac:dyDescent="0.25">
      <c r="B171" s="142">
        <f t="shared" si="31"/>
        <v>112</v>
      </c>
      <c r="C171" s="16">
        <v>20201020</v>
      </c>
      <c r="D171" s="16" t="s">
        <v>3</v>
      </c>
      <c r="E171" s="74" t="s">
        <v>530</v>
      </c>
      <c r="F171" s="69"/>
      <c r="G171" s="37"/>
      <c r="H171" s="16" t="s">
        <v>228</v>
      </c>
      <c r="I171" s="16" t="s">
        <v>210</v>
      </c>
      <c r="J171" s="16" t="s">
        <v>174</v>
      </c>
      <c r="K171" s="37"/>
      <c r="L171" s="69" t="s">
        <v>534</v>
      </c>
      <c r="M171" s="37"/>
      <c r="N171" s="16"/>
      <c r="O171" s="69" t="s">
        <v>544</v>
      </c>
      <c r="P171" s="69" t="s">
        <v>537</v>
      </c>
      <c r="Q171" s="18"/>
      <c r="R171" s="16" t="s">
        <v>555</v>
      </c>
      <c r="S171" s="16" t="s">
        <v>109</v>
      </c>
      <c r="T171" s="16"/>
      <c r="U171" s="16"/>
      <c r="V171" s="16"/>
      <c r="W171" s="15">
        <f>ROUND(IF(D171=Table!$C$3,Y171*Table!$C$4/8,Y171*Table!$D$4/8),3)</f>
        <v>360</v>
      </c>
      <c r="X171" s="101">
        <f t="shared" si="34"/>
        <v>360</v>
      </c>
      <c r="Y171" s="101">
        <v>6.4</v>
      </c>
      <c r="Z171" s="101">
        <f t="shared" si="35"/>
        <v>6.4</v>
      </c>
      <c r="AA171" s="16" t="s">
        <v>70</v>
      </c>
      <c r="AB171" s="70">
        <v>44127</v>
      </c>
      <c r="AC171" s="70">
        <v>44125</v>
      </c>
      <c r="AD171" s="70">
        <v>44127</v>
      </c>
      <c r="AE171" s="70">
        <v>44125</v>
      </c>
      <c r="AF171" s="70">
        <v>44125</v>
      </c>
      <c r="AG171" s="70" t="s">
        <v>130</v>
      </c>
      <c r="AH171" s="97">
        <v>1</v>
      </c>
      <c r="AI171" s="97">
        <v>1</v>
      </c>
      <c r="AJ171" s="97">
        <v>0.65</v>
      </c>
      <c r="AK171" s="71"/>
      <c r="AL171" s="76" t="s">
        <v>117</v>
      </c>
      <c r="AM171" s="87"/>
      <c r="AN171" s="15"/>
      <c r="AO171" s="15"/>
    </row>
    <row r="172" spans="2:41" x14ac:dyDescent="0.25">
      <c r="B172" s="142">
        <f t="shared" si="31"/>
        <v>113</v>
      </c>
      <c r="C172" s="16">
        <v>20201020</v>
      </c>
      <c r="D172" s="16" t="s">
        <v>3</v>
      </c>
      <c r="E172" s="74" t="s">
        <v>530</v>
      </c>
      <c r="F172" s="69"/>
      <c r="G172" s="37"/>
      <c r="H172" s="16" t="s">
        <v>205</v>
      </c>
      <c r="I172" s="16" t="s">
        <v>529</v>
      </c>
      <c r="J172" s="16" t="s">
        <v>174</v>
      </c>
      <c r="K172" s="37"/>
      <c r="L172" s="69" t="s">
        <v>534</v>
      </c>
      <c r="M172" s="37"/>
      <c r="N172" s="16"/>
      <c r="O172" s="69" t="s">
        <v>545</v>
      </c>
      <c r="P172" s="69" t="s">
        <v>537</v>
      </c>
      <c r="Q172" s="18"/>
      <c r="R172" s="16" t="s">
        <v>555</v>
      </c>
      <c r="S172" s="16" t="s">
        <v>109</v>
      </c>
      <c r="T172" s="16"/>
      <c r="U172" s="16"/>
      <c r="V172" s="16"/>
      <c r="W172" s="15">
        <f>ROUND(IF(D172=Table!$C$3,Y172*Table!$C$4/8,Y172*Table!$D$4/8),3)</f>
        <v>39.6</v>
      </c>
      <c r="X172" s="101">
        <f t="shared" si="34"/>
        <v>39.6</v>
      </c>
      <c r="Y172" s="101">
        <v>0.70400000000000007</v>
      </c>
      <c r="Z172" s="101">
        <f t="shared" si="35"/>
        <v>0.70400000000000007</v>
      </c>
      <c r="AA172" s="16" t="s">
        <v>70</v>
      </c>
      <c r="AB172" s="70">
        <v>44127</v>
      </c>
      <c r="AC172" s="70">
        <v>44125</v>
      </c>
      <c r="AD172" s="70">
        <v>44127</v>
      </c>
      <c r="AE172" s="70">
        <v>44125</v>
      </c>
      <c r="AF172" s="70">
        <v>44125</v>
      </c>
      <c r="AG172" s="70" t="s">
        <v>130</v>
      </c>
      <c r="AH172" s="97">
        <v>1</v>
      </c>
      <c r="AI172" s="97">
        <v>1</v>
      </c>
      <c r="AJ172" s="97">
        <v>1</v>
      </c>
      <c r="AK172" s="71"/>
      <c r="AL172" s="76" t="s">
        <v>117</v>
      </c>
      <c r="AM172" s="87"/>
      <c r="AN172" s="15"/>
      <c r="AO172" s="15"/>
    </row>
    <row r="173" spans="2:41" x14ac:dyDescent="0.25">
      <c r="B173" s="144">
        <f t="shared" si="31"/>
        <v>114</v>
      </c>
      <c r="C173" s="16">
        <v>20201021</v>
      </c>
      <c r="D173" s="16" t="s">
        <v>3</v>
      </c>
      <c r="E173" s="74" t="s">
        <v>557</v>
      </c>
      <c r="F173" s="69"/>
      <c r="G173" s="37"/>
      <c r="H173" s="16" t="s">
        <v>531</v>
      </c>
      <c r="I173" s="16" t="s">
        <v>558</v>
      </c>
      <c r="J173" s="16" t="s">
        <v>174</v>
      </c>
      <c r="K173" s="37"/>
      <c r="L173" s="69" t="s">
        <v>574</v>
      </c>
      <c r="M173" s="37"/>
      <c r="N173" s="16"/>
      <c r="O173" s="69" t="s">
        <v>564</v>
      </c>
      <c r="P173" s="69" t="s">
        <v>569</v>
      </c>
      <c r="Q173" s="18"/>
      <c r="R173" s="16" t="s">
        <v>168</v>
      </c>
      <c r="S173" s="16" t="s">
        <v>63</v>
      </c>
      <c r="T173" s="16"/>
      <c r="U173" s="16"/>
      <c r="V173" s="16"/>
      <c r="W173" s="15">
        <f>ROUND(IF(D173=Table!$C$3,Y173*Table!$C$4/8,Y173*Table!$D$4/8),3)</f>
        <v>67.5</v>
      </c>
      <c r="X173" s="101">
        <f t="shared" si="34"/>
        <v>67.5</v>
      </c>
      <c r="Y173" s="101">
        <v>1.2</v>
      </c>
      <c r="Z173" s="101">
        <f t="shared" si="35"/>
        <v>1.2</v>
      </c>
      <c r="AA173" s="16" t="s">
        <v>70</v>
      </c>
      <c r="AB173" s="70">
        <v>44126</v>
      </c>
      <c r="AC173" s="70">
        <v>44125</v>
      </c>
      <c r="AD173" s="70">
        <v>44126</v>
      </c>
      <c r="AE173" s="70">
        <v>44126</v>
      </c>
      <c r="AF173" s="70">
        <v>44126</v>
      </c>
      <c r="AG173" s="70" t="s">
        <v>130</v>
      </c>
      <c r="AH173" s="97">
        <v>1</v>
      </c>
      <c r="AI173" s="97">
        <v>1</v>
      </c>
      <c r="AJ173" s="97">
        <v>1</v>
      </c>
      <c r="AK173" s="71"/>
      <c r="AL173" s="76" t="s">
        <v>117</v>
      </c>
      <c r="AM173" s="87"/>
      <c r="AN173" s="15"/>
      <c r="AO173" s="15"/>
    </row>
    <row r="174" spans="2:41" x14ac:dyDescent="0.25">
      <c r="B174" s="144">
        <f t="shared" si="31"/>
        <v>115</v>
      </c>
      <c r="C174" s="16">
        <v>20201021</v>
      </c>
      <c r="D174" s="16" t="s">
        <v>2</v>
      </c>
      <c r="E174" s="74" t="s">
        <v>557</v>
      </c>
      <c r="F174" s="69"/>
      <c r="G174" s="37"/>
      <c r="H174" s="16" t="s">
        <v>228</v>
      </c>
      <c r="I174" s="16" t="s">
        <v>559</v>
      </c>
      <c r="J174" s="16" t="s">
        <v>188</v>
      </c>
      <c r="K174" s="37"/>
      <c r="L174" s="69" t="s">
        <v>574</v>
      </c>
      <c r="M174" s="37"/>
      <c r="N174" s="16"/>
      <c r="O174" s="69" t="s">
        <v>565</v>
      </c>
      <c r="P174" s="69" t="s">
        <v>570</v>
      </c>
      <c r="Q174" s="18"/>
      <c r="R174" s="16" t="s">
        <v>170</v>
      </c>
      <c r="S174" s="16" t="s">
        <v>66</v>
      </c>
      <c r="T174" s="16"/>
      <c r="U174" s="16"/>
      <c r="V174" s="16"/>
      <c r="W174" s="15">
        <f>ROUND(IF(D174=Table!$C$3,Y174*Table!$C$4/8,Y174*Table!$D$4/8),3)</f>
        <v>45.5</v>
      </c>
      <c r="X174" s="101">
        <f t="shared" si="34"/>
        <v>45.5</v>
      </c>
      <c r="Y174" s="101">
        <v>2.8</v>
      </c>
      <c r="Z174" s="101">
        <f t="shared" si="35"/>
        <v>2.8</v>
      </c>
      <c r="AA174" s="16" t="s">
        <v>70</v>
      </c>
      <c r="AB174" s="70">
        <v>44126</v>
      </c>
      <c r="AC174" s="70">
        <v>44125</v>
      </c>
      <c r="AD174" s="70">
        <v>44126</v>
      </c>
      <c r="AE174" s="70">
        <v>44126</v>
      </c>
      <c r="AF174" s="70">
        <v>44126</v>
      </c>
      <c r="AG174" s="70" t="s">
        <v>130</v>
      </c>
      <c r="AH174" s="97">
        <v>1</v>
      </c>
      <c r="AI174" s="97">
        <v>1</v>
      </c>
      <c r="AJ174" s="97">
        <v>1</v>
      </c>
      <c r="AK174" s="71"/>
      <c r="AL174" s="76" t="s">
        <v>462</v>
      </c>
      <c r="AM174" s="87"/>
      <c r="AN174" s="15"/>
      <c r="AO174" s="15"/>
    </row>
    <row r="175" spans="2:41" x14ac:dyDescent="0.25">
      <c r="B175" s="144">
        <f t="shared" si="31"/>
        <v>116</v>
      </c>
      <c r="C175" s="16">
        <v>20201021</v>
      </c>
      <c r="D175" s="16" t="s">
        <v>2</v>
      </c>
      <c r="E175" s="74" t="s">
        <v>557</v>
      </c>
      <c r="F175" s="69"/>
      <c r="G175" s="37"/>
      <c r="H175" s="16" t="s">
        <v>205</v>
      </c>
      <c r="I175" s="16" t="s">
        <v>560</v>
      </c>
      <c r="J175" s="16" t="s">
        <v>188</v>
      </c>
      <c r="K175" s="37"/>
      <c r="L175" s="69" t="s">
        <v>574</v>
      </c>
      <c r="M175" s="37"/>
      <c r="N175" s="16"/>
      <c r="O175" s="69" t="s">
        <v>203</v>
      </c>
      <c r="P175" s="69" t="s">
        <v>570</v>
      </c>
      <c r="Q175" s="18"/>
      <c r="R175" s="16" t="s">
        <v>170</v>
      </c>
      <c r="S175" s="16" t="s">
        <v>66</v>
      </c>
      <c r="T175" s="16"/>
      <c r="U175" s="16"/>
      <c r="V175" s="16"/>
      <c r="W175" s="15">
        <f>ROUND(IF(D175=Table!$C$3,Y175*Table!$C$4/8,Y175*Table!$D$4/8),3)</f>
        <v>26</v>
      </c>
      <c r="X175" s="101">
        <f t="shared" si="34"/>
        <v>26</v>
      </c>
      <c r="Y175" s="101">
        <v>1.6</v>
      </c>
      <c r="Z175" s="101">
        <f t="shared" si="35"/>
        <v>1.6</v>
      </c>
      <c r="AA175" s="16" t="s">
        <v>70</v>
      </c>
      <c r="AB175" s="70">
        <v>44126</v>
      </c>
      <c r="AC175" s="70">
        <v>44125</v>
      </c>
      <c r="AD175" s="70">
        <v>44126</v>
      </c>
      <c r="AE175" s="70">
        <v>44126</v>
      </c>
      <c r="AF175" s="70">
        <v>44126</v>
      </c>
      <c r="AG175" s="70" t="s">
        <v>130</v>
      </c>
      <c r="AH175" s="97">
        <v>1</v>
      </c>
      <c r="AI175" s="97">
        <v>1</v>
      </c>
      <c r="AJ175" s="97">
        <v>1</v>
      </c>
      <c r="AK175" s="71"/>
      <c r="AL175" s="76" t="s">
        <v>462</v>
      </c>
      <c r="AM175" s="87"/>
      <c r="AN175" s="15"/>
      <c r="AO175" s="15"/>
    </row>
    <row r="176" spans="2:41" x14ac:dyDescent="0.25">
      <c r="B176" s="144">
        <f t="shared" si="31"/>
        <v>117</v>
      </c>
      <c r="C176" s="16">
        <v>20201021</v>
      </c>
      <c r="D176" s="16" t="s">
        <v>3</v>
      </c>
      <c r="E176" s="74" t="s">
        <v>557</v>
      </c>
      <c r="F176" s="69"/>
      <c r="G176" s="37"/>
      <c r="H176" s="16" t="s">
        <v>493</v>
      </c>
      <c r="I176" s="16" t="s">
        <v>561</v>
      </c>
      <c r="J176" s="16" t="s">
        <v>174</v>
      </c>
      <c r="K176" s="37"/>
      <c r="L176" s="69" t="s">
        <v>574</v>
      </c>
      <c r="M176" s="37"/>
      <c r="N176" s="16"/>
      <c r="O176" s="69" t="s">
        <v>566</v>
      </c>
      <c r="P176" s="69" t="s">
        <v>571</v>
      </c>
      <c r="Q176" s="18"/>
      <c r="R176" s="16" t="s">
        <v>168</v>
      </c>
      <c r="S176" s="16" t="s">
        <v>63</v>
      </c>
      <c r="T176" s="16"/>
      <c r="U176" s="16"/>
      <c r="V176" s="16"/>
      <c r="W176" s="15">
        <f>ROUND(IF(D176=Table!$C$3,Y176*Table!$C$4/8,Y176*Table!$D$4/8),3)</f>
        <v>90</v>
      </c>
      <c r="X176" s="101">
        <f t="shared" si="34"/>
        <v>90</v>
      </c>
      <c r="Y176" s="101">
        <v>1.6</v>
      </c>
      <c r="Z176" s="101">
        <f t="shared" si="35"/>
        <v>1.6</v>
      </c>
      <c r="AA176" s="16" t="s">
        <v>70</v>
      </c>
      <c r="AB176" s="70">
        <v>44126</v>
      </c>
      <c r="AC176" s="70">
        <v>44125</v>
      </c>
      <c r="AD176" s="70">
        <v>44126</v>
      </c>
      <c r="AE176" s="70">
        <v>44126</v>
      </c>
      <c r="AF176" s="70">
        <v>44126</v>
      </c>
      <c r="AG176" s="70" t="s">
        <v>130</v>
      </c>
      <c r="AH176" s="97">
        <v>0.99</v>
      </c>
      <c r="AI176" s="97">
        <v>0.99</v>
      </c>
      <c r="AJ176" s="97" t="s">
        <v>213</v>
      </c>
      <c r="AK176" s="71"/>
      <c r="AL176" s="76" t="s">
        <v>117</v>
      </c>
      <c r="AM176" s="87" t="s">
        <v>637</v>
      </c>
      <c r="AN176" s="15"/>
      <c r="AO176" s="15"/>
    </row>
    <row r="177" spans="2:41" x14ac:dyDescent="0.25">
      <c r="B177" s="144">
        <f t="shared" si="31"/>
        <v>118</v>
      </c>
      <c r="C177" s="16">
        <v>20201021</v>
      </c>
      <c r="D177" s="16" t="s">
        <v>2</v>
      </c>
      <c r="E177" s="74" t="s">
        <v>557</v>
      </c>
      <c r="F177" s="69"/>
      <c r="G177" s="37"/>
      <c r="H177" s="16" t="s">
        <v>207</v>
      </c>
      <c r="I177" s="16" t="s">
        <v>562</v>
      </c>
      <c r="J177" s="16" t="s">
        <v>188</v>
      </c>
      <c r="K177" s="37"/>
      <c r="L177" s="69" t="s">
        <v>574</v>
      </c>
      <c r="M177" s="37"/>
      <c r="N177" s="16"/>
      <c r="O177" s="69" t="s">
        <v>567</v>
      </c>
      <c r="P177" s="69" t="s">
        <v>572</v>
      </c>
      <c r="Q177" s="18"/>
      <c r="R177" s="16" t="s">
        <v>169</v>
      </c>
      <c r="S177" s="16" t="s">
        <v>147</v>
      </c>
      <c r="T177" s="16"/>
      <c r="U177" s="16"/>
      <c r="V177" s="16"/>
      <c r="W177" s="15">
        <f>ROUND(IF(D177=Table!$C$3,Y177*Table!$C$4/8,Y177*Table!$D$4/8),3)</f>
        <v>32.5</v>
      </c>
      <c r="X177" s="101">
        <f t="shared" si="34"/>
        <v>32.5</v>
      </c>
      <c r="Y177" s="101">
        <v>2</v>
      </c>
      <c r="Z177" s="101">
        <f t="shared" si="35"/>
        <v>2</v>
      </c>
      <c r="AA177" s="16" t="s">
        <v>70</v>
      </c>
      <c r="AB177" s="70">
        <v>44126</v>
      </c>
      <c r="AC177" s="70">
        <v>44125</v>
      </c>
      <c r="AD177" s="70">
        <v>44126</v>
      </c>
      <c r="AE177" s="70">
        <v>44126</v>
      </c>
      <c r="AF177" s="70">
        <v>44126</v>
      </c>
      <c r="AG177" s="70" t="s">
        <v>130</v>
      </c>
      <c r="AH177" s="97">
        <v>1</v>
      </c>
      <c r="AI177" s="97">
        <v>1</v>
      </c>
      <c r="AJ177" s="97">
        <v>1</v>
      </c>
      <c r="AK177" s="71"/>
      <c r="AL177" s="76" t="s">
        <v>117</v>
      </c>
      <c r="AM177" s="87"/>
      <c r="AN177" s="15"/>
      <c r="AO177" s="15"/>
    </row>
    <row r="178" spans="2:41" x14ac:dyDescent="0.25">
      <c r="B178" s="144">
        <f t="shared" si="31"/>
        <v>119</v>
      </c>
      <c r="C178" s="16">
        <v>20201021</v>
      </c>
      <c r="D178" s="16" t="s">
        <v>2</v>
      </c>
      <c r="E178" s="74" t="s">
        <v>557</v>
      </c>
      <c r="F178" s="69"/>
      <c r="G178" s="37"/>
      <c r="H178" s="16" t="s">
        <v>573</v>
      </c>
      <c r="I178" s="16" t="s">
        <v>563</v>
      </c>
      <c r="J178" s="16" t="s">
        <v>188</v>
      </c>
      <c r="K178" s="37"/>
      <c r="L178" s="69" t="s">
        <v>574</v>
      </c>
      <c r="M178" s="37"/>
      <c r="N178" s="16"/>
      <c r="O178" s="69" t="s">
        <v>568</v>
      </c>
      <c r="P178" s="69" t="s">
        <v>572</v>
      </c>
      <c r="Q178" s="18"/>
      <c r="R178" s="16" t="s">
        <v>169</v>
      </c>
      <c r="S178" s="16" t="s">
        <v>147</v>
      </c>
      <c r="T178" s="16"/>
      <c r="U178" s="16"/>
      <c r="V178" s="16"/>
      <c r="W178" s="15">
        <f>ROUND(IF(D178=Table!$C$3,Y178*Table!$C$4/8,Y178*Table!$D$4/8),3)</f>
        <v>84.5</v>
      </c>
      <c r="X178" s="101">
        <f t="shared" si="34"/>
        <v>84.5</v>
      </c>
      <c r="Y178" s="101">
        <v>5.2</v>
      </c>
      <c r="Z178" s="101">
        <f t="shared" si="35"/>
        <v>5.2</v>
      </c>
      <c r="AA178" s="16" t="s">
        <v>70</v>
      </c>
      <c r="AB178" s="70">
        <v>44126</v>
      </c>
      <c r="AC178" s="70">
        <v>44125</v>
      </c>
      <c r="AD178" s="70">
        <v>44126</v>
      </c>
      <c r="AE178" s="70">
        <v>44126</v>
      </c>
      <c r="AF178" s="70">
        <v>44126</v>
      </c>
      <c r="AG178" s="70" t="s">
        <v>130</v>
      </c>
      <c r="AH178" s="97">
        <v>1</v>
      </c>
      <c r="AI178" s="97">
        <v>1</v>
      </c>
      <c r="AJ178" s="97">
        <v>1</v>
      </c>
      <c r="AK178" s="71"/>
      <c r="AL178" s="76" t="s">
        <v>117</v>
      </c>
      <c r="AM178" s="87"/>
      <c r="AN178" s="15"/>
      <c r="AO178" s="15"/>
    </row>
    <row r="179" spans="2:41" x14ac:dyDescent="0.25">
      <c r="B179" s="144">
        <f t="shared" ref="B179:B187" si="36">B178+1</f>
        <v>120</v>
      </c>
      <c r="C179" s="16">
        <v>20201022</v>
      </c>
      <c r="D179" s="16" t="s">
        <v>2</v>
      </c>
      <c r="E179" s="74" t="s">
        <v>632</v>
      </c>
      <c r="F179" s="69"/>
      <c r="G179" s="37"/>
      <c r="H179" s="16"/>
      <c r="I179" s="16" t="s">
        <v>631</v>
      </c>
      <c r="J179" s="16"/>
      <c r="K179" s="37"/>
      <c r="L179" s="69"/>
      <c r="M179" s="37"/>
      <c r="N179" s="16"/>
      <c r="O179" s="69">
        <v>1.2</v>
      </c>
      <c r="P179" s="69"/>
      <c r="Q179" s="18"/>
      <c r="R179" s="16"/>
      <c r="S179" s="16" t="s">
        <v>61</v>
      </c>
      <c r="T179" s="16"/>
      <c r="U179" s="16"/>
      <c r="V179" s="16"/>
      <c r="W179" s="15">
        <f>ROUND(IF(D179=Table!$C$3,Y179*Table!$C$4/8,Y179*Table!$D$4/8),3)</f>
        <v>24.375</v>
      </c>
      <c r="X179" s="101">
        <f t="shared" si="34"/>
        <v>24.375</v>
      </c>
      <c r="Y179" s="101">
        <v>1.5</v>
      </c>
      <c r="Z179" s="101"/>
      <c r="AA179" s="16" t="s">
        <v>70</v>
      </c>
      <c r="AB179" s="70">
        <v>44127</v>
      </c>
      <c r="AC179" s="70">
        <v>44126</v>
      </c>
      <c r="AD179" s="70">
        <v>44127</v>
      </c>
      <c r="AE179" s="70">
        <v>44126</v>
      </c>
      <c r="AF179" s="70">
        <v>44127</v>
      </c>
      <c r="AG179" s="70" t="s">
        <v>130</v>
      </c>
      <c r="AH179" s="97">
        <v>1</v>
      </c>
      <c r="AI179" s="97">
        <v>1</v>
      </c>
      <c r="AJ179" s="97" t="s">
        <v>213</v>
      </c>
      <c r="AK179" s="71"/>
      <c r="AL179" s="76" t="s">
        <v>117</v>
      </c>
      <c r="AM179" s="87"/>
      <c r="AN179" s="15"/>
      <c r="AO179" s="15"/>
    </row>
    <row r="180" spans="2:41" x14ac:dyDescent="0.25">
      <c r="B180" s="144">
        <f t="shared" si="36"/>
        <v>121</v>
      </c>
      <c r="C180" s="16">
        <v>20201023</v>
      </c>
      <c r="D180" s="16" t="s">
        <v>2</v>
      </c>
      <c r="E180" s="74" t="s">
        <v>641</v>
      </c>
      <c r="F180" s="69"/>
      <c r="G180" s="37"/>
      <c r="H180" s="16"/>
      <c r="I180" s="16" t="s">
        <v>642</v>
      </c>
      <c r="J180" s="16"/>
      <c r="K180" s="37"/>
      <c r="L180" s="69"/>
      <c r="M180" s="37"/>
      <c r="N180" s="16"/>
      <c r="O180" s="69">
        <v>1.7</v>
      </c>
      <c r="P180" s="69"/>
      <c r="Q180" s="18"/>
      <c r="R180" s="16"/>
      <c r="S180" s="16" t="s">
        <v>61</v>
      </c>
      <c r="T180" s="16"/>
      <c r="U180" s="16"/>
      <c r="V180" s="16"/>
      <c r="W180" s="15">
        <f>ROUND(IF(D180=Table!$C$3,Y180*Table!$C$4/8,Y180*Table!$D$4/8),3)</f>
        <v>32.5</v>
      </c>
      <c r="X180" s="101">
        <f t="shared" si="34"/>
        <v>32.5</v>
      </c>
      <c r="Y180" s="101">
        <v>2</v>
      </c>
      <c r="Z180" s="101"/>
      <c r="AA180" s="16" t="s">
        <v>70</v>
      </c>
      <c r="AB180" s="70">
        <v>44127</v>
      </c>
      <c r="AC180" s="19">
        <v>44127</v>
      </c>
      <c r="AD180" s="70">
        <v>44127</v>
      </c>
      <c r="AE180" s="70">
        <v>44127</v>
      </c>
      <c r="AF180" s="70">
        <v>44127</v>
      </c>
      <c r="AG180" s="70" t="s">
        <v>130</v>
      </c>
      <c r="AH180" s="97">
        <v>1</v>
      </c>
      <c r="AI180" s="97">
        <v>1</v>
      </c>
      <c r="AJ180" s="97">
        <v>1</v>
      </c>
      <c r="AK180" s="71"/>
      <c r="AL180" s="76" t="s">
        <v>117</v>
      </c>
      <c r="AM180" s="87"/>
      <c r="AN180" s="15"/>
      <c r="AO180" s="15"/>
    </row>
    <row r="181" spans="2:41" x14ac:dyDescent="0.25">
      <c r="B181" s="144">
        <f t="shared" si="36"/>
        <v>122</v>
      </c>
      <c r="C181" s="16">
        <v>20201023</v>
      </c>
      <c r="D181" s="16" t="s">
        <v>2</v>
      </c>
      <c r="E181" s="74" t="s">
        <v>641</v>
      </c>
      <c r="F181" s="69"/>
      <c r="G181" s="37"/>
      <c r="H181" s="16"/>
      <c r="I181" s="16" t="s">
        <v>643</v>
      </c>
      <c r="J181" s="16"/>
      <c r="K181" s="37"/>
      <c r="L181" s="69"/>
      <c r="M181" s="37"/>
      <c r="N181" s="16"/>
      <c r="O181" s="69">
        <v>1.6</v>
      </c>
      <c r="P181" s="69"/>
      <c r="Q181" s="18"/>
      <c r="R181" s="16"/>
      <c r="S181" s="16" t="s">
        <v>109</v>
      </c>
      <c r="T181" s="16"/>
      <c r="U181" s="16"/>
      <c r="V181" s="16"/>
      <c r="W181" s="15">
        <f>ROUND(IF(D181=Table!$C$3,Y181*Table!$C$4/8,Y181*Table!$D$4/8),3)</f>
        <v>40.625</v>
      </c>
      <c r="X181" s="101">
        <f t="shared" si="34"/>
        <v>40.625</v>
      </c>
      <c r="Y181" s="101">
        <v>2.5</v>
      </c>
      <c r="Z181" s="101">
        <f t="shared" ref="Z181:Z187" si="37">Y181</f>
        <v>2.5</v>
      </c>
      <c r="AA181" s="16" t="s">
        <v>70</v>
      </c>
      <c r="AB181" s="70">
        <v>44127</v>
      </c>
      <c r="AC181" s="19">
        <v>44127</v>
      </c>
      <c r="AD181" s="70">
        <v>44127</v>
      </c>
      <c r="AE181" s="70">
        <v>44127</v>
      </c>
      <c r="AF181" s="70">
        <v>44127</v>
      </c>
      <c r="AG181" s="70" t="s">
        <v>130</v>
      </c>
      <c r="AH181" s="97">
        <v>1</v>
      </c>
      <c r="AI181" s="97">
        <v>1</v>
      </c>
      <c r="AJ181" s="97">
        <v>1</v>
      </c>
      <c r="AK181" s="71"/>
      <c r="AL181" s="76" t="s">
        <v>117</v>
      </c>
      <c r="AM181" s="87"/>
      <c r="AN181" s="15"/>
      <c r="AO181" s="15"/>
    </row>
    <row r="182" spans="2:41" x14ac:dyDescent="0.25">
      <c r="B182" s="149">
        <f t="shared" si="36"/>
        <v>123</v>
      </c>
      <c r="C182" s="16">
        <v>20201023</v>
      </c>
      <c r="D182" s="16" t="s">
        <v>2</v>
      </c>
      <c r="E182" s="74" t="s">
        <v>652</v>
      </c>
      <c r="F182" s="69"/>
      <c r="G182" s="37"/>
      <c r="H182" s="16" t="s">
        <v>651</v>
      </c>
      <c r="I182" s="16" t="s">
        <v>644</v>
      </c>
      <c r="J182" s="16"/>
      <c r="K182" s="37"/>
      <c r="L182" s="69" t="s">
        <v>650</v>
      </c>
      <c r="M182" s="37"/>
      <c r="N182" s="16"/>
      <c r="O182" s="69" t="s">
        <v>648</v>
      </c>
      <c r="P182" s="69"/>
      <c r="Q182" s="18"/>
      <c r="R182" s="16" t="s">
        <v>168</v>
      </c>
      <c r="S182" s="16" t="s">
        <v>147</v>
      </c>
      <c r="T182" s="16"/>
      <c r="U182" s="16"/>
      <c r="V182" s="16"/>
      <c r="W182" s="15">
        <f>ROUND(IF(D182=Table!$C$3,Y182*Table!$C$4/8,Y182*Table!$D$4/8),3)</f>
        <v>117</v>
      </c>
      <c r="X182" s="101">
        <f t="shared" ref="X182:X187" si="38">W182</f>
        <v>117</v>
      </c>
      <c r="Y182" s="101">
        <v>7.2</v>
      </c>
      <c r="Z182" s="101">
        <f t="shared" si="37"/>
        <v>7.2</v>
      </c>
      <c r="AA182" s="16" t="s">
        <v>70</v>
      </c>
      <c r="AB182" s="70">
        <v>44131</v>
      </c>
      <c r="AC182" s="19">
        <v>44127</v>
      </c>
      <c r="AD182" s="70">
        <v>44132</v>
      </c>
      <c r="AE182" s="70">
        <v>44130</v>
      </c>
      <c r="AF182" s="70">
        <v>44130</v>
      </c>
      <c r="AG182" s="70" t="s">
        <v>130</v>
      </c>
      <c r="AH182" s="97">
        <v>1</v>
      </c>
      <c r="AI182" s="97">
        <v>1</v>
      </c>
      <c r="AJ182" s="97">
        <v>1</v>
      </c>
      <c r="AK182" s="71"/>
      <c r="AL182" s="76" t="s">
        <v>117</v>
      </c>
      <c r="AM182" s="87"/>
      <c r="AN182" s="15"/>
      <c r="AO182" s="15"/>
    </row>
    <row r="183" spans="2:41" x14ac:dyDescent="0.25">
      <c r="B183" s="149">
        <f t="shared" si="36"/>
        <v>124</v>
      </c>
      <c r="C183" s="16">
        <v>20201023</v>
      </c>
      <c r="D183" s="16" t="s">
        <v>3</v>
      </c>
      <c r="E183" s="74" t="s">
        <v>652</v>
      </c>
      <c r="F183" s="69"/>
      <c r="G183" s="37"/>
      <c r="H183" s="16" t="s">
        <v>531</v>
      </c>
      <c r="I183" s="16" t="s">
        <v>645</v>
      </c>
      <c r="J183" s="16"/>
      <c r="K183" s="37"/>
      <c r="L183" s="69" t="s">
        <v>650</v>
      </c>
      <c r="M183" s="37"/>
      <c r="N183" s="16"/>
      <c r="O183" s="69" t="s">
        <v>649</v>
      </c>
      <c r="P183" s="69"/>
      <c r="Q183" s="18"/>
      <c r="R183" s="16" t="s">
        <v>169</v>
      </c>
      <c r="S183" s="16" t="s">
        <v>66</v>
      </c>
      <c r="T183" s="16"/>
      <c r="U183" s="16"/>
      <c r="V183" s="16"/>
      <c r="W183" s="15">
        <f>ROUND(IF(D183=Table!$C$3,Y183*Table!$C$4/8,Y183*Table!$D$4/8),3)</f>
        <v>67.5</v>
      </c>
      <c r="X183" s="101">
        <f t="shared" si="38"/>
        <v>67.5</v>
      </c>
      <c r="Y183" s="101">
        <v>1.2</v>
      </c>
      <c r="Z183" s="101">
        <f t="shared" si="37"/>
        <v>1.2</v>
      </c>
      <c r="AA183" s="16" t="s">
        <v>70</v>
      </c>
      <c r="AB183" s="70">
        <v>44131</v>
      </c>
      <c r="AC183" s="19">
        <v>44127</v>
      </c>
      <c r="AD183" s="70">
        <v>44132</v>
      </c>
      <c r="AE183" s="70">
        <v>44127</v>
      </c>
      <c r="AF183" s="70">
        <v>44127</v>
      </c>
      <c r="AG183" s="70" t="s">
        <v>130</v>
      </c>
      <c r="AH183" s="97">
        <v>1</v>
      </c>
      <c r="AI183" s="97">
        <v>1</v>
      </c>
      <c r="AJ183" s="97">
        <v>1</v>
      </c>
      <c r="AK183" s="71"/>
      <c r="AL183" s="76" t="s">
        <v>462</v>
      </c>
      <c r="AM183" s="87"/>
      <c r="AN183" s="15"/>
      <c r="AO183" s="15"/>
    </row>
    <row r="184" spans="2:41" x14ac:dyDescent="0.25">
      <c r="B184" s="149">
        <f t="shared" si="36"/>
        <v>125</v>
      </c>
      <c r="C184" s="16">
        <v>20201023</v>
      </c>
      <c r="D184" s="16" t="s">
        <v>2</v>
      </c>
      <c r="E184" s="74" t="s">
        <v>652</v>
      </c>
      <c r="F184" s="69"/>
      <c r="G184" s="37"/>
      <c r="H184" s="16" t="s">
        <v>220</v>
      </c>
      <c r="I184" s="16" t="s">
        <v>224</v>
      </c>
      <c r="J184" s="16"/>
      <c r="K184" s="37"/>
      <c r="L184" s="69" t="s">
        <v>650</v>
      </c>
      <c r="M184" s="37"/>
      <c r="N184" s="16"/>
      <c r="O184" s="69" t="s">
        <v>351</v>
      </c>
      <c r="P184" s="69"/>
      <c r="Q184" s="18"/>
      <c r="R184" s="16" t="s">
        <v>170</v>
      </c>
      <c r="S184" s="16" t="s">
        <v>63</v>
      </c>
      <c r="T184" s="16"/>
      <c r="U184" s="16"/>
      <c r="V184" s="16"/>
      <c r="W184" s="15">
        <f>ROUND(IF(D184=Table!$C$3,Y184*Table!$C$4/8,Y184*Table!$D$4/8),3)</f>
        <v>32.5</v>
      </c>
      <c r="X184" s="101">
        <f t="shared" si="38"/>
        <v>32.5</v>
      </c>
      <c r="Y184" s="101">
        <v>2</v>
      </c>
      <c r="Z184" s="101">
        <f t="shared" si="37"/>
        <v>2</v>
      </c>
      <c r="AA184" s="16" t="s">
        <v>70</v>
      </c>
      <c r="AB184" s="70">
        <v>44131</v>
      </c>
      <c r="AC184" s="19">
        <v>44127</v>
      </c>
      <c r="AD184" s="70">
        <v>44132</v>
      </c>
      <c r="AE184" s="70">
        <v>44127</v>
      </c>
      <c r="AF184" s="70">
        <v>44127</v>
      </c>
      <c r="AG184" s="70" t="s">
        <v>130</v>
      </c>
      <c r="AH184" s="97">
        <v>1</v>
      </c>
      <c r="AI184" s="97">
        <v>1</v>
      </c>
      <c r="AJ184" s="97">
        <v>1</v>
      </c>
      <c r="AK184" s="71"/>
      <c r="AL184" s="76" t="s">
        <v>117</v>
      </c>
      <c r="AM184" s="87"/>
      <c r="AN184" s="15"/>
      <c r="AO184" s="15"/>
    </row>
    <row r="185" spans="2:41" x14ac:dyDescent="0.25">
      <c r="B185" s="149">
        <f t="shared" si="36"/>
        <v>126</v>
      </c>
      <c r="C185" s="16">
        <v>20201023</v>
      </c>
      <c r="D185" s="16" t="s">
        <v>2</v>
      </c>
      <c r="E185" s="74" t="s">
        <v>652</v>
      </c>
      <c r="F185" s="69"/>
      <c r="G185" s="37"/>
      <c r="H185" s="16" t="s">
        <v>493</v>
      </c>
      <c r="I185" s="16" t="s">
        <v>269</v>
      </c>
      <c r="J185" s="16"/>
      <c r="K185" s="37"/>
      <c r="L185" s="69" t="s">
        <v>650</v>
      </c>
      <c r="M185" s="37"/>
      <c r="N185" s="16"/>
      <c r="O185" s="69" t="s">
        <v>356</v>
      </c>
      <c r="P185" s="69"/>
      <c r="Q185" s="18"/>
      <c r="R185" s="16" t="s">
        <v>170</v>
      </c>
      <c r="S185" s="16" t="s">
        <v>63</v>
      </c>
      <c r="T185" s="16"/>
      <c r="U185" s="16"/>
      <c r="V185" s="16"/>
      <c r="W185" s="15">
        <f>ROUND(IF(D185=Table!$C$3,Y185*Table!$C$4/8,Y185*Table!$D$4/8),3)</f>
        <v>52</v>
      </c>
      <c r="X185" s="101">
        <f t="shared" si="38"/>
        <v>52</v>
      </c>
      <c r="Y185" s="101">
        <v>3.2</v>
      </c>
      <c r="Z185" s="101">
        <f t="shared" si="37"/>
        <v>3.2</v>
      </c>
      <c r="AA185" s="16" t="s">
        <v>70</v>
      </c>
      <c r="AB185" s="70">
        <v>44131</v>
      </c>
      <c r="AC185" s="19">
        <v>44127</v>
      </c>
      <c r="AD185" s="70">
        <v>44132</v>
      </c>
      <c r="AE185" s="70">
        <v>44127</v>
      </c>
      <c r="AF185" s="70">
        <v>44127</v>
      </c>
      <c r="AG185" s="70" t="s">
        <v>130</v>
      </c>
      <c r="AH185" s="97">
        <v>1</v>
      </c>
      <c r="AI185" s="97">
        <v>1</v>
      </c>
      <c r="AJ185" s="97">
        <v>1</v>
      </c>
      <c r="AK185" s="71"/>
      <c r="AL185" s="76" t="s">
        <v>117</v>
      </c>
      <c r="AM185" s="87"/>
      <c r="AN185" s="15"/>
      <c r="AO185" s="15"/>
    </row>
    <row r="186" spans="2:41" x14ac:dyDescent="0.25">
      <c r="B186" s="149">
        <f t="shared" si="36"/>
        <v>127</v>
      </c>
      <c r="C186" s="16">
        <v>20201023</v>
      </c>
      <c r="D186" s="16" t="s">
        <v>2</v>
      </c>
      <c r="E186" s="74" t="s">
        <v>652</v>
      </c>
      <c r="F186" s="69"/>
      <c r="G186" s="37"/>
      <c r="H186" s="16" t="s">
        <v>532</v>
      </c>
      <c r="I186" s="16" t="s">
        <v>646</v>
      </c>
      <c r="J186" s="16"/>
      <c r="K186" s="109" t="s">
        <v>770</v>
      </c>
      <c r="L186" s="69" t="s">
        <v>650</v>
      </c>
      <c r="M186" s="37"/>
      <c r="N186" s="16"/>
      <c r="O186" s="69" t="s">
        <v>200</v>
      </c>
      <c r="P186" s="69"/>
      <c r="Q186" s="18"/>
      <c r="R186" s="16" t="s">
        <v>169</v>
      </c>
      <c r="S186" s="16" t="s">
        <v>66</v>
      </c>
      <c r="T186" s="16"/>
      <c r="U186" s="16"/>
      <c r="V186" s="16"/>
      <c r="W186" s="15">
        <f>ROUND(IF(D186=Table!$C$3,Y186*Table!$C$4/8,Y186*Table!$D$4/8),3)</f>
        <v>19.5</v>
      </c>
      <c r="X186" s="101">
        <f t="shared" si="38"/>
        <v>19.5</v>
      </c>
      <c r="Y186" s="101">
        <v>1.2</v>
      </c>
      <c r="Z186" s="101">
        <f t="shared" si="37"/>
        <v>1.2</v>
      </c>
      <c r="AA186" s="16" t="s">
        <v>70</v>
      </c>
      <c r="AB186" s="70">
        <v>44131</v>
      </c>
      <c r="AC186" s="19">
        <v>44127</v>
      </c>
      <c r="AD186" s="70">
        <v>44132</v>
      </c>
      <c r="AE186" s="70">
        <v>44127</v>
      </c>
      <c r="AF186" s="70">
        <v>44127</v>
      </c>
      <c r="AG186" s="70" t="s">
        <v>130</v>
      </c>
      <c r="AH186" s="97">
        <v>1</v>
      </c>
      <c r="AI186" s="97">
        <v>1</v>
      </c>
      <c r="AJ186" s="97">
        <v>1</v>
      </c>
      <c r="AK186" s="71"/>
      <c r="AL186" s="76" t="s">
        <v>462</v>
      </c>
      <c r="AM186" s="87"/>
      <c r="AN186" s="15"/>
      <c r="AO186" s="15"/>
    </row>
    <row r="187" spans="2:41" x14ac:dyDescent="0.25">
      <c r="B187" s="149">
        <f t="shared" si="36"/>
        <v>128</v>
      </c>
      <c r="C187" s="16">
        <v>20201023</v>
      </c>
      <c r="D187" s="16" t="s">
        <v>2</v>
      </c>
      <c r="E187" s="74" t="s">
        <v>652</v>
      </c>
      <c r="F187" s="69"/>
      <c r="G187" s="37"/>
      <c r="H187" s="16" t="s">
        <v>217</v>
      </c>
      <c r="I187" s="16" t="s">
        <v>647</v>
      </c>
      <c r="J187" s="16"/>
      <c r="K187" s="109" t="s">
        <v>770</v>
      </c>
      <c r="L187" s="69" t="s">
        <v>650</v>
      </c>
      <c r="M187" s="37"/>
      <c r="N187" s="16"/>
      <c r="O187" s="69" t="s">
        <v>200</v>
      </c>
      <c r="P187" s="69"/>
      <c r="Q187" s="18"/>
      <c r="R187" s="16" t="s">
        <v>169</v>
      </c>
      <c r="S187" s="16" t="s">
        <v>66</v>
      </c>
      <c r="T187" s="16"/>
      <c r="U187" s="16"/>
      <c r="V187" s="16"/>
      <c r="W187" s="15">
        <f>ROUND(IF(D187=Table!$C$3,Y187*Table!$C$4/8,Y187*Table!$D$4/8),3)</f>
        <v>19.5</v>
      </c>
      <c r="X187" s="101">
        <f t="shared" si="38"/>
        <v>19.5</v>
      </c>
      <c r="Y187" s="101">
        <v>1.2</v>
      </c>
      <c r="Z187" s="101">
        <f t="shared" si="37"/>
        <v>1.2</v>
      </c>
      <c r="AA187" s="16" t="s">
        <v>70</v>
      </c>
      <c r="AB187" s="70">
        <v>44131</v>
      </c>
      <c r="AC187" s="19">
        <v>44127</v>
      </c>
      <c r="AD187" s="70">
        <v>44132</v>
      </c>
      <c r="AE187" s="70">
        <v>44127</v>
      </c>
      <c r="AF187" s="70">
        <v>44127</v>
      </c>
      <c r="AG187" s="70" t="s">
        <v>130</v>
      </c>
      <c r="AH187" s="97">
        <v>1</v>
      </c>
      <c r="AI187" s="97">
        <v>1</v>
      </c>
      <c r="AJ187" s="97">
        <v>1</v>
      </c>
      <c r="AK187" s="71"/>
      <c r="AL187" s="76" t="s">
        <v>462</v>
      </c>
      <c r="AM187" s="87"/>
      <c r="AN187" s="15"/>
      <c r="AO187" s="15"/>
    </row>
    <row r="188" spans="2:41" x14ac:dyDescent="0.25">
      <c r="B188" s="154">
        <f t="shared" ref="B188:B208" si="39">B187+1</f>
        <v>129</v>
      </c>
      <c r="C188" s="16">
        <v>20201026</v>
      </c>
      <c r="D188" s="16" t="s">
        <v>3</v>
      </c>
      <c r="E188" s="74" t="s">
        <v>721</v>
      </c>
      <c r="F188" s="69"/>
      <c r="G188" s="37"/>
      <c r="H188" s="16" t="s">
        <v>531</v>
      </c>
      <c r="I188" s="16" t="s">
        <v>682</v>
      </c>
      <c r="J188" s="16"/>
      <c r="K188" s="37"/>
      <c r="L188" s="69" t="s">
        <v>732</v>
      </c>
      <c r="M188" s="37"/>
      <c r="N188" s="16"/>
      <c r="O188" s="69" t="s">
        <v>701</v>
      </c>
      <c r="P188" s="69" t="s">
        <v>538</v>
      </c>
      <c r="Q188" s="18"/>
      <c r="R188" s="16" t="s">
        <v>170</v>
      </c>
      <c r="S188" s="16" t="s">
        <v>63</v>
      </c>
      <c r="T188" s="16"/>
      <c r="U188" s="16"/>
      <c r="V188" s="16"/>
      <c r="W188" s="15">
        <f>ROUND(IF(D188=Table!$C$3,Y188*Table!$C$4/8,Y188*Table!$D$4/8),3)</f>
        <v>45</v>
      </c>
      <c r="X188" s="101">
        <f>W188</f>
        <v>45</v>
      </c>
      <c r="Y188" s="101">
        <v>0.8</v>
      </c>
      <c r="Z188" s="101">
        <f>Y188</f>
        <v>0.8</v>
      </c>
      <c r="AA188" s="16" t="s">
        <v>70</v>
      </c>
      <c r="AB188" s="70">
        <v>44132</v>
      </c>
      <c r="AC188" s="19">
        <v>44130</v>
      </c>
      <c r="AD188" s="70">
        <v>44132</v>
      </c>
      <c r="AE188" s="70">
        <v>44132</v>
      </c>
      <c r="AF188" s="70">
        <v>44132</v>
      </c>
      <c r="AG188" s="70" t="s">
        <v>130</v>
      </c>
      <c r="AH188" s="97">
        <v>1</v>
      </c>
      <c r="AI188" s="97">
        <v>1</v>
      </c>
      <c r="AJ188" s="97">
        <v>1</v>
      </c>
      <c r="AK188" s="71"/>
      <c r="AL188" s="76" t="s">
        <v>117</v>
      </c>
      <c r="AM188" s="87"/>
      <c r="AN188" s="15"/>
      <c r="AO188" s="15"/>
    </row>
    <row r="189" spans="2:41" x14ac:dyDescent="0.25">
      <c r="B189" s="154">
        <f t="shared" si="39"/>
        <v>130</v>
      </c>
      <c r="C189" s="16">
        <v>20201026</v>
      </c>
      <c r="D189" s="16" t="s">
        <v>2</v>
      </c>
      <c r="E189" s="74" t="s">
        <v>721</v>
      </c>
      <c r="F189" s="69"/>
      <c r="G189" s="37"/>
      <c r="H189" s="16" t="s">
        <v>737</v>
      </c>
      <c r="I189" s="16" t="s">
        <v>683</v>
      </c>
      <c r="J189" s="16"/>
      <c r="K189" s="37"/>
      <c r="L189" s="69" t="s">
        <v>732</v>
      </c>
      <c r="M189" s="37"/>
      <c r="N189" s="16"/>
      <c r="O189" s="69" t="s">
        <v>200</v>
      </c>
      <c r="P189" s="69" t="s">
        <v>722</v>
      </c>
      <c r="Q189" s="18"/>
      <c r="R189" s="16" t="s">
        <v>168</v>
      </c>
      <c r="S189" s="16" t="s">
        <v>61</v>
      </c>
      <c r="T189" s="16"/>
      <c r="U189" s="16"/>
      <c r="V189" s="16"/>
      <c r="W189" s="15">
        <f>ROUND(IF(D189=Table!$C$3,Y189*Table!$C$4/8,Y189*Table!$D$4/8),3)</f>
        <v>32.5</v>
      </c>
      <c r="X189" s="101">
        <f t="shared" ref="X189" si="40">W189</f>
        <v>32.5</v>
      </c>
      <c r="Y189" s="101">
        <v>2</v>
      </c>
      <c r="Z189" s="101"/>
      <c r="AA189" s="16" t="s">
        <v>70</v>
      </c>
      <c r="AB189" s="70">
        <v>44132</v>
      </c>
      <c r="AC189" s="19">
        <v>44130</v>
      </c>
      <c r="AD189" s="70">
        <v>44132</v>
      </c>
      <c r="AE189" s="70">
        <v>44132</v>
      </c>
      <c r="AF189" s="70">
        <v>44132</v>
      </c>
      <c r="AG189" s="70" t="s">
        <v>130</v>
      </c>
      <c r="AH189" s="97">
        <v>0.77800000000000002</v>
      </c>
      <c r="AI189" s="97">
        <v>0.77800000000000002</v>
      </c>
      <c r="AJ189" s="97">
        <v>1</v>
      </c>
      <c r="AK189" s="71"/>
      <c r="AL189" s="76" t="s">
        <v>117</v>
      </c>
      <c r="AM189" s="87" t="s">
        <v>869</v>
      </c>
      <c r="AN189" s="15"/>
      <c r="AO189" s="15"/>
    </row>
    <row r="190" spans="2:41" x14ac:dyDescent="0.25">
      <c r="B190" s="154">
        <f t="shared" si="39"/>
        <v>131</v>
      </c>
      <c r="C190" s="16">
        <v>20201026</v>
      </c>
      <c r="D190" s="16" t="s">
        <v>2</v>
      </c>
      <c r="E190" s="74" t="s">
        <v>721</v>
      </c>
      <c r="F190" s="69"/>
      <c r="G190" s="37"/>
      <c r="H190" s="16" t="s">
        <v>738</v>
      </c>
      <c r="I190" s="16" t="s">
        <v>684</v>
      </c>
      <c r="J190" s="16"/>
      <c r="K190" s="37"/>
      <c r="L190" s="69" t="s">
        <v>732</v>
      </c>
      <c r="M190" s="37"/>
      <c r="N190" s="16"/>
      <c r="O190" s="69" t="s">
        <v>702</v>
      </c>
      <c r="P190" s="69" t="s">
        <v>722</v>
      </c>
      <c r="Q190" s="18"/>
      <c r="R190" s="16" t="s">
        <v>169</v>
      </c>
      <c r="S190" s="16" t="s">
        <v>147</v>
      </c>
      <c r="T190" s="16"/>
      <c r="U190" s="16"/>
      <c r="V190" s="16"/>
      <c r="W190" s="15">
        <f>ROUND(IF(D190=Table!$C$3,Y190*Table!$C$4/8,Y190*Table!$D$4/8),3)</f>
        <v>117</v>
      </c>
      <c r="X190" s="101">
        <f t="shared" ref="X190:X197" si="41">W190</f>
        <v>117</v>
      </c>
      <c r="Y190" s="101">
        <v>7.2</v>
      </c>
      <c r="Z190" s="101">
        <f t="shared" ref="Z190:Z195" si="42">Y190</f>
        <v>7.2</v>
      </c>
      <c r="AA190" s="16" t="s">
        <v>70</v>
      </c>
      <c r="AB190" s="70">
        <v>44132</v>
      </c>
      <c r="AC190" s="19">
        <v>44130</v>
      </c>
      <c r="AD190" s="70">
        <v>44132</v>
      </c>
      <c r="AE190" s="70">
        <v>44131</v>
      </c>
      <c r="AF190" s="70">
        <v>44131</v>
      </c>
      <c r="AG190" s="70" t="s">
        <v>130</v>
      </c>
      <c r="AH190" s="97">
        <v>0.92900000000000005</v>
      </c>
      <c r="AI190" s="97">
        <v>0.92900000000000005</v>
      </c>
      <c r="AJ190" s="97">
        <v>0.56299999999999994</v>
      </c>
      <c r="AK190" s="71"/>
      <c r="AL190" s="76" t="s">
        <v>117</v>
      </c>
      <c r="AM190" s="147" t="s">
        <v>868</v>
      </c>
      <c r="AN190" s="15"/>
      <c r="AO190" s="15"/>
    </row>
    <row r="191" spans="2:41" x14ac:dyDescent="0.25">
      <c r="B191" s="154">
        <f t="shared" si="39"/>
        <v>132</v>
      </c>
      <c r="C191" s="16">
        <v>20201026</v>
      </c>
      <c r="D191" s="16" t="s">
        <v>3</v>
      </c>
      <c r="E191" s="74" t="s">
        <v>721</v>
      </c>
      <c r="F191" s="69"/>
      <c r="G191" s="37"/>
      <c r="H191" s="16" t="s">
        <v>220</v>
      </c>
      <c r="I191" s="16" t="s">
        <v>685</v>
      </c>
      <c r="J191" s="16"/>
      <c r="K191" s="37"/>
      <c r="L191" s="69" t="s">
        <v>732</v>
      </c>
      <c r="M191" s="37"/>
      <c r="N191" s="16"/>
      <c r="O191" s="69" t="s">
        <v>703</v>
      </c>
      <c r="P191" s="69" t="s">
        <v>723</v>
      </c>
      <c r="Q191" s="18"/>
      <c r="R191" s="16" t="s">
        <v>170</v>
      </c>
      <c r="S191" s="16" t="s">
        <v>63</v>
      </c>
      <c r="T191" s="16"/>
      <c r="U191" s="16"/>
      <c r="V191" s="16"/>
      <c r="W191" s="15">
        <f>ROUND(IF(D191=Table!$C$3,Y191*Table!$C$4/8,Y191*Table!$D$4/8),3)</f>
        <v>45</v>
      </c>
      <c r="X191" s="101">
        <f t="shared" si="41"/>
        <v>45</v>
      </c>
      <c r="Y191" s="101">
        <v>0.8</v>
      </c>
      <c r="Z191" s="101">
        <f t="shared" si="42"/>
        <v>0.8</v>
      </c>
      <c r="AA191" s="16" t="s">
        <v>70</v>
      </c>
      <c r="AB191" s="70">
        <v>44132</v>
      </c>
      <c r="AC191" s="19">
        <v>44130</v>
      </c>
      <c r="AD191" s="70">
        <v>44132</v>
      </c>
      <c r="AE191" s="70">
        <v>44132</v>
      </c>
      <c r="AF191" s="70">
        <v>44132</v>
      </c>
      <c r="AG191" s="70" t="s">
        <v>130</v>
      </c>
      <c r="AH191" s="97">
        <v>1</v>
      </c>
      <c r="AI191" s="97">
        <v>1</v>
      </c>
      <c r="AJ191" s="97">
        <v>1</v>
      </c>
      <c r="AK191" s="71"/>
      <c r="AL191" s="76" t="s">
        <v>117</v>
      </c>
      <c r="AM191" s="87"/>
      <c r="AN191" s="15"/>
      <c r="AO191" s="15"/>
    </row>
    <row r="192" spans="2:41" x14ac:dyDescent="0.25">
      <c r="B192" s="154">
        <f t="shared" si="39"/>
        <v>133</v>
      </c>
      <c r="C192" s="16">
        <v>20201026</v>
      </c>
      <c r="D192" s="16" t="s">
        <v>3</v>
      </c>
      <c r="E192" s="74" t="s">
        <v>721</v>
      </c>
      <c r="F192" s="69"/>
      <c r="G192" s="37"/>
      <c r="H192" s="16" t="s">
        <v>493</v>
      </c>
      <c r="I192" s="16" t="s">
        <v>686</v>
      </c>
      <c r="J192" s="16"/>
      <c r="K192" s="37"/>
      <c r="L192" s="69" t="s">
        <v>732</v>
      </c>
      <c r="M192" s="37"/>
      <c r="N192" s="16"/>
      <c r="O192" s="69" t="s">
        <v>704</v>
      </c>
      <c r="P192" s="69" t="s">
        <v>723</v>
      </c>
      <c r="Q192" s="18"/>
      <c r="R192" s="16" t="s">
        <v>170</v>
      </c>
      <c r="S192" s="16" t="s">
        <v>63</v>
      </c>
      <c r="T192" s="16"/>
      <c r="U192" s="16"/>
      <c r="V192" s="16"/>
      <c r="W192" s="15">
        <f>ROUND(IF(D192=Table!$C$3,Y192*Table!$C$4/8,Y192*Table!$D$4/8),3)</f>
        <v>45</v>
      </c>
      <c r="X192" s="101">
        <f t="shared" si="41"/>
        <v>45</v>
      </c>
      <c r="Y192" s="101">
        <v>0.8</v>
      </c>
      <c r="Z192" s="101">
        <f t="shared" si="42"/>
        <v>0.8</v>
      </c>
      <c r="AA192" s="16" t="s">
        <v>70</v>
      </c>
      <c r="AB192" s="70">
        <v>44132</v>
      </c>
      <c r="AC192" s="19">
        <v>44130</v>
      </c>
      <c r="AD192" s="70">
        <v>44132</v>
      </c>
      <c r="AE192" s="70">
        <v>44132</v>
      </c>
      <c r="AF192" s="70">
        <v>44132</v>
      </c>
      <c r="AG192" s="70" t="s">
        <v>130</v>
      </c>
      <c r="AH192" s="97">
        <v>1</v>
      </c>
      <c r="AI192" s="97">
        <v>1</v>
      </c>
      <c r="AJ192" s="97">
        <v>0.5</v>
      </c>
      <c r="AK192" s="71"/>
      <c r="AL192" s="76" t="s">
        <v>117</v>
      </c>
      <c r="AM192" s="87"/>
      <c r="AN192" s="15"/>
      <c r="AO192" s="15"/>
    </row>
    <row r="193" spans="2:41" x14ac:dyDescent="0.25">
      <c r="B193" s="154">
        <f t="shared" si="39"/>
        <v>134</v>
      </c>
      <c r="C193" s="16">
        <v>20201026</v>
      </c>
      <c r="D193" s="16" t="s">
        <v>3</v>
      </c>
      <c r="E193" s="74" t="s">
        <v>721</v>
      </c>
      <c r="F193" s="69"/>
      <c r="G193" s="37"/>
      <c r="H193" s="16" t="s">
        <v>225</v>
      </c>
      <c r="I193" s="16" t="s">
        <v>687</v>
      </c>
      <c r="J193" s="16"/>
      <c r="K193" s="37"/>
      <c r="L193" s="69" t="s">
        <v>732</v>
      </c>
      <c r="M193" s="37"/>
      <c r="N193" s="16"/>
      <c r="O193" s="69" t="s">
        <v>705</v>
      </c>
      <c r="P193" s="69" t="s">
        <v>723</v>
      </c>
      <c r="Q193" s="18"/>
      <c r="R193" s="16" t="s">
        <v>170</v>
      </c>
      <c r="S193" s="16" t="s">
        <v>63</v>
      </c>
      <c r="T193" s="16"/>
      <c r="U193" s="16"/>
      <c r="V193" s="16"/>
      <c r="W193" s="15">
        <f>ROUND(IF(D193=Table!$C$3,Y193*Table!$C$4/8,Y193*Table!$D$4/8),3)</f>
        <v>45</v>
      </c>
      <c r="X193" s="101">
        <f t="shared" si="41"/>
        <v>45</v>
      </c>
      <c r="Y193" s="101">
        <v>0.8</v>
      </c>
      <c r="Z193" s="101">
        <f t="shared" si="42"/>
        <v>0.8</v>
      </c>
      <c r="AA193" s="16" t="s">
        <v>70</v>
      </c>
      <c r="AB193" s="70">
        <v>44132</v>
      </c>
      <c r="AC193" s="19">
        <v>44130</v>
      </c>
      <c r="AD193" s="70">
        <v>44132</v>
      </c>
      <c r="AE193" s="70">
        <v>44132</v>
      </c>
      <c r="AF193" s="70">
        <v>44132</v>
      </c>
      <c r="AG193" s="70" t="s">
        <v>130</v>
      </c>
      <c r="AH193" s="97">
        <v>1</v>
      </c>
      <c r="AI193" s="97">
        <v>1</v>
      </c>
      <c r="AJ193" s="97">
        <v>0.5</v>
      </c>
      <c r="AK193" s="71"/>
      <c r="AL193" s="76" t="s">
        <v>117</v>
      </c>
      <c r="AM193" s="87"/>
      <c r="AN193" s="15"/>
      <c r="AO193" s="15"/>
    </row>
    <row r="194" spans="2:41" x14ac:dyDescent="0.25">
      <c r="B194" s="154">
        <f t="shared" si="39"/>
        <v>135</v>
      </c>
      <c r="C194" s="16">
        <v>20201026</v>
      </c>
      <c r="D194" s="16" t="s">
        <v>3</v>
      </c>
      <c r="E194" s="74" t="s">
        <v>721</v>
      </c>
      <c r="F194" s="69"/>
      <c r="G194" s="37"/>
      <c r="H194" s="16" t="s">
        <v>226</v>
      </c>
      <c r="I194" s="16" t="s">
        <v>688</v>
      </c>
      <c r="J194" s="16"/>
      <c r="K194" s="37"/>
      <c r="L194" s="69" t="s">
        <v>732</v>
      </c>
      <c r="M194" s="37"/>
      <c r="N194" s="16"/>
      <c r="O194" s="69" t="s">
        <v>706</v>
      </c>
      <c r="P194" s="69" t="s">
        <v>723</v>
      </c>
      <c r="Q194" s="18"/>
      <c r="R194" s="16" t="s">
        <v>170</v>
      </c>
      <c r="S194" s="16" t="s">
        <v>63</v>
      </c>
      <c r="T194" s="16"/>
      <c r="U194" s="16"/>
      <c r="V194" s="16"/>
      <c r="W194" s="15">
        <f>ROUND(IF(D194=Table!$C$3,Y194*Table!$C$4/8,Y194*Table!$D$4/8),3)</f>
        <v>45</v>
      </c>
      <c r="X194" s="101">
        <f t="shared" si="41"/>
        <v>45</v>
      </c>
      <c r="Y194" s="101">
        <v>0.8</v>
      </c>
      <c r="Z194" s="101">
        <f t="shared" si="42"/>
        <v>0.8</v>
      </c>
      <c r="AA194" s="16" t="s">
        <v>70</v>
      </c>
      <c r="AB194" s="70">
        <v>44132</v>
      </c>
      <c r="AC194" s="19">
        <v>44130</v>
      </c>
      <c r="AD194" s="70">
        <v>44132</v>
      </c>
      <c r="AE194" s="70">
        <v>44132</v>
      </c>
      <c r="AF194" s="70">
        <v>44132</v>
      </c>
      <c r="AG194" s="70" t="s">
        <v>130</v>
      </c>
      <c r="AH194" s="97">
        <v>1</v>
      </c>
      <c r="AI194" s="97">
        <v>1</v>
      </c>
      <c r="AJ194" s="97">
        <v>1</v>
      </c>
      <c r="AK194" s="71"/>
      <c r="AL194" s="76" t="s">
        <v>117</v>
      </c>
      <c r="AM194" s="87"/>
      <c r="AN194" s="15"/>
      <c r="AO194" s="15"/>
    </row>
    <row r="195" spans="2:41" x14ac:dyDescent="0.25">
      <c r="B195" s="154">
        <f t="shared" si="39"/>
        <v>136</v>
      </c>
      <c r="C195" s="16">
        <v>20201026</v>
      </c>
      <c r="D195" s="16" t="s">
        <v>3</v>
      </c>
      <c r="E195" s="74" t="s">
        <v>721</v>
      </c>
      <c r="F195" s="69"/>
      <c r="G195" s="37"/>
      <c r="H195" s="16" t="s">
        <v>190</v>
      </c>
      <c r="I195" s="16" t="s">
        <v>689</v>
      </c>
      <c r="J195" s="16"/>
      <c r="K195" s="37"/>
      <c r="L195" s="69" t="s">
        <v>732</v>
      </c>
      <c r="M195" s="37"/>
      <c r="N195" s="16"/>
      <c r="O195" s="69" t="s">
        <v>707</v>
      </c>
      <c r="P195" s="69" t="s">
        <v>724</v>
      </c>
      <c r="Q195" s="18"/>
      <c r="R195" s="16" t="s">
        <v>170</v>
      </c>
      <c r="S195" s="16" t="s">
        <v>63</v>
      </c>
      <c r="T195" s="16"/>
      <c r="U195" s="16"/>
      <c r="V195" s="16"/>
      <c r="W195" s="15">
        <f>ROUND(IF(D195=Table!$C$3,Y195*Table!$C$4/8,Y195*Table!$D$4/8),3)</f>
        <v>85.5</v>
      </c>
      <c r="X195" s="101">
        <f t="shared" si="41"/>
        <v>85.5</v>
      </c>
      <c r="Y195" s="101">
        <v>1.52</v>
      </c>
      <c r="Z195" s="101">
        <f t="shared" si="42"/>
        <v>1.52</v>
      </c>
      <c r="AA195" s="16" t="s">
        <v>70</v>
      </c>
      <c r="AB195" s="70">
        <v>44132</v>
      </c>
      <c r="AC195" s="19">
        <v>44130</v>
      </c>
      <c r="AD195" s="70">
        <v>44132</v>
      </c>
      <c r="AE195" s="70">
        <v>44132</v>
      </c>
      <c r="AF195" s="70">
        <v>44132</v>
      </c>
      <c r="AG195" s="70" t="s">
        <v>130</v>
      </c>
      <c r="AH195" s="97">
        <v>1</v>
      </c>
      <c r="AI195" s="97">
        <v>1</v>
      </c>
      <c r="AJ195" s="97">
        <v>0.66</v>
      </c>
      <c r="AK195" s="71"/>
      <c r="AL195" s="76" t="s">
        <v>117</v>
      </c>
      <c r="AM195" s="87"/>
      <c r="AN195" s="15"/>
      <c r="AO195" s="15"/>
    </row>
    <row r="196" spans="2:41" x14ac:dyDescent="0.25">
      <c r="B196" s="154">
        <f t="shared" si="39"/>
        <v>137</v>
      </c>
      <c r="C196" s="16">
        <v>20201026</v>
      </c>
      <c r="D196" s="16" t="s">
        <v>3</v>
      </c>
      <c r="E196" s="74" t="s">
        <v>721</v>
      </c>
      <c r="F196" s="69"/>
      <c r="G196" s="37"/>
      <c r="H196" s="16" t="s">
        <v>532</v>
      </c>
      <c r="I196" s="16" t="s">
        <v>491</v>
      </c>
      <c r="J196" s="16"/>
      <c r="K196" s="37"/>
      <c r="L196" s="69" t="s">
        <v>732</v>
      </c>
      <c r="M196" s="37"/>
      <c r="N196" s="16"/>
      <c r="O196" s="69" t="s">
        <v>708</v>
      </c>
      <c r="P196" s="69" t="s">
        <v>725</v>
      </c>
      <c r="Q196" s="18"/>
      <c r="R196" s="16" t="s">
        <v>171</v>
      </c>
      <c r="S196" s="16" t="s">
        <v>66</v>
      </c>
      <c r="T196" s="16"/>
      <c r="U196" s="16"/>
      <c r="V196" s="16"/>
      <c r="W196" s="15">
        <f>ROUND(IF(D196=Table!$C$3,Y196*Table!$C$4/8,Y196*Table!$D$4/8),3)</f>
        <v>229.5</v>
      </c>
      <c r="X196" s="101">
        <f t="shared" si="41"/>
        <v>229.5</v>
      </c>
      <c r="Y196" s="101">
        <v>4.08</v>
      </c>
      <c r="Z196" s="101">
        <v>8</v>
      </c>
      <c r="AA196" s="16" t="s">
        <v>70</v>
      </c>
      <c r="AB196" s="70">
        <v>44132</v>
      </c>
      <c r="AC196" s="19">
        <v>44130</v>
      </c>
      <c r="AD196" s="70">
        <v>44132</v>
      </c>
      <c r="AE196" s="70">
        <v>44131</v>
      </c>
      <c r="AF196" s="70">
        <v>44131</v>
      </c>
      <c r="AG196" s="70" t="s">
        <v>130</v>
      </c>
      <c r="AH196" s="97">
        <v>0.99</v>
      </c>
      <c r="AI196" s="97">
        <v>0.99</v>
      </c>
      <c r="AJ196" s="97">
        <v>1</v>
      </c>
      <c r="AK196" s="71"/>
      <c r="AL196" s="76" t="s">
        <v>462</v>
      </c>
      <c r="AM196" s="87" t="s">
        <v>870</v>
      </c>
      <c r="AN196" s="15"/>
      <c r="AO196" s="15"/>
    </row>
    <row r="197" spans="2:41" x14ac:dyDescent="0.25">
      <c r="B197" s="154">
        <f t="shared" si="39"/>
        <v>138</v>
      </c>
      <c r="C197" s="16">
        <v>20201026</v>
      </c>
      <c r="D197" s="16" t="s">
        <v>3</v>
      </c>
      <c r="E197" s="74" t="s">
        <v>721</v>
      </c>
      <c r="F197" s="69"/>
      <c r="G197" s="37"/>
      <c r="H197" s="16" t="s">
        <v>217</v>
      </c>
      <c r="I197" s="16" t="s">
        <v>690</v>
      </c>
      <c r="J197" s="16"/>
      <c r="K197" s="37"/>
      <c r="L197" s="69" t="s">
        <v>732</v>
      </c>
      <c r="M197" s="37"/>
      <c r="N197" s="16"/>
      <c r="O197" s="69" t="s">
        <v>709</v>
      </c>
      <c r="P197" s="69" t="s">
        <v>726</v>
      </c>
      <c r="Q197" s="18"/>
      <c r="R197" s="16" t="s">
        <v>171</v>
      </c>
      <c r="S197" s="16" t="s">
        <v>66</v>
      </c>
      <c r="T197" s="16"/>
      <c r="U197" s="16"/>
      <c r="V197" s="16"/>
      <c r="W197" s="15">
        <f>ROUND(IF(D197=Table!$C$3,Y197*Table!$C$4/8,Y197*Table!$D$4/8),3)</f>
        <v>85.5</v>
      </c>
      <c r="X197" s="101">
        <f t="shared" si="41"/>
        <v>85.5</v>
      </c>
      <c r="Y197" s="101">
        <v>1.52</v>
      </c>
      <c r="Z197" s="101">
        <f>Y197</f>
        <v>1.52</v>
      </c>
      <c r="AA197" s="16" t="s">
        <v>70</v>
      </c>
      <c r="AB197" s="70">
        <v>44132</v>
      </c>
      <c r="AC197" s="19">
        <v>44130</v>
      </c>
      <c r="AD197" s="70">
        <v>44132</v>
      </c>
      <c r="AE197" s="70">
        <v>44131</v>
      </c>
      <c r="AF197" s="70">
        <v>44131</v>
      </c>
      <c r="AG197" s="70" t="s">
        <v>130</v>
      </c>
      <c r="AH197" s="97">
        <v>1</v>
      </c>
      <c r="AI197" s="97">
        <v>1</v>
      </c>
      <c r="AJ197" s="97">
        <v>1</v>
      </c>
      <c r="AK197" s="71"/>
      <c r="AL197" s="76" t="s">
        <v>462</v>
      </c>
      <c r="AM197" s="87"/>
      <c r="AN197" s="15"/>
      <c r="AO197" s="15"/>
    </row>
    <row r="198" spans="2:41" x14ac:dyDescent="0.25">
      <c r="B198" s="154">
        <f t="shared" si="39"/>
        <v>139</v>
      </c>
      <c r="C198" s="16">
        <v>20201026</v>
      </c>
      <c r="D198" s="16" t="s">
        <v>3</v>
      </c>
      <c r="E198" s="74" t="s">
        <v>721</v>
      </c>
      <c r="F198" s="69"/>
      <c r="G198" s="37"/>
      <c r="H198" s="16" t="s">
        <v>218</v>
      </c>
      <c r="I198" s="16" t="s">
        <v>691</v>
      </c>
      <c r="J198" s="16"/>
      <c r="K198" s="37"/>
      <c r="L198" s="69" t="s">
        <v>732</v>
      </c>
      <c r="M198" s="37"/>
      <c r="N198" s="16"/>
      <c r="O198" s="69" t="s">
        <v>710</v>
      </c>
      <c r="P198" s="69" t="s">
        <v>726</v>
      </c>
      <c r="Q198" s="18"/>
      <c r="R198" s="16" t="s">
        <v>172</v>
      </c>
      <c r="S198" s="16" t="s">
        <v>109</v>
      </c>
      <c r="T198" s="16"/>
      <c r="U198" s="16"/>
      <c r="V198" s="16"/>
      <c r="W198" s="15">
        <f>ROUND(IF(D198=Table!$C$3,Y198*Table!$C$4/8,Y198*Table!$D$4/8),3)</f>
        <v>49.5</v>
      </c>
      <c r="X198" s="101">
        <f t="shared" ref="X198:X208" si="43">W198</f>
        <v>49.5</v>
      </c>
      <c r="Y198" s="101">
        <v>0.88000000000000012</v>
      </c>
      <c r="Z198" s="101">
        <f t="shared" ref="Z198:Z204" si="44">Y198</f>
        <v>0.88000000000000012</v>
      </c>
      <c r="AA198" s="16" t="s">
        <v>70</v>
      </c>
      <c r="AB198" s="70">
        <v>44132</v>
      </c>
      <c r="AC198" s="19">
        <v>44130</v>
      </c>
      <c r="AD198" s="70">
        <v>44132</v>
      </c>
      <c r="AE198" s="70">
        <v>44131</v>
      </c>
      <c r="AF198" s="70">
        <v>44131</v>
      </c>
      <c r="AG198" s="70" t="s">
        <v>130</v>
      </c>
      <c r="AH198" s="97">
        <v>1</v>
      </c>
      <c r="AI198" s="97">
        <v>1</v>
      </c>
      <c r="AJ198" s="97">
        <v>1</v>
      </c>
      <c r="AK198" s="71"/>
      <c r="AL198" s="76" t="s">
        <v>117</v>
      </c>
      <c r="AM198" s="87"/>
      <c r="AN198" s="15"/>
      <c r="AO198" s="15"/>
    </row>
    <row r="199" spans="2:41" x14ac:dyDescent="0.25">
      <c r="B199" s="154">
        <f t="shared" si="39"/>
        <v>140</v>
      </c>
      <c r="C199" s="16">
        <v>20201026</v>
      </c>
      <c r="D199" s="16" t="s">
        <v>3</v>
      </c>
      <c r="E199" s="74" t="s">
        <v>721</v>
      </c>
      <c r="F199" s="69"/>
      <c r="G199" s="37"/>
      <c r="H199" s="16" t="s">
        <v>219</v>
      </c>
      <c r="I199" s="16" t="s">
        <v>692</v>
      </c>
      <c r="J199" s="16"/>
      <c r="K199" s="37"/>
      <c r="L199" s="69" t="s">
        <v>732</v>
      </c>
      <c r="M199" s="37"/>
      <c r="N199" s="16"/>
      <c r="O199" s="69" t="s">
        <v>711</v>
      </c>
      <c r="P199" s="69" t="s">
        <v>727</v>
      </c>
      <c r="Q199" s="18"/>
      <c r="R199" s="16" t="s">
        <v>172</v>
      </c>
      <c r="S199" s="16" t="s">
        <v>109</v>
      </c>
      <c r="T199" s="16"/>
      <c r="U199" s="16"/>
      <c r="V199" s="16"/>
      <c r="W199" s="15">
        <f>ROUND(IF(D199=Table!$C$3,Y199*Table!$C$4/8,Y199*Table!$D$4/8),3)</f>
        <v>67.5</v>
      </c>
      <c r="X199" s="101">
        <f t="shared" si="43"/>
        <v>67.5</v>
      </c>
      <c r="Y199" s="101">
        <v>1.2000000000000002</v>
      </c>
      <c r="Z199" s="101">
        <f t="shared" si="44"/>
        <v>1.2000000000000002</v>
      </c>
      <c r="AA199" s="16" t="s">
        <v>70</v>
      </c>
      <c r="AB199" s="70">
        <v>44132</v>
      </c>
      <c r="AC199" s="19">
        <v>44130</v>
      </c>
      <c r="AD199" s="70">
        <v>44132</v>
      </c>
      <c r="AE199" s="70">
        <v>44131</v>
      </c>
      <c r="AF199" s="70">
        <v>44131</v>
      </c>
      <c r="AG199" s="70" t="s">
        <v>130</v>
      </c>
      <c r="AH199" s="97">
        <v>1</v>
      </c>
      <c r="AI199" s="97">
        <v>0.95</v>
      </c>
      <c r="AJ199" s="97">
        <v>0.5</v>
      </c>
      <c r="AK199" s="71"/>
      <c r="AL199" s="76" t="s">
        <v>117</v>
      </c>
      <c r="AM199" s="15" t="s">
        <v>867</v>
      </c>
      <c r="AN199" s="15"/>
      <c r="AO199" s="15"/>
    </row>
    <row r="200" spans="2:41" x14ac:dyDescent="0.25">
      <c r="B200" s="154">
        <f t="shared" si="39"/>
        <v>141</v>
      </c>
      <c r="C200" s="16">
        <v>20201026</v>
      </c>
      <c r="D200" s="16" t="s">
        <v>3</v>
      </c>
      <c r="E200" s="74" t="s">
        <v>721</v>
      </c>
      <c r="F200" s="69"/>
      <c r="G200" s="37"/>
      <c r="H200" s="16" t="s">
        <v>248</v>
      </c>
      <c r="I200" s="16" t="s">
        <v>693</v>
      </c>
      <c r="J200" s="16"/>
      <c r="K200" s="37"/>
      <c r="L200" s="69" t="s">
        <v>732</v>
      </c>
      <c r="M200" s="37"/>
      <c r="N200" s="16"/>
      <c r="O200" s="69" t="s">
        <v>712</v>
      </c>
      <c r="P200" s="69" t="s">
        <v>728</v>
      </c>
      <c r="Q200" s="18"/>
      <c r="R200" s="16" t="s">
        <v>172</v>
      </c>
      <c r="S200" s="16" t="s">
        <v>109</v>
      </c>
      <c r="T200" s="16"/>
      <c r="U200" s="16"/>
      <c r="V200" s="16"/>
      <c r="W200" s="15">
        <f>ROUND(IF(D200=Table!$C$3,Y200*Table!$C$4/8,Y200*Table!$D$4/8),3)</f>
        <v>45</v>
      </c>
      <c r="X200" s="101">
        <f t="shared" si="43"/>
        <v>45</v>
      </c>
      <c r="Y200" s="101">
        <v>0.8</v>
      </c>
      <c r="Z200" s="101">
        <f t="shared" si="44"/>
        <v>0.8</v>
      </c>
      <c r="AA200" s="16" t="s">
        <v>70</v>
      </c>
      <c r="AB200" s="70">
        <v>44132</v>
      </c>
      <c r="AC200" s="19">
        <v>44130</v>
      </c>
      <c r="AD200" s="70">
        <v>44132</v>
      </c>
      <c r="AE200" s="70">
        <v>44131</v>
      </c>
      <c r="AF200" s="70">
        <v>44131</v>
      </c>
      <c r="AG200" s="70" t="s">
        <v>130</v>
      </c>
      <c r="AH200" s="97" t="s">
        <v>213</v>
      </c>
      <c r="AI200" s="97" t="s">
        <v>213</v>
      </c>
      <c r="AJ200" s="97" t="s">
        <v>213</v>
      </c>
      <c r="AK200" s="71"/>
      <c r="AL200" s="76" t="s">
        <v>117</v>
      </c>
      <c r="AM200" s="87"/>
      <c r="AN200" s="15"/>
      <c r="AO200" s="15" t="s">
        <v>779</v>
      </c>
    </row>
    <row r="201" spans="2:41" x14ac:dyDescent="0.25">
      <c r="B201" s="154">
        <f t="shared" si="39"/>
        <v>142</v>
      </c>
      <c r="C201" s="16">
        <v>20201026</v>
      </c>
      <c r="D201" s="16" t="s">
        <v>3</v>
      </c>
      <c r="E201" s="74" t="s">
        <v>721</v>
      </c>
      <c r="F201" s="69"/>
      <c r="G201" s="37"/>
      <c r="H201" s="16" t="s">
        <v>733</v>
      </c>
      <c r="I201" s="16" t="s">
        <v>694</v>
      </c>
      <c r="J201" s="16"/>
      <c r="K201" s="37"/>
      <c r="L201" s="69" t="s">
        <v>732</v>
      </c>
      <c r="M201" s="37"/>
      <c r="N201" s="16"/>
      <c r="O201" s="69" t="s">
        <v>713</v>
      </c>
      <c r="P201" s="69" t="s">
        <v>728</v>
      </c>
      <c r="Q201" s="18"/>
      <c r="R201" s="16" t="s">
        <v>172</v>
      </c>
      <c r="S201" s="16" t="s">
        <v>109</v>
      </c>
      <c r="T201" s="16"/>
      <c r="U201" s="16"/>
      <c r="V201" s="16"/>
      <c r="W201" s="15">
        <f>ROUND(IF(D201=Table!$C$3,Y201*Table!$C$4/8,Y201*Table!$D$4/8),3)</f>
        <v>45</v>
      </c>
      <c r="X201" s="101">
        <f t="shared" si="43"/>
        <v>45</v>
      </c>
      <c r="Y201" s="101">
        <v>0.8</v>
      </c>
      <c r="Z201" s="101">
        <f t="shared" si="44"/>
        <v>0.8</v>
      </c>
      <c r="AA201" s="16" t="s">
        <v>70</v>
      </c>
      <c r="AB201" s="70">
        <v>44132</v>
      </c>
      <c r="AC201" s="19">
        <v>44130</v>
      </c>
      <c r="AD201" s="70">
        <v>44132</v>
      </c>
      <c r="AE201" s="70">
        <v>44131</v>
      </c>
      <c r="AF201" s="70">
        <v>44131</v>
      </c>
      <c r="AG201" s="70" t="s">
        <v>130</v>
      </c>
      <c r="AH201" s="97">
        <v>1</v>
      </c>
      <c r="AI201" s="97">
        <v>1</v>
      </c>
      <c r="AJ201" s="97">
        <v>1</v>
      </c>
      <c r="AK201" s="71"/>
      <c r="AL201" s="76" t="s">
        <v>117</v>
      </c>
      <c r="AM201" s="87"/>
      <c r="AN201" s="15"/>
      <c r="AO201" s="15"/>
    </row>
    <row r="202" spans="2:41" x14ac:dyDescent="0.25">
      <c r="B202" s="154">
        <f t="shared" si="39"/>
        <v>143</v>
      </c>
      <c r="C202" s="16">
        <v>20201026</v>
      </c>
      <c r="D202" s="16" t="s">
        <v>3</v>
      </c>
      <c r="E202" s="74" t="s">
        <v>721</v>
      </c>
      <c r="F202" s="69"/>
      <c r="G202" s="37"/>
      <c r="H202" s="16" t="s">
        <v>244</v>
      </c>
      <c r="I202" s="16" t="s">
        <v>695</v>
      </c>
      <c r="J202" s="16"/>
      <c r="K202" s="37"/>
      <c r="L202" s="69" t="s">
        <v>732</v>
      </c>
      <c r="M202" s="37"/>
      <c r="N202" s="16"/>
      <c r="O202" s="69" t="s">
        <v>714</v>
      </c>
      <c r="P202" s="69" t="s">
        <v>729</v>
      </c>
      <c r="Q202" s="18"/>
      <c r="R202" s="16" t="s">
        <v>172</v>
      </c>
      <c r="S202" s="16" t="s">
        <v>109</v>
      </c>
      <c r="T202" s="16"/>
      <c r="U202" s="16"/>
      <c r="V202" s="16"/>
      <c r="W202" s="15">
        <f>ROUND(IF(D202=Table!$C$3,Y202*Table!$C$4/8,Y202*Table!$D$4/8),3)</f>
        <v>45</v>
      </c>
      <c r="X202" s="101">
        <f t="shared" si="43"/>
        <v>45</v>
      </c>
      <c r="Y202" s="101">
        <v>0.8</v>
      </c>
      <c r="Z202" s="101">
        <f t="shared" si="44"/>
        <v>0.8</v>
      </c>
      <c r="AA202" s="16" t="s">
        <v>70</v>
      </c>
      <c r="AB202" s="70">
        <v>44132</v>
      </c>
      <c r="AC202" s="19">
        <v>44130</v>
      </c>
      <c r="AD202" s="70">
        <v>44132</v>
      </c>
      <c r="AE202" s="70">
        <v>44131</v>
      </c>
      <c r="AF202" s="70">
        <v>44131</v>
      </c>
      <c r="AG202" s="70" t="s">
        <v>130</v>
      </c>
      <c r="AH202" s="97" t="s">
        <v>213</v>
      </c>
      <c r="AI202" s="97" t="s">
        <v>213</v>
      </c>
      <c r="AJ202" s="97" t="s">
        <v>213</v>
      </c>
      <c r="AK202" s="71"/>
      <c r="AL202" s="76" t="s">
        <v>117</v>
      </c>
      <c r="AM202" s="87"/>
      <c r="AN202" s="15"/>
      <c r="AO202" s="15" t="s">
        <v>779</v>
      </c>
    </row>
    <row r="203" spans="2:41" x14ac:dyDescent="0.25">
      <c r="B203" s="154">
        <f t="shared" si="39"/>
        <v>144</v>
      </c>
      <c r="C203" s="16">
        <v>20201026</v>
      </c>
      <c r="D203" s="16" t="s">
        <v>3</v>
      </c>
      <c r="E203" s="74" t="s">
        <v>721</v>
      </c>
      <c r="F203" s="69"/>
      <c r="G203" s="37"/>
      <c r="H203" s="16" t="s">
        <v>734</v>
      </c>
      <c r="I203" s="16" t="s">
        <v>696</v>
      </c>
      <c r="J203" s="16"/>
      <c r="K203" s="37"/>
      <c r="L203" s="69" t="s">
        <v>732</v>
      </c>
      <c r="M203" s="37"/>
      <c r="N203" s="16"/>
      <c r="O203" s="69" t="s">
        <v>715</v>
      </c>
      <c r="P203" s="69" t="s">
        <v>730</v>
      </c>
      <c r="Q203" s="18"/>
      <c r="R203" s="16" t="s">
        <v>172</v>
      </c>
      <c r="S203" s="16" t="s">
        <v>109</v>
      </c>
      <c r="T203" s="16"/>
      <c r="U203" s="16"/>
      <c r="V203" s="16"/>
      <c r="W203" s="15">
        <f>ROUND(IF(D203=Table!$C$3,Y203*Table!$C$4/8,Y203*Table!$D$4/8),3)</f>
        <v>45</v>
      </c>
      <c r="X203" s="101">
        <f t="shared" si="43"/>
        <v>45</v>
      </c>
      <c r="Y203" s="101">
        <v>0.8</v>
      </c>
      <c r="Z203" s="101">
        <f t="shared" si="44"/>
        <v>0.8</v>
      </c>
      <c r="AA203" s="16" t="s">
        <v>70</v>
      </c>
      <c r="AB203" s="70">
        <v>44132</v>
      </c>
      <c r="AC203" s="19">
        <v>44130</v>
      </c>
      <c r="AD203" s="70">
        <v>44132</v>
      </c>
      <c r="AE203" s="70">
        <v>44131</v>
      </c>
      <c r="AF203" s="70">
        <v>44131</v>
      </c>
      <c r="AG203" s="70" t="s">
        <v>130</v>
      </c>
      <c r="AH203" s="97" t="s">
        <v>213</v>
      </c>
      <c r="AI203" s="97" t="s">
        <v>213</v>
      </c>
      <c r="AJ203" s="97" t="s">
        <v>213</v>
      </c>
      <c r="AK203" s="71"/>
      <c r="AL203" s="76" t="s">
        <v>117</v>
      </c>
      <c r="AM203" s="87"/>
      <c r="AN203" s="15"/>
      <c r="AO203" s="15" t="s">
        <v>779</v>
      </c>
    </row>
    <row r="204" spans="2:41" x14ac:dyDescent="0.25">
      <c r="B204" s="154">
        <f t="shared" si="39"/>
        <v>145</v>
      </c>
      <c r="C204" s="16">
        <v>20201026</v>
      </c>
      <c r="D204" s="16" t="s">
        <v>3</v>
      </c>
      <c r="E204" s="74" t="s">
        <v>721</v>
      </c>
      <c r="F204" s="69"/>
      <c r="G204" s="37"/>
      <c r="H204" s="16" t="s">
        <v>245</v>
      </c>
      <c r="I204" s="16" t="s">
        <v>697</v>
      </c>
      <c r="J204" s="16"/>
      <c r="K204" s="37"/>
      <c r="L204" s="69" t="s">
        <v>732</v>
      </c>
      <c r="M204" s="37"/>
      <c r="N204" s="16"/>
      <c r="O204" s="69" t="s">
        <v>716</v>
      </c>
      <c r="P204" s="69" t="s">
        <v>731</v>
      </c>
      <c r="Q204" s="18"/>
      <c r="R204" s="16" t="s">
        <v>172</v>
      </c>
      <c r="S204" s="16" t="s">
        <v>109</v>
      </c>
      <c r="T204" s="16"/>
      <c r="U204" s="16"/>
      <c r="V204" s="16"/>
      <c r="W204" s="15">
        <f>ROUND(IF(D204=Table!$C$3,Y204*Table!$C$4/8,Y204*Table!$D$4/8),3)</f>
        <v>45</v>
      </c>
      <c r="X204" s="101">
        <f t="shared" si="43"/>
        <v>45</v>
      </c>
      <c r="Y204" s="101">
        <v>0.8</v>
      </c>
      <c r="Z204" s="101">
        <f t="shared" si="44"/>
        <v>0.8</v>
      </c>
      <c r="AA204" s="16" t="s">
        <v>70</v>
      </c>
      <c r="AB204" s="70">
        <v>44132</v>
      </c>
      <c r="AC204" s="19">
        <v>44130</v>
      </c>
      <c r="AD204" s="70">
        <v>44132</v>
      </c>
      <c r="AE204" s="70">
        <v>44131</v>
      </c>
      <c r="AF204" s="70">
        <v>44131</v>
      </c>
      <c r="AG204" s="70" t="s">
        <v>130</v>
      </c>
      <c r="AH204" s="97" t="s">
        <v>213</v>
      </c>
      <c r="AI204" s="97" t="s">
        <v>213</v>
      </c>
      <c r="AJ204" s="97" t="s">
        <v>213</v>
      </c>
      <c r="AK204" s="71"/>
      <c r="AL204" s="76" t="s">
        <v>117</v>
      </c>
      <c r="AM204" s="87"/>
      <c r="AN204" s="15"/>
      <c r="AO204" s="15" t="s">
        <v>779</v>
      </c>
    </row>
    <row r="205" spans="2:41" x14ac:dyDescent="0.25">
      <c r="B205" s="154">
        <f t="shared" si="39"/>
        <v>146</v>
      </c>
      <c r="C205" s="16">
        <v>20201026</v>
      </c>
      <c r="D205" s="16" t="s">
        <v>3</v>
      </c>
      <c r="E205" s="74" t="s">
        <v>721</v>
      </c>
      <c r="F205" s="69"/>
      <c r="G205" s="37"/>
      <c r="H205" s="16" t="s">
        <v>405</v>
      </c>
      <c r="I205" s="16" t="s">
        <v>698</v>
      </c>
      <c r="J205" s="16"/>
      <c r="K205" s="37"/>
      <c r="L205" s="69" t="s">
        <v>732</v>
      </c>
      <c r="M205" s="37"/>
      <c r="N205" s="16"/>
      <c r="O205" s="69" t="s">
        <v>717</v>
      </c>
      <c r="P205" s="69" t="s">
        <v>731</v>
      </c>
      <c r="Q205" s="18"/>
      <c r="R205" s="16" t="s">
        <v>168</v>
      </c>
      <c r="S205" s="16" t="s">
        <v>61</v>
      </c>
      <c r="T205" s="16"/>
      <c r="U205" s="16"/>
      <c r="V205" s="16"/>
      <c r="W205" s="15">
        <f>ROUND(IF(D205=Table!$C$3,Y205*Table!$C$4/8,Y205*Table!$D$4/8),3)</f>
        <v>45</v>
      </c>
      <c r="X205" s="101">
        <f t="shared" si="43"/>
        <v>45</v>
      </c>
      <c r="Y205" s="101">
        <v>0.8</v>
      </c>
      <c r="Z205" s="101"/>
      <c r="AA205" s="16" t="s">
        <v>70</v>
      </c>
      <c r="AB205" s="70">
        <v>44132</v>
      </c>
      <c r="AC205" s="19">
        <v>44130</v>
      </c>
      <c r="AD205" s="70">
        <v>44132</v>
      </c>
      <c r="AE205" s="70">
        <v>44131</v>
      </c>
      <c r="AF205" s="70">
        <v>44131</v>
      </c>
      <c r="AG205" s="70" t="s">
        <v>130</v>
      </c>
      <c r="AH205" s="97" t="s">
        <v>213</v>
      </c>
      <c r="AI205" s="97" t="s">
        <v>213</v>
      </c>
      <c r="AJ205" s="97" t="s">
        <v>213</v>
      </c>
      <c r="AK205" s="71"/>
      <c r="AL205" s="76" t="s">
        <v>117</v>
      </c>
      <c r="AM205" s="87"/>
      <c r="AN205" s="15"/>
      <c r="AO205" s="15" t="s">
        <v>779</v>
      </c>
    </row>
    <row r="206" spans="2:41" x14ac:dyDescent="0.25">
      <c r="B206" s="154">
        <f t="shared" si="39"/>
        <v>147</v>
      </c>
      <c r="C206" s="16">
        <v>20201026</v>
      </c>
      <c r="D206" s="16" t="s">
        <v>3</v>
      </c>
      <c r="E206" s="74" t="s">
        <v>721</v>
      </c>
      <c r="F206" s="69"/>
      <c r="G206" s="37"/>
      <c r="H206" s="16" t="s">
        <v>735</v>
      </c>
      <c r="I206" s="16" t="s">
        <v>699</v>
      </c>
      <c r="J206" s="16"/>
      <c r="K206" s="37"/>
      <c r="L206" s="69" t="s">
        <v>732</v>
      </c>
      <c r="M206" s="37"/>
      <c r="N206" s="16"/>
      <c r="O206" s="69" t="s">
        <v>718</v>
      </c>
      <c r="P206" s="69" t="s">
        <v>731</v>
      </c>
      <c r="Q206" s="18"/>
      <c r="R206" s="16" t="s">
        <v>168</v>
      </c>
      <c r="S206" s="16" t="s">
        <v>61</v>
      </c>
      <c r="T206" s="16"/>
      <c r="U206" s="16"/>
      <c r="V206" s="16"/>
      <c r="W206" s="15">
        <f>ROUND(IF(D206=Table!$C$3,Y206*Table!$C$4/8,Y206*Table!$D$4/8),3)</f>
        <v>45</v>
      </c>
      <c r="X206" s="101">
        <f t="shared" si="43"/>
        <v>45</v>
      </c>
      <c r="Y206" s="101">
        <v>0.8</v>
      </c>
      <c r="Z206" s="101"/>
      <c r="AA206" s="16" t="s">
        <v>70</v>
      </c>
      <c r="AB206" s="70">
        <v>44132</v>
      </c>
      <c r="AC206" s="19">
        <v>44130</v>
      </c>
      <c r="AD206" s="70">
        <v>44132</v>
      </c>
      <c r="AE206" s="70">
        <v>44131</v>
      </c>
      <c r="AF206" s="70">
        <v>44131</v>
      </c>
      <c r="AG206" s="70" t="s">
        <v>130</v>
      </c>
      <c r="AH206" s="97" t="s">
        <v>213</v>
      </c>
      <c r="AI206" s="97" t="s">
        <v>213</v>
      </c>
      <c r="AJ206" s="97" t="s">
        <v>213</v>
      </c>
      <c r="AK206" s="71"/>
      <c r="AL206" s="76" t="s">
        <v>117</v>
      </c>
      <c r="AM206" s="87"/>
      <c r="AN206" s="15"/>
      <c r="AO206" s="15" t="s">
        <v>779</v>
      </c>
    </row>
    <row r="207" spans="2:41" x14ac:dyDescent="0.25">
      <c r="B207" s="154">
        <f t="shared" si="39"/>
        <v>148</v>
      </c>
      <c r="C207" s="16">
        <v>20201026</v>
      </c>
      <c r="D207" s="16" t="s">
        <v>3</v>
      </c>
      <c r="E207" s="74" t="s">
        <v>721</v>
      </c>
      <c r="F207" s="69"/>
      <c r="G207" s="37"/>
      <c r="H207" s="16" t="s">
        <v>736</v>
      </c>
      <c r="I207" s="16" t="s">
        <v>275</v>
      </c>
      <c r="J207" s="16"/>
      <c r="K207" s="37"/>
      <c r="L207" s="69" t="s">
        <v>732</v>
      </c>
      <c r="M207" s="37"/>
      <c r="N207" s="16"/>
      <c r="O207" s="69" t="s">
        <v>719</v>
      </c>
      <c r="P207" s="69" t="s">
        <v>731</v>
      </c>
      <c r="Q207" s="18"/>
      <c r="R207" s="16" t="s">
        <v>168</v>
      </c>
      <c r="S207" s="16" t="s">
        <v>61</v>
      </c>
      <c r="T207" s="16"/>
      <c r="U207" s="16"/>
      <c r="V207" s="16"/>
      <c r="W207" s="15">
        <f>ROUND(IF(D207=Table!$C$3,Y207*Table!$C$4/8,Y207*Table!$D$4/8),3)</f>
        <v>45</v>
      </c>
      <c r="X207" s="101">
        <f t="shared" si="43"/>
        <v>45</v>
      </c>
      <c r="Y207" s="101">
        <v>0.8</v>
      </c>
      <c r="Z207" s="101"/>
      <c r="AA207" s="16" t="s">
        <v>70</v>
      </c>
      <c r="AB207" s="70">
        <v>44132</v>
      </c>
      <c r="AC207" s="19">
        <v>44130</v>
      </c>
      <c r="AD207" s="70">
        <v>44132</v>
      </c>
      <c r="AE207" s="70">
        <v>44131</v>
      </c>
      <c r="AF207" s="70">
        <v>44131</v>
      </c>
      <c r="AG207" s="70" t="s">
        <v>130</v>
      </c>
      <c r="AH207" s="97" t="s">
        <v>213</v>
      </c>
      <c r="AI207" s="97" t="s">
        <v>213</v>
      </c>
      <c r="AJ207" s="97" t="s">
        <v>213</v>
      </c>
      <c r="AK207" s="71"/>
      <c r="AL207" s="76" t="s">
        <v>117</v>
      </c>
      <c r="AM207" s="87"/>
      <c r="AN207" s="15"/>
      <c r="AO207" s="15" t="s">
        <v>779</v>
      </c>
    </row>
    <row r="208" spans="2:41" x14ac:dyDescent="0.25">
      <c r="B208" s="154">
        <f t="shared" si="39"/>
        <v>149</v>
      </c>
      <c r="C208" s="16">
        <v>20201026</v>
      </c>
      <c r="D208" s="16" t="s">
        <v>3</v>
      </c>
      <c r="E208" s="74" t="s">
        <v>721</v>
      </c>
      <c r="F208" s="69"/>
      <c r="G208" s="37"/>
      <c r="H208" s="16" t="s">
        <v>252</v>
      </c>
      <c r="I208" s="16" t="s">
        <v>700</v>
      </c>
      <c r="J208" s="16"/>
      <c r="K208" s="37"/>
      <c r="L208" s="69" t="s">
        <v>732</v>
      </c>
      <c r="M208" s="37"/>
      <c r="N208" s="16"/>
      <c r="O208" s="69" t="s">
        <v>720</v>
      </c>
      <c r="P208" s="69" t="s">
        <v>731</v>
      </c>
      <c r="Q208" s="18"/>
      <c r="R208" s="16" t="s">
        <v>168</v>
      </c>
      <c r="S208" s="16" t="s">
        <v>61</v>
      </c>
      <c r="T208" s="16"/>
      <c r="U208" s="16"/>
      <c r="V208" s="16"/>
      <c r="W208" s="15">
        <f>ROUND(IF(D208=Table!$C$3,Y208*Table!$C$4/8,Y208*Table!$D$4/8),3)</f>
        <v>45</v>
      </c>
      <c r="X208" s="101">
        <f t="shared" si="43"/>
        <v>45</v>
      </c>
      <c r="Y208" s="101">
        <v>0.8</v>
      </c>
      <c r="Z208" s="101"/>
      <c r="AA208" s="16" t="s">
        <v>70</v>
      </c>
      <c r="AB208" s="70">
        <v>44132</v>
      </c>
      <c r="AC208" s="19">
        <v>44130</v>
      </c>
      <c r="AD208" s="70">
        <v>44132</v>
      </c>
      <c r="AE208" s="70">
        <v>44131</v>
      </c>
      <c r="AF208" s="70">
        <v>44131</v>
      </c>
      <c r="AG208" s="70" t="s">
        <v>130</v>
      </c>
      <c r="AH208" s="97" t="s">
        <v>213</v>
      </c>
      <c r="AI208" s="97" t="s">
        <v>213</v>
      </c>
      <c r="AJ208" s="97" t="s">
        <v>213</v>
      </c>
      <c r="AK208" s="71"/>
      <c r="AL208" s="76" t="s">
        <v>117</v>
      </c>
      <c r="AM208" s="87"/>
      <c r="AN208" s="15"/>
      <c r="AO208" s="15" t="s">
        <v>779</v>
      </c>
    </row>
    <row r="209" spans="2:41" x14ac:dyDescent="0.25">
      <c r="B209" s="149">
        <f t="shared" ref="B209:B272" si="45">B208+1</f>
        <v>150</v>
      </c>
      <c r="C209" s="16">
        <v>20201027</v>
      </c>
      <c r="D209" s="16" t="s">
        <v>3</v>
      </c>
      <c r="E209" s="63" t="s">
        <v>832</v>
      </c>
      <c r="F209" s="69"/>
      <c r="G209" s="37"/>
      <c r="H209" s="16" t="s">
        <v>493</v>
      </c>
      <c r="I209" s="16" t="s">
        <v>492</v>
      </c>
      <c r="J209" s="16" t="s">
        <v>174</v>
      </c>
      <c r="K209" s="37"/>
      <c r="L209" s="62" t="s">
        <v>1015</v>
      </c>
      <c r="M209" s="37"/>
      <c r="N209" s="16"/>
      <c r="O209" s="69" t="s">
        <v>809</v>
      </c>
      <c r="P209" s="69" t="s">
        <v>725</v>
      </c>
      <c r="Q209" s="18"/>
      <c r="R209" s="16" t="s">
        <v>168</v>
      </c>
      <c r="S209" s="16" t="s">
        <v>109</v>
      </c>
      <c r="T209" s="16"/>
      <c r="U209" s="16"/>
      <c r="V209" s="16">
        <v>460</v>
      </c>
      <c r="W209" s="15">
        <f>ROUND(IF(D209=Table!$C$3,Y209*Table!$C$4/8,Y209*Table!$D$4/8),3)</f>
        <v>288</v>
      </c>
      <c r="X209" s="101">
        <f t="shared" ref="X209:X212" si="46">W209</f>
        <v>288</v>
      </c>
      <c r="Y209" s="101">
        <v>5.120000000000001</v>
      </c>
      <c r="Z209" s="101">
        <f>Y209</f>
        <v>5.120000000000001</v>
      </c>
      <c r="AA209" s="16" t="s">
        <v>70</v>
      </c>
      <c r="AB209" s="70">
        <v>44137</v>
      </c>
      <c r="AC209" s="19">
        <v>44132</v>
      </c>
      <c r="AD209" s="70">
        <v>44137</v>
      </c>
      <c r="AE209" s="70">
        <v>44132</v>
      </c>
      <c r="AF209" s="70">
        <v>44132</v>
      </c>
      <c r="AG209" s="70" t="s">
        <v>130</v>
      </c>
      <c r="AH209" s="97">
        <v>1</v>
      </c>
      <c r="AI209" s="97">
        <v>1</v>
      </c>
      <c r="AJ209" s="97">
        <v>0.65</v>
      </c>
      <c r="AK209" s="71"/>
      <c r="AL209" s="76" t="s">
        <v>117</v>
      </c>
      <c r="AM209" s="87"/>
      <c r="AN209" s="15"/>
      <c r="AO209" s="15"/>
    </row>
    <row r="210" spans="2:41" x14ac:dyDescent="0.25">
      <c r="B210" s="149">
        <f t="shared" si="45"/>
        <v>151</v>
      </c>
      <c r="C210" s="16">
        <v>20201027</v>
      </c>
      <c r="D210" s="16" t="s">
        <v>3</v>
      </c>
      <c r="E210" s="74" t="s">
        <v>832</v>
      </c>
      <c r="F210" s="69"/>
      <c r="G210" s="37"/>
      <c r="H210" s="16" t="s">
        <v>225</v>
      </c>
      <c r="I210" s="16" t="s">
        <v>780</v>
      </c>
      <c r="J210" s="16" t="s">
        <v>174</v>
      </c>
      <c r="K210" s="37"/>
      <c r="L210" s="69" t="s">
        <v>1015</v>
      </c>
      <c r="M210" s="37"/>
      <c r="N210" s="16"/>
      <c r="O210" s="69" t="s">
        <v>810</v>
      </c>
      <c r="P210" s="69" t="s">
        <v>857</v>
      </c>
      <c r="Q210" s="18"/>
      <c r="R210" s="16" t="s">
        <v>168</v>
      </c>
      <c r="S210" s="16" t="s">
        <v>109</v>
      </c>
      <c r="T210" s="16"/>
      <c r="U210" s="16"/>
      <c r="V210" s="16">
        <v>165</v>
      </c>
      <c r="W210" s="15">
        <f>ROUND(IF(D210=Table!$C$3,Y210*Table!$C$4/8,Y210*Table!$D$4/8),3)</f>
        <v>90</v>
      </c>
      <c r="X210" s="101">
        <f t="shared" si="46"/>
        <v>90</v>
      </c>
      <c r="Y210" s="101">
        <v>1.6</v>
      </c>
      <c r="Z210" s="101">
        <f>Y210</f>
        <v>1.6</v>
      </c>
      <c r="AA210" s="16" t="s">
        <v>70</v>
      </c>
      <c r="AB210" s="70">
        <v>44137</v>
      </c>
      <c r="AC210" s="19">
        <v>44132</v>
      </c>
      <c r="AD210" s="70">
        <v>44137</v>
      </c>
      <c r="AE210" s="70">
        <v>44132</v>
      </c>
      <c r="AF210" s="70">
        <v>44132</v>
      </c>
      <c r="AG210" s="70" t="s">
        <v>130</v>
      </c>
      <c r="AH210" s="97">
        <v>1</v>
      </c>
      <c r="AI210" s="97">
        <v>1</v>
      </c>
      <c r="AJ210" s="97">
        <v>0.4</v>
      </c>
      <c r="AK210" s="71"/>
      <c r="AL210" s="76" t="s">
        <v>117</v>
      </c>
      <c r="AM210" s="87"/>
      <c r="AN210" s="15"/>
      <c r="AO210" s="15"/>
    </row>
    <row r="211" spans="2:41" x14ac:dyDescent="0.25">
      <c r="B211" s="149">
        <f t="shared" si="45"/>
        <v>152</v>
      </c>
      <c r="C211" s="16">
        <v>20201027</v>
      </c>
      <c r="D211" s="16" t="s">
        <v>3</v>
      </c>
      <c r="E211" s="74" t="s">
        <v>832</v>
      </c>
      <c r="F211" s="69"/>
      <c r="G211" s="37"/>
      <c r="H211" s="16" t="s">
        <v>190</v>
      </c>
      <c r="I211" s="16" t="s">
        <v>781</v>
      </c>
      <c r="J211" s="16" t="s">
        <v>174</v>
      </c>
      <c r="K211" s="37"/>
      <c r="L211" s="69" t="s">
        <v>1015</v>
      </c>
      <c r="M211" s="37"/>
      <c r="N211" s="16"/>
      <c r="O211" s="69" t="s">
        <v>811</v>
      </c>
      <c r="P211" s="69" t="s">
        <v>857</v>
      </c>
      <c r="Q211" s="18"/>
      <c r="R211" s="16" t="s">
        <v>168</v>
      </c>
      <c r="S211" s="16" t="s">
        <v>109</v>
      </c>
      <c r="T211" s="16"/>
      <c r="U211" s="16"/>
      <c r="V211" s="16">
        <v>433</v>
      </c>
      <c r="W211" s="15">
        <f>ROUND(IF(D211=Table!$C$3,Y211*Table!$C$4/8,Y211*Table!$D$4/8),3)</f>
        <v>198</v>
      </c>
      <c r="X211" s="101">
        <f t="shared" si="46"/>
        <v>198</v>
      </c>
      <c r="Y211" s="101">
        <v>3.5200000000000005</v>
      </c>
      <c r="Z211" s="101">
        <f>Y211</f>
        <v>3.5200000000000005</v>
      </c>
      <c r="AA211" s="16" t="s">
        <v>70</v>
      </c>
      <c r="AB211" s="70">
        <v>44137</v>
      </c>
      <c r="AC211" s="19">
        <v>44132</v>
      </c>
      <c r="AD211" s="70">
        <v>44137</v>
      </c>
      <c r="AE211" s="70">
        <v>44133</v>
      </c>
      <c r="AF211" s="70">
        <v>44133</v>
      </c>
      <c r="AG211" s="70" t="s">
        <v>130</v>
      </c>
      <c r="AH211" s="97">
        <v>1</v>
      </c>
      <c r="AI211" s="97">
        <v>1</v>
      </c>
      <c r="AJ211" s="97">
        <v>0.81</v>
      </c>
      <c r="AK211" s="71"/>
      <c r="AL211" s="76" t="s">
        <v>117</v>
      </c>
      <c r="AM211" s="87"/>
      <c r="AN211" s="15"/>
      <c r="AO211" s="15"/>
    </row>
    <row r="212" spans="2:41" x14ac:dyDescent="0.25">
      <c r="B212" s="149">
        <f t="shared" si="45"/>
        <v>153</v>
      </c>
      <c r="C212" s="16">
        <v>20201027</v>
      </c>
      <c r="D212" s="16" t="s">
        <v>3</v>
      </c>
      <c r="E212" s="74" t="s">
        <v>832</v>
      </c>
      <c r="F212" s="69"/>
      <c r="G212" s="37"/>
      <c r="H212" s="16" t="s">
        <v>532</v>
      </c>
      <c r="I212" s="16" t="s">
        <v>782</v>
      </c>
      <c r="J212" s="16" t="s">
        <v>174</v>
      </c>
      <c r="K212" s="37"/>
      <c r="L212" s="69" t="s">
        <v>1015</v>
      </c>
      <c r="M212" s="37"/>
      <c r="N212" s="16"/>
      <c r="O212" s="69" t="s">
        <v>812</v>
      </c>
      <c r="P212" s="69" t="s">
        <v>494</v>
      </c>
      <c r="Q212" s="18"/>
      <c r="R212" s="16" t="s">
        <v>168</v>
      </c>
      <c r="S212" s="16" t="s">
        <v>109</v>
      </c>
      <c r="T212" s="16"/>
      <c r="U212" s="16"/>
      <c r="V212" s="16">
        <v>87</v>
      </c>
      <c r="W212" s="15">
        <f>ROUND(IF(D212=Table!$C$3,Y212*Table!$C$4/8,Y212*Table!$D$4/8),3)</f>
        <v>58.5</v>
      </c>
      <c r="X212" s="101">
        <f t="shared" si="46"/>
        <v>58.5</v>
      </c>
      <c r="Y212" s="101">
        <v>1.04</v>
      </c>
      <c r="Z212" s="101">
        <f>Y212</f>
        <v>1.04</v>
      </c>
      <c r="AA212" s="16" t="s">
        <v>70</v>
      </c>
      <c r="AB212" s="70">
        <v>44137</v>
      </c>
      <c r="AC212" s="19">
        <v>44132</v>
      </c>
      <c r="AD212" s="70">
        <v>44137</v>
      </c>
      <c r="AE212" s="70">
        <v>44133</v>
      </c>
      <c r="AF212" s="70">
        <v>44133</v>
      </c>
      <c r="AG212" s="70" t="s">
        <v>130</v>
      </c>
      <c r="AH212" s="97">
        <v>1</v>
      </c>
      <c r="AI212" s="97">
        <v>1</v>
      </c>
      <c r="AJ212" s="97">
        <v>1</v>
      </c>
      <c r="AK212" s="71"/>
      <c r="AL212" s="76" t="s">
        <v>117</v>
      </c>
      <c r="AM212" s="87"/>
      <c r="AN212" s="15"/>
      <c r="AO212" s="15"/>
    </row>
    <row r="213" spans="2:41" x14ac:dyDescent="0.25">
      <c r="B213" s="149">
        <f t="shared" si="45"/>
        <v>154</v>
      </c>
      <c r="C213" s="16">
        <v>20201027</v>
      </c>
      <c r="D213" s="16" t="s">
        <v>2</v>
      </c>
      <c r="E213" s="74" t="s">
        <v>832</v>
      </c>
      <c r="F213" s="69"/>
      <c r="G213" s="37"/>
      <c r="H213" s="16" t="s">
        <v>833</v>
      </c>
      <c r="I213" s="16" t="s">
        <v>783</v>
      </c>
      <c r="J213" s="16" t="s">
        <v>174</v>
      </c>
      <c r="K213" s="37"/>
      <c r="L213" s="69"/>
      <c r="M213" s="37"/>
      <c r="N213" s="16"/>
      <c r="O213" s="69" t="s">
        <v>184</v>
      </c>
      <c r="P213" s="69" t="s">
        <v>858</v>
      </c>
      <c r="Q213" s="18"/>
      <c r="R213" s="16" t="s">
        <v>169</v>
      </c>
      <c r="S213" s="16" t="s">
        <v>66</v>
      </c>
      <c r="T213" s="16"/>
      <c r="U213" s="16"/>
      <c r="V213" s="16">
        <v>82</v>
      </c>
      <c r="W213" s="15">
        <f>ROUND(IF(D213=Table!$C$3,Y213*Table!$C$4/8,Y213*Table!$D$4/8),3)</f>
        <v>83.2</v>
      </c>
      <c r="X213" s="101">
        <f t="shared" ref="X213:X217" si="47">W213</f>
        <v>83.2</v>
      </c>
      <c r="Y213" s="101">
        <v>5.120000000000001</v>
      </c>
      <c r="Z213" s="101">
        <f t="shared" ref="Z213:Z218" si="48">Y213</f>
        <v>5.120000000000001</v>
      </c>
      <c r="AA213" s="16" t="s">
        <v>70</v>
      </c>
      <c r="AB213" s="70">
        <v>44137</v>
      </c>
      <c r="AC213" s="19">
        <v>44132</v>
      </c>
      <c r="AD213" s="70">
        <v>44137</v>
      </c>
      <c r="AE213" s="70">
        <v>44132</v>
      </c>
      <c r="AF213" s="70">
        <v>44132</v>
      </c>
      <c r="AG213" s="70" t="s">
        <v>130</v>
      </c>
      <c r="AH213" s="97">
        <v>1</v>
      </c>
      <c r="AI213" s="97">
        <v>1</v>
      </c>
      <c r="AJ213" s="97" t="s">
        <v>213</v>
      </c>
      <c r="AK213" s="71"/>
      <c r="AL213" s="76" t="s">
        <v>462</v>
      </c>
      <c r="AM213" s="87"/>
      <c r="AN213" s="15"/>
      <c r="AO213" s="15"/>
    </row>
    <row r="214" spans="2:41" x14ac:dyDescent="0.25">
      <c r="B214" s="149">
        <f t="shared" si="45"/>
        <v>155</v>
      </c>
      <c r="C214" s="16">
        <v>20201027</v>
      </c>
      <c r="D214" s="16" t="s">
        <v>2</v>
      </c>
      <c r="E214" s="74" t="s">
        <v>832</v>
      </c>
      <c r="F214" s="69"/>
      <c r="G214" s="37"/>
      <c r="H214" s="16" t="s">
        <v>834</v>
      </c>
      <c r="I214" s="16" t="s">
        <v>784</v>
      </c>
      <c r="J214" s="16" t="s">
        <v>188</v>
      </c>
      <c r="K214" s="37"/>
      <c r="L214" s="69"/>
      <c r="M214" s="37"/>
      <c r="N214" s="16"/>
      <c r="O214" s="69" t="s">
        <v>813</v>
      </c>
      <c r="P214" s="69" t="s">
        <v>859</v>
      </c>
      <c r="Q214" s="18"/>
      <c r="R214" s="16" t="s">
        <v>169</v>
      </c>
      <c r="S214" s="16" t="s">
        <v>66</v>
      </c>
      <c r="T214" s="16"/>
      <c r="U214" s="16"/>
      <c r="V214" s="16">
        <v>76</v>
      </c>
      <c r="W214" s="15">
        <f>ROUND(IF(D214=Table!$C$3,Y214*Table!$C$4/8,Y214*Table!$D$4/8),3)</f>
        <v>72.8</v>
      </c>
      <c r="X214" s="101">
        <f t="shared" si="47"/>
        <v>72.8</v>
      </c>
      <c r="Y214" s="101">
        <v>4.4799999999999995</v>
      </c>
      <c r="Z214" s="101">
        <f t="shared" si="48"/>
        <v>4.4799999999999995</v>
      </c>
      <c r="AA214" s="16" t="s">
        <v>70</v>
      </c>
      <c r="AB214" s="70">
        <v>44137</v>
      </c>
      <c r="AC214" s="19">
        <v>44132</v>
      </c>
      <c r="AD214" s="70">
        <v>44137</v>
      </c>
      <c r="AE214" s="70">
        <v>44132</v>
      </c>
      <c r="AF214" s="70">
        <v>44132</v>
      </c>
      <c r="AG214" s="70" t="s">
        <v>130</v>
      </c>
      <c r="AH214" s="97">
        <v>1</v>
      </c>
      <c r="AI214" s="97">
        <v>1</v>
      </c>
      <c r="AJ214" s="179">
        <v>0.54500000000000004</v>
      </c>
      <c r="AK214" s="71"/>
      <c r="AL214" s="76" t="s">
        <v>462</v>
      </c>
      <c r="AM214" s="87"/>
      <c r="AN214" s="15"/>
      <c r="AO214" s="15"/>
    </row>
    <row r="215" spans="2:41" x14ac:dyDescent="0.25">
      <c r="B215" s="149">
        <f t="shared" si="45"/>
        <v>156</v>
      </c>
      <c r="C215" s="16">
        <v>20201027</v>
      </c>
      <c r="D215" s="16" t="s">
        <v>2</v>
      </c>
      <c r="E215" s="74" t="s">
        <v>832</v>
      </c>
      <c r="F215" s="69"/>
      <c r="G215" s="37"/>
      <c r="H215" s="16" t="s">
        <v>835</v>
      </c>
      <c r="I215" s="16" t="s">
        <v>785</v>
      </c>
      <c r="J215" s="16" t="s">
        <v>188</v>
      </c>
      <c r="K215" s="37"/>
      <c r="L215" s="69"/>
      <c r="M215" s="37"/>
      <c r="N215" s="16"/>
      <c r="O215" s="69" t="s">
        <v>184</v>
      </c>
      <c r="P215" s="69" t="s">
        <v>859</v>
      </c>
      <c r="Q215" s="18"/>
      <c r="R215" s="16" t="s">
        <v>169</v>
      </c>
      <c r="S215" s="16" t="s">
        <v>66</v>
      </c>
      <c r="T215" s="16"/>
      <c r="U215" s="16"/>
      <c r="V215" s="16">
        <v>20</v>
      </c>
      <c r="W215" s="15">
        <f>ROUND(IF(D215=Table!$C$3,Y215*Table!$C$4/8,Y215*Table!$D$4/8),3)</f>
        <v>26</v>
      </c>
      <c r="X215" s="101">
        <f t="shared" si="47"/>
        <v>26</v>
      </c>
      <c r="Y215" s="101">
        <v>1.6</v>
      </c>
      <c r="Z215" s="101">
        <f t="shared" si="48"/>
        <v>1.6</v>
      </c>
      <c r="AA215" s="16" t="s">
        <v>70</v>
      </c>
      <c r="AB215" s="70">
        <v>44137</v>
      </c>
      <c r="AC215" s="19">
        <v>44132</v>
      </c>
      <c r="AD215" s="70">
        <v>44137</v>
      </c>
      <c r="AE215" s="70">
        <v>44133</v>
      </c>
      <c r="AF215" s="70">
        <v>44133</v>
      </c>
      <c r="AG215" s="70" t="s">
        <v>130</v>
      </c>
      <c r="AH215" s="97">
        <v>1</v>
      </c>
      <c r="AI215" s="97">
        <v>1</v>
      </c>
      <c r="AJ215" s="97">
        <v>0.33300000000000002</v>
      </c>
      <c r="AK215" s="71"/>
      <c r="AL215" s="76" t="s">
        <v>462</v>
      </c>
      <c r="AM215" s="87"/>
      <c r="AN215" s="15"/>
      <c r="AO215" s="15"/>
    </row>
    <row r="216" spans="2:41" x14ac:dyDescent="0.25">
      <c r="B216" s="149">
        <f t="shared" si="45"/>
        <v>157</v>
      </c>
      <c r="C216" s="16">
        <v>20201027</v>
      </c>
      <c r="D216" s="16" t="s">
        <v>2</v>
      </c>
      <c r="E216" s="74" t="s">
        <v>832</v>
      </c>
      <c r="F216" s="69"/>
      <c r="G216" s="37"/>
      <c r="H216" s="16" t="s">
        <v>836</v>
      </c>
      <c r="I216" s="16" t="s">
        <v>786</v>
      </c>
      <c r="J216" s="16" t="s">
        <v>188</v>
      </c>
      <c r="K216" s="37"/>
      <c r="L216" s="69"/>
      <c r="M216" s="37"/>
      <c r="N216" s="16"/>
      <c r="O216" s="69" t="s">
        <v>192</v>
      </c>
      <c r="P216" s="69" t="s">
        <v>859</v>
      </c>
      <c r="Q216" s="18"/>
      <c r="R216" s="16" t="s">
        <v>169</v>
      </c>
      <c r="S216" s="16" t="s">
        <v>66</v>
      </c>
      <c r="T216" s="16"/>
      <c r="U216" s="16"/>
      <c r="V216" s="16">
        <v>21</v>
      </c>
      <c r="W216" s="15">
        <f>ROUND(IF(D216=Table!$C$3,Y216*Table!$C$4/8,Y216*Table!$D$4/8),3)</f>
        <v>26</v>
      </c>
      <c r="X216" s="101">
        <f t="shared" si="47"/>
        <v>26</v>
      </c>
      <c r="Y216" s="101">
        <v>1.6</v>
      </c>
      <c r="Z216" s="101">
        <f t="shared" si="48"/>
        <v>1.6</v>
      </c>
      <c r="AA216" s="16" t="s">
        <v>70</v>
      </c>
      <c r="AB216" s="70">
        <v>44137</v>
      </c>
      <c r="AC216" s="19">
        <v>44132</v>
      </c>
      <c r="AD216" s="70">
        <v>44137</v>
      </c>
      <c r="AE216" s="70">
        <v>44133</v>
      </c>
      <c r="AF216" s="70">
        <v>44133</v>
      </c>
      <c r="AG216" s="70" t="s">
        <v>130</v>
      </c>
      <c r="AH216" s="97">
        <v>1</v>
      </c>
      <c r="AI216" s="97">
        <v>1</v>
      </c>
      <c r="AJ216" s="97">
        <v>0.33300000000000002</v>
      </c>
      <c r="AK216" s="71"/>
      <c r="AL216" s="76" t="s">
        <v>462</v>
      </c>
      <c r="AM216" s="87"/>
      <c r="AN216" s="15"/>
      <c r="AO216" s="15"/>
    </row>
    <row r="217" spans="2:41" x14ac:dyDescent="0.25">
      <c r="B217" s="149">
        <f t="shared" si="45"/>
        <v>158</v>
      </c>
      <c r="C217" s="16">
        <v>20201027</v>
      </c>
      <c r="D217" s="16" t="s">
        <v>2</v>
      </c>
      <c r="E217" s="74" t="s">
        <v>832</v>
      </c>
      <c r="F217" s="69"/>
      <c r="G217" s="37"/>
      <c r="H217" s="16" t="s">
        <v>837</v>
      </c>
      <c r="I217" s="16" t="s">
        <v>787</v>
      </c>
      <c r="J217" s="16" t="s">
        <v>174</v>
      </c>
      <c r="K217" s="37"/>
      <c r="L217" s="69"/>
      <c r="M217" s="37"/>
      <c r="N217" s="16"/>
      <c r="O217" s="69" t="s">
        <v>814</v>
      </c>
      <c r="P217" s="69" t="s">
        <v>860</v>
      </c>
      <c r="Q217" s="18"/>
      <c r="R217" s="16" t="s">
        <v>169</v>
      </c>
      <c r="S217" s="16" t="s">
        <v>66</v>
      </c>
      <c r="T217" s="16"/>
      <c r="U217" s="16"/>
      <c r="V217" s="16">
        <v>182</v>
      </c>
      <c r="W217" s="15">
        <f>ROUND(IF(D217=Table!$C$3,Y217*Table!$C$4/8,Y217*Table!$D$4/8),3)</f>
        <v>187.2</v>
      </c>
      <c r="X217" s="101">
        <f t="shared" si="47"/>
        <v>187.2</v>
      </c>
      <c r="Y217" s="101">
        <v>11.520000000000001</v>
      </c>
      <c r="Z217" s="101">
        <f t="shared" si="48"/>
        <v>11.520000000000001</v>
      </c>
      <c r="AA217" s="16" t="s">
        <v>70</v>
      </c>
      <c r="AB217" s="70">
        <v>44137</v>
      </c>
      <c r="AC217" s="19">
        <v>44132</v>
      </c>
      <c r="AD217" s="70">
        <v>44137</v>
      </c>
      <c r="AE217" s="70">
        <v>44133</v>
      </c>
      <c r="AF217" s="70">
        <v>44133</v>
      </c>
      <c r="AG217" s="70" t="s">
        <v>131</v>
      </c>
      <c r="AH217" s="97">
        <v>1</v>
      </c>
      <c r="AI217" s="97">
        <v>1</v>
      </c>
      <c r="AJ217" s="97">
        <v>0.55000000000000004</v>
      </c>
      <c r="AK217" s="71"/>
      <c r="AL217" s="76" t="s">
        <v>116</v>
      </c>
      <c r="AM217" s="87"/>
      <c r="AN217" s="15"/>
      <c r="AO217" s="18" t="s">
        <v>1189</v>
      </c>
    </row>
    <row r="218" spans="2:41" x14ac:dyDescent="0.25">
      <c r="B218" s="149">
        <f t="shared" si="45"/>
        <v>159</v>
      </c>
      <c r="C218" s="16">
        <v>20201027</v>
      </c>
      <c r="D218" s="16" t="s">
        <v>2</v>
      </c>
      <c r="E218" s="74" t="s">
        <v>832</v>
      </c>
      <c r="F218" s="69"/>
      <c r="G218" s="37"/>
      <c r="H218" s="16" t="s">
        <v>838</v>
      </c>
      <c r="I218" s="16" t="s">
        <v>788</v>
      </c>
      <c r="J218" s="16" t="s">
        <v>188</v>
      </c>
      <c r="K218" s="37"/>
      <c r="L218" s="69"/>
      <c r="M218" s="37"/>
      <c r="N218" s="16"/>
      <c r="O218" s="69" t="s">
        <v>815</v>
      </c>
      <c r="P218" s="69" t="s">
        <v>859</v>
      </c>
      <c r="Q218" s="18"/>
      <c r="R218" s="16" t="s">
        <v>169</v>
      </c>
      <c r="S218" s="16" t="s">
        <v>66</v>
      </c>
      <c r="T218" s="16"/>
      <c r="U218" s="16"/>
      <c r="V218" s="16">
        <v>50</v>
      </c>
      <c r="W218" s="15">
        <f>ROUND(IF(D218=Table!$C$3,Y218*Table!$C$4/8,Y218*Table!$D$4/8),3)</f>
        <v>52</v>
      </c>
      <c r="X218" s="101">
        <f t="shared" ref="X218:X223" si="49">W218</f>
        <v>52</v>
      </c>
      <c r="Y218" s="101">
        <v>3.2</v>
      </c>
      <c r="Z218" s="101">
        <f t="shared" si="48"/>
        <v>3.2</v>
      </c>
      <c r="AA218" s="16" t="s">
        <v>70</v>
      </c>
      <c r="AB218" s="70">
        <v>44137</v>
      </c>
      <c r="AC218" s="19">
        <v>44132</v>
      </c>
      <c r="AD218" s="70">
        <v>44137</v>
      </c>
      <c r="AE218" s="70">
        <v>44133</v>
      </c>
      <c r="AF218" s="70">
        <v>44133</v>
      </c>
      <c r="AG218" s="70" t="s">
        <v>130</v>
      </c>
      <c r="AH218" s="97">
        <v>1</v>
      </c>
      <c r="AI218" s="97">
        <v>1</v>
      </c>
      <c r="AJ218" s="97">
        <v>0.55000000000000004</v>
      </c>
      <c r="AK218" s="71"/>
      <c r="AL218" s="76" t="s">
        <v>117</v>
      </c>
      <c r="AM218" s="87"/>
      <c r="AN218" s="15"/>
      <c r="AO218" s="15"/>
    </row>
    <row r="219" spans="2:41" x14ac:dyDescent="0.25">
      <c r="B219" s="149">
        <f t="shared" si="45"/>
        <v>160</v>
      </c>
      <c r="C219" s="16">
        <v>20201027</v>
      </c>
      <c r="D219" s="16" t="s">
        <v>2</v>
      </c>
      <c r="E219" s="74" t="s">
        <v>832</v>
      </c>
      <c r="F219" s="69"/>
      <c r="G219" s="37"/>
      <c r="H219" s="16" t="s">
        <v>839</v>
      </c>
      <c r="I219" s="16" t="s">
        <v>789</v>
      </c>
      <c r="J219" s="16" t="s">
        <v>188</v>
      </c>
      <c r="K219" s="37"/>
      <c r="L219" s="69"/>
      <c r="M219" s="37"/>
      <c r="N219" s="16"/>
      <c r="O219" s="69" t="s">
        <v>192</v>
      </c>
      <c r="P219" s="69" t="s">
        <v>859</v>
      </c>
      <c r="Q219" s="18"/>
      <c r="R219" s="16" t="s">
        <v>170</v>
      </c>
      <c r="S219" s="16" t="s">
        <v>63</v>
      </c>
      <c r="T219" s="16"/>
      <c r="U219" s="16"/>
      <c r="V219" s="16">
        <v>194</v>
      </c>
      <c r="W219" s="15">
        <f>ROUND(IF(D219=Table!$C$3,Y219*Table!$C$4/8,Y219*Table!$D$4/8),3)</f>
        <v>156</v>
      </c>
      <c r="X219" s="101">
        <f t="shared" si="49"/>
        <v>156</v>
      </c>
      <c r="Y219" s="101">
        <v>9.6000000000000014</v>
      </c>
      <c r="Z219" s="101">
        <f>Y219</f>
        <v>9.6000000000000014</v>
      </c>
      <c r="AA219" s="16" t="s">
        <v>70</v>
      </c>
      <c r="AB219" s="70">
        <v>44137</v>
      </c>
      <c r="AC219" s="19">
        <v>44132</v>
      </c>
      <c r="AD219" s="70">
        <v>44137</v>
      </c>
      <c r="AE219" s="70">
        <v>44133</v>
      </c>
      <c r="AF219" s="70">
        <v>44133</v>
      </c>
      <c r="AG219" s="70" t="s">
        <v>130</v>
      </c>
      <c r="AH219" s="97">
        <v>1</v>
      </c>
      <c r="AI219" s="97">
        <v>1</v>
      </c>
      <c r="AJ219" s="97">
        <v>0.45500000000000002</v>
      </c>
      <c r="AK219" s="71"/>
      <c r="AL219" s="76" t="s">
        <v>117</v>
      </c>
      <c r="AM219" s="87"/>
      <c r="AN219" s="15"/>
      <c r="AO219" s="15"/>
    </row>
    <row r="220" spans="2:41" x14ac:dyDescent="0.25">
      <c r="B220" s="149">
        <f t="shared" si="45"/>
        <v>161</v>
      </c>
      <c r="C220" s="16">
        <v>20201027</v>
      </c>
      <c r="D220" s="16" t="s">
        <v>2</v>
      </c>
      <c r="E220" s="74" t="s">
        <v>832</v>
      </c>
      <c r="F220" s="69"/>
      <c r="G220" s="37"/>
      <c r="H220" s="16" t="s">
        <v>840</v>
      </c>
      <c r="I220" s="16" t="s">
        <v>790</v>
      </c>
      <c r="J220" s="16" t="s">
        <v>174</v>
      </c>
      <c r="K220" s="37"/>
      <c r="L220" s="69"/>
      <c r="M220" s="37"/>
      <c r="N220" s="16"/>
      <c r="O220" s="69" t="s">
        <v>816</v>
      </c>
      <c r="P220" s="69" t="s">
        <v>861</v>
      </c>
      <c r="Q220" s="18"/>
      <c r="R220" s="16" t="s">
        <v>170</v>
      </c>
      <c r="S220" s="16" t="s">
        <v>63</v>
      </c>
      <c r="T220" s="16"/>
      <c r="U220" s="16"/>
      <c r="V220" s="16">
        <v>70</v>
      </c>
      <c r="W220" s="15">
        <f>ROUND(IF(D220=Table!$C$3,Y220*Table!$C$4/8,Y220*Table!$D$4/8),3)</f>
        <v>67.599999999999994</v>
      </c>
      <c r="X220" s="101">
        <f t="shared" si="49"/>
        <v>67.599999999999994</v>
      </c>
      <c r="Y220" s="101">
        <v>4.16</v>
      </c>
      <c r="Z220" s="101">
        <f>Y220</f>
        <v>4.16</v>
      </c>
      <c r="AA220" s="16" t="s">
        <v>70</v>
      </c>
      <c r="AB220" s="70">
        <v>44137</v>
      </c>
      <c r="AC220" s="19">
        <v>44132</v>
      </c>
      <c r="AD220" s="70">
        <v>44137</v>
      </c>
      <c r="AE220" s="70">
        <v>44133</v>
      </c>
      <c r="AF220" s="70">
        <v>44133</v>
      </c>
      <c r="AG220" s="70" t="s">
        <v>130</v>
      </c>
      <c r="AH220" s="97">
        <v>0.93799999999999994</v>
      </c>
      <c r="AI220" s="97">
        <v>0.95199999999999996</v>
      </c>
      <c r="AJ220" s="97">
        <v>0.33300000000000002</v>
      </c>
      <c r="AK220" s="71"/>
      <c r="AL220" s="76" t="s">
        <v>117</v>
      </c>
      <c r="AM220" s="147" t="s">
        <v>945</v>
      </c>
      <c r="AN220" s="15"/>
      <c r="AO220" s="15"/>
    </row>
    <row r="221" spans="2:41" x14ac:dyDescent="0.25">
      <c r="B221" s="149">
        <f t="shared" si="45"/>
        <v>162</v>
      </c>
      <c r="C221" s="16">
        <v>20201027</v>
      </c>
      <c r="D221" s="16" t="s">
        <v>2</v>
      </c>
      <c r="E221" s="74" t="s">
        <v>832</v>
      </c>
      <c r="F221" s="69"/>
      <c r="G221" s="37"/>
      <c r="H221" s="16" t="s">
        <v>841</v>
      </c>
      <c r="I221" s="16" t="s">
        <v>791</v>
      </c>
      <c r="J221" s="16" t="s">
        <v>188</v>
      </c>
      <c r="K221" s="37"/>
      <c r="L221" s="69"/>
      <c r="M221" s="37"/>
      <c r="N221" s="16"/>
      <c r="O221" s="69" t="s">
        <v>200</v>
      </c>
      <c r="P221" s="69" t="s">
        <v>859</v>
      </c>
      <c r="Q221" s="18"/>
      <c r="R221" s="16" t="s">
        <v>170</v>
      </c>
      <c r="S221" s="16" t="s">
        <v>63</v>
      </c>
      <c r="T221" s="16"/>
      <c r="U221" s="16"/>
      <c r="V221" s="16">
        <v>30</v>
      </c>
      <c r="W221" s="15">
        <f>ROUND(IF(D221=Table!$C$3,Y221*Table!$C$4/8,Y221*Table!$D$4/8),3)</f>
        <v>26</v>
      </c>
      <c r="X221" s="101">
        <f t="shared" si="49"/>
        <v>26</v>
      </c>
      <c r="Y221" s="101">
        <v>1.6</v>
      </c>
      <c r="Z221" s="101">
        <f>Y221</f>
        <v>1.6</v>
      </c>
      <c r="AA221" s="16" t="s">
        <v>70</v>
      </c>
      <c r="AB221" s="70">
        <v>44137</v>
      </c>
      <c r="AC221" s="19">
        <v>44132</v>
      </c>
      <c r="AD221" s="70">
        <v>44137</v>
      </c>
      <c r="AE221" s="70">
        <v>44133</v>
      </c>
      <c r="AF221" s="70">
        <v>44133</v>
      </c>
      <c r="AG221" s="70" t="s">
        <v>130</v>
      </c>
      <c r="AH221" s="97">
        <v>1</v>
      </c>
      <c r="AI221" s="97">
        <v>1</v>
      </c>
      <c r="AJ221" s="97">
        <v>0.14299999999999999</v>
      </c>
      <c r="AK221" s="71"/>
      <c r="AL221" s="76" t="s">
        <v>117</v>
      </c>
      <c r="AM221" s="87"/>
      <c r="AN221" s="15"/>
      <c r="AO221" s="15"/>
    </row>
    <row r="222" spans="2:41" x14ac:dyDescent="0.25">
      <c r="B222" s="149">
        <f t="shared" si="45"/>
        <v>163</v>
      </c>
      <c r="C222" s="16">
        <v>20201027</v>
      </c>
      <c r="D222" s="16" t="s">
        <v>2</v>
      </c>
      <c r="E222" s="74" t="s">
        <v>832</v>
      </c>
      <c r="F222" s="69"/>
      <c r="G222" s="37"/>
      <c r="H222" s="16" t="s">
        <v>842</v>
      </c>
      <c r="I222" s="16" t="s">
        <v>792</v>
      </c>
      <c r="J222" s="16" t="s">
        <v>174</v>
      </c>
      <c r="K222" s="37"/>
      <c r="L222" s="69"/>
      <c r="M222" s="37"/>
      <c r="N222" s="16"/>
      <c r="O222" s="69" t="s">
        <v>817</v>
      </c>
      <c r="P222" s="69" t="s">
        <v>859</v>
      </c>
      <c r="Q222" s="18"/>
      <c r="R222" s="16" t="s">
        <v>170</v>
      </c>
      <c r="S222" s="16" t="s">
        <v>63</v>
      </c>
      <c r="T222" s="16"/>
      <c r="U222" s="16"/>
      <c r="V222" s="16">
        <v>36</v>
      </c>
      <c r="W222" s="15">
        <f>ROUND(IF(D222=Table!$C$3,Y222*Table!$C$4/8,Y222*Table!$D$4/8),3)</f>
        <v>42.9</v>
      </c>
      <c r="X222" s="101">
        <f t="shared" si="49"/>
        <v>42.9</v>
      </c>
      <c r="Y222" s="101">
        <v>2.64</v>
      </c>
      <c r="Z222" s="101">
        <f>Y222</f>
        <v>2.64</v>
      </c>
      <c r="AA222" s="16" t="s">
        <v>70</v>
      </c>
      <c r="AB222" s="70">
        <v>44137</v>
      </c>
      <c r="AC222" s="19">
        <v>44132</v>
      </c>
      <c r="AD222" s="70">
        <v>44137</v>
      </c>
      <c r="AE222" s="70">
        <v>44133</v>
      </c>
      <c r="AF222" s="70">
        <v>44133</v>
      </c>
      <c r="AG222" s="70" t="s">
        <v>130</v>
      </c>
      <c r="AH222" s="97">
        <v>1</v>
      </c>
      <c r="AI222" s="97">
        <v>0.87</v>
      </c>
      <c r="AJ222" s="97">
        <v>1</v>
      </c>
      <c r="AK222" s="71"/>
      <c r="AL222" s="76" t="s">
        <v>117</v>
      </c>
      <c r="AM222" s="87" t="s">
        <v>1132</v>
      </c>
      <c r="AN222" s="15"/>
      <c r="AO222" s="15"/>
    </row>
    <row r="223" spans="2:41" x14ac:dyDescent="0.25">
      <c r="B223" s="149">
        <f t="shared" si="45"/>
        <v>164</v>
      </c>
      <c r="C223" s="16">
        <v>20201027</v>
      </c>
      <c r="D223" s="16" t="s">
        <v>2</v>
      </c>
      <c r="E223" s="74" t="s">
        <v>832</v>
      </c>
      <c r="F223" s="69"/>
      <c r="G223" s="37"/>
      <c r="H223" s="16" t="s">
        <v>843</v>
      </c>
      <c r="I223" s="16" t="s">
        <v>793</v>
      </c>
      <c r="J223" s="16" t="s">
        <v>188</v>
      </c>
      <c r="K223" s="37"/>
      <c r="L223" s="69"/>
      <c r="M223" s="37"/>
      <c r="N223" s="16"/>
      <c r="O223" s="69" t="s">
        <v>818</v>
      </c>
      <c r="P223" s="69" t="s">
        <v>859</v>
      </c>
      <c r="Q223" s="18"/>
      <c r="R223" s="16" t="s">
        <v>170</v>
      </c>
      <c r="S223" s="16" t="s">
        <v>63</v>
      </c>
      <c r="T223" s="16"/>
      <c r="U223" s="16"/>
      <c r="V223" s="16">
        <v>262</v>
      </c>
      <c r="W223" s="15">
        <f>ROUND(IF(D223=Table!$C$3,Y223*Table!$C$4/8,Y223*Table!$D$4/8),3)</f>
        <v>187.2</v>
      </c>
      <c r="X223" s="101">
        <f t="shared" si="49"/>
        <v>187.2</v>
      </c>
      <c r="Y223" s="101">
        <v>11.520000000000001</v>
      </c>
      <c r="Z223" s="101">
        <f>Y223</f>
        <v>11.520000000000001</v>
      </c>
      <c r="AA223" s="16" t="s">
        <v>70</v>
      </c>
      <c r="AB223" s="70">
        <v>44137</v>
      </c>
      <c r="AC223" s="19">
        <v>44132</v>
      </c>
      <c r="AD223" s="70">
        <v>44137</v>
      </c>
      <c r="AE223" s="70">
        <v>44133</v>
      </c>
      <c r="AF223" s="70">
        <v>44133</v>
      </c>
      <c r="AG223" s="70" t="s">
        <v>130</v>
      </c>
      <c r="AH223" s="97">
        <v>0.97099999999999997</v>
      </c>
      <c r="AI223" s="97">
        <v>0.97199999999999998</v>
      </c>
      <c r="AJ223" s="97">
        <v>0.316</v>
      </c>
      <c r="AK223" s="71"/>
      <c r="AL223" s="76" t="s">
        <v>117</v>
      </c>
      <c r="AM223" s="147" t="s">
        <v>946</v>
      </c>
      <c r="AN223" s="15"/>
      <c r="AO223" s="15"/>
    </row>
    <row r="224" spans="2:41" x14ac:dyDescent="0.25">
      <c r="B224" s="149">
        <f t="shared" si="45"/>
        <v>165</v>
      </c>
      <c r="C224" s="16">
        <v>20201027</v>
      </c>
      <c r="D224" s="16" t="s">
        <v>2</v>
      </c>
      <c r="E224" s="74" t="s">
        <v>832</v>
      </c>
      <c r="F224" s="69"/>
      <c r="G224" s="37"/>
      <c r="H224" s="16" t="s">
        <v>844</v>
      </c>
      <c r="I224" s="16" t="s">
        <v>794</v>
      </c>
      <c r="J224" s="16" t="s">
        <v>174</v>
      </c>
      <c r="K224" s="37"/>
      <c r="L224" s="69"/>
      <c r="M224" s="37"/>
      <c r="N224" s="16"/>
      <c r="O224" s="69" t="s">
        <v>813</v>
      </c>
      <c r="P224" s="69" t="s">
        <v>859</v>
      </c>
      <c r="Q224" s="18"/>
      <c r="R224" s="16" t="s">
        <v>171</v>
      </c>
      <c r="S224" s="16" t="s">
        <v>61</v>
      </c>
      <c r="T224" s="16"/>
      <c r="U224" s="16"/>
      <c r="V224" s="16">
        <v>223</v>
      </c>
      <c r="W224" s="15">
        <f>ROUND(IF(D224=Table!$C$3,Y224*Table!$C$4/8,Y224*Table!$D$4/8),3)</f>
        <v>228.8</v>
      </c>
      <c r="X224" s="101">
        <f t="shared" ref="X224:X225" si="50">W224</f>
        <v>228.8</v>
      </c>
      <c r="Y224" s="101">
        <v>14.080000000000002</v>
      </c>
      <c r="Z224" s="101"/>
      <c r="AA224" s="16" t="s">
        <v>70</v>
      </c>
      <c r="AB224" s="70">
        <v>44137</v>
      </c>
      <c r="AC224" s="19">
        <v>44132</v>
      </c>
      <c r="AD224" s="70">
        <v>44137</v>
      </c>
      <c r="AE224" s="70">
        <v>44134</v>
      </c>
      <c r="AF224" s="70">
        <v>44134</v>
      </c>
      <c r="AG224" s="70" t="s">
        <v>130</v>
      </c>
      <c r="AH224" s="97">
        <v>0.96899999999999997</v>
      </c>
      <c r="AI224" s="97">
        <v>0.97099999999999997</v>
      </c>
      <c r="AJ224" s="97">
        <v>0.34399999999999997</v>
      </c>
      <c r="AK224" s="71"/>
      <c r="AL224" s="76" t="s">
        <v>116</v>
      </c>
      <c r="AM224" s="178" t="s">
        <v>947</v>
      </c>
      <c r="AN224" s="15"/>
      <c r="AO224" s="18" t="s">
        <v>1014</v>
      </c>
    </row>
    <row r="225" spans="2:41" x14ac:dyDescent="0.25">
      <c r="B225" s="149">
        <f t="shared" si="45"/>
        <v>166</v>
      </c>
      <c r="C225" s="16">
        <v>20201027</v>
      </c>
      <c r="D225" s="16" t="s">
        <v>2</v>
      </c>
      <c r="E225" s="74" t="s">
        <v>832</v>
      </c>
      <c r="F225" s="69"/>
      <c r="G225" s="37"/>
      <c r="H225" s="16" t="s">
        <v>845</v>
      </c>
      <c r="I225" s="16" t="s">
        <v>795</v>
      </c>
      <c r="J225" s="16" t="s">
        <v>174</v>
      </c>
      <c r="K225" s="37"/>
      <c r="L225" s="69"/>
      <c r="M225" s="37"/>
      <c r="N225" s="16"/>
      <c r="O225" s="69" t="s">
        <v>819</v>
      </c>
      <c r="P225" s="69" t="s">
        <v>859</v>
      </c>
      <c r="Q225" s="18"/>
      <c r="R225" s="16" t="s">
        <v>171</v>
      </c>
      <c r="S225" s="16" t="s">
        <v>61</v>
      </c>
      <c r="T225" s="16"/>
      <c r="U225" s="16"/>
      <c r="V225" s="16">
        <v>127</v>
      </c>
      <c r="W225" s="15">
        <f>ROUND(IF(D225=Table!$C$3,Y225*Table!$C$4/8,Y225*Table!$D$4/8),3)</f>
        <v>130</v>
      </c>
      <c r="X225" s="101">
        <f t="shared" si="50"/>
        <v>130</v>
      </c>
      <c r="Y225" s="101">
        <v>8</v>
      </c>
      <c r="Z225" s="101"/>
      <c r="AA225" s="16" t="s">
        <v>70</v>
      </c>
      <c r="AB225" s="70">
        <v>44137</v>
      </c>
      <c r="AC225" s="19">
        <v>44132</v>
      </c>
      <c r="AD225" s="70">
        <v>44137</v>
      </c>
      <c r="AE225" s="70">
        <v>44134</v>
      </c>
      <c r="AF225" s="70">
        <v>44134</v>
      </c>
      <c r="AG225" s="70" t="s">
        <v>130</v>
      </c>
      <c r="AH225" s="97">
        <v>1</v>
      </c>
      <c r="AI225" s="97">
        <v>1</v>
      </c>
      <c r="AJ225" s="97">
        <v>0.34100000000000003</v>
      </c>
      <c r="AK225" s="71"/>
      <c r="AL225" s="76" t="s">
        <v>117</v>
      </c>
      <c r="AM225" s="87"/>
      <c r="AN225" s="15"/>
      <c r="AO225" s="15"/>
    </row>
    <row r="226" spans="2:41" x14ac:dyDescent="0.25">
      <c r="B226" s="149">
        <f t="shared" si="45"/>
        <v>167</v>
      </c>
      <c r="C226" s="16">
        <v>20201027</v>
      </c>
      <c r="D226" s="16" t="s">
        <v>2</v>
      </c>
      <c r="E226" s="74" t="s">
        <v>832</v>
      </c>
      <c r="F226" s="69"/>
      <c r="G226" s="37"/>
      <c r="H226" s="16" t="s">
        <v>846</v>
      </c>
      <c r="I226" s="16" t="s">
        <v>796</v>
      </c>
      <c r="J226" s="16" t="s">
        <v>188</v>
      </c>
      <c r="K226" s="37"/>
      <c r="L226" s="69"/>
      <c r="M226" s="37"/>
      <c r="N226" s="16"/>
      <c r="O226" s="69" t="s">
        <v>818</v>
      </c>
      <c r="P226" s="69" t="s">
        <v>859</v>
      </c>
      <c r="Q226" s="18"/>
      <c r="R226" s="16" t="s">
        <v>172</v>
      </c>
      <c r="S226" s="16" t="s">
        <v>147</v>
      </c>
      <c r="T226" s="16"/>
      <c r="U226" s="16"/>
      <c r="V226" s="16">
        <v>69</v>
      </c>
      <c r="W226" s="15">
        <f>ROUND(IF(D226=Table!$C$3,Y226*Table!$C$4/8,Y226*Table!$D$4/8),3)</f>
        <v>62.4</v>
      </c>
      <c r="X226" s="101">
        <f t="shared" ref="X226:X231" si="51">W226</f>
        <v>62.4</v>
      </c>
      <c r="Y226" s="101">
        <v>3.84</v>
      </c>
      <c r="Z226" s="101">
        <f t="shared" ref="Z226:Z231" si="52">Y226</f>
        <v>3.84</v>
      </c>
      <c r="AA226" s="16" t="s">
        <v>70</v>
      </c>
      <c r="AB226" s="70">
        <v>44137</v>
      </c>
      <c r="AC226" s="19">
        <v>44132</v>
      </c>
      <c r="AD226" s="70">
        <v>44137</v>
      </c>
      <c r="AE226" s="70">
        <v>44133</v>
      </c>
      <c r="AF226" s="70">
        <v>44133</v>
      </c>
      <c r="AG226" s="70" t="s">
        <v>130</v>
      </c>
      <c r="AH226" s="97">
        <v>1</v>
      </c>
      <c r="AI226" s="97">
        <v>1</v>
      </c>
      <c r="AJ226" s="97">
        <v>0.46400000000000002</v>
      </c>
      <c r="AK226" s="71"/>
      <c r="AL226" s="76" t="s">
        <v>117</v>
      </c>
      <c r="AM226" s="87"/>
      <c r="AN226" s="15"/>
      <c r="AO226" s="15"/>
    </row>
    <row r="227" spans="2:41" x14ac:dyDescent="0.25">
      <c r="B227" s="149">
        <f t="shared" si="45"/>
        <v>168</v>
      </c>
      <c r="C227" s="16">
        <v>20201027</v>
      </c>
      <c r="D227" s="16" t="s">
        <v>2</v>
      </c>
      <c r="E227" s="74" t="s">
        <v>832</v>
      </c>
      <c r="F227" s="69"/>
      <c r="G227" s="37"/>
      <c r="H227" s="16" t="s">
        <v>847</v>
      </c>
      <c r="I227" s="126" t="s">
        <v>797</v>
      </c>
      <c r="J227" s="16" t="s">
        <v>174</v>
      </c>
      <c r="K227" s="37"/>
      <c r="L227" s="69"/>
      <c r="M227" s="37"/>
      <c r="N227" s="16"/>
      <c r="O227" s="69" t="s">
        <v>195</v>
      </c>
      <c r="P227" s="69" t="s">
        <v>859</v>
      </c>
      <c r="Q227" s="18"/>
      <c r="R227" s="16" t="s">
        <v>172</v>
      </c>
      <c r="S227" s="16" t="s">
        <v>147</v>
      </c>
      <c r="T227" s="16"/>
      <c r="U227" s="16"/>
      <c r="V227" s="16">
        <v>51</v>
      </c>
      <c r="W227" s="15">
        <f>ROUND(IF(D227=Table!$C$3,Y227*Table!$C$4/8,Y227*Table!$D$4/8),3)</f>
        <v>53.04</v>
      </c>
      <c r="X227" s="101">
        <f t="shared" si="51"/>
        <v>53.04</v>
      </c>
      <c r="Y227" s="101">
        <v>3.2640000000000002</v>
      </c>
      <c r="Z227" s="101">
        <f t="shared" si="52"/>
        <v>3.2640000000000002</v>
      </c>
      <c r="AA227" s="16" t="s">
        <v>70</v>
      </c>
      <c r="AB227" s="70">
        <v>44137</v>
      </c>
      <c r="AC227" s="19">
        <v>44132</v>
      </c>
      <c r="AD227" s="70">
        <v>44137</v>
      </c>
      <c r="AE227" s="70">
        <v>44133</v>
      </c>
      <c r="AF227" s="70">
        <v>44133</v>
      </c>
      <c r="AG227" s="70" t="s">
        <v>130</v>
      </c>
      <c r="AH227" s="97">
        <v>1</v>
      </c>
      <c r="AI227" s="97">
        <v>1</v>
      </c>
      <c r="AJ227" s="97">
        <v>9.2999999999999999E-2</v>
      </c>
      <c r="AK227" s="71"/>
      <c r="AL227" s="76" t="s">
        <v>117</v>
      </c>
      <c r="AM227" s="87"/>
      <c r="AN227" s="15"/>
      <c r="AO227" s="15"/>
    </row>
    <row r="228" spans="2:41" x14ac:dyDescent="0.25">
      <c r="B228" s="149">
        <f t="shared" si="45"/>
        <v>169</v>
      </c>
      <c r="C228" s="16">
        <v>20201027</v>
      </c>
      <c r="D228" s="16" t="s">
        <v>2</v>
      </c>
      <c r="E228" s="74" t="s">
        <v>832</v>
      </c>
      <c r="F228" s="69"/>
      <c r="G228" s="37"/>
      <c r="H228" s="16" t="s">
        <v>848</v>
      </c>
      <c r="I228" s="126" t="s">
        <v>798</v>
      </c>
      <c r="J228" s="16" t="s">
        <v>174</v>
      </c>
      <c r="K228" s="37"/>
      <c r="L228" s="69"/>
      <c r="M228" s="37"/>
      <c r="N228" s="16"/>
      <c r="O228" s="69" t="s">
        <v>820</v>
      </c>
      <c r="P228" s="69" t="s">
        <v>862</v>
      </c>
      <c r="Q228" s="18"/>
      <c r="R228" s="16" t="s">
        <v>172</v>
      </c>
      <c r="S228" s="16" t="s">
        <v>147</v>
      </c>
      <c r="T228" s="16"/>
      <c r="U228" s="16"/>
      <c r="V228" s="16">
        <v>26</v>
      </c>
      <c r="W228" s="15">
        <f>ROUND(IF(D228=Table!$C$3,Y228*Table!$C$4/8,Y228*Table!$D$4/8),3)</f>
        <v>26</v>
      </c>
      <c r="X228" s="101">
        <f t="shared" si="51"/>
        <v>26</v>
      </c>
      <c r="Y228" s="101">
        <v>1.6</v>
      </c>
      <c r="Z228" s="101">
        <f t="shared" si="52"/>
        <v>1.6</v>
      </c>
      <c r="AA228" s="16" t="s">
        <v>70</v>
      </c>
      <c r="AB228" s="70">
        <v>44137</v>
      </c>
      <c r="AC228" s="19">
        <v>44132</v>
      </c>
      <c r="AD228" s="70">
        <v>44137</v>
      </c>
      <c r="AE228" s="70">
        <v>44132</v>
      </c>
      <c r="AF228" s="70">
        <v>44132</v>
      </c>
      <c r="AG228" s="70" t="s">
        <v>130</v>
      </c>
      <c r="AH228" s="97">
        <v>1</v>
      </c>
      <c r="AI228" s="97">
        <v>1</v>
      </c>
      <c r="AJ228" s="97">
        <v>0</v>
      </c>
      <c r="AK228" s="71"/>
      <c r="AL228" s="76" t="s">
        <v>117</v>
      </c>
      <c r="AM228" s="87"/>
      <c r="AN228" s="15"/>
      <c r="AO228" s="15"/>
    </row>
    <row r="229" spans="2:41" x14ac:dyDescent="0.25">
      <c r="B229" s="149">
        <f t="shared" si="45"/>
        <v>170</v>
      </c>
      <c r="C229" s="16">
        <v>20201027</v>
      </c>
      <c r="D229" s="16" t="s">
        <v>2</v>
      </c>
      <c r="E229" s="74" t="s">
        <v>832</v>
      </c>
      <c r="F229" s="69"/>
      <c r="G229" s="37"/>
      <c r="H229" s="16" t="s">
        <v>849</v>
      </c>
      <c r="I229" s="126" t="s">
        <v>684</v>
      </c>
      <c r="J229" s="16" t="s">
        <v>174</v>
      </c>
      <c r="K229" s="37"/>
      <c r="L229" s="69"/>
      <c r="M229" s="37"/>
      <c r="N229" s="16"/>
      <c r="O229" s="69" t="s">
        <v>821</v>
      </c>
      <c r="P229" s="69" t="s">
        <v>722</v>
      </c>
      <c r="Q229" s="18"/>
      <c r="R229" s="16" t="s">
        <v>172</v>
      </c>
      <c r="S229" s="16" t="s">
        <v>147</v>
      </c>
      <c r="T229" s="16"/>
      <c r="U229" s="16"/>
      <c r="V229" s="16">
        <v>82</v>
      </c>
      <c r="W229" s="15">
        <f>ROUND(IF(D229=Table!$C$3,Y229*Table!$C$4/8,Y229*Table!$D$4/8),3)</f>
        <v>93.6</v>
      </c>
      <c r="X229" s="101">
        <f t="shared" si="51"/>
        <v>93.6</v>
      </c>
      <c r="Y229" s="101">
        <v>5.7600000000000007</v>
      </c>
      <c r="Z229" s="101">
        <f t="shared" si="52"/>
        <v>5.7600000000000007</v>
      </c>
      <c r="AA229" s="16" t="s">
        <v>70</v>
      </c>
      <c r="AB229" s="70">
        <v>44137</v>
      </c>
      <c r="AC229" s="19">
        <v>44132</v>
      </c>
      <c r="AD229" s="70">
        <v>44137</v>
      </c>
      <c r="AE229" s="70">
        <v>44132</v>
      </c>
      <c r="AF229" s="70">
        <v>44132</v>
      </c>
      <c r="AG229" s="70" t="s">
        <v>130</v>
      </c>
      <c r="AH229" s="97">
        <v>0.92900000000000005</v>
      </c>
      <c r="AI229" s="97">
        <v>0.92900000000000005</v>
      </c>
      <c r="AJ229" s="97">
        <v>0.56299999999999994</v>
      </c>
      <c r="AK229" s="71"/>
      <c r="AL229" s="76" t="s">
        <v>117</v>
      </c>
      <c r="AM229" s="87" t="s">
        <v>868</v>
      </c>
      <c r="AN229" s="15"/>
      <c r="AO229" s="15"/>
    </row>
    <row r="230" spans="2:41" x14ac:dyDescent="0.25">
      <c r="B230" s="149">
        <f t="shared" si="45"/>
        <v>171</v>
      </c>
      <c r="C230" s="16">
        <v>20201027</v>
      </c>
      <c r="D230" s="16" t="s">
        <v>2</v>
      </c>
      <c r="E230" s="74" t="s">
        <v>832</v>
      </c>
      <c r="F230" s="69"/>
      <c r="G230" s="37"/>
      <c r="H230" s="16" t="s">
        <v>850</v>
      </c>
      <c r="I230" s="16" t="s">
        <v>799</v>
      </c>
      <c r="J230" s="16" t="s">
        <v>188</v>
      </c>
      <c r="K230" s="37"/>
      <c r="L230" s="69"/>
      <c r="M230" s="37"/>
      <c r="N230" s="16"/>
      <c r="O230" s="69" t="s">
        <v>821</v>
      </c>
      <c r="P230" s="69" t="s">
        <v>863</v>
      </c>
      <c r="Q230" s="18"/>
      <c r="R230" s="16" t="s">
        <v>172</v>
      </c>
      <c r="S230" s="16" t="s">
        <v>147</v>
      </c>
      <c r="T230" s="16"/>
      <c r="U230" s="16"/>
      <c r="V230" s="16">
        <v>127</v>
      </c>
      <c r="W230" s="15">
        <f>ROUND(IF(D230=Table!$C$3,Y230*Table!$C$4/8,Y230*Table!$D$4/8),3)</f>
        <v>104</v>
      </c>
      <c r="X230" s="101">
        <f t="shared" si="51"/>
        <v>104</v>
      </c>
      <c r="Y230" s="101">
        <v>6.4</v>
      </c>
      <c r="Z230" s="101">
        <f t="shared" si="52"/>
        <v>6.4</v>
      </c>
      <c r="AA230" s="16" t="s">
        <v>70</v>
      </c>
      <c r="AB230" s="70">
        <v>44137</v>
      </c>
      <c r="AC230" s="19">
        <v>44132</v>
      </c>
      <c r="AD230" s="70">
        <v>44137</v>
      </c>
      <c r="AE230" s="70">
        <v>44137</v>
      </c>
      <c r="AF230" s="70">
        <v>44137</v>
      </c>
      <c r="AG230" s="70" t="s">
        <v>130</v>
      </c>
      <c r="AH230" s="97">
        <v>0.97</v>
      </c>
      <c r="AI230" s="97">
        <v>0.97399999999999998</v>
      </c>
      <c r="AJ230" s="97">
        <v>0.38900000000000001</v>
      </c>
      <c r="AK230" s="71"/>
      <c r="AL230" s="76" t="s">
        <v>117</v>
      </c>
      <c r="AM230" s="87" t="s">
        <v>1133</v>
      </c>
      <c r="AN230" s="15"/>
      <c r="AO230" s="15"/>
    </row>
    <row r="231" spans="2:41" x14ac:dyDescent="0.25">
      <c r="B231" s="149">
        <f t="shared" si="45"/>
        <v>172</v>
      </c>
      <c r="C231" s="16">
        <v>20201027</v>
      </c>
      <c r="D231" s="16" t="s">
        <v>2</v>
      </c>
      <c r="E231" s="74" t="s">
        <v>832</v>
      </c>
      <c r="F231" s="69"/>
      <c r="G231" s="37"/>
      <c r="H231" s="16" t="s">
        <v>851</v>
      </c>
      <c r="I231" s="16" t="s">
        <v>800</v>
      </c>
      <c r="J231" s="16" t="s">
        <v>188</v>
      </c>
      <c r="K231" s="37"/>
      <c r="L231" s="69"/>
      <c r="M231" s="37"/>
      <c r="N231" s="16"/>
      <c r="O231" s="69" t="s">
        <v>813</v>
      </c>
      <c r="P231" s="69" t="s">
        <v>863</v>
      </c>
      <c r="Q231" s="18"/>
      <c r="R231" s="16" t="s">
        <v>172</v>
      </c>
      <c r="S231" s="16" t="s">
        <v>147</v>
      </c>
      <c r="T231" s="16"/>
      <c r="U231" s="16"/>
      <c r="V231" s="16">
        <v>194</v>
      </c>
      <c r="W231" s="15">
        <f>ROUND(IF(D231=Table!$C$3,Y231*Table!$C$4/8,Y231*Table!$D$4/8),3)</f>
        <v>156</v>
      </c>
      <c r="X231" s="101">
        <f t="shared" si="51"/>
        <v>156</v>
      </c>
      <c r="Y231" s="101">
        <v>9.6000000000000014</v>
      </c>
      <c r="Z231" s="101">
        <f t="shared" si="52"/>
        <v>9.6000000000000014</v>
      </c>
      <c r="AA231" s="16" t="s">
        <v>70</v>
      </c>
      <c r="AB231" s="70">
        <v>44137</v>
      </c>
      <c r="AC231" s="19">
        <v>44132</v>
      </c>
      <c r="AD231" s="70">
        <v>44137</v>
      </c>
      <c r="AE231" s="70">
        <v>44137</v>
      </c>
      <c r="AF231" s="70">
        <v>44137</v>
      </c>
      <c r="AG231" s="70" t="s">
        <v>130</v>
      </c>
      <c r="AH231" s="97">
        <v>1</v>
      </c>
      <c r="AI231" s="97">
        <v>0.98599999999999999</v>
      </c>
      <c r="AJ231" s="97">
        <v>0.622</v>
      </c>
      <c r="AK231" s="71"/>
      <c r="AL231" s="76" t="s">
        <v>117</v>
      </c>
      <c r="AM231" s="147" t="s">
        <v>1019</v>
      </c>
      <c r="AN231" s="15"/>
      <c r="AO231" s="15"/>
    </row>
    <row r="232" spans="2:41" x14ac:dyDescent="0.25">
      <c r="B232" s="149">
        <f t="shared" si="45"/>
        <v>173</v>
      </c>
      <c r="C232" s="16">
        <v>20201027</v>
      </c>
      <c r="D232" s="16" t="s">
        <v>2</v>
      </c>
      <c r="E232" s="74" t="s">
        <v>832</v>
      </c>
      <c r="F232" s="69"/>
      <c r="G232" s="37"/>
      <c r="H232" s="16" t="s">
        <v>852</v>
      </c>
      <c r="I232" s="16" t="s">
        <v>801</v>
      </c>
      <c r="J232" s="16" t="s">
        <v>188</v>
      </c>
      <c r="K232" s="37"/>
      <c r="L232" s="69"/>
      <c r="M232" s="37"/>
      <c r="N232" s="16"/>
      <c r="O232" s="69" t="s">
        <v>192</v>
      </c>
      <c r="P232" s="69" t="s">
        <v>863</v>
      </c>
      <c r="Q232" s="18"/>
      <c r="R232" s="16" t="s">
        <v>171</v>
      </c>
      <c r="S232" s="16" t="s">
        <v>61</v>
      </c>
      <c r="T232" s="16"/>
      <c r="U232" s="16"/>
      <c r="V232" s="16">
        <v>16</v>
      </c>
      <c r="W232" s="15">
        <f>ROUND(IF(D232=Table!$C$3,Y232*Table!$C$4/8,Y232*Table!$D$4/8),3)</f>
        <v>26</v>
      </c>
      <c r="X232" s="101">
        <f t="shared" ref="X232:X234" si="53">W232</f>
        <v>26</v>
      </c>
      <c r="Y232" s="101">
        <v>1.6</v>
      </c>
      <c r="Z232" s="101"/>
      <c r="AA232" s="16" t="s">
        <v>70</v>
      </c>
      <c r="AB232" s="70">
        <v>44137</v>
      </c>
      <c r="AC232" s="19">
        <v>44132</v>
      </c>
      <c r="AD232" s="70">
        <v>44137</v>
      </c>
      <c r="AE232" s="70">
        <v>44134</v>
      </c>
      <c r="AF232" s="70">
        <v>44134</v>
      </c>
      <c r="AG232" s="70" t="s">
        <v>130</v>
      </c>
      <c r="AH232" s="97">
        <v>1</v>
      </c>
      <c r="AI232" s="97">
        <v>1</v>
      </c>
      <c r="AJ232" s="97">
        <v>0.33300000000000002</v>
      </c>
      <c r="AK232" s="71"/>
      <c r="AL232" s="76" t="s">
        <v>117</v>
      </c>
      <c r="AM232" s="87"/>
      <c r="AN232" s="15"/>
      <c r="AO232" s="15"/>
    </row>
    <row r="233" spans="2:41" x14ac:dyDescent="0.25">
      <c r="B233" s="149">
        <f t="shared" si="45"/>
        <v>174</v>
      </c>
      <c r="C233" s="16">
        <v>20201027</v>
      </c>
      <c r="D233" s="16" t="s">
        <v>2</v>
      </c>
      <c r="E233" s="74" t="s">
        <v>832</v>
      </c>
      <c r="F233" s="69"/>
      <c r="G233" s="37"/>
      <c r="H233" s="16" t="s">
        <v>853</v>
      </c>
      <c r="I233" s="16" t="s">
        <v>802</v>
      </c>
      <c r="J233" s="16" t="s">
        <v>188</v>
      </c>
      <c r="K233" s="37"/>
      <c r="L233" s="69"/>
      <c r="M233" s="37"/>
      <c r="N233" s="16"/>
      <c r="O233" s="69" t="s">
        <v>203</v>
      </c>
      <c r="P233" s="69" t="s">
        <v>864</v>
      </c>
      <c r="Q233" s="18"/>
      <c r="R233" s="16" t="s">
        <v>171</v>
      </c>
      <c r="S233" s="16" t="s">
        <v>61</v>
      </c>
      <c r="T233" s="16"/>
      <c r="U233" s="16"/>
      <c r="V233" s="16">
        <v>24</v>
      </c>
      <c r="W233" s="15">
        <f>ROUND(IF(D233=Table!$C$3,Y233*Table!$C$4/8,Y233*Table!$D$4/8),3)</f>
        <v>26</v>
      </c>
      <c r="X233" s="101">
        <f t="shared" si="53"/>
        <v>26</v>
      </c>
      <c r="Y233" s="101">
        <v>1.6</v>
      </c>
      <c r="Z233" s="101"/>
      <c r="AA233" s="16" t="s">
        <v>70</v>
      </c>
      <c r="AB233" s="70">
        <v>44137</v>
      </c>
      <c r="AC233" s="19">
        <v>44132</v>
      </c>
      <c r="AD233" s="70">
        <v>44137</v>
      </c>
      <c r="AE233" s="70">
        <v>44137</v>
      </c>
      <c r="AF233" s="70">
        <v>44137</v>
      </c>
      <c r="AG233" s="70" t="s">
        <v>130</v>
      </c>
      <c r="AH233" s="97">
        <v>1</v>
      </c>
      <c r="AI233" s="97">
        <v>1</v>
      </c>
      <c r="AJ233" s="97" t="s">
        <v>213</v>
      </c>
      <c r="AK233" s="71"/>
      <c r="AL233" s="76" t="s">
        <v>117</v>
      </c>
      <c r="AM233" s="87"/>
      <c r="AN233" s="15"/>
      <c r="AO233" s="15"/>
    </row>
    <row r="234" spans="2:41" x14ac:dyDescent="0.25">
      <c r="B234" s="149">
        <f t="shared" si="45"/>
        <v>175</v>
      </c>
      <c r="C234" s="16">
        <v>20201027</v>
      </c>
      <c r="D234" s="16" t="s">
        <v>2</v>
      </c>
      <c r="E234" s="74" t="s">
        <v>832</v>
      </c>
      <c r="F234" s="69"/>
      <c r="G234" s="37"/>
      <c r="H234" s="16" t="s">
        <v>854</v>
      </c>
      <c r="I234" s="16" t="s">
        <v>803</v>
      </c>
      <c r="J234" s="16" t="s">
        <v>188</v>
      </c>
      <c r="K234" s="37"/>
      <c r="L234" s="69"/>
      <c r="M234" s="37"/>
      <c r="N234" s="16"/>
      <c r="O234" s="69" t="s">
        <v>203</v>
      </c>
      <c r="P234" s="69" t="s">
        <v>864</v>
      </c>
      <c r="Q234" s="18"/>
      <c r="R234" s="16" t="s">
        <v>171</v>
      </c>
      <c r="S234" s="16" t="s">
        <v>61</v>
      </c>
      <c r="T234" s="16"/>
      <c r="U234" s="16"/>
      <c r="V234" s="16">
        <v>10</v>
      </c>
      <c r="W234" s="15">
        <f>ROUND(IF(D234=Table!$C$3,Y234*Table!$C$4/8,Y234*Table!$D$4/8),3)</f>
        <v>26</v>
      </c>
      <c r="X234" s="101">
        <f t="shared" si="53"/>
        <v>26</v>
      </c>
      <c r="Y234" s="101">
        <v>1.6</v>
      </c>
      <c r="Z234" s="101"/>
      <c r="AA234" s="16" t="s">
        <v>70</v>
      </c>
      <c r="AB234" s="70">
        <v>44137</v>
      </c>
      <c r="AC234" s="19">
        <v>44132</v>
      </c>
      <c r="AD234" s="70">
        <v>44137</v>
      </c>
      <c r="AE234" s="70">
        <v>44137</v>
      </c>
      <c r="AF234" s="70">
        <v>44137</v>
      </c>
      <c r="AG234" s="70" t="s">
        <v>130</v>
      </c>
      <c r="AH234" s="97">
        <v>1</v>
      </c>
      <c r="AI234" s="97">
        <v>1</v>
      </c>
      <c r="AJ234" s="97" t="s">
        <v>213</v>
      </c>
      <c r="AK234" s="71"/>
      <c r="AL234" s="76" t="s">
        <v>117</v>
      </c>
      <c r="AM234" s="87"/>
      <c r="AN234" s="15"/>
      <c r="AO234" s="15"/>
    </row>
    <row r="235" spans="2:41" x14ac:dyDescent="0.25">
      <c r="B235" s="149">
        <f t="shared" si="45"/>
        <v>176</v>
      </c>
      <c r="C235" s="16">
        <v>20201027</v>
      </c>
      <c r="D235" s="16" t="s">
        <v>3</v>
      </c>
      <c r="E235" s="74" t="s">
        <v>832</v>
      </c>
      <c r="F235" s="69"/>
      <c r="G235" s="37"/>
      <c r="H235" s="16" t="s">
        <v>217</v>
      </c>
      <c r="I235" s="16" t="s">
        <v>526</v>
      </c>
      <c r="J235" s="16" t="s">
        <v>174</v>
      </c>
      <c r="K235" s="37"/>
      <c r="L235" s="69" t="s">
        <v>1015</v>
      </c>
      <c r="M235" s="37"/>
      <c r="N235" s="16"/>
      <c r="O235" s="69" t="s">
        <v>822</v>
      </c>
      <c r="P235" s="69" t="s">
        <v>865</v>
      </c>
      <c r="Q235" s="18"/>
      <c r="R235" s="16" t="s">
        <v>168</v>
      </c>
      <c r="S235" s="16" t="s">
        <v>109</v>
      </c>
      <c r="T235" s="16"/>
      <c r="U235" s="16"/>
      <c r="V235" s="16">
        <v>362</v>
      </c>
      <c r="W235" s="15">
        <f>ROUND(IF(D235=Table!$C$3,Y235*Table!$C$4/8,Y235*Table!$D$4/8),3)</f>
        <v>112.5</v>
      </c>
      <c r="X235" s="101">
        <f t="shared" ref="X235:X247" si="54">W235</f>
        <v>112.5</v>
      </c>
      <c r="Y235" s="101">
        <v>2</v>
      </c>
      <c r="Z235" s="101">
        <f t="shared" ref="Z235:Z244" si="55">Y235</f>
        <v>2</v>
      </c>
      <c r="AA235" s="16" t="s">
        <v>70</v>
      </c>
      <c r="AB235" s="70">
        <v>44137</v>
      </c>
      <c r="AC235" s="19">
        <v>44132</v>
      </c>
      <c r="AD235" s="70">
        <v>44137</v>
      </c>
      <c r="AE235" s="70">
        <v>44133</v>
      </c>
      <c r="AF235" s="70">
        <v>44133</v>
      </c>
      <c r="AG235" s="70" t="s">
        <v>130</v>
      </c>
      <c r="AH235" s="97">
        <v>1</v>
      </c>
      <c r="AI235" s="97">
        <v>1</v>
      </c>
      <c r="AJ235" s="97">
        <v>0.34</v>
      </c>
      <c r="AK235" s="71"/>
      <c r="AL235" s="76" t="s">
        <v>117</v>
      </c>
      <c r="AM235" s="87"/>
      <c r="AN235" s="15"/>
      <c r="AO235" s="15"/>
    </row>
    <row r="236" spans="2:41" x14ac:dyDescent="0.25">
      <c r="B236" s="149">
        <f t="shared" si="45"/>
        <v>177</v>
      </c>
      <c r="C236" s="16">
        <v>20201027</v>
      </c>
      <c r="D236" s="16" t="s">
        <v>3</v>
      </c>
      <c r="E236" s="74" t="s">
        <v>832</v>
      </c>
      <c r="F236" s="69"/>
      <c r="G236" s="37"/>
      <c r="H236" s="16" t="s">
        <v>246</v>
      </c>
      <c r="I236" s="16" t="s">
        <v>527</v>
      </c>
      <c r="J236" s="16" t="s">
        <v>174</v>
      </c>
      <c r="K236" s="37"/>
      <c r="L236" s="69" t="s">
        <v>1015</v>
      </c>
      <c r="M236" s="37"/>
      <c r="N236" s="16"/>
      <c r="O236" s="69" t="s">
        <v>823</v>
      </c>
      <c r="P236" s="69" t="s">
        <v>865</v>
      </c>
      <c r="Q236" s="18"/>
      <c r="R236" s="16" t="s">
        <v>168</v>
      </c>
      <c r="S236" s="16" t="s">
        <v>109</v>
      </c>
      <c r="T236" s="16"/>
      <c r="U236" s="16"/>
      <c r="V236" s="16">
        <v>532</v>
      </c>
      <c r="W236" s="15">
        <f>ROUND(IF(D236=Table!$C$3,Y236*Table!$C$4/8,Y236*Table!$D$4/8),3)</f>
        <v>216</v>
      </c>
      <c r="X236" s="101">
        <f t="shared" si="54"/>
        <v>216</v>
      </c>
      <c r="Y236" s="101">
        <v>3.84</v>
      </c>
      <c r="Z236" s="101">
        <f t="shared" si="55"/>
        <v>3.84</v>
      </c>
      <c r="AA236" s="16" t="s">
        <v>70</v>
      </c>
      <c r="AB236" s="70">
        <v>44137</v>
      </c>
      <c r="AC236" s="19">
        <v>44132</v>
      </c>
      <c r="AD236" s="70">
        <v>44137</v>
      </c>
      <c r="AE236" s="70">
        <v>44133</v>
      </c>
      <c r="AF236" s="70">
        <v>44133</v>
      </c>
      <c r="AG236" s="70" t="s">
        <v>130</v>
      </c>
      <c r="AH236" s="97">
        <v>1</v>
      </c>
      <c r="AI236" s="97">
        <v>1</v>
      </c>
      <c r="AJ236" s="97">
        <v>0.68</v>
      </c>
      <c r="AK236" s="71"/>
      <c r="AL236" s="76" t="s">
        <v>117</v>
      </c>
      <c r="AM236" s="87"/>
      <c r="AN236" s="15"/>
      <c r="AO236" s="15"/>
    </row>
    <row r="237" spans="2:41" x14ac:dyDescent="0.25">
      <c r="B237" s="149">
        <f t="shared" si="45"/>
        <v>178</v>
      </c>
      <c r="C237" s="16">
        <v>20201027</v>
      </c>
      <c r="D237" s="16" t="s">
        <v>3</v>
      </c>
      <c r="E237" s="74" t="s">
        <v>832</v>
      </c>
      <c r="F237" s="69"/>
      <c r="G237" s="37"/>
      <c r="H237" s="16" t="s">
        <v>219</v>
      </c>
      <c r="I237" s="16" t="s">
        <v>804</v>
      </c>
      <c r="J237" s="16" t="s">
        <v>188</v>
      </c>
      <c r="K237" s="37"/>
      <c r="L237" s="69" t="s">
        <v>1015</v>
      </c>
      <c r="M237" s="37"/>
      <c r="N237" s="16"/>
      <c r="O237" s="69" t="s">
        <v>824</v>
      </c>
      <c r="P237" s="69" t="s">
        <v>865</v>
      </c>
      <c r="Q237" s="18"/>
      <c r="R237" s="16" t="s">
        <v>168</v>
      </c>
      <c r="S237" s="16" t="s">
        <v>109</v>
      </c>
      <c r="T237" s="16"/>
      <c r="U237" s="16"/>
      <c r="V237" s="16">
        <v>111</v>
      </c>
      <c r="W237" s="15">
        <f>ROUND(IF(D237=Table!$C$3,Y237*Table!$C$4/8,Y237*Table!$D$4/8),3)</f>
        <v>58.5</v>
      </c>
      <c r="X237" s="101">
        <f t="shared" si="54"/>
        <v>58.5</v>
      </c>
      <c r="Y237" s="101">
        <v>1.04</v>
      </c>
      <c r="Z237" s="101">
        <f t="shared" si="55"/>
        <v>1.04</v>
      </c>
      <c r="AA237" s="16" t="s">
        <v>70</v>
      </c>
      <c r="AB237" s="70">
        <v>44137</v>
      </c>
      <c r="AC237" s="19">
        <v>44132</v>
      </c>
      <c r="AD237" s="70">
        <v>44137</v>
      </c>
      <c r="AE237" s="70">
        <v>44133</v>
      </c>
      <c r="AF237" s="70">
        <v>44133</v>
      </c>
      <c r="AG237" s="70" t="s">
        <v>130</v>
      </c>
      <c r="AH237" s="97">
        <v>1</v>
      </c>
      <c r="AI237" s="97">
        <v>1</v>
      </c>
      <c r="AJ237" s="97">
        <v>0.94</v>
      </c>
      <c r="AK237" s="71"/>
      <c r="AL237" s="76" t="s">
        <v>117</v>
      </c>
      <c r="AM237" s="87"/>
      <c r="AN237" s="15"/>
      <c r="AO237" s="15"/>
    </row>
    <row r="238" spans="2:41" x14ac:dyDescent="0.25">
      <c r="B238" s="149">
        <f t="shared" si="45"/>
        <v>179</v>
      </c>
      <c r="C238" s="16">
        <v>20201027</v>
      </c>
      <c r="D238" s="16" t="s">
        <v>3</v>
      </c>
      <c r="E238" s="74" t="s">
        <v>832</v>
      </c>
      <c r="F238" s="69"/>
      <c r="G238" s="37"/>
      <c r="H238" s="16" t="s">
        <v>247</v>
      </c>
      <c r="I238" s="16" t="s">
        <v>805</v>
      </c>
      <c r="J238" s="16" t="s">
        <v>174</v>
      </c>
      <c r="K238" s="37"/>
      <c r="L238" s="69" t="s">
        <v>1015</v>
      </c>
      <c r="M238" s="37"/>
      <c r="N238" s="16"/>
      <c r="O238" s="69" t="s">
        <v>825</v>
      </c>
      <c r="P238" s="69" t="s">
        <v>865</v>
      </c>
      <c r="Q238" s="18"/>
      <c r="R238" s="16" t="s">
        <v>168</v>
      </c>
      <c r="S238" s="16" t="s">
        <v>109</v>
      </c>
      <c r="T238" s="16"/>
      <c r="U238" s="16"/>
      <c r="V238" s="16">
        <v>764</v>
      </c>
      <c r="W238" s="15">
        <f>ROUND(IF(D238=Table!$C$3,Y238*Table!$C$4/8,Y238*Table!$D$4/8),3)</f>
        <v>58.5</v>
      </c>
      <c r="X238" s="101">
        <f t="shared" si="54"/>
        <v>58.5</v>
      </c>
      <c r="Y238" s="101">
        <v>1.04</v>
      </c>
      <c r="Z238" s="101">
        <f t="shared" si="55"/>
        <v>1.04</v>
      </c>
      <c r="AA238" s="16" t="s">
        <v>70</v>
      </c>
      <c r="AB238" s="70">
        <v>44137</v>
      </c>
      <c r="AC238" s="19">
        <v>44132</v>
      </c>
      <c r="AD238" s="70">
        <v>44137</v>
      </c>
      <c r="AE238" s="70">
        <v>44134</v>
      </c>
      <c r="AF238" s="70">
        <v>44134</v>
      </c>
      <c r="AG238" s="70" t="s">
        <v>130</v>
      </c>
      <c r="AH238" s="97">
        <v>1</v>
      </c>
      <c r="AI238" s="97">
        <v>1</v>
      </c>
      <c r="AJ238" s="97">
        <v>1</v>
      </c>
      <c r="AK238" s="71"/>
      <c r="AL238" s="76" t="s">
        <v>117</v>
      </c>
      <c r="AM238" s="87"/>
      <c r="AN238" s="15"/>
      <c r="AO238" s="15"/>
    </row>
    <row r="239" spans="2:41" x14ac:dyDescent="0.25">
      <c r="B239" s="149">
        <f t="shared" si="45"/>
        <v>180</v>
      </c>
      <c r="C239" s="16">
        <v>20201027</v>
      </c>
      <c r="D239" s="16" t="s">
        <v>3</v>
      </c>
      <c r="E239" s="74" t="s">
        <v>832</v>
      </c>
      <c r="F239" s="69"/>
      <c r="G239" s="37"/>
      <c r="H239" s="16" t="s">
        <v>855</v>
      </c>
      <c r="I239" s="16" t="s">
        <v>206</v>
      </c>
      <c r="J239" s="16" t="s">
        <v>174</v>
      </c>
      <c r="K239" s="37"/>
      <c r="L239" s="69" t="s">
        <v>1015</v>
      </c>
      <c r="M239" s="37"/>
      <c r="N239" s="16"/>
      <c r="O239" s="69" t="s">
        <v>826</v>
      </c>
      <c r="P239" s="69" t="s">
        <v>865</v>
      </c>
      <c r="Q239" s="18"/>
      <c r="R239" s="16" t="s">
        <v>168</v>
      </c>
      <c r="S239" s="16" t="s">
        <v>109</v>
      </c>
      <c r="T239" s="16"/>
      <c r="U239" s="16"/>
      <c r="V239" s="16">
        <v>84</v>
      </c>
      <c r="W239" s="15">
        <f>ROUND(IF(D239=Table!$C$3,Y239*Table!$C$4/8,Y239*Table!$D$4/8),3)</f>
        <v>58.5</v>
      </c>
      <c r="X239" s="101">
        <f t="shared" si="54"/>
        <v>58.5</v>
      </c>
      <c r="Y239" s="101">
        <v>1.04</v>
      </c>
      <c r="Z239" s="101">
        <f t="shared" si="55"/>
        <v>1.04</v>
      </c>
      <c r="AA239" s="16" t="s">
        <v>70</v>
      </c>
      <c r="AB239" s="70">
        <v>44137</v>
      </c>
      <c r="AC239" s="19">
        <v>44132</v>
      </c>
      <c r="AD239" s="70">
        <v>44137</v>
      </c>
      <c r="AE239" s="70">
        <v>44133</v>
      </c>
      <c r="AF239" s="70">
        <v>44133</v>
      </c>
      <c r="AG239" s="70" t="s">
        <v>130</v>
      </c>
      <c r="AH239" s="97">
        <v>1</v>
      </c>
      <c r="AI239" s="97">
        <v>1</v>
      </c>
      <c r="AJ239" s="97">
        <v>0.83</v>
      </c>
      <c r="AK239" s="71"/>
      <c r="AL239" s="76" t="s">
        <v>117</v>
      </c>
      <c r="AM239" s="87"/>
      <c r="AN239" s="15"/>
      <c r="AO239" s="15"/>
    </row>
    <row r="240" spans="2:41" x14ac:dyDescent="0.25">
      <c r="B240" s="149">
        <f t="shared" si="45"/>
        <v>181</v>
      </c>
      <c r="C240" s="16">
        <v>20201027</v>
      </c>
      <c r="D240" s="16" t="s">
        <v>3</v>
      </c>
      <c r="E240" s="74" t="s">
        <v>832</v>
      </c>
      <c r="F240" s="69"/>
      <c r="G240" s="37"/>
      <c r="H240" s="16" t="s">
        <v>734</v>
      </c>
      <c r="I240" s="16" t="s">
        <v>208</v>
      </c>
      <c r="J240" s="16" t="s">
        <v>174</v>
      </c>
      <c r="K240" s="37"/>
      <c r="L240" s="69" t="s">
        <v>1015</v>
      </c>
      <c r="M240" s="37"/>
      <c r="N240" s="16"/>
      <c r="O240" s="69" t="s">
        <v>827</v>
      </c>
      <c r="P240" s="69" t="s">
        <v>865</v>
      </c>
      <c r="Q240" s="18"/>
      <c r="R240" s="16" t="s">
        <v>168</v>
      </c>
      <c r="S240" s="16" t="s">
        <v>109</v>
      </c>
      <c r="T240" s="16"/>
      <c r="U240" s="16"/>
      <c r="V240" s="16">
        <v>940</v>
      </c>
      <c r="W240" s="15">
        <f>ROUND(IF(D240=Table!$C$3,Y240*Table!$C$4/8,Y240*Table!$D$4/8),3)</f>
        <v>81</v>
      </c>
      <c r="X240" s="101">
        <f t="shared" si="54"/>
        <v>81</v>
      </c>
      <c r="Y240" s="101">
        <v>1.44</v>
      </c>
      <c r="Z240" s="101">
        <f t="shared" si="55"/>
        <v>1.44</v>
      </c>
      <c r="AA240" s="16" t="s">
        <v>70</v>
      </c>
      <c r="AB240" s="70">
        <v>44137</v>
      </c>
      <c r="AC240" s="19">
        <v>44132</v>
      </c>
      <c r="AD240" s="70">
        <v>44137</v>
      </c>
      <c r="AE240" s="70">
        <v>44133</v>
      </c>
      <c r="AF240" s="70">
        <v>44133</v>
      </c>
      <c r="AG240" s="70" t="s">
        <v>130</v>
      </c>
      <c r="AH240" s="97">
        <v>1</v>
      </c>
      <c r="AI240" s="97">
        <v>1</v>
      </c>
      <c r="AJ240" s="97">
        <v>1</v>
      </c>
      <c r="AK240" s="71"/>
      <c r="AL240" s="76" t="s">
        <v>117</v>
      </c>
      <c r="AM240" s="87"/>
      <c r="AN240" s="15"/>
      <c r="AO240" s="15"/>
    </row>
    <row r="241" spans="2:41" x14ac:dyDescent="0.25">
      <c r="B241" s="149">
        <f t="shared" si="45"/>
        <v>182</v>
      </c>
      <c r="C241" s="16">
        <v>20201027</v>
      </c>
      <c r="D241" s="16" t="s">
        <v>3</v>
      </c>
      <c r="E241" s="74" t="s">
        <v>832</v>
      </c>
      <c r="F241" s="69"/>
      <c r="G241" s="37"/>
      <c r="H241" s="16" t="s">
        <v>245</v>
      </c>
      <c r="I241" s="16" t="s">
        <v>209</v>
      </c>
      <c r="J241" s="16" t="s">
        <v>174</v>
      </c>
      <c r="K241" s="37"/>
      <c r="L241" s="69" t="s">
        <v>1015</v>
      </c>
      <c r="M241" s="37"/>
      <c r="N241" s="16"/>
      <c r="O241" s="69" t="s">
        <v>828</v>
      </c>
      <c r="P241" s="69" t="s">
        <v>865</v>
      </c>
      <c r="Q241" s="18"/>
      <c r="R241" s="16" t="s">
        <v>168</v>
      </c>
      <c r="S241" s="16" t="s">
        <v>109</v>
      </c>
      <c r="T241" s="16"/>
      <c r="U241" s="16"/>
      <c r="V241" s="16">
        <v>128</v>
      </c>
      <c r="W241" s="15">
        <f>ROUND(IF(D241=Table!$C$3,Y241*Table!$C$4/8,Y241*Table!$D$4/8),3)</f>
        <v>58.5</v>
      </c>
      <c r="X241" s="101">
        <f t="shared" si="54"/>
        <v>58.5</v>
      </c>
      <c r="Y241" s="101">
        <v>1.04</v>
      </c>
      <c r="Z241" s="101">
        <f t="shared" si="55"/>
        <v>1.04</v>
      </c>
      <c r="AA241" s="16" t="s">
        <v>70</v>
      </c>
      <c r="AB241" s="70">
        <v>44137</v>
      </c>
      <c r="AC241" s="19">
        <v>44132</v>
      </c>
      <c r="AD241" s="70">
        <v>44137</v>
      </c>
      <c r="AE241" s="70">
        <v>44133</v>
      </c>
      <c r="AF241" s="70">
        <v>44133</v>
      </c>
      <c r="AG241" s="70" t="s">
        <v>130</v>
      </c>
      <c r="AH241" s="97">
        <v>1</v>
      </c>
      <c r="AI241" s="97">
        <v>1</v>
      </c>
      <c r="AJ241" s="97">
        <v>1</v>
      </c>
      <c r="AK241" s="71"/>
      <c r="AL241" s="76" t="s">
        <v>117</v>
      </c>
      <c r="AM241" s="87"/>
      <c r="AN241" s="15"/>
      <c r="AO241" s="15"/>
    </row>
    <row r="242" spans="2:41" x14ac:dyDescent="0.25">
      <c r="B242" s="149">
        <f t="shared" si="45"/>
        <v>183</v>
      </c>
      <c r="C242" s="16">
        <v>20201027</v>
      </c>
      <c r="D242" s="16" t="s">
        <v>3</v>
      </c>
      <c r="E242" s="74" t="s">
        <v>832</v>
      </c>
      <c r="F242" s="69"/>
      <c r="G242" s="37"/>
      <c r="H242" s="16" t="s">
        <v>736</v>
      </c>
      <c r="I242" s="16" t="s">
        <v>806</v>
      </c>
      <c r="J242" s="16" t="s">
        <v>174</v>
      </c>
      <c r="K242" s="37"/>
      <c r="L242" s="69" t="s">
        <v>1015</v>
      </c>
      <c r="M242" s="37"/>
      <c r="N242" s="16"/>
      <c r="O242" s="69" t="s">
        <v>829</v>
      </c>
      <c r="P242" s="69" t="s">
        <v>866</v>
      </c>
      <c r="Q242" s="18"/>
      <c r="R242" s="16" t="s">
        <v>168</v>
      </c>
      <c r="S242" s="16" t="s">
        <v>109</v>
      </c>
      <c r="T242" s="16"/>
      <c r="U242" s="16"/>
      <c r="V242" s="16">
        <v>440</v>
      </c>
      <c r="W242" s="15">
        <f>ROUND(IF(D242=Table!$C$3,Y242*Table!$C$4/8,Y242*Table!$D$4/8),3)</f>
        <v>148.5</v>
      </c>
      <c r="X242" s="101">
        <f t="shared" si="54"/>
        <v>148.5</v>
      </c>
      <c r="Y242" s="101">
        <v>2.64</v>
      </c>
      <c r="Z242" s="101">
        <f t="shared" si="55"/>
        <v>2.64</v>
      </c>
      <c r="AA242" s="16" t="s">
        <v>70</v>
      </c>
      <c r="AB242" s="70">
        <v>44137</v>
      </c>
      <c r="AC242" s="19">
        <v>44132</v>
      </c>
      <c r="AD242" s="70">
        <v>44137</v>
      </c>
      <c r="AE242" s="70">
        <v>44134</v>
      </c>
      <c r="AF242" s="70">
        <v>44134</v>
      </c>
      <c r="AG242" s="70" t="s">
        <v>130</v>
      </c>
      <c r="AH242" s="97">
        <v>1</v>
      </c>
      <c r="AI242" s="97">
        <v>1</v>
      </c>
      <c r="AJ242" s="97">
        <v>0.72</v>
      </c>
      <c r="AK242" s="71"/>
      <c r="AL242" s="76" t="s">
        <v>117</v>
      </c>
      <c r="AM242" s="87"/>
      <c r="AN242" s="15"/>
      <c r="AO242" s="15"/>
    </row>
    <row r="243" spans="2:41" x14ac:dyDescent="0.25">
      <c r="B243" s="149">
        <f t="shared" si="45"/>
        <v>184</v>
      </c>
      <c r="C243" s="16">
        <v>20201027</v>
      </c>
      <c r="D243" s="16" t="s">
        <v>3</v>
      </c>
      <c r="E243" s="74" t="s">
        <v>832</v>
      </c>
      <c r="F243" s="69"/>
      <c r="G243" s="37"/>
      <c r="H243" s="16" t="s">
        <v>252</v>
      </c>
      <c r="I243" s="16" t="s">
        <v>807</v>
      </c>
      <c r="J243" s="16" t="s">
        <v>174</v>
      </c>
      <c r="K243" s="37"/>
      <c r="L243" s="69" t="s">
        <v>1015</v>
      </c>
      <c r="M243" s="37"/>
      <c r="N243" s="16"/>
      <c r="O243" s="69" t="s">
        <v>830</v>
      </c>
      <c r="P243" s="69" t="s">
        <v>397</v>
      </c>
      <c r="Q243" s="18"/>
      <c r="R243" s="16" t="s">
        <v>168</v>
      </c>
      <c r="S243" s="16" t="s">
        <v>109</v>
      </c>
      <c r="T243" s="16"/>
      <c r="U243" s="16"/>
      <c r="V243" s="16">
        <v>426</v>
      </c>
      <c r="W243" s="15">
        <f>ROUND(IF(D243=Table!$C$3,Y243*Table!$C$4/8,Y243*Table!$D$4/8),3)</f>
        <v>198</v>
      </c>
      <c r="X243" s="101">
        <f t="shared" si="54"/>
        <v>198</v>
      </c>
      <c r="Y243" s="101">
        <v>3.5200000000000005</v>
      </c>
      <c r="Z243" s="101">
        <f t="shared" si="55"/>
        <v>3.5200000000000005</v>
      </c>
      <c r="AA243" s="16" t="s">
        <v>70</v>
      </c>
      <c r="AB243" s="70">
        <v>44137</v>
      </c>
      <c r="AC243" s="19">
        <v>44132</v>
      </c>
      <c r="AD243" s="70">
        <v>44137</v>
      </c>
      <c r="AE243" s="70">
        <v>44134</v>
      </c>
      <c r="AF243" s="70">
        <v>44134</v>
      </c>
      <c r="AG243" s="70" t="s">
        <v>130</v>
      </c>
      <c r="AH243" s="97">
        <v>1</v>
      </c>
      <c r="AI243" s="97">
        <v>1</v>
      </c>
      <c r="AJ243" s="97">
        <v>1</v>
      </c>
      <c r="AK243" s="71"/>
      <c r="AL243" s="76" t="s">
        <v>117</v>
      </c>
      <c r="AM243" s="87"/>
      <c r="AN243" s="15"/>
      <c r="AO243" s="15"/>
    </row>
    <row r="244" spans="2:41" x14ac:dyDescent="0.25">
      <c r="B244" s="149">
        <f t="shared" si="45"/>
        <v>185</v>
      </c>
      <c r="C244" s="16">
        <v>20201027</v>
      </c>
      <c r="D244" s="16" t="s">
        <v>3</v>
      </c>
      <c r="E244" s="74" t="s">
        <v>832</v>
      </c>
      <c r="F244" s="69"/>
      <c r="G244" s="37"/>
      <c r="H244" s="16" t="s">
        <v>856</v>
      </c>
      <c r="I244" s="16" t="s">
        <v>808</v>
      </c>
      <c r="J244" s="16" t="s">
        <v>174</v>
      </c>
      <c r="K244" s="37"/>
      <c r="L244" s="69" t="s">
        <v>1015</v>
      </c>
      <c r="M244" s="37"/>
      <c r="N244" s="16"/>
      <c r="O244" s="69" t="s">
        <v>831</v>
      </c>
      <c r="P244" s="69" t="s">
        <v>865</v>
      </c>
      <c r="Q244" s="18"/>
      <c r="R244" s="16" t="s">
        <v>168</v>
      </c>
      <c r="S244" s="16" t="s">
        <v>109</v>
      </c>
      <c r="T244" s="16"/>
      <c r="U244" s="16"/>
      <c r="V244" s="16">
        <v>134</v>
      </c>
      <c r="W244" s="15">
        <f>ROUND(IF(D244=Table!$C$3,Y244*Table!$C$4/8,Y244*Table!$D$4/8),3)</f>
        <v>58.5</v>
      </c>
      <c r="X244" s="101">
        <f t="shared" si="54"/>
        <v>58.5</v>
      </c>
      <c r="Y244" s="101">
        <v>1.04</v>
      </c>
      <c r="Z244" s="101">
        <f t="shared" si="55"/>
        <v>1.04</v>
      </c>
      <c r="AA244" s="16" t="s">
        <v>70</v>
      </c>
      <c r="AB244" s="70">
        <v>44137</v>
      </c>
      <c r="AC244" s="19">
        <v>44132</v>
      </c>
      <c r="AD244" s="70">
        <v>44137</v>
      </c>
      <c r="AE244" s="70">
        <v>44134</v>
      </c>
      <c r="AF244" s="70">
        <v>44134</v>
      </c>
      <c r="AG244" s="70" t="s">
        <v>130</v>
      </c>
      <c r="AH244" s="97">
        <v>1</v>
      </c>
      <c r="AI244" s="97">
        <v>1</v>
      </c>
      <c r="AJ244" s="97">
        <v>1</v>
      </c>
      <c r="AK244" s="71"/>
      <c r="AL244" s="76" t="s">
        <v>117</v>
      </c>
      <c r="AM244" s="87"/>
      <c r="AN244" s="15"/>
      <c r="AO244" s="15"/>
    </row>
    <row r="245" spans="2:41" x14ac:dyDescent="0.25">
      <c r="B245" s="98">
        <f t="shared" si="45"/>
        <v>186</v>
      </c>
      <c r="C245" s="16">
        <v>20201028</v>
      </c>
      <c r="D245" s="16" t="s">
        <v>2</v>
      </c>
      <c r="E245" s="165" t="s">
        <v>880</v>
      </c>
      <c r="F245" s="69"/>
      <c r="G245" s="37"/>
      <c r="H245" s="16"/>
      <c r="I245" s="16" t="s">
        <v>521</v>
      </c>
      <c r="J245" s="16"/>
      <c r="K245" s="37"/>
      <c r="L245" s="69"/>
      <c r="M245" s="37"/>
      <c r="N245" s="16"/>
      <c r="O245" s="69">
        <v>1.4</v>
      </c>
      <c r="P245" s="69"/>
      <c r="Q245" s="18"/>
      <c r="R245" s="16"/>
      <c r="S245" s="16" t="s">
        <v>61</v>
      </c>
      <c r="T245" s="16"/>
      <c r="U245" s="16"/>
      <c r="V245" s="16">
        <v>70</v>
      </c>
      <c r="W245" s="15">
        <f>ROUND(IF(D245=Table!$C$3,Y245*Table!$C$4/8,Y245*Table!$D$4/8),3)</f>
        <v>40.625</v>
      </c>
      <c r="X245" s="101">
        <f t="shared" si="54"/>
        <v>40.625</v>
      </c>
      <c r="Y245" s="101">
        <v>2.5</v>
      </c>
      <c r="Z245" s="101"/>
      <c r="AA245" s="16" t="s">
        <v>70</v>
      </c>
      <c r="AB245" s="19">
        <v>44132</v>
      </c>
      <c r="AC245" s="19">
        <v>44132</v>
      </c>
      <c r="AD245" s="70">
        <v>44132</v>
      </c>
      <c r="AE245" s="19">
        <v>44132</v>
      </c>
      <c r="AF245" s="70">
        <v>44132</v>
      </c>
      <c r="AG245" s="70" t="s">
        <v>130</v>
      </c>
      <c r="AH245" s="97">
        <v>1</v>
      </c>
      <c r="AI245" s="97">
        <v>1</v>
      </c>
      <c r="AJ245" s="97">
        <v>1</v>
      </c>
      <c r="AK245" s="71"/>
      <c r="AL245" s="76" t="s">
        <v>117</v>
      </c>
      <c r="AM245" s="87"/>
      <c r="AN245" s="15"/>
      <c r="AO245" s="15"/>
    </row>
    <row r="246" spans="2:41" x14ac:dyDescent="0.25">
      <c r="B246" s="98">
        <f t="shared" si="45"/>
        <v>187</v>
      </c>
      <c r="C246" s="16">
        <v>20201028</v>
      </c>
      <c r="D246" s="16" t="s">
        <v>2</v>
      </c>
      <c r="E246" s="165" t="s">
        <v>880</v>
      </c>
      <c r="F246" s="69"/>
      <c r="G246" s="37"/>
      <c r="H246" s="16"/>
      <c r="I246" s="16" t="s">
        <v>522</v>
      </c>
      <c r="J246" s="16"/>
      <c r="K246" s="37"/>
      <c r="L246" s="69"/>
      <c r="M246" s="37"/>
      <c r="N246" s="16"/>
      <c r="O246" s="69">
        <v>1.3</v>
      </c>
      <c r="P246" s="69"/>
      <c r="Q246" s="18"/>
      <c r="R246" s="16"/>
      <c r="S246" s="16" t="s">
        <v>61</v>
      </c>
      <c r="T246" s="16"/>
      <c r="U246" s="16"/>
      <c r="V246" s="16">
        <v>30</v>
      </c>
      <c r="W246" s="15">
        <f>ROUND(IF(D246=Table!$C$3,Y246*Table!$C$4/8,Y246*Table!$D$4/8),3)</f>
        <v>24.375</v>
      </c>
      <c r="X246" s="101">
        <f t="shared" si="54"/>
        <v>24.375</v>
      </c>
      <c r="Y246" s="101">
        <v>1.5</v>
      </c>
      <c r="Z246" s="101"/>
      <c r="AA246" s="16" t="s">
        <v>70</v>
      </c>
      <c r="AB246" s="19">
        <v>44132</v>
      </c>
      <c r="AC246" s="19">
        <v>44132</v>
      </c>
      <c r="AD246" s="70">
        <v>44132</v>
      </c>
      <c r="AE246" s="19">
        <v>44132</v>
      </c>
      <c r="AF246" s="70">
        <v>44132</v>
      </c>
      <c r="AG246" s="70" t="s">
        <v>130</v>
      </c>
      <c r="AH246" s="97">
        <v>0.91700000000000004</v>
      </c>
      <c r="AI246" s="97">
        <v>0.91700000000000004</v>
      </c>
      <c r="AJ246" s="97" t="s">
        <v>213</v>
      </c>
      <c r="AK246" s="71"/>
      <c r="AL246" s="76" t="s">
        <v>117</v>
      </c>
      <c r="AM246" s="87" t="s">
        <v>949</v>
      </c>
      <c r="AN246" s="15"/>
      <c r="AO246" s="15"/>
    </row>
    <row r="247" spans="2:41" x14ac:dyDescent="0.25">
      <c r="B247" s="98">
        <f t="shared" si="45"/>
        <v>188</v>
      </c>
      <c r="C247" s="16">
        <v>20201028</v>
      </c>
      <c r="D247" s="16" t="s">
        <v>2</v>
      </c>
      <c r="E247" s="165" t="s">
        <v>880</v>
      </c>
      <c r="F247" s="69"/>
      <c r="G247" s="37"/>
      <c r="H247" s="16"/>
      <c r="I247" s="16" t="s">
        <v>879</v>
      </c>
      <c r="J247" s="16"/>
      <c r="K247" s="37"/>
      <c r="L247" s="69"/>
      <c r="M247" s="37"/>
      <c r="N247" s="16"/>
      <c r="O247" s="69">
        <v>1.3</v>
      </c>
      <c r="P247" s="69"/>
      <c r="Q247" s="18"/>
      <c r="R247" s="16"/>
      <c r="S247" s="16" t="s">
        <v>61</v>
      </c>
      <c r="T247" s="16"/>
      <c r="U247" s="16"/>
      <c r="V247" s="16">
        <v>35</v>
      </c>
      <c r="W247" s="15">
        <f>ROUND(IF(D247=Table!$C$3,Y247*Table!$C$4/8,Y247*Table!$D$4/8),3)</f>
        <v>24.375</v>
      </c>
      <c r="X247" s="101">
        <f t="shared" si="54"/>
        <v>24.375</v>
      </c>
      <c r="Y247" s="101">
        <v>1.5</v>
      </c>
      <c r="Z247" s="101"/>
      <c r="AA247" s="16" t="s">
        <v>70</v>
      </c>
      <c r="AB247" s="19">
        <v>44132</v>
      </c>
      <c r="AC247" s="19">
        <v>44132</v>
      </c>
      <c r="AD247" s="70">
        <v>44132</v>
      </c>
      <c r="AE247" s="19">
        <v>44132</v>
      </c>
      <c r="AF247" s="70">
        <v>44132</v>
      </c>
      <c r="AG247" s="70" t="s">
        <v>130</v>
      </c>
      <c r="AH247" s="97">
        <v>0.94099999999999995</v>
      </c>
      <c r="AI247" s="97">
        <v>0.94399999999999995</v>
      </c>
      <c r="AJ247" s="97">
        <v>1</v>
      </c>
      <c r="AK247" s="71"/>
      <c r="AL247" s="76" t="s">
        <v>117</v>
      </c>
      <c r="AM247" s="87" t="s">
        <v>950</v>
      </c>
      <c r="AN247" s="15"/>
      <c r="AO247" s="15"/>
    </row>
    <row r="248" spans="2:41" x14ac:dyDescent="0.25">
      <c r="B248" s="98">
        <f t="shared" si="45"/>
        <v>189</v>
      </c>
      <c r="C248" s="16">
        <v>20201028</v>
      </c>
      <c r="D248" s="16" t="s">
        <v>2</v>
      </c>
      <c r="E248" s="74" t="s">
        <v>881</v>
      </c>
      <c r="F248" s="69"/>
      <c r="G248" s="37"/>
      <c r="H248" s="16"/>
      <c r="I248" s="16" t="s">
        <v>882</v>
      </c>
      <c r="J248" s="16"/>
      <c r="K248" s="37"/>
      <c r="L248" s="69"/>
      <c r="M248" s="37"/>
      <c r="N248" s="16"/>
      <c r="O248" s="69">
        <v>1.3</v>
      </c>
      <c r="P248" s="69"/>
      <c r="Q248" s="18"/>
      <c r="R248" s="16"/>
      <c r="S248" s="16" t="s">
        <v>109</v>
      </c>
      <c r="T248" s="16"/>
      <c r="U248" s="16"/>
      <c r="V248" s="16">
        <v>15</v>
      </c>
      <c r="W248" s="15">
        <f>ROUND(IF(D248=Table!$C$3,Y248*Table!$C$4/8,Y248*Table!$D$4/8),3)</f>
        <v>24.375</v>
      </c>
      <c r="X248" s="101">
        <f t="shared" ref="X248:X255" si="56">W248</f>
        <v>24.375</v>
      </c>
      <c r="Y248" s="101">
        <v>1.5</v>
      </c>
      <c r="Z248" s="101">
        <f t="shared" ref="Z248:Z260" si="57">Y248</f>
        <v>1.5</v>
      </c>
      <c r="AA248" s="16" t="s">
        <v>70</v>
      </c>
      <c r="AB248" s="70">
        <v>44134</v>
      </c>
      <c r="AC248" s="19">
        <v>44132</v>
      </c>
      <c r="AD248" s="70">
        <v>44134</v>
      </c>
      <c r="AE248" s="70">
        <v>44132</v>
      </c>
      <c r="AF248" s="70">
        <v>44132</v>
      </c>
      <c r="AG248" s="70" t="s">
        <v>130</v>
      </c>
      <c r="AH248" s="97">
        <v>1</v>
      </c>
      <c r="AI248" s="97">
        <v>1</v>
      </c>
      <c r="AJ248" s="97" t="s">
        <v>213</v>
      </c>
      <c r="AK248" s="71"/>
      <c r="AL248" s="76"/>
      <c r="AM248" s="87"/>
      <c r="AN248" s="15"/>
      <c r="AO248" s="15"/>
    </row>
    <row r="249" spans="2:41" x14ac:dyDescent="0.25">
      <c r="B249" s="98">
        <f t="shared" si="45"/>
        <v>190</v>
      </c>
      <c r="C249" s="16">
        <v>20201028</v>
      </c>
      <c r="D249" s="16" t="s">
        <v>2</v>
      </c>
      <c r="E249" s="74" t="s">
        <v>881</v>
      </c>
      <c r="F249" s="69"/>
      <c r="G249" s="37"/>
      <c r="H249" s="16"/>
      <c r="I249" s="16" t="s">
        <v>883</v>
      </c>
      <c r="J249" s="16"/>
      <c r="K249" s="37"/>
      <c r="L249" s="69"/>
      <c r="M249" s="37"/>
      <c r="N249" s="16"/>
      <c r="O249" s="69">
        <v>1.2</v>
      </c>
      <c r="P249" s="69"/>
      <c r="Q249" s="18"/>
      <c r="R249" s="16"/>
      <c r="S249" s="16" t="s">
        <v>109</v>
      </c>
      <c r="T249" s="16"/>
      <c r="U249" s="16"/>
      <c r="V249" s="16">
        <v>20</v>
      </c>
      <c r="W249" s="15">
        <f>ROUND(IF(D249=Table!$C$3,Y249*Table!$C$4/8,Y249*Table!$D$4/8),3)</f>
        <v>24.375</v>
      </c>
      <c r="X249" s="101">
        <f t="shared" si="56"/>
        <v>24.375</v>
      </c>
      <c r="Y249" s="101">
        <v>1.5</v>
      </c>
      <c r="Z249" s="101">
        <f t="shared" si="57"/>
        <v>1.5</v>
      </c>
      <c r="AA249" s="16" t="s">
        <v>70</v>
      </c>
      <c r="AB249" s="70">
        <v>44134</v>
      </c>
      <c r="AC249" s="19">
        <v>44132</v>
      </c>
      <c r="AD249" s="70">
        <v>44134</v>
      </c>
      <c r="AE249" s="70">
        <v>44132</v>
      </c>
      <c r="AF249" s="70">
        <v>44132</v>
      </c>
      <c r="AG249" s="70" t="s">
        <v>130</v>
      </c>
      <c r="AH249" s="97">
        <v>1</v>
      </c>
      <c r="AI249" s="97">
        <v>1</v>
      </c>
      <c r="AJ249" s="97" t="s">
        <v>213</v>
      </c>
      <c r="AK249" s="71"/>
      <c r="AL249" s="76"/>
      <c r="AM249" s="87"/>
      <c r="AN249" s="15"/>
      <c r="AO249" s="15"/>
    </row>
    <row r="250" spans="2:41" x14ac:dyDescent="0.25">
      <c r="B250" s="98">
        <f t="shared" si="45"/>
        <v>191</v>
      </c>
      <c r="C250" s="16">
        <v>20201028</v>
      </c>
      <c r="D250" s="16" t="s">
        <v>2</v>
      </c>
      <c r="E250" s="74" t="s">
        <v>881</v>
      </c>
      <c r="F250" s="69"/>
      <c r="G250" s="37"/>
      <c r="H250" s="16"/>
      <c r="I250" s="16" t="s">
        <v>884</v>
      </c>
      <c r="J250" s="16"/>
      <c r="K250" s="37"/>
      <c r="L250" s="69"/>
      <c r="M250" s="37"/>
      <c r="N250" s="16"/>
      <c r="O250" s="69">
        <v>1.6</v>
      </c>
      <c r="P250" s="69"/>
      <c r="Q250" s="18"/>
      <c r="R250" s="16"/>
      <c r="S250" s="16" t="s">
        <v>109</v>
      </c>
      <c r="T250" s="16"/>
      <c r="U250" s="16"/>
      <c r="V250" s="16">
        <v>60</v>
      </c>
      <c r="W250" s="15">
        <f>ROUND(IF(D250=Table!$C$3,Y250*Table!$C$4/8,Y250*Table!$D$4/8),3)</f>
        <v>40.625</v>
      </c>
      <c r="X250" s="101">
        <f t="shared" si="56"/>
        <v>40.625</v>
      </c>
      <c r="Y250" s="101">
        <v>2.5</v>
      </c>
      <c r="Z250" s="101">
        <f t="shared" si="57"/>
        <v>2.5</v>
      </c>
      <c r="AA250" s="16" t="s">
        <v>70</v>
      </c>
      <c r="AB250" s="70">
        <v>44134</v>
      </c>
      <c r="AC250" s="19">
        <v>44132</v>
      </c>
      <c r="AD250" s="70">
        <v>44134</v>
      </c>
      <c r="AE250" s="70">
        <v>44132</v>
      </c>
      <c r="AF250" s="70">
        <v>44132</v>
      </c>
      <c r="AG250" s="70" t="s">
        <v>130</v>
      </c>
      <c r="AH250" s="97">
        <v>1</v>
      </c>
      <c r="AI250" s="97">
        <v>1</v>
      </c>
      <c r="AJ250" s="97">
        <v>1</v>
      </c>
      <c r="AK250" s="71"/>
      <c r="AL250" s="76"/>
      <c r="AM250" s="87"/>
      <c r="AN250" s="15"/>
      <c r="AO250" s="15"/>
    </row>
    <row r="251" spans="2:41" x14ac:dyDescent="0.25">
      <c r="B251" s="98">
        <f t="shared" si="45"/>
        <v>192</v>
      </c>
      <c r="C251" s="16">
        <v>20201028</v>
      </c>
      <c r="D251" s="16" t="s">
        <v>2</v>
      </c>
      <c r="E251" s="74" t="s">
        <v>881</v>
      </c>
      <c r="F251" s="69"/>
      <c r="G251" s="37"/>
      <c r="H251" s="16"/>
      <c r="I251" s="16" t="s">
        <v>885</v>
      </c>
      <c r="J251" s="16"/>
      <c r="K251" s="37"/>
      <c r="L251" s="69"/>
      <c r="M251" s="37"/>
      <c r="N251" s="16"/>
      <c r="O251" s="69">
        <v>1.2</v>
      </c>
      <c r="P251" s="69"/>
      <c r="Q251" s="18"/>
      <c r="R251" s="16"/>
      <c r="S251" s="16" t="s">
        <v>109</v>
      </c>
      <c r="T251" s="16"/>
      <c r="U251" s="16"/>
      <c r="V251" s="16">
        <v>20</v>
      </c>
      <c r="W251" s="15">
        <f>ROUND(IF(D251=Table!$C$3,Y251*Table!$C$4/8,Y251*Table!$D$4/8),3)</f>
        <v>24.375</v>
      </c>
      <c r="X251" s="101">
        <f t="shared" si="56"/>
        <v>24.375</v>
      </c>
      <c r="Y251" s="101">
        <v>1.5</v>
      </c>
      <c r="Z251" s="101">
        <f t="shared" si="57"/>
        <v>1.5</v>
      </c>
      <c r="AA251" s="16" t="s">
        <v>70</v>
      </c>
      <c r="AB251" s="70">
        <v>44134</v>
      </c>
      <c r="AC251" s="19">
        <v>44132</v>
      </c>
      <c r="AD251" s="70">
        <v>44134</v>
      </c>
      <c r="AE251" s="70">
        <v>44132</v>
      </c>
      <c r="AF251" s="70">
        <v>44132</v>
      </c>
      <c r="AG251" s="70" t="s">
        <v>130</v>
      </c>
      <c r="AH251" s="97">
        <v>1</v>
      </c>
      <c r="AI251" s="97">
        <v>1</v>
      </c>
      <c r="AJ251" s="97" t="s">
        <v>213</v>
      </c>
      <c r="AK251" s="71"/>
      <c r="AL251" s="76"/>
      <c r="AM251" s="87"/>
      <c r="AN251" s="15"/>
      <c r="AO251" s="15"/>
    </row>
    <row r="252" spans="2:41" x14ac:dyDescent="0.25">
      <c r="B252" s="98">
        <f t="shared" si="45"/>
        <v>193</v>
      </c>
      <c r="C252" s="16">
        <v>20201028</v>
      </c>
      <c r="D252" s="16" t="s">
        <v>2</v>
      </c>
      <c r="E252" s="74" t="s">
        <v>881</v>
      </c>
      <c r="F252" s="69"/>
      <c r="G252" s="37"/>
      <c r="H252" s="16"/>
      <c r="I252" s="16" t="s">
        <v>886</v>
      </c>
      <c r="J252" s="16"/>
      <c r="K252" s="37"/>
      <c r="L252" s="69"/>
      <c r="M252" s="37"/>
      <c r="N252" s="16"/>
      <c r="O252" s="69">
        <v>1.8</v>
      </c>
      <c r="P252" s="69"/>
      <c r="Q252" s="18"/>
      <c r="R252" s="16"/>
      <c r="S252" s="16" t="s">
        <v>109</v>
      </c>
      <c r="T252" s="16"/>
      <c r="U252" s="16"/>
      <c r="V252" s="16">
        <v>160</v>
      </c>
      <c r="W252" s="15">
        <f>ROUND(IF(D252=Table!$C$3,Y252*Table!$C$4/8,Y252*Table!$D$4/8),3)</f>
        <v>81.25</v>
      </c>
      <c r="X252" s="101">
        <f t="shared" si="56"/>
        <v>81.25</v>
      </c>
      <c r="Y252" s="101">
        <v>5</v>
      </c>
      <c r="Z252" s="101">
        <f t="shared" si="57"/>
        <v>5</v>
      </c>
      <c r="AA252" s="16" t="s">
        <v>70</v>
      </c>
      <c r="AB252" s="70">
        <v>44134</v>
      </c>
      <c r="AC252" s="19">
        <v>44132</v>
      </c>
      <c r="AD252" s="70">
        <v>44134</v>
      </c>
      <c r="AE252" s="70">
        <v>44132</v>
      </c>
      <c r="AF252" s="70">
        <v>44132</v>
      </c>
      <c r="AG252" s="70" t="s">
        <v>130</v>
      </c>
      <c r="AH252" s="97">
        <v>0.95</v>
      </c>
      <c r="AI252" s="97">
        <v>0.95</v>
      </c>
      <c r="AJ252" s="97">
        <v>1</v>
      </c>
      <c r="AK252" s="71"/>
      <c r="AL252" s="76"/>
      <c r="AM252" s="87" t="s">
        <v>916</v>
      </c>
      <c r="AN252" s="15"/>
      <c r="AO252" s="15"/>
    </row>
    <row r="253" spans="2:41" x14ac:dyDescent="0.25">
      <c r="B253" s="177">
        <f t="shared" si="45"/>
        <v>194</v>
      </c>
      <c r="C253" s="16">
        <v>20201029</v>
      </c>
      <c r="D253" s="16" t="s">
        <v>3</v>
      </c>
      <c r="E253" s="74" t="s">
        <v>943</v>
      </c>
      <c r="F253" s="69"/>
      <c r="G253" s="37"/>
      <c r="H253" s="16" t="s">
        <v>531</v>
      </c>
      <c r="I253" s="16" t="s">
        <v>558</v>
      </c>
      <c r="J253" s="16"/>
      <c r="K253" s="37"/>
      <c r="L253" s="69"/>
      <c r="M253" s="37"/>
      <c r="N253" s="16"/>
      <c r="O253" s="69" t="s">
        <v>564</v>
      </c>
      <c r="P253" s="69"/>
      <c r="Q253" s="18"/>
      <c r="R253" s="16" t="s">
        <v>168</v>
      </c>
      <c r="S253" s="16" t="s">
        <v>66</v>
      </c>
      <c r="T253" s="16"/>
      <c r="U253" s="16"/>
      <c r="V253" s="16">
        <v>300</v>
      </c>
      <c r="W253" s="15">
        <f>ROUND(IF(D253=Table!$C$3,Y253*Table!$C$4/8,Y253*Table!$D$4/8),3)</f>
        <v>112.5</v>
      </c>
      <c r="X253" s="101">
        <f t="shared" si="56"/>
        <v>112.5</v>
      </c>
      <c r="Y253" s="101">
        <v>2</v>
      </c>
      <c r="Z253" s="101">
        <f t="shared" si="57"/>
        <v>2</v>
      </c>
      <c r="AA253" s="16" t="s">
        <v>70</v>
      </c>
      <c r="AB253" s="70">
        <v>44134</v>
      </c>
      <c r="AC253" s="19">
        <v>44133</v>
      </c>
      <c r="AD253" s="70">
        <v>44134</v>
      </c>
      <c r="AE253" s="70">
        <v>44133</v>
      </c>
      <c r="AF253" s="70">
        <v>44133</v>
      </c>
      <c r="AG253" s="70" t="s">
        <v>130</v>
      </c>
      <c r="AH253" s="97">
        <v>1</v>
      </c>
      <c r="AI253" s="97">
        <v>1</v>
      </c>
      <c r="AJ253" s="97">
        <v>1</v>
      </c>
      <c r="AK253" s="71"/>
      <c r="AL253" s="76" t="s">
        <v>462</v>
      </c>
      <c r="AM253" s="87"/>
      <c r="AN253" s="15"/>
      <c r="AO253" s="15"/>
    </row>
    <row r="254" spans="2:41" x14ac:dyDescent="0.25">
      <c r="B254" s="177">
        <f t="shared" si="45"/>
        <v>195</v>
      </c>
      <c r="C254" s="16">
        <v>20201029</v>
      </c>
      <c r="D254" s="16" t="s">
        <v>2</v>
      </c>
      <c r="E254" s="74" t="s">
        <v>943</v>
      </c>
      <c r="F254" s="69"/>
      <c r="G254" s="37"/>
      <c r="H254" s="16" t="s">
        <v>220</v>
      </c>
      <c r="I254" s="16" t="s">
        <v>937</v>
      </c>
      <c r="J254" s="16"/>
      <c r="K254" s="37"/>
      <c r="L254" s="69"/>
      <c r="M254" s="37"/>
      <c r="N254" s="16"/>
      <c r="O254" s="69" t="s">
        <v>184</v>
      </c>
      <c r="P254" s="69"/>
      <c r="Q254" s="18"/>
      <c r="R254" s="16" t="s">
        <v>168</v>
      </c>
      <c r="S254" s="16" t="s">
        <v>66</v>
      </c>
      <c r="T254" s="16"/>
      <c r="U254" s="16"/>
      <c r="V254" s="16">
        <v>60</v>
      </c>
      <c r="W254" s="15">
        <f>ROUND(IF(D254=Table!$C$3,Y254*Table!$C$4/8,Y254*Table!$D$4/8),3)</f>
        <v>65</v>
      </c>
      <c r="X254" s="101">
        <f t="shared" si="56"/>
        <v>65</v>
      </c>
      <c r="Y254" s="101">
        <v>4</v>
      </c>
      <c r="Z254" s="101">
        <f t="shared" si="57"/>
        <v>4</v>
      </c>
      <c r="AA254" s="16" t="s">
        <v>70</v>
      </c>
      <c r="AB254" s="70">
        <v>44134</v>
      </c>
      <c r="AC254" s="19">
        <v>44133</v>
      </c>
      <c r="AD254" s="70">
        <v>44134</v>
      </c>
      <c r="AE254" s="70">
        <v>44133</v>
      </c>
      <c r="AF254" s="70">
        <v>44133</v>
      </c>
      <c r="AG254" s="70" t="s">
        <v>130</v>
      </c>
      <c r="AH254" s="97">
        <v>1</v>
      </c>
      <c r="AI254" s="97">
        <v>1</v>
      </c>
      <c r="AJ254" s="97">
        <v>1</v>
      </c>
      <c r="AK254" s="71"/>
      <c r="AL254" s="76" t="s">
        <v>462</v>
      </c>
      <c r="AM254" s="87"/>
      <c r="AN254" s="15"/>
      <c r="AO254" s="15"/>
    </row>
    <row r="255" spans="2:41" x14ac:dyDescent="0.25">
      <c r="B255" s="177">
        <f t="shared" si="45"/>
        <v>196</v>
      </c>
      <c r="C255" s="16">
        <v>20201029</v>
      </c>
      <c r="D255" s="16" t="s">
        <v>2</v>
      </c>
      <c r="E255" s="74" t="s">
        <v>943</v>
      </c>
      <c r="F255" s="69"/>
      <c r="G255" s="37"/>
      <c r="H255" s="16" t="s">
        <v>225</v>
      </c>
      <c r="I255" s="16" t="s">
        <v>938</v>
      </c>
      <c r="J255" s="16"/>
      <c r="K255" s="37"/>
      <c r="L255" s="69"/>
      <c r="M255" s="37"/>
      <c r="N255" s="16"/>
      <c r="O255" s="69" t="s">
        <v>195</v>
      </c>
      <c r="P255" s="69"/>
      <c r="Q255" s="18"/>
      <c r="R255" s="16" t="s">
        <v>168</v>
      </c>
      <c r="S255" s="16" t="s">
        <v>66</v>
      </c>
      <c r="T255" s="16"/>
      <c r="U255" s="16"/>
      <c r="V255" s="16">
        <v>60</v>
      </c>
      <c r="W255" s="15">
        <f>ROUND(IF(D255=Table!$C$3,Y255*Table!$C$4/8,Y255*Table!$D$4/8),3)</f>
        <v>39</v>
      </c>
      <c r="X255" s="101">
        <f t="shared" si="56"/>
        <v>39</v>
      </c>
      <c r="Y255" s="101">
        <v>2.4</v>
      </c>
      <c r="Z255" s="101">
        <f t="shared" si="57"/>
        <v>2.4</v>
      </c>
      <c r="AA255" s="16" t="s">
        <v>70</v>
      </c>
      <c r="AB255" s="70">
        <v>44134</v>
      </c>
      <c r="AC255" s="19">
        <v>44133</v>
      </c>
      <c r="AD255" s="70">
        <v>44134</v>
      </c>
      <c r="AE255" s="70">
        <v>44133</v>
      </c>
      <c r="AF255" s="70">
        <v>44133</v>
      </c>
      <c r="AG255" s="70" t="s">
        <v>130</v>
      </c>
      <c r="AH255" s="97">
        <v>0.88200000000000001</v>
      </c>
      <c r="AI255" s="97">
        <v>0.88900000000000001</v>
      </c>
      <c r="AJ255" s="97">
        <v>1</v>
      </c>
      <c r="AK255" s="71"/>
      <c r="AL255" s="76" t="s">
        <v>462</v>
      </c>
      <c r="AM255" s="87" t="s">
        <v>997</v>
      </c>
      <c r="AN255" s="15"/>
      <c r="AO255" s="15"/>
    </row>
    <row r="256" spans="2:41" x14ac:dyDescent="0.25">
      <c r="B256" s="177">
        <f t="shared" si="45"/>
        <v>197</v>
      </c>
      <c r="C256" s="16">
        <v>20201029</v>
      </c>
      <c r="D256" s="16" t="s">
        <v>2</v>
      </c>
      <c r="E256" s="74" t="s">
        <v>943</v>
      </c>
      <c r="F256" s="69"/>
      <c r="G256" s="37"/>
      <c r="H256" s="16" t="s">
        <v>226</v>
      </c>
      <c r="I256" s="16" t="s">
        <v>939</v>
      </c>
      <c r="J256" s="16"/>
      <c r="K256" s="37"/>
      <c r="L256" s="69"/>
      <c r="M256" s="37"/>
      <c r="N256" s="16"/>
      <c r="O256" s="69" t="s">
        <v>821</v>
      </c>
      <c r="P256" s="69"/>
      <c r="Q256" s="18"/>
      <c r="R256" s="16" t="s">
        <v>169</v>
      </c>
      <c r="S256" s="16" t="s">
        <v>61</v>
      </c>
      <c r="T256" s="16"/>
      <c r="U256" s="16"/>
      <c r="V256" s="16">
        <v>50</v>
      </c>
      <c r="W256" s="15">
        <f>ROUND(IF(D256=Table!$C$3,Y256*Table!$C$4/8,Y256*Table!$D$4/8),3)</f>
        <v>221</v>
      </c>
      <c r="X256" s="101">
        <f t="shared" ref="X256" si="58">W256</f>
        <v>221</v>
      </c>
      <c r="Y256" s="101">
        <v>13.6</v>
      </c>
      <c r="Z256" s="101">
        <f t="shared" si="57"/>
        <v>13.6</v>
      </c>
      <c r="AA256" s="16" t="s">
        <v>70</v>
      </c>
      <c r="AB256" s="70">
        <v>44134</v>
      </c>
      <c r="AC256" s="19">
        <v>44133</v>
      </c>
      <c r="AD256" s="70">
        <v>44134</v>
      </c>
      <c r="AE256" s="70">
        <v>44134</v>
      </c>
      <c r="AF256" s="70">
        <v>44134</v>
      </c>
      <c r="AG256" s="70" t="s">
        <v>130</v>
      </c>
      <c r="AH256" s="97">
        <v>0.95799999999999996</v>
      </c>
      <c r="AI256" s="97">
        <v>0.96</v>
      </c>
      <c r="AJ256" s="97">
        <v>1</v>
      </c>
      <c r="AK256" s="71"/>
      <c r="AL256" s="76" t="s">
        <v>462</v>
      </c>
      <c r="AM256" s="176" t="s">
        <v>1010</v>
      </c>
      <c r="AN256" s="15"/>
      <c r="AO256" s="15"/>
    </row>
    <row r="257" spans="2:41" x14ac:dyDescent="0.25">
      <c r="B257" s="177">
        <f t="shared" si="45"/>
        <v>198</v>
      </c>
      <c r="C257" s="16">
        <v>20201029</v>
      </c>
      <c r="D257" s="16" t="s">
        <v>2</v>
      </c>
      <c r="E257" s="74" t="s">
        <v>943</v>
      </c>
      <c r="F257" s="69"/>
      <c r="G257" s="37"/>
      <c r="H257" s="16" t="s">
        <v>221</v>
      </c>
      <c r="I257" s="16" t="s">
        <v>940</v>
      </c>
      <c r="J257" s="16"/>
      <c r="K257" s="37"/>
      <c r="L257" s="69"/>
      <c r="M257" s="37"/>
      <c r="N257" s="16"/>
      <c r="O257" s="69" t="s">
        <v>200</v>
      </c>
      <c r="P257" s="69"/>
      <c r="Q257" s="18"/>
      <c r="R257" s="16" t="s">
        <v>170</v>
      </c>
      <c r="S257" s="16" t="s">
        <v>63</v>
      </c>
      <c r="T257" s="16"/>
      <c r="U257" s="16"/>
      <c r="V257" s="16">
        <v>20</v>
      </c>
      <c r="W257" s="15">
        <f>ROUND(IF(D257=Table!$C$3,Y257*Table!$C$4/8,Y257*Table!$D$4/8),3)</f>
        <v>32.5</v>
      </c>
      <c r="X257" s="101">
        <f>W257</f>
        <v>32.5</v>
      </c>
      <c r="Y257" s="101">
        <v>2</v>
      </c>
      <c r="Z257" s="101">
        <f t="shared" si="57"/>
        <v>2</v>
      </c>
      <c r="AA257" s="16" t="s">
        <v>70</v>
      </c>
      <c r="AB257" s="70">
        <v>44134</v>
      </c>
      <c r="AC257" s="19">
        <v>44133</v>
      </c>
      <c r="AD257" s="70">
        <v>44134</v>
      </c>
      <c r="AE257" s="70">
        <v>44133</v>
      </c>
      <c r="AF257" s="70">
        <v>44133</v>
      </c>
      <c r="AG257" s="70" t="s">
        <v>130</v>
      </c>
      <c r="AH257" s="97">
        <v>1</v>
      </c>
      <c r="AI257" s="97">
        <v>1</v>
      </c>
      <c r="AJ257" s="97">
        <v>1</v>
      </c>
      <c r="AK257" s="71"/>
      <c r="AL257" s="76" t="s">
        <v>117</v>
      </c>
      <c r="AM257" s="87"/>
      <c r="AN257" s="15"/>
      <c r="AO257" s="15"/>
    </row>
    <row r="258" spans="2:41" x14ac:dyDescent="0.25">
      <c r="B258" s="177">
        <f t="shared" si="45"/>
        <v>199</v>
      </c>
      <c r="C258" s="16">
        <v>20201029</v>
      </c>
      <c r="D258" s="16" t="s">
        <v>2</v>
      </c>
      <c r="E258" s="74" t="s">
        <v>943</v>
      </c>
      <c r="F258" s="69"/>
      <c r="G258" s="37"/>
      <c r="H258" s="16" t="s">
        <v>222</v>
      </c>
      <c r="I258" s="16" t="s">
        <v>941</v>
      </c>
      <c r="J258" s="16"/>
      <c r="K258" s="37"/>
      <c r="L258" s="69"/>
      <c r="M258" s="37"/>
      <c r="N258" s="16"/>
      <c r="O258" s="69" t="s">
        <v>818</v>
      </c>
      <c r="P258" s="69"/>
      <c r="Q258" s="18"/>
      <c r="R258" s="16" t="s">
        <v>170</v>
      </c>
      <c r="S258" s="16" t="s">
        <v>63</v>
      </c>
      <c r="T258" s="16"/>
      <c r="U258" s="16"/>
      <c r="V258" s="16">
        <v>60</v>
      </c>
      <c r="W258" s="15">
        <f>ROUND(IF(D258=Table!$C$3,Y258*Table!$C$4/8,Y258*Table!$D$4/8),3)</f>
        <v>71.5</v>
      </c>
      <c r="X258" s="101">
        <f>W258</f>
        <v>71.5</v>
      </c>
      <c r="Y258" s="101">
        <v>4.4000000000000004</v>
      </c>
      <c r="Z258" s="101">
        <f t="shared" si="57"/>
        <v>4.4000000000000004</v>
      </c>
      <c r="AA258" s="16" t="s">
        <v>70</v>
      </c>
      <c r="AB258" s="70">
        <v>44134</v>
      </c>
      <c r="AC258" s="19">
        <v>44133</v>
      </c>
      <c r="AD258" s="70">
        <v>44134</v>
      </c>
      <c r="AE258" s="70">
        <v>44133</v>
      </c>
      <c r="AF258" s="70">
        <v>44133</v>
      </c>
      <c r="AG258" s="70" t="s">
        <v>130</v>
      </c>
      <c r="AH258" s="97">
        <v>1</v>
      </c>
      <c r="AI258" s="97">
        <v>1</v>
      </c>
      <c r="AJ258" s="97">
        <v>1</v>
      </c>
      <c r="AK258" s="71"/>
      <c r="AL258" s="76" t="s">
        <v>117</v>
      </c>
      <c r="AM258" s="87"/>
      <c r="AN258" s="15"/>
      <c r="AO258" s="15"/>
    </row>
    <row r="259" spans="2:41" x14ac:dyDescent="0.25">
      <c r="B259" s="177">
        <f t="shared" si="45"/>
        <v>200</v>
      </c>
      <c r="C259" s="16">
        <v>20201029</v>
      </c>
      <c r="D259" s="16" t="s">
        <v>2</v>
      </c>
      <c r="E259" s="74" t="s">
        <v>943</v>
      </c>
      <c r="F259" s="69"/>
      <c r="G259" s="37"/>
      <c r="H259" s="16" t="s">
        <v>651</v>
      </c>
      <c r="I259" s="16" t="s">
        <v>942</v>
      </c>
      <c r="J259" s="16"/>
      <c r="K259" s="37"/>
      <c r="L259" s="69"/>
      <c r="M259" s="37"/>
      <c r="N259" s="16"/>
      <c r="O259" s="69" t="s">
        <v>821</v>
      </c>
      <c r="P259" s="69"/>
      <c r="Q259" s="18"/>
      <c r="R259" s="16" t="s">
        <v>171</v>
      </c>
      <c r="S259" s="16" t="s">
        <v>147</v>
      </c>
      <c r="T259" s="16"/>
      <c r="U259" s="16"/>
      <c r="V259" s="16">
        <v>50</v>
      </c>
      <c r="W259" s="15">
        <f>ROUND(IF(D259=Table!$C$3,Y259*Table!$C$4/8,Y259*Table!$D$4/8),3)</f>
        <v>71.5</v>
      </c>
      <c r="X259" s="101">
        <f>W259</f>
        <v>71.5</v>
      </c>
      <c r="Y259" s="101">
        <v>4.4000000000000004</v>
      </c>
      <c r="Z259" s="101">
        <f t="shared" si="57"/>
        <v>4.4000000000000004</v>
      </c>
      <c r="AA259" s="16" t="s">
        <v>70</v>
      </c>
      <c r="AB259" s="70">
        <v>44134</v>
      </c>
      <c r="AC259" s="19">
        <v>44133</v>
      </c>
      <c r="AD259" s="70">
        <v>44134</v>
      </c>
      <c r="AE259" s="70">
        <v>44133</v>
      </c>
      <c r="AF259" s="70">
        <v>44133</v>
      </c>
      <c r="AG259" s="70" t="s">
        <v>130</v>
      </c>
      <c r="AH259" s="97">
        <v>1</v>
      </c>
      <c r="AI259" s="97">
        <v>1</v>
      </c>
      <c r="AJ259" s="97">
        <v>1</v>
      </c>
      <c r="AK259" s="71"/>
      <c r="AL259" s="76" t="s">
        <v>117</v>
      </c>
      <c r="AM259" s="87"/>
      <c r="AN259" s="15"/>
      <c r="AO259" s="15"/>
    </row>
    <row r="260" spans="2:41" x14ac:dyDescent="0.25">
      <c r="B260" s="177">
        <f t="shared" si="45"/>
        <v>201</v>
      </c>
      <c r="C260" s="16">
        <v>20201102</v>
      </c>
      <c r="D260" s="16" t="s">
        <v>2</v>
      </c>
      <c r="E260" s="16" t="s">
        <v>1024</v>
      </c>
      <c r="F260" s="69"/>
      <c r="G260" s="37"/>
      <c r="H260" s="16"/>
      <c r="I260" s="16" t="s">
        <v>1023</v>
      </c>
      <c r="J260" s="16"/>
      <c r="K260" s="37"/>
      <c r="L260" s="69"/>
      <c r="M260" s="37"/>
      <c r="N260" s="16"/>
      <c r="O260" s="69">
        <v>1.6</v>
      </c>
      <c r="P260" s="69"/>
      <c r="Q260" s="18"/>
      <c r="R260" s="16"/>
      <c r="S260" s="16" t="s">
        <v>109</v>
      </c>
      <c r="T260" s="16"/>
      <c r="U260" s="16"/>
      <c r="V260" s="16">
        <v>175</v>
      </c>
      <c r="W260" s="15">
        <f>ROUND(IF(D260=Table!$C$3,Y260*Table!$C$4/8,Y260*Table!$D$4/8),3)</f>
        <v>105.625</v>
      </c>
      <c r="X260" s="101">
        <f>W260</f>
        <v>105.625</v>
      </c>
      <c r="Y260" s="101">
        <v>6.5</v>
      </c>
      <c r="Z260" s="101">
        <f t="shared" si="57"/>
        <v>6.5</v>
      </c>
      <c r="AA260" s="16" t="s">
        <v>70</v>
      </c>
      <c r="AB260" s="70">
        <v>44138</v>
      </c>
      <c r="AC260" s="19">
        <v>44137</v>
      </c>
      <c r="AD260" s="70">
        <v>44138</v>
      </c>
      <c r="AE260" s="70">
        <v>44138</v>
      </c>
      <c r="AF260" s="70">
        <v>44138</v>
      </c>
      <c r="AG260" s="70" t="s">
        <v>130</v>
      </c>
      <c r="AH260" s="97">
        <v>0.88200000000000001</v>
      </c>
      <c r="AI260" s="97">
        <v>0.88700000000000001</v>
      </c>
      <c r="AJ260" s="97">
        <v>1</v>
      </c>
      <c r="AK260" s="71"/>
      <c r="AL260" s="76" t="s">
        <v>117</v>
      </c>
      <c r="AM260" s="87" t="s">
        <v>1134</v>
      </c>
      <c r="AN260" s="15"/>
      <c r="AO260" s="15"/>
    </row>
    <row r="261" spans="2:41" x14ac:dyDescent="0.25">
      <c r="B261" s="181">
        <f t="shared" si="45"/>
        <v>202</v>
      </c>
      <c r="C261" s="16">
        <v>20201102</v>
      </c>
      <c r="D261" s="16" t="s">
        <v>2</v>
      </c>
      <c r="E261" s="74" t="s">
        <v>832</v>
      </c>
      <c r="F261" s="69"/>
      <c r="G261" s="37"/>
      <c r="H261" s="16" t="s">
        <v>1102</v>
      </c>
      <c r="I261" s="16" t="s">
        <v>1025</v>
      </c>
      <c r="J261" s="16" t="s">
        <v>174</v>
      </c>
      <c r="K261" s="37"/>
      <c r="L261" s="69"/>
      <c r="M261" s="37"/>
      <c r="N261" s="16"/>
      <c r="O261" s="69" t="s">
        <v>1061</v>
      </c>
      <c r="P261" s="69" t="s">
        <v>1098</v>
      </c>
      <c r="Q261" s="18"/>
      <c r="R261" s="16" t="s">
        <v>1127</v>
      </c>
      <c r="S261" s="16" t="s">
        <v>61</v>
      </c>
      <c r="T261" s="16"/>
      <c r="U261" s="16"/>
      <c r="V261" s="16">
        <v>178</v>
      </c>
      <c r="W261" s="15">
        <f>ROUND(IF(D261=Table!$C$3,Y261*Table!$C$4/8,Y261*Table!$D$4/8),3)</f>
        <v>135.19999999999999</v>
      </c>
      <c r="X261" s="101">
        <f t="shared" ref="X261:X264" si="59">W261</f>
        <v>135.19999999999999</v>
      </c>
      <c r="Y261" s="101">
        <v>8.32</v>
      </c>
      <c r="Z261" s="101"/>
      <c r="AA261" s="16" t="s">
        <v>70</v>
      </c>
      <c r="AB261" s="70">
        <v>44141</v>
      </c>
      <c r="AC261" s="19">
        <v>44137</v>
      </c>
      <c r="AD261" s="70">
        <v>44141</v>
      </c>
      <c r="AE261" s="70">
        <v>44138</v>
      </c>
      <c r="AF261" s="70">
        <v>44138</v>
      </c>
      <c r="AG261" s="70" t="s">
        <v>130</v>
      </c>
      <c r="AH261" s="97">
        <v>0.89100000000000001</v>
      </c>
      <c r="AI261" s="97">
        <v>0.89900000000000002</v>
      </c>
      <c r="AJ261" s="97">
        <v>1</v>
      </c>
      <c r="AK261" s="71"/>
      <c r="AL261" s="76" t="s">
        <v>107</v>
      </c>
      <c r="AM261" s="87" t="s">
        <v>1190</v>
      </c>
      <c r="AN261" s="15"/>
      <c r="AO261" s="15"/>
    </row>
    <row r="262" spans="2:41" x14ac:dyDescent="0.25">
      <c r="B262" s="181">
        <f t="shared" si="45"/>
        <v>203</v>
      </c>
      <c r="C262" s="16">
        <v>20201102</v>
      </c>
      <c r="D262" s="16" t="s">
        <v>2</v>
      </c>
      <c r="E262" s="74" t="s">
        <v>832</v>
      </c>
      <c r="F262" s="69"/>
      <c r="G262" s="37"/>
      <c r="H262" s="16" t="s">
        <v>1103</v>
      </c>
      <c r="I262" s="16" t="s">
        <v>1026</v>
      </c>
      <c r="J262" s="16" t="s">
        <v>174</v>
      </c>
      <c r="K262" s="37"/>
      <c r="L262" s="69"/>
      <c r="M262" s="37"/>
      <c r="N262" s="16"/>
      <c r="O262" s="69" t="s">
        <v>1062</v>
      </c>
      <c r="P262" s="69" t="s">
        <v>1098</v>
      </c>
      <c r="Q262" s="18"/>
      <c r="R262" s="16" t="s">
        <v>1127</v>
      </c>
      <c r="S262" s="16" t="s">
        <v>61</v>
      </c>
      <c r="T262" s="16"/>
      <c r="U262" s="16"/>
      <c r="V262" s="16">
        <v>197</v>
      </c>
      <c r="W262" s="15">
        <f>ROUND(IF(D262=Table!$C$3,Y262*Table!$C$4/8,Y262*Table!$D$4/8),3)</f>
        <v>114.4</v>
      </c>
      <c r="X262" s="101">
        <f t="shared" si="59"/>
        <v>114.4</v>
      </c>
      <c r="Y262" s="101">
        <v>7.0400000000000009</v>
      </c>
      <c r="Z262" s="101"/>
      <c r="AA262" s="16" t="s">
        <v>70</v>
      </c>
      <c r="AB262" s="70">
        <v>44141</v>
      </c>
      <c r="AC262" s="19">
        <v>44137</v>
      </c>
      <c r="AD262" s="70">
        <v>44141</v>
      </c>
      <c r="AE262" s="70">
        <v>44139</v>
      </c>
      <c r="AF262" s="70">
        <v>44139</v>
      </c>
      <c r="AG262" s="70" t="s">
        <v>130</v>
      </c>
      <c r="AH262" s="97">
        <v>0.97199999999999998</v>
      </c>
      <c r="AI262" s="97">
        <v>0.97399999999999998</v>
      </c>
      <c r="AJ262" s="97">
        <v>0.94399999999999995</v>
      </c>
      <c r="AK262" s="71"/>
      <c r="AL262" s="76" t="s">
        <v>107</v>
      </c>
      <c r="AM262" s="176" t="s">
        <v>1199</v>
      </c>
      <c r="AN262" s="15"/>
      <c r="AO262" s="15"/>
    </row>
    <row r="263" spans="2:41" x14ac:dyDescent="0.25">
      <c r="B263" s="181">
        <f t="shared" si="45"/>
        <v>204</v>
      </c>
      <c r="C263" s="16">
        <v>20201102</v>
      </c>
      <c r="D263" s="16" t="s">
        <v>2</v>
      </c>
      <c r="E263" s="74" t="s">
        <v>832</v>
      </c>
      <c r="F263" s="69"/>
      <c r="G263" s="37"/>
      <c r="H263" s="16" t="s">
        <v>1104</v>
      </c>
      <c r="I263" s="16" t="s">
        <v>1027</v>
      </c>
      <c r="J263" s="16" t="s">
        <v>174</v>
      </c>
      <c r="K263" s="37"/>
      <c r="L263" s="69"/>
      <c r="M263" s="37"/>
      <c r="N263" s="16"/>
      <c r="O263" s="69" t="s">
        <v>1063</v>
      </c>
      <c r="P263" s="69" t="s">
        <v>1098</v>
      </c>
      <c r="Q263" s="18"/>
      <c r="R263" s="16" t="s">
        <v>1128</v>
      </c>
      <c r="S263" s="16" t="s">
        <v>66</v>
      </c>
      <c r="T263" s="16"/>
      <c r="U263" s="16"/>
      <c r="V263" s="16">
        <v>123</v>
      </c>
      <c r="W263" s="15">
        <f>ROUND(IF(D263=Table!$C$3,Y263*Table!$C$4/8,Y263*Table!$D$4/8),3)</f>
        <v>244.4</v>
      </c>
      <c r="X263" s="101">
        <f t="shared" si="59"/>
        <v>244.4</v>
      </c>
      <c r="Y263" s="101">
        <f>8+7.04</f>
        <v>15.04</v>
      </c>
      <c r="Z263" s="101">
        <f>Y263</f>
        <v>15.04</v>
      </c>
      <c r="AA263" s="16" t="s">
        <v>70</v>
      </c>
      <c r="AB263" s="70">
        <v>44141</v>
      </c>
      <c r="AC263" s="19">
        <v>44137</v>
      </c>
      <c r="AD263" s="70">
        <v>44141</v>
      </c>
      <c r="AE263" s="70">
        <v>44133</v>
      </c>
      <c r="AF263" s="70">
        <v>44133</v>
      </c>
      <c r="AG263" s="70" t="s">
        <v>131</v>
      </c>
      <c r="AH263" s="97">
        <v>0.96599999999999997</v>
      </c>
      <c r="AI263" s="97">
        <v>0.96699999999999997</v>
      </c>
      <c r="AJ263" s="97">
        <v>0.55600000000000005</v>
      </c>
      <c r="AK263" s="71"/>
      <c r="AL263" s="76" t="s">
        <v>116</v>
      </c>
      <c r="AM263" s="87" t="s">
        <v>1570</v>
      </c>
      <c r="AN263" s="15"/>
      <c r="AO263" s="15" t="s">
        <v>1388</v>
      </c>
    </row>
    <row r="264" spans="2:41" x14ac:dyDescent="0.25">
      <c r="B264" s="181">
        <f t="shared" si="45"/>
        <v>205</v>
      </c>
      <c r="C264" s="16">
        <v>20201102</v>
      </c>
      <c r="D264" s="16" t="s">
        <v>2</v>
      </c>
      <c r="E264" s="74" t="s">
        <v>832</v>
      </c>
      <c r="F264" s="69"/>
      <c r="G264" s="37"/>
      <c r="H264" s="16" t="s">
        <v>1105</v>
      </c>
      <c r="I264" s="16" t="s">
        <v>1028</v>
      </c>
      <c r="J264" s="16" t="s">
        <v>174</v>
      </c>
      <c r="K264" s="37"/>
      <c r="L264" s="69"/>
      <c r="M264" s="37"/>
      <c r="N264" s="16"/>
      <c r="O264" s="69" t="s">
        <v>1064</v>
      </c>
      <c r="P264" s="69" t="s">
        <v>1098</v>
      </c>
      <c r="Q264" s="18"/>
      <c r="R264" s="16" t="s">
        <v>1127</v>
      </c>
      <c r="S264" s="16" t="s">
        <v>61</v>
      </c>
      <c r="T264" s="16"/>
      <c r="U264" s="16"/>
      <c r="V264" s="16">
        <v>113</v>
      </c>
      <c r="W264" s="15">
        <f>ROUND(IF(D264=Table!$C$3,Y264*Table!$C$4/8,Y264*Table!$D$4/8),3)</f>
        <v>104</v>
      </c>
      <c r="X264" s="101">
        <f t="shared" si="59"/>
        <v>104</v>
      </c>
      <c r="Y264" s="101">
        <v>6.4</v>
      </c>
      <c r="Z264" s="101"/>
      <c r="AA264" s="16" t="s">
        <v>70</v>
      </c>
      <c r="AB264" s="70">
        <v>44141</v>
      </c>
      <c r="AC264" s="19">
        <v>44137</v>
      </c>
      <c r="AD264" s="70">
        <v>44141</v>
      </c>
      <c r="AE264" s="70">
        <v>44140</v>
      </c>
      <c r="AF264" s="70">
        <v>44140</v>
      </c>
      <c r="AG264" s="70" t="s">
        <v>130</v>
      </c>
      <c r="AH264" s="97">
        <v>1</v>
      </c>
      <c r="AI264" s="97">
        <v>1</v>
      </c>
      <c r="AJ264" s="97">
        <v>0.42899999999999999</v>
      </c>
      <c r="AK264" s="71"/>
      <c r="AL264" s="76"/>
      <c r="AM264" s="87"/>
      <c r="AN264" s="15"/>
      <c r="AO264" s="15"/>
    </row>
    <row r="265" spans="2:41" x14ac:dyDescent="0.25">
      <c r="B265" s="181">
        <f t="shared" si="45"/>
        <v>206</v>
      </c>
      <c r="C265" s="16">
        <v>20201102</v>
      </c>
      <c r="D265" s="16" t="s">
        <v>2</v>
      </c>
      <c r="E265" s="74" t="s">
        <v>832</v>
      </c>
      <c r="F265" s="69"/>
      <c r="G265" s="37"/>
      <c r="H265" s="16" t="s">
        <v>1106</v>
      </c>
      <c r="I265" s="16" t="s">
        <v>1029</v>
      </c>
      <c r="J265" s="16" t="s">
        <v>174</v>
      </c>
      <c r="K265" s="37"/>
      <c r="L265" s="69"/>
      <c r="M265" s="37"/>
      <c r="N265" s="16"/>
      <c r="O265" s="69" t="s">
        <v>1065</v>
      </c>
      <c r="P265" s="69" t="s">
        <v>1098</v>
      </c>
      <c r="Q265" s="18"/>
      <c r="R265" s="16" t="s">
        <v>1128</v>
      </c>
      <c r="S265" s="16" t="s">
        <v>66</v>
      </c>
      <c r="T265" s="16"/>
      <c r="U265" s="16"/>
      <c r="V265" s="16">
        <v>170</v>
      </c>
      <c r="W265" s="15">
        <f>ROUND(IF(D265=Table!$C$3,Y265*Table!$C$4/8,Y265*Table!$D$4/8),3)</f>
        <v>114.4</v>
      </c>
      <c r="X265" s="101">
        <f>W265</f>
        <v>114.4</v>
      </c>
      <c r="Y265" s="101">
        <v>7.0400000000000009</v>
      </c>
      <c r="Z265" s="101">
        <f>Y265</f>
        <v>7.0400000000000009</v>
      </c>
      <c r="AA265" s="16" t="s">
        <v>70</v>
      </c>
      <c r="AB265" s="70">
        <v>44141</v>
      </c>
      <c r="AC265" s="19">
        <v>44137</v>
      </c>
      <c r="AD265" s="70">
        <v>44141</v>
      </c>
      <c r="AE265" s="70">
        <v>44138</v>
      </c>
      <c r="AF265" s="70">
        <v>44138</v>
      </c>
      <c r="AG265" s="70" t="s">
        <v>1197</v>
      </c>
      <c r="AH265" s="97">
        <v>0.93400000000000005</v>
      </c>
      <c r="AI265" s="97">
        <v>0.93500000000000005</v>
      </c>
      <c r="AJ265" s="97">
        <v>0.5</v>
      </c>
      <c r="AK265" s="71"/>
      <c r="AL265" s="76" t="s">
        <v>117</v>
      </c>
      <c r="AM265" s="87" t="s">
        <v>1208</v>
      </c>
      <c r="AN265" s="15"/>
      <c r="AO265" s="15"/>
    </row>
    <row r="266" spans="2:41" x14ac:dyDescent="0.25">
      <c r="B266" s="181">
        <f t="shared" si="45"/>
        <v>207</v>
      </c>
      <c r="C266" s="16">
        <v>20201102</v>
      </c>
      <c r="D266" s="16" t="s">
        <v>2</v>
      </c>
      <c r="E266" s="74" t="s">
        <v>832</v>
      </c>
      <c r="F266" s="69"/>
      <c r="G266" s="37"/>
      <c r="H266" s="16" t="s">
        <v>1107</v>
      </c>
      <c r="I266" s="16" t="s">
        <v>1030</v>
      </c>
      <c r="J266" s="16" t="s">
        <v>188</v>
      </c>
      <c r="K266" s="37"/>
      <c r="L266" s="69"/>
      <c r="M266" s="37"/>
      <c r="N266" s="16"/>
      <c r="O266" s="69" t="s">
        <v>386</v>
      </c>
      <c r="P266" s="69" t="s">
        <v>1098</v>
      </c>
      <c r="Q266" s="18"/>
      <c r="R266" s="16" t="s">
        <v>1128</v>
      </c>
      <c r="S266" s="16" t="s">
        <v>66</v>
      </c>
      <c r="T266" s="16"/>
      <c r="U266" s="16"/>
      <c r="V266" s="16">
        <v>466</v>
      </c>
      <c r="W266" s="15">
        <f>ROUND(IF(D266=Table!$C$3,Y266*Table!$C$4/8,Y266*Table!$D$4/8),3)</f>
        <v>312</v>
      </c>
      <c r="X266" s="101">
        <f>W266</f>
        <v>312</v>
      </c>
      <c r="Y266" s="101">
        <v>19.200000000000003</v>
      </c>
      <c r="Z266" s="101">
        <f>Y266</f>
        <v>19.200000000000003</v>
      </c>
      <c r="AA266" s="16" t="s">
        <v>70</v>
      </c>
      <c r="AB266" s="70">
        <v>44141</v>
      </c>
      <c r="AC266" s="19">
        <v>44137</v>
      </c>
      <c r="AD266" s="70">
        <v>44141</v>
      </c>
      <c r="AE266" s="70">
        <v>44138</v>
      </c>
      <c r="AF266" s="70">
        <v>44138</v>
      </c>
      <c r="AG266" s="70" t="s">
        <v>131</v>
      </c>
      <c r="AH266" s="97">
        <v>0.91400000000000003</v>
      </c>
      <c r="AI266" s="97">
        <v>0.91800000000000004</v>
      </c>
      <c r="AJ266" s="97">
        <v>0.55600000000000005</v>
      </c>
      <c r="AK266" s="71"/>
      <c r="AL266" s="76" t="s">
        <v>107</v>
      </c>
      <c r="AM266" s="87" t="s">
        <v>1198</v>
      </c>
      <c r="AN266" s="15"/>
      <c r="AO266" s="15"/>
    </row>
    <row r="267" spans="2:41" x14ac:dyDescent="0.25">
      <c r="B267" s="181">
        <f t="shared" si="45"/>
        <v>208</v>
      </c>
      <c r="C267" s="16">
        <v>20201102</v>
      </c>
      <c r="D267" s="16" t="s">
        <v>2</v>
      </c>
      <c r="E267" s="74" t="s">
        <v>832</v>
      </c>
      <c r="F267" s="69"/>
      <c r="G267" s="37"/>
      <c r="H267" s="16" t="s">
        <v>1108</v>
      </c>
      <c r="I267" s="16" t="s">
        <v>1031</v>
      </c>
      <c r="J267" s="16" t="s">
        <v>174</v>
      </c>
      <c r="K267" s="37"/>
      <c r="L267" s="69"/>
      <c r="M267" s="37"/>
      <c r="N267" s="16"/>
      <c r="O267" s="69" t="s">
        <v>1066</v>
      </c>
      <c r="P267" s="69" t="s">
        <v>1098</v>
      </c>
      <c r="Q267" s="18"/>
      <c r="R267" s="16" t="s">
        <v>1129</v>
      </c>
      <c r="S267" s="16" t="s">
        <v>147</v>
      </c>
      <c r="T267" s="16"/>
      <c r="U267" s="16"/>
      <c r="V267" s="16">
        <v>242</v>
      </c>
      <c r="W267" s="15">
        <f>ROUND(IF(D267=Table!$C$3,Y267*Table!$C$4/8,Y267*Table!$D$4/8),3)</f>
        <v>176.8</v>
      </c>
      <c r="X267" s="101">
        <f>W267</f>
        <v>176.8</v>
      </c>
      <c r="Y267" s="101">
        <v>10.88</v>
      </c>
      <c r="Z267" s="101">
        <f>Y267</f>
        <v>10.88</v>
      </c>
      <c r="AA267" s="16" t="s">
        <v>70</v>
      </c>
      <c r="AB267" s="70">
        <v>44141</v>
      </c>
      <c r="AC267" s="19">
        <v>44137</v>
      </c>
      <c r="AD267" s="70">
        <v>44141</v>
      </c>
      <c r="AE267" s="70">
        <v>44141</v>
      </c>
      <c r="AF267" s="70">
        <v>44141</v>
      </c>
      <c r="AG267" s="70" t="s">
        <v>130</v>
      </c>
      <c r="AH267" s="97">
        <v>0.98799999999999999</v>
      </c>
      <c r="AI267" s="97">
        <v>0.98899999999999999</v>
      </c>
      <c r="AJ267" s="97">
        <v>0.5</v>
      </c>
      <c r="AK267" s="71"/>
      <c r="AL267" s="76" t="s">
        <v>117</v>
      </c>
      <c r="AM267" s="87" t="s">
        <v>1239</v>
      </c>
      <c r="AN267" s="15"/>
      <c r="AO267" s="15"/>
    </row>
    <row r="268" spans="2:41" x14ac:dyDescent="0.25">
      <c r="B268" s="181">
        <f t="shared" si="45"/>
        <v>209</v>
      </c>
      <c r="C268" s="16">
        <v>20201102</v>
      </c>
      <c r="D268" s="16" t="s">
        <v>2</v>
      </c>
      <c r="E268" s="74" t="s">
        <v>832</v>
      </c>
      <c r="F268" s="69"/>
      <c r="G268" s="37"/>
      <c r="H268" s="131" t="s">
        <v>1109</v>
      </c>
      <c r="I268" s="182" t="s">
        <v>1032</v>
      </c>
      <c r="J268" s="182" t="s">
        <v>174</v>
      </c>
      <c r="K268" s="37"/>
      <c r="L268" s="69"/>
      <c r="M268" s="37"/>
      <c r="N268" s="16"/>
      <c r="O268" s="183" t="s">
        <v>1067</v>
      </c>
      <c r="P268" s="69" t="s">
        <v>1098</v>
      </c>
      <c r="Q268" s="18"/>
      <c r="R268" s="16" t="s">
        <v>1130</v>
      </c>
      <c r="S268" s="16" t="s">
        <v>63</v>
      </c>
      <c r="T268" s="16"/>
      <c r="U268" s="16"/>
      <c r="V268" s="16">
        <v>347</v>
      </c>
      <c r="W268" s="15">
        <f>ROUND(IF(D268=Table!$C$3,Y268*Table!$C$4/8,Y268*Table!$D$4/8),3)</f>
        <v>312</v>
      </c>
      <c r="X268" s="101">
        <f t="shared" ref="X268:X299" si="60">W268</f>
        <v>312</v>
      </c>
      <c r="Y268" s="101">
        <v>19.200000000000003</v>
      </c>
      <c r="Z268" s="101">
        <f t="shared" ref="Z268:Z299" si="61">Y268</f>
        <v>19.200000000000003</v>
      </c>
      <c r="AA268" s="16" t="s">
        <v>70</v>
      </c>
      <c r="AB268" s="70">
        <v>44141</v>
      </c>
      <c r="AC268" s="19">
        <v>44137</v>
      </c>
      <c r="AD268" s="70">
        <v>44141</v>
      </c>
      <c r="AE268" s="70">
        <v>44138</v>
      </c>
      <c r="AF268" s="70">
        <v>44138</v>
      </c>
      <c r="AG268" s="70" t="s">
        <v>130</v>
      </c>
      <c r="AH268" s="97">
        <v>0.92700000000000005</v>
      </c>
      <c r="AI268" s="97">
        <v>0.92900000000000005</v>
      </c>
      <c r="AJ268" s="97">
        <v>0.91700000000000004</v>
      </c>
      <c r="AK268" s="71"/>
      <c r="AL268" s="76" t="s">
        <v>117</v>
      </c>
      <c r="AM268" s="87" t="s">
        <v>1196</v>
      </c>
      <c r="AN268" s="15"/>
      <c r="AO268" s="15"/>
    </row>
    <row r="269" spans="2:41" x14ac:dyDescent="0.25">
      <c r="B269" s="181">
        <f t="shared" si="45"/>
        <v>210</v>
      </c>
      <c r="C269" s="16">
        <v>20201102</v>
      </c>
      <c r="D269" s="16" t="s">
        <v>2</v>
      </c>
      <c r="E269" s="74" t="s">
        <v>832</v>
      </c>
      <c r="F269" s="69"/>
      <c r="G269" s="37"/>
      <c r="H269" s="131" t="s">
        <v>1110</v>
      </c>
      <c r="I269" s="16" t="s">
        <v>1033</v>
      </c>
      <c r="J269" s="16" t="s">
        <v>174</v>
      </c>
      <c r="K269" s="37"/>
      <c r="L269" s="69"/>
      <c r="M269" s="37"/>
      <c r="N269" s="16"/>
      <c r="O269" s="69" t="s">
        <v>1068</v>
      </c>
      <c r="P269" s="69" t="s">
        <v>858</v>
      </c>
      <c r="Q269" s="18"/>
      <c r="R269" s="16" t="s">
        <v>1130</v>
      </c>
      <c r="S269" s="16" t="s">
        <v>63</v>
      </c>
      <c r="T269" s="16"/>
      <c r="U269" s="16"/>
      <c r="V269" s="16">
        <v>102</v>
      </c>
      <c r="W269" s="15">
        <f>ROUND(IF(D269=Table!$C$3,Y269*Table!$C$4/8,Y269*Table!$D$4/8),3)</f>
        <v>104</v>
      </c>
      <c r="X269" s="101">
        <f t="shared" si="60"/>
        <v>104</v>
      </c>
      <c r="Y269" s="101">
        <v>6.4</v>
      </c>
      <c r="Z269" s="101">
        <f t="shared" si="61"/>
        <v>6.4</v>
      </c>
      <c r="AA269" s="16" t="s">
        <v>70</v>
      </c>
      <c r="AB269" s="70">
        <v>44141</v>
      </c>
      <c r="AC269" s="19">
        <v>44137</v>
      </c>
      <c r="AD269" s="70">
        <v>44141</v>
      </c>
      <c r="AE269" s="70">
        <v>44139</v>
      </c>
      <c r="AF269" s="70">
        <v>44139</v>
      </c>
      <c r="AG269" s="70" t="s">
        <v>130</v>
      </c>
      <c r="AH269" s="97">
        <v>0.95699999999999996</v>
      </c>
      <c r="AI269" s="97">
        <v>0.95899999999999996</v>
      </c>
      <c r="AJ269" s="97">
        <v>1</v>
      </c>
      <c r="AK269" s="71"/>
      <c r="AL269" s="76" t="s">
        <v>117</v>
      </c>
      <c r="AM269" s="87" t="s">
        <v>1204</v>
      </c>
      <c r="AN269" s="15"/>
      <c r="AO269" s="15"/>
    </row>
    <row r="270" spans="2:41" x14ac:dyDescent="0.25">
      <c r="B270" s="181">
        <f t="shared" si="45"/>
        <v>211</v>
      </c>
      <c r="C270" s="16">
        <v>20201102</v>
      </c>
      <c r="D270" s="16" t="s">
        <v>2</v>
      </c>
      <c r="E270" s="74" t="s">
        <v>832</v>
      </c>
      <c r="F270" s="69"/>
      <c r="G270" s="37"/>
      <c r="H270" s="16" t="s">
        <v>1111</v>
      </c>
      <c r="I270" s="16" t="s">
        <v>1176</v>
      </c>
      <c r="J270" s="16" t="s">
        <v>174</v>
      </c>
      <c r="K270" s="37"/>
      <c r="L270" s="69"/>
      <c r="M270" s="37"/>
      <c r="N270" s="16"/>
      <c r="O270" s="69" t="s">
        <v>1069</v>
      </c>
      <c r="P270" s="69" t="s">
        <v>1099</v>
      </c>
      <c r="Q270" s="18"/>
      <c r="R270" s="16" t="s">
        <v>1129</v>
      </c>
      <c r="S270" s="16" t="s">
        <v>147</v>
      </c>
      <c r="T270" s="16"/>
      <c r="U270" s="16"/>
      <c r="V270" s="16">
        <v>113</v>
      </c>
      <c r="W270" s="15">
        <f>ROUND(IF(D270=Table!$C$3,Y270*Table!$C$4/8,Y270*Table!$D$4/8),3)</f>
        <v>114.4</v>
      </c>
      <c r="X270" s="101">
        <f t="shared" si="60"/>
        <v>114.4</v>
      </c>
      <c r="Y270" s="101">
        <v>7.0400000000000009</v>
      </c>
      <c r="Z270" s="101">
        <f t="shared" si="61"/>
        <v>7.0400000000000009</v>
      </c>
      <c r="AA270" s="16" t="s">
        <v>70</v>
      </c>
      <c r="AB270" s="70">
        <v>44141</v>
      </c>
      <c r="AC270" s="19">
        <v>44137</v>
      </c>
      <c r="AD270" s="70">
        <v>44141</v>
      </c>
      <c r="AE270" s="70">
        <v>44138</v>
      </c>
      <c r="AF270" s="70">
        <v>44138</v>
      </c>
      <c r="AG270" s="70" t="s">
        <v>130</v>
      </c>
      <c r="AH270" s="97">
        <v>1</v>
      </c>
      <c r="AI270" s="97">
        <v>1</v>
      </c>
      <c r="AJ270" s="97">
        <v>0.69599999999999995</v>
      </c>
      <c r="AK270" s="71"/>
      <c r="AL270" s="76" t="s">
        <v>117</v>
      </c>
      <c r="AM270" s="87"/>
      <c r="AN270" s="15"/>
      <c r="AO270" s="15"/>
    </row>
    <row r="271" spans="2:41" x14ac:dyDescent="0.25">
      <c r="B271" s="181">
        <f t="shared" si="45"/>
        <v>212</v>
      </c>
      <c r="C271" s="16">
        <v>20201102</v>
      </c>
      <c r="D271" s="16" t="s">
        <v>2</v>
      </c>
      <c r="E271" s="74" t="s">
        <v>832</v>
      </c>
      <c r="F271" s="69"/>
      <c r="G271" s="37"/>
      <c r="H271" s="16" t="s">
        <v>1112</v>
      </c>
      <c r="I271" s="16" t="s">
        <v>1034</v>
      </c>
      <c r="J271" s="16" t="s">
        <v>174</v>
      </c>
      <c r="K271" s="37"/>
      <c r="L271" s="69"/>
      <c r="M271" s="37"/>
      <c r="N271" s="16"/>
      <c r="O271" s="69" t="s">
        <v>1070</v>
      </c>
      <c r="P271" s="69" t="s">
        <v>861</v>
      </c>
      <c r="Q271" s="18"/>
      <c r="R271" s="16" t="s">
        <v>1131</v>
      </c>
      <c r="S271" s="16" t="s">
        <v>109</v>
      </c>
      <c r="T271" s="16"/>
      <c r="U271" s="16"/>
      <c r="V271" s="16">
        <v>17</v>
      </c>
      <c r="W271" s="15">
        <f>ROUND(IF(D271=Table!$C$3,Y271*Table!$C$4/8,Y271*Table!$D$4/8),3)</f>
        <v>26</v>
      </c>
      <c r="X271" s="101">
        <f t="shared" si="60"/>
        <v>26</v>
      </c>
      <c r="Y271" s="101">
        <v>1.6</v>
      </c>
      <c r="Z271" s="101">
        <f t="shared" si="61"/>
        <v>1.6</v>
      </c>
      <c r="AA271" s="16" t="s">
        <v>70</v>
      </c>
      <c r="AB271" s="70">
        <v>44141</v>
      </c>
      <c r="AC271" s="19">
        <v>44137</v>
      </c>
      <c r="AD271" s="70">
        <v>44141</v>
      </c>
      <c r="AE271" s="70">
        <v>44139</v>
      </c>
      <c r="AF271" s="70">
        <v>44139</v>
      </c>
      <c r="AG271" s="70" t="s">
        <v>130</v>
      </c>
      <c r="AH271" s="97">
        <v>1</v>
      </c>
      <c r="AI271" s="97">
        <v>1</v>
      </c>
      <c r="AJ271" s="97">
        <v>1</v>
      </c>
      <c r="AK271" s="71"/>
      <c r="AL271" s="76" t="s">
        <v>117</v>
      </c>
      <c r="AM271" s="87"/>
      <c r="AN271" s="15"/>
      <c r="AO271" s="15"/>
    </row>
    <row r="272" spans="2:41" x14ac:dyDescent="0.25">
      <c r="B272" s="181">
        <f t="shared" si="45"/>
        <v>213</v>
      </c>
      <c r="C272" s="16">
        <v>20201102</v>
      </c>
      <c r="D272" s="16" t="s">
        <v>2</v>
      </c>
      <c r="E272" s="74" t="s">
        <v>832</v>
      </c>
      <c r="F272" s="69"/>
      <c r="G272" s="37"/>
      <c r="H272" s="16" t="s">
        <v>1113</v>
      </c>
      <c r="I272" s="16" t="s">
        <v>1035</v>
      </c>
      <c r="J272" s="16" t="s">
        <v>174</v>
      </c>
      <c r="K272" s="37"/>
      <c r="L272" s="69"/>
      <c r="M272" s="37"/>
      <c r="N272" s="16"/>
      <c r="O272" s="69" t="s">
        <v>815</v>
      </c>
      <c r="P272" s="69" t="s">
        <v>861</v>
      </c>
      <c r="Q272" s="18"/>
      <c r="R272" s="16" t="s">
        <v>1131</v>
      </c>
      <c r="S272" s="16" t="s">
        <v>109</v>
      </c>
      <c r="T272" s="16"/>
      <c r="U272" s="16"/>
      <c r="V272" s="16">
        <v>54</v>
      </c>
      <c r="W272" s="15">
        <f>ROUND(IF(D272=Table!$C$3,Y272*Table!$C$4/8,Y272*Table!$D$4/8),3)</f>
        <v>36.4</v>
      </c>
      <c r="X272" s="101">
        <f t="shared" si="60"/>
        <v>36.4</v>
      </c>
      <c r="Y272" s="101">
        <v>2.2400000000000002</v>
      </c>
      <c r="Z272" s="101">
        <f t="shared" si="61"/>
        <v>2.2400000000000002</v>
      </c>
      <c r="AA272" s="16" t="s">
        <v>70</v>
      </c>
      <c r="AB272" s="70">
        <v>44141</v>
      </c>
      <c r="AC272" s="19">
        <v>44137</v>
      </c>
      <c r="AD272" s="70">
        <v>44141</v>
      </c>
      <c r="AE272" s="70">
        <v>44139</v>
      </c>
      <c r="AF272" s="70">
        <v>44139</v>
      </c>
      <c r="AG272" s="70" t="s">
        <v>130</v>
      </c>
      <c r="AH272" s="97">
        <v>0.88900000000000001</v>
      </c>
      <c r="AI272" s="97">
        <v>0.88900000000000001</v>
      </c>
      <c r="AJ272" s="97">
        <v>1</v>
      </c>
      <c r="AK272" s="71"/>
      <c r="AL272" s="76" t="s">
        <v>117</v>
      </c>
      <c r="AM272" s="87" t="s">
        <v>1202</v>
      </c>
      <c r="AN272" s="15"/>
      <c r="AO272" s="15"/>
    </row>
    <row r="273" spans="2:41" x14ac:dyDescent="0.25">
      <c r="B273" s="181">
        <f t="shared" ref="B273:B298" si="62">B272+1</f>
        <v>214</v>
      </c>
      <c r="C273" s="16">
        <v>20201102</v>
      </c>
      <c r="D273" s="16" t="s">
        <v>2</v>
      </c>
      <c r="E273" s="74" t="s">
        <v>832</v>
      </c>
      <c r="F273" s="69"/>
      <c r="G273" s="37"/>
      <c r="H273" s="16" t="s">
        <v>1114</v>
      </c>
      <c r="I273" s="16" t="s">
        <v>1036</v>
      </c>
      <c r="J273" s="16" t="s">
        <v>174</v>
      </c>
      <c r="K273" s="37"/>
      <c r="L273" s="69"/>
      <c r="M273" s="37"/>
      <c r="N273" s="16"/>
      <c r="O273" s="69" t="s">
        <v>1071</v>
      </c>
      <c r="P273" s="69" t="s">
        <v>1100</v>
      </c>
      <c r="Q273" s="18"/>
      <c r="R273" s="16" t="s">
        <v>1131</v>
      </c>
      <c r="S273" s="16" t="s">
        <v>109</v>
      </c>
      <c r="T273" s="16"/>
      <c r="U273" s="16"/>
      <c r="V273" s="16">
        <v>8</v>
      </c>
      <c r="W273" s="15">
        <f>ROUND(IF(D273=Table!$C$3,Y273*Table!$C$4/8,Y273*Table!$D$4/8),3)</f>
        <v>26</v>
      </c>
      <c r="X273" s="101">
        <f t="shared" si="60"/>
        <v>26</v>
      </c>
      <c r="Y273" s="101">
        <v>1.6</v>
      </c>
      <c r="Z273" s="101">
        <f t="shared" si="61"/>
        <v>1.6</v>
      </c>
      <c r="AA273" s="16" t="s">
        <v>70</v>
      </c>
      <c r="AB273" s="70">
        <v>44141</v>
      </c>
      <c r="AC273" s="19">
        <v>44137</v>
      </c>
      <c r="AD273" s="70">
        <v>44141</v>
      </c>
      <c r="AE273" s="70">
        <v>44139</v>
      </c>
      <c r="AF273" s="70">
        <v>44139</v>
      </c>
      <c r="AG273" s="70" t="s">
        <v>130</v>
      </c>
      <c r="AH273" s="97">
        <v>1</v>
      </c>
      <c r="AI273" s="97">
        <v>1</v>
      </c>
      <c r="AJ273" s="97">
        <v>1</v>
      </c>
      <c r="AK273" s="71"/>
      <c r="AL273" s="76" t="s">
        <v>117</v>
      </c>
      <c r="AM273" s="87"/>
      <c r="AN273" s="15"/>
      <c r="AO273" s="15"/>
    </row>
    <row r="274" spans="2:41" x14ac:dyDescent="0.25">
      <c r="B274" s="181">
        <f t="shared" si="62"/>
        <v>215</v>
      </c>
      <c r="C274" s="16">
        <v>20201102</v>
      </c>
      <c r="D274" s="16" t="s">
        <v>2</v>
      </c>
      <c r="E274" s="74" t="s">
        <v>832</v>
      </c>
      <c r="F274" s="69"/>
      <c r="G274" s="37"/>
      <c r="H274" s="16" t="s">
        <v>1115</v>
      </c>
      <c r="I274" s="16" t="s">
        <v>1037</v>
      </c>
      <c r="J274" s="16" t="s">
        <v>174</v>
      </c>
      <c r="K274" s="37"/>
      <c r="L274" s="69"/>
      <c r="M274" s="37"/>
      <c r="N274" s="16"/>
      <c r="O274" s="69" t="s">
        <v>1072</v>
      </c>
      <c r="P274" s="69" t="s">
        <v>859</v>
      </c>
      <c r="Q274" s="18"/>
      <c r="R274" s="16" t="s">
        <v>1131</v>
      </c>
      <c r="S274" s="16" t="s">
        <v>109</v>
      </c>
      <c r="T274" s="16"/>
      <c r="U274" s="16"/>
      <c r="V274" s="16">
        <v>67</v>
      </c>
      <c r="W274" s="15">
        <f>ROUND(IF(D274=Table!$C$3,Y274*Table!$C$4/8,Y274*Table!$D$4/8),3)</f>
        <v>67.599999999999994</v>
      </c>
      <c r="X274" s="101">
        <f t="shared" si="60"/>
        <v>67.599999999999994</v>
      </c>
      <c r="Y274" s="101">
        <v>4.16</v>
      </c>
      <c r="Z274" s="101">
        <f t="shared" si="61"/>
        <v>4.16</v>
      </c>
      <c r="AA274" s="16" t="s">
        <v>70</v>
      </c>
      <c r="AB274" s="70">
        <v>44141</v>
      </c>
      <c r="AC274" s="19">
        <v>44137</v>
      </c>
      <c r="AD274" s="70">
        <v>44141</v>
      </c>
      <c r="AE274" s="70">
        <v>44139</v>
      </c>
      <c r="AF274" s="70">
        <v>44139</v>
      </c>
      <c r="AG274" s="70" t="s">
        <v>130</v>
      </c>
      <c r="AH274" s="97">
        <v>1</v>
      </c>
      <c r="AI274" s="97">
        <v>1</v>
      </c>
      <c r="AJ274" s="97">
        <v>0.73699999999999999</v>
      </c>
      <c r="AK274" s="71"/>
      <c r="AL274" s="76" t="s">
        <v>117</v>
      </c>
      <c r="AM274" s="87"/>
      <c r="AN274" s="15"/>
      <c r="AO274" s="15"/>
    </row>
    <row r="275" spans="2:41" x14ac:dyDescent="0.25">
      <c r="B275" s="181">
        <f t="shared" si="62"/>
        <v>216</v>
      </c>
      <c r="C275" s="16">
        <v>20201102</v>
      </c>
      <c r="D275" s="16" t="s">
        <v>3</v>
      </c>
      <c r="E275" s="74" t="s">
        <v>832</v>
      </c>
      <c r="F275" s="69"/>
      <c r="G275" s="37"/>
      <c r="H275" s="16" t="s">
        <v>180</v>
      </c>
      <c r="I275" s="16" t="s">
        <v>210</v>
      </c>
      <c r="J275" s="16" t="s">
        <v>174</v>
      </c>
      <c r="K275" s="37"/>
      <c r="L275" s="62" t="s">
        <v>1015</v>
      </c>
      <c r="M275" s="37"/>
      <c r="N275" s="16"/>
      <c r="O275" s="69" t="s">
        <v>1073</v>
      </c>
      <c r="P275" s="69" t="s">
        <v>865</v>
      </c>
      <c r="Q275" s="18"/>
      <c r="R275" s="16" t="s">
        <v>1128</v>
      </c>
      <c r="S275" s="16" t="s">
        <v>66</v>
      </c>
      <c r="T275" s="16"/>
      <c r="U275" s="16"/>
      <c r="V275" s="16">
        <v>156</v>
      </c>
      <c r="W275" s="15">
        <f>ROUND(IF(D275=Table!$C$3,Y275*Table!$C$4/8,Y275*Table!$D$4/8),3)</f>
        <v>81</v>
      </c>
      <c r="X275" s="101">
        <f t="shared" si="60"/>
        <v>81</v>
      </c>
      <c r="Y275" s="101">
        <v>1.44</v>
      </c>
      <c r="Z275" s="101">
        <f t="shared" si="61"/>
        <v>1.44</v>
      </c>
      <c r="AA275" s="16" t="s">
        <v>70</v>
      </c>
      <c r="AB275" s="70">
        <v>44141</v>
      </c>
      <c r="AC275" s="19">
        <v>44137</v>
      </c>
      <c r="AD275" s="70">
        <v>44141</v>
      </c>
      <c r="AE275" s="70">
        <v>44139</v>
      </c>
      <c r="AF275" s="70">
        <v>44139</v>
      </c>
      <c r="AG275" s="70" t="s">
        <v>130</v>
      </c>
      <c r="AH275" s="97">
        <v>1</v>
      </c>
      <c r="AI275" s="97">
        <v>1</v>
      </c>
      <c r="AJ275" s="97">
        <v>0.87</v>
      </c>
      <c r="AK275" s="71"/>
      <c r="AL275" s="76" t="s">
        <v>117</v>
      </c>
      <c r="AM275" s="87"/>
      <c r="AN275" s="15"/>
      <c r="AO275" s="15"/>
    </row>
    <row r="276" spans="2:41" x14ac:dyDescent="0.25">
      <c r="B276" s="181">
        <f t="shared" si="62"/>
        <v>217</v>
      </c>
      <c r="C276" s="16">
        <v>20201102</v>
      </c>
      <c r="D276" s="16" t="s">
        <v>3</v>
      </c>
      <c r="E276" s="74" t="s">
        <v>832</v>
      </c>
      <c r="F276" s="69"/>
      <c r="G276" s="37"/>
      <c r="H276" s="16" t="s">
        <v>182</v>
      </c>
      <c r="I276" s="16" t="s">
        <v>1038</v>
      </c>
      <c r="J276" s="16" t="s">
        <v>174</v>
      </c>
      <c r="K276" s="37"/>
      <c r="L276" s="69" t="s">
        <v>1015</v>
      </c>
      <c r="M276" s="37"/>
      <c r="N276" s="16"/>
      <c r="O276" s="69" t="s">
        <v>1074</v>
      </c>
      <c r="P276" s="69" t="s">
        <v>865</v>
      </c>
      <c r="Q276" s="18"/>
      <c r="R276" s="16" t="s">
        <v>1128</v>
      </c>
      <c r="S276" s="16" t="s">
        <v>66</v>
      </c>
      <c r="T276" s="16"/>
      <c r="U276" s="16"/>
      <c r="V276" s="16">
        <v>50</v>
      </c>
      <c r="W276" s="15">
        <f>ROUND(IF(D276=Table!$C$3,Y276*Table!$C$4/8,Y276*Table!$D$4/8),3)</f>
        <v>58.5</v>
      </c>
      <c r="X276" s="101">
        <f t="shared" si="60"/>
        <v>58.5</v>
      </c>
      <c r="Y276" s="101">
        <v>1.04</v>
      </c>
      <c r="Z276" s="101">
        <f t="shared" si="61"/>
        <v>1.04</v>
      </c>
      <c r="AA276" s="16" t="s">
        <v>70</v>
      </c>
      <c r="AB276" s="70">
        <v>44141</v>
      </c>
      <c r="AC276" s="19">
        <v>44137</v>
      </c>
      <c r="AD276" s="70">
        <v>44141</v>
      </c>
      <c r="AE276" s="70">
        <v>44139</v>
      </c>
      <c r="AF276" s="70">
        <v>44139</v>
      </c>
      <c r="AG276" s="70" t="s">
        <v>130</v>
      </c>
      <c r="AH276" s="97">
        <v>1</v>
      </c>
      <c r="AI276" s="97">
        <v>1</v>
      </c>
      <c r="AJ276" s="97">
        <v>1</v>
      </c>
      <c r="AK276" s="71"/>
      <c r="AL276" s="76" t="s">
        <v>117</v>
      </c>
      <c r="AM276" s="87"/>
      <c r="AN276" s="15"/>
      <c r="AO276" s="15"/>
    </row>
    <row r="277" spans="2:41" x14ac:dyDescent="0.25">
      <c r="B277" s="181">
        <f t="shared" si="62"/>
        <v>218</v>
      </c>
      <c r="C277" s="16">
        <v>20201102</v>
      </c>
      <c r="D277" s="16" t="s">
        <v>3</v>
      </c>
      <c r="E277" s="74" t="s">
        <v>832</v>
      </c>
      <c r="F277" s="69"/>
      <c r="G277" s="37"/>
      <c r="H277" s="16" t="s">
        <v>183</v>
      </c>
      <c r="I277" s="16" t="s">
        <v>1039</v>
      </c>
      <c r="J277" s="16" t="s">
        <v>174</v>
      </c>
      <c r="K277" s="37"/>
      <c r="L277" s="69" t="s">
        <v>1015</v>
      </c>
      <c r="M277" s="37"/>
      <c r="N277" s="16"/>
      <c r="O277" s="69" t="s">
        <v>1075</v>
      </c>
      <c r="P277" s="69" t="s">
        <v>865</v>
      </c>
      <c r="Q277" s="18"/>
      <c r="R277" s="16" t="s">
        <v>1128</v>
      </c>
      <c r="S277" s="16" t="s">
        <v>66</v>
      </c>
      <c r="T277" s="16"/>
      <c r="U277" s="16"/>
      <c r="V277" s="16">
        <v>50</v>
      </c>
      <c r="W277" s="15">
        <f>ROUND(IF(D277=Table!$C$3,Y277*Table!$C$4/8,Y277*Table!$D$4/8),3)</f>
        <v>58.5</v>
      </c>
      <c r="X277" s="101">
        <f t="shared" si="60"/>
        <v>58.5</v>
      </c>
      <c r="Y277" s="101">
        <v>1.04</v>
      </c>
      <c r="Z277" s="101">
        <f t="shared" si="61"/>
        <v>1.04</v>
      </c>
      <c r="AA277" s="16" t="s">
        <v>70</v>
      </c>
      <c r="AB277" s="70">
        <v>44141</v>
      </c>
      <c r="AC277" s="19">
        <v>44137</v>
      </c>
      <c r="AD277" s="70">
        <v>44141</v>
      </c>
      <c r="AE277" s="70">
        <v>44139</v>
      </c>
      <c r="AF277" s="70">
        <v>44139</v>
      </c>
      <c r="AG277" s="70" t="s">
        <v>130</v>
      </c>
      <c r="AH277" s="97">
        <v>1</v>
      </c>
      <c r="AI277" s="97">
        <v>1</v>
      </c>
      <c r="AJ277" s="97">
        <v>1</v>
      </c>
      <c r="AK277" s="71"/>
      <c r="AL277" s="76" t="s">
        <v>117</v>
      </c>
      <c r="AM277" s="87"/>
      <c r="AN277" s="15"/>
      <c r="AO277" s="15"/>
    </row>
    <row r="278" spans="2:41" x14ac:dyDescent="0.25">
      <c r="B278" s="181">
        <f t="shared" si="62"/>
        <v>219</v>
      </c>
      <c r="C278" s="16">
        <v>20201102</v>
      </c>
      <c r="D278" s="16" t="s">
        <v>3</v>
      </c>
      <c r="E278" s="74" t="s">
        <v>832</v>
      </c>
      <c r="F278" s="69"/>
      <c r="G278" s="37"/>
      <c r="H278" s="16" t="s">
        <v>185</v>
      </c>
      <c r="I278" s="16" t="s">
        <v>1040</v>
      </c>
      <c r="J278" s="16" t="s">
        <v>174</v>
      </c>
      <c r="K278" s="37"/>
      <c r="L278" s="69" t="s">
        <v>1015</v>
      </c>
      <c r="M278" s="37"/>
      <c r="N278" s="16"/>
      <c r="O278" s="69" t="s">
        <v>1076</v>
      </c>
      <c r="P278" s="69" t="s">
        <v>865</v>
      </c>
      <c r="Q278" s="18"/>
      <c r="R278" s="16" t="s">
        <v>1128</v>
      </c>
      <c r="S278" s="16" t="s">
        <v>66</v>
      </c>
      <c r="T278" s="16"/>
      <c r="U278" s="16"/>
      <c r="V278" s="16">
        <v>50</v>
      </c>
      <c r="W278" s="15">
        <f>ROUND(IF(D278=Table!$C$3,Y278*Table!$C$4/8,Y278*Table!$D$4/8),3)</f>
        <v>58.5</v>
      </c>
      <c r="X278" s="101">
        <f t="shared" si="60"/>
        <v>58.5</v>
      </c>
      <c r="Y278" s="101">
        <v>1.04</v>
      </c>
      <c r="Z278" s="101">
        <f t="shared" si="61"/>
        <v>1.04</v>
      </c>
      <c r="AA278" s="16" t="s">
        <v>70</v>
      </c>
      <c r="AB278" s="70">
        <v>44141</v>
      </c>
      <c r="AC278" s="19">
        <v>44137</v>
      </c>
      <c r="AD278" s="70">
        <v>44141</v>
      </c>
      <c r="AE278" s="70">
        <v>44139</v>
      </c>
      <c r="AF278" s="70">
        <v>44139</v>
      </c>
      <c r="AG278" s="70" t="s">
        <v>130</v>
      </c>
      <c r="AH278" s="97">
        <v>1</v>
      </c>
      <c r="AI278" s="97">
        <v>1</v>
      </c>
      <c r="AJ278" s="97">
        <v>1</v>
      </c>
      <c r="AK278" s="71"/>
      <c r="AL278" s="76" t="s">
        <v>117</v>
      </c>
      <c r="AM278" s="87"/>
      <c r="AN278" s="15"/>
      <c r="AO278" s="15"/>
    </row>
    <row r="279" spans="2:41" x14ac:dyDescent="0.25">
      <c r="B279" s="181">
        <f t="shared" si="62"/>
        <v>220</v>
      </c>
      <c r="C279" s="16">
        <v>20201102</v>
      </c>
      <c r="D279" s="16" t="s">
        <v>3</v>
      </c>
      <c r="E279" s="74" t="s">
        <v>832</v>
      </c>
      <c r="F279" s="69"/>
      <c r="G279" s="37"/>
      <c r="H279" s="16" t="s">
        <v>186</v>
      </c>
      <c r="I279" s="16" t="s">
        <v>1041</v>
      </c>
      <c r="J279" s="16" t="s">
        <v>174</v>
      </c>
      <c r="K279" s="37"/>
      <c r="L279" s="69" t="s">
        <v>1015</v>
      </c>
      <c r="M279" s="37"/>
      <c r="N279" s="16"/>
      <c r="O279" s="69" t="s">
        <v>1077</v>
      </c>
      <c r="P279" s="69" t="s">
        <v>865</v>
      </c>
      <c r="Q279" s="18"/>
      <c r="R279" s="16" t="s">
        <v>1128</v>
      </c>
      <c r="S279" s="16" t="s">
        <v>66</v>
      </c>
      <c r="T279" s="16"/>
      <c r="U279" s="16"/>
      <c r="V279" s="16">
        <v>50</v>
      </c>
      <c r="W279" s="15">
        <f>ROUND(IF(D279=Table!$C$3,Y279*Table!$C$4/8,Y279*Table!$D$4/8),3)</f>
        <v>58.5</v>
      </c>
      <c r="X279" s="101">
        <f t="shared" si="60"/>
        <v>58.5</v>
      </c>
      <c r="Y279" s="101">
        <v>1.04</v>
      </c>
      <c r="Z279" s="101">
        <f t="shared" si="61"/>
        <v>1.04</v>
      </c>
      <c r="AA279" s="16" t="s">
        <v>70</v>
      </c>
      <c r="AB279" s="70">
        <v>44141</v>
      </c>
      <c r="AC279" s="19">
        <v>44137</v>
      </c>
      <c r="AD279" s="70">
        <v>44141</v>
      </c>
      <c r="AE279" s="70">
        <v>44139</v>
      </c>
      <c r="AF279" s="70">
        <v>44139</v>
      </c>
      <c r="AG279" s="70" t="s">
        <v>130</v>
      </c>
      <c r="AH279" s="97">
        <v>1</v>
      </c>
      <c r="AI279" s="97">
        <v>1</v>
      </c>
      <c r="AJ279" s="97">
        <v>1</v>
      </c>
      <c r="AK279" s="71"/>
      <c r="AL279" s="76" t="s">
        <v>117</v>
      </c>
      <c r="AM279" s="87"/>
      <c r="AN279" s="15"/>
      <c r="AO279" s="15"/>
    </row>
    <row r="280" spans="2:41" x14ac:dyDescent="0.25">
      <c r="B280" s="181">
        <f t="shared" si="62"/>
        <v>221</v>
      </c>
      <c r="C280" s="16">
        <v>20201102</v>
      </c>
      <c r="D280" s="16" t="s">
        <v>3</v>
      </c>
      <c r="E280" s="74" t="s">
        <v>832</v>
      </c>
      <c r="F280" s="69"/>
      <c r="G280" s="37"/>
      <c r="H280" s="131" t="s">
        <v>187</v>
      </c>
      <c r="I280" s="16" t="s">
        <v>1042</v>
      </c>
      <c r="J280" s="16" t="s">
        <v>174</v>
      </c>
      <c r="K280" s="37"/>
      <c r="L280" s="69" t="s">
        <v>1015</v>
      </c>
      <c r="M280" s="37"/>
      <c r="N280" s="16"/>
      <c r="O280" s="69" t="s">
        <v>1078</v>
      </c>
      <c r="P280" s="69" t="s">
        <v>865</v>
      </c>
      <c r="Q280" s="18"/>
      <c r="R280" s="16" t="s">
        <v>1130</v>
      </c>
      <c r="S280" s="16" t="s">
        <v>63</v>
      </c>
      <c r="T280" s="16"/>
      <c r="U280" s="16"/>
      <c r="V280" s="16">
        <v>50</v>
      </c>
      <c r="W280" s="15">
        <f>ROUND(IF(D280=Table!$C$3,Y280*Table!$C$4/8,Y280*Table!$D$4/8),3)</f>
        <v>58.5</v>
      </c>
      <c r="X280" s="101">
        <f t="shared" si="60"/>
        <v>58.5</v>
      </c>
      <c r="Y280" s="101">
        <v>1.04</v>
      </c>
      <c r="Z280" s="101">
        <f t="shared" si="61"/>
        <v>1.04</v>
      </c>
      <c r="AA280" s="16" t="s">
        <v>70</v>
      </c>
      <c r="AB280" s="70">
        <v>44141</v>
      </c>
      <c r="AC280" s="19">
        <v>44137</v>
      </c>
      <c r="AD280" s="70">
        <v>44141</v>
      </c>
      <c r="AE280" s="70">
        <v>44139</v>
      </c>
      <c r="AF280" s="70">
        <v>44139</v>
      </c>
      <c r="AG280" s="70" t="s">
        <v>130</v>
      </c>
      <c r="AH280" s="97">
        <v>1</v>
      </c>
      <c r="AI280" s="97">
        <v>1</v>
      </c>
      <c r="AJ280" s="97">
        <v>1</v>
      </c>
      <c r="AK280" s="71"/>
      <c r="AL280" s="76" t="s">
        <v>117</v>
      </c>
      <c r="AM280" s="87"/>
      <c r="AN280" s="15"/>
      <c r="AO280" s="15"/>
    </row>
    <row r="281" spans="2:41" x14ac:dyDescent="0.25">
      <c r="B281" s="181">
        <f t="shared" si="62"/>
        <v>222</v>
      </c>
      <c r="C281" s="16">
        <v>20201102</v>
      </c>
      <c r="D281" s="16" t="s">
        <v>3</v>
      </c>
      <c r="E281" s="74" t="s">
        <v>832</v>
      </c>
      <c r="F281" s="69"/>
      <c r="G281" s="37"/>
      <c r="H281" s="131" t="s">
        <v>189</v>
      </c>
      <c r="I281" s="16" t="s">
        <v>1043</v>
      </c>
      <c r="J281" s="16" t="s">
        <v>174</v>
      </c>
      <c r="K281" s="37"/>
      <c r="L281" s="69" t="s">
        <v>1015</v>
      </c>
      <c r="M281" s="37"/>
      <c r="N281" s="16"/>
      <c r="O281" s="69" t="s">
        <v>1079</v>
      </c>
      <c r="P281" s="69" t="s">
        <v>865</v>
      </c>
      <c r="Q281" s="18"/>
      <c r="R281" s="16" t="s">
        <v>1130</v>
      </c>
      <c r="S281" s="16" t="s">
        <v>63</v>
      </c>
      <c r="T281" s="16"/>
      <c r="U281" s="16"/>
      <c r="V281" s="16">
        <v>50</v>
      </c>
      <c r="W281" s="15">
        <f>ROUND(IF(D281=Table!$C$3,Y281*Table!$C$4/8,Y281*Table!$D$4/8),3)</f>
        <v>58.5</v>
      </c>
      <c r="X281" s="101">
        <f t="shared" si="60"/>
        <v>58.5</v>
      </c>
      <c r="Y281" s="101">
        <v>1.04</v>
      </c>
      <c r="Z281" s="101">
        <f t="shared" si="61"/>
        <v>1.04</v>
      </c>
      <c r="AA281" s="16" t="s">
        <v>70</v>
      </c>
      <c r="AB281" s="70">
        <v>44141</v>
      </c>
      <c r="AC281" s="19">
        <v>44137</v>
      </c>
      <c r="AD281" s="70">
        <v>44141</v>
      </c>
      <c r="AE281" s="70">
        <v>44139</v>
      </c>
      <c r="AF281" s="70">
        <v>44139</v>
      </c>
      <c r="AG281" s="70" t="s">
        <v>130</v>
      </c>
      <c r="AH281" s="97">
        <v>1</v>
      </c>
      <c r="AI281" s="97">
        <v>1</v>
      </c>
      <c r="AJ281" s="97">
        <v>1</v>
      </c>
      <c r="AK281" s="71"/>
      <c r="AL281" s="76" t="s">
        <v>117</v>
      </c>
      <c r="AM281" s="87"/>
      <c r="AN281" s="15"/>
      <c r="AO281" s="15"/>
    </row>
    <row r="282" spans="2:41" x14ac:dyDescent="0.25">
      <c r="B282" s="181">
        <f t="shared" si="62"/>
        <v>223</v>
      </c>
      <c r="C282" s="16">
        <v>20201102</v>
      </c>
      <c r="D282" s="16" t="s">
        <v>3</v>
      </c>
      <c r="E282" s="74" t="s">
        <v>832</v>
      </c>
      <c r="F282" s="69"/>
      <c r="G282" s="37"/>
      <c r="H282" s="131" t="s">
        <v>191</v>
      </c>
      <c r="I282" s="16" t="s">
        <v>1044</v>
      </c>
      <c r="J282" s="16" t="s">
        <v>174</v>
      </c>
      <c r="K282" s="37"/>
      <c r="L282" s="69" t="s">
        <v>1015</v>
      </c>
      <c r="M282" s="37"/>
      <c r="N282" s="16"/>
      <c r="O282" s="69" t="s">
        <v>1080</v>
      </c>
      <c r="P282" s="69" t="s">
        <v>865</v>
      </c>
      <c r="Q282" s="18"/>
      <c r="R282" s="16" t="s">
        <v>1130</v>
      </c>
      <c r="S282" s="16" t="s">
        <v>63</v>
      </c>
      <c r="T282" s="16"/>
      <c r="U282" s="16"/>
      <c r="V282" s="16">
        <v>50</v>
      </c>
      <c r="W282" s="15">
        <f>ROUND(IF(D282=Table!$C$3,Y282*Table!$C$4/8,Y282*Table!$D$4/8),3)</f>
        <v>58.5</v>
      </c>
      <c r="X282" s="101">
        <f t="shared" si="60"/>
        <v>58.5</v>
      </c>
      <c r="Y282" s="101">
        <v>1.04</v>
      </c>
      <c r="Z282" s="101">
        <f t="shared" si="61"/>
        <v>1.04</v>
      </c>
      <c r="AA282" s="16" t="s">
        <v>70</v>
      </c>
      <c r="AB282" s="70">
        <v>44141</v>
      </c>
      <c r="AC282" s="19">
        <v>44137</v>
      </c>
      <c r="AD282" s="70">
        <v>44141</v>
      </c>
      <c r="AE282" s="70">
        <v>44139</v>
      </c>
      <c r="AF282" s="70">
        <v>44139</v>
      </c>
      <c r="AG282" s="70" t="s">
        <v>130</v>
      </c>
      <c r="AH282" s="97">
        <v>1</v>
      </c>
      <c r="AI282" s="97">
        <v>1</v>
      </c>
      <c r="AJ282" s="97">
        <v>1</v>
      </c>
      <c r="AK282" s="71"/>
      <c r="AL282" s="76" t="s">
        <v>117</v>
      </c>
      <c r="AM282" s="87"/>
      <c r="AN282" s="15"/>
      <c r="AO282" s="15"/>
    </row>
    <row r="283" spans="2:41" x14ac:dyDescent="0.25">
      <c r="B283" s="181">
        <f t="shared" si="62"/>
        <v>224</v>
      </c>
      <c r="C283" s="16">
        <v>20201102</v>
      </c>
      <c r="D283" s="16" t="s">
        <v>3</v>
      </c>
      <c r="E283" s="74" t="s">
        <v>832</v>
      </c>
      <c r="F283" s="69"/>
      <c r="G283" s="37"/>
      <c r="H283" s="131" t="s">
        <v>193</v>
      </c>
      <c r="I283" s="16" t="s">
        <v>1045</v>
      </c>
      <c r="J283" s="16" t="s">
        <v>174</v>
      </c>
      <c r="K283" s="37"/>
      <c r="L283" s="69" t="s">
        <v>1015</v>
      </c>
      <c r="M283" s="37"/>
      <c r="N283" s="16"/>
      <c r="O283" s="69" t="s">
        <v>1081</v>
      </c>
      <c r="P283" s="69" t="s">
        <v>865</v>
      </c>
      <c r="Q283" s="18"/>
      <c r="R283" s="16" t="s">
        <v>1130</v>
      </c>
      <c r="S283" s="16" t="s">
        <v>63</v>
      </c>
      <c r="T283" s="16"/>
      <c r="U283" s="16"/>
      <c r="V283" s="16">
        <v>50</v>
      </c>
      <c r="W283" s="15">
        <f>ROUND(IF(D283=Table!$C$3,Y283*Table!$C$4/8,Y283*Table!$D$4/8),3)</f>
        <v>58.5</v>
      </c>
      <c r="X283" s="101">
        <f t="shared" si="60"/>
        <v>58.5</v>
      </c>
      <c r="Y283" s="101">
        <v>1.04</v>
      </c>
      <c r="Z283" s="101">
        <f t="shared" si="61"/>
        <v>1.04</v>
      </c>
      <c r="AA283" s="16" t="s">
        <v>70</v>
      </c>
      <c r="AB283" s="70">
        <v>44141</v>
      </c>
      <c r="AC283" s="19">
        <v>44137</v>
      </c>
      <c r="AD283" s="70">
        <v>44141</v>
      </c>
      <c r="AE283" s="70">
        <v>44139</v>
      </c>
      <c r="AF283" s="70">
        <v>44139</v>
      </c>
      <c r="AG283" s="70" t="s">
        <v>130</v>
      </c>
      <c r="AH283" s="97">
        <v>1</v>
      </c>
      <c r="AI283" s="97">
        <v>1</v>
      </c>
      <c r="AJ283" s="97">
        <v>1</v>
      </c>
      <c r="AK283" s="71"/>
      <c r="AL283" s="76" t="s">
        <v>117</v>
      </c>
      <c r="AM283" s="87"/>
      <c r="AN283" s="15"/>
      <c r="AO283" s="15"/>
    </row>
    <row r="284" spans="2:41" x14ac:dyDescent="0.25">
      <c r="B284" s="181">
        <f t="shared" si="62"/>
        <v>225</v>
      </c>
      <c r="C284" s="16">
        <v>20201102</v>
      </c>
      <c r="D284" s="16" t="s">
        <v>3</v>
      </c>
      <c r="E284" s="74" t="s">
        <v>832</v>
      </c>
      <c r="F284" s="69"/>
      <c r="G284" s="37"/>
      <c r="H284" s="131" t="s">
        <v>194</v>
      </c>
      <c r="I284" s="16" t="s">
        <v>1046</v>
      </c>
      <c r="J284" s="16" t="s">
        <v>174</v>
      </c>
      <c r="K284" s="37"/>
      <c r="L284" s="69" t="s">
        <v>1015</v>
      </c>
      <c r="M284" s="37"/>
      <c r="N284" s="16"/>
      <c r="O284" s="69" t="s">
        <v>1082</v>
      </c>
      <c r="P284" s="69" t="s">
        <v>865</v>
      </c>
      <c r="Q284" s="18"/>
      <c r="R284" s="16" t="s">
        <v>1130</v>
      </c>
      <c r="S284" s="16" t="s">
        <v>63</v>
      </c>
      <c r="T284" s="16"/>
      <c r="U284" s="16"/>
      <c r="V284" s="16">
        <v>52</v>
      </c>
      <c r="W284" s="15">
        <f>ROUND(IF(D284=Table!$C$3,Y284*Table!$C$4/8,Y284*Table!$D$4/8),3)</f>
        <v>58.5</v>
      </c>
      <c r="X284" s="101">
        <f t="shared" si="60"/>
        <v>58.5</v>
      </c>
      <c r="Y284" s="101">
        <v>1.04</v>
      </c>
      <c r="Z284" s="101">
        <f t="shared" si="61"/>
        <v>1.04</v>
      </c>
      <c r="AA284" s="16" t="s">
        <v>70</v>
      </c>
      <c r="AB284" s="70">
        <v>44141</v>
      </c>
      <c r="AC284" s="19">
        <v>44137</v>
      </c>
      <c r="AD284" s="70">
        <v>44141</v>
      </c>
      <c r="AE284" s="70">
        <v>44139</v>
      </c>
      <c r="AF284" s="70">
        <v>44139</v>
      </c>
      <c r="AG284" s="70" t="s">
        <v>130</v>
      </c>
      <c r="AH284" s="97">
        <v>1</v>
      </c>
      <c r="AI284" s="97">
        <v>1</v>
      </c>
      <c r="AJ284" s="97">
        <v>1</v>
      </c>
      <c r="AK284" s="71"/>
      <c r="AL284" s="76" t="s">
        <v>117</v>
      </c>
      <c r="AM284" s="87"/>
      <c r="AN284" s="15"/>
      <c r="AO284" s="15"/>
    </row>
    <row r="285" spans="2:41" x14ac:dyDescent="0.25">
      <c r="B285" s="181">
        <f t="shared" si="62"/>
        <v>226</v>
      </c>
      <c r="C285" s="16">
        <v>20201102</v>
      </c>
      <c r="D285" s="16" t="s">
        <v>3</v>
      </c>
      <c r="E285" s="74" t="s">
        <v>832</v>
      </c>
      <c r="F285" s="69"/>
      <c r="G285" s="37"/>
      <c r="H285" s="131" t="s">
        <v>196</v>
      </c>
      <c r="I285" s="16" t="s">
        <v>1047</v>
      </c>
      <c r="J285" s="16" t="s">
        <v>174</v>
      </c>
      <c r="K285" s="37"/>
      <c r="L285" s="69" t="s">
        <v>1015</v>
      </c>
      <c r="M285" s="37"/>
      <c r="N285" s="16"/>
      <c r="O285" s="69" t="s">
        <v>1083</v>
      </c>
      <c r="P285" s="69" t="s">
        <v>865</v>
      </c>
      <c r="Q285" s="18"/>
      <c r="R285" s="16" t="s">
        <v>1130</v>
      </c>
      <c r="S285" s="16" t="s">
        <v>63</v>
      </c>
      <c r="T285" s="16"/>
      <c r="U285" s="16"/>
      <c r="V285" s="16">
        <v>50</v>
      </c>
      <c r="W285" s="15">
        <f>ROUND(IF(D285=Table!$C$3,Y285*Table!$C$4/8,Y285*Table!$D$4/8),3)</f>
        <v>58.5</v>
      </c>
      <c r="X285" s="101">
        <f t="shared" si="60"/>
        <v>58.5</v>
      </c>
      <c r="Y285" s="101">
        <v>1.04</v>
      </c>
      <c r="Z285" s="101">
        <f t="shared" si="61"/>
        <v>1.04</v>
      </c>
      <c r="AA285" s="16" t="s">
        <v>70</v>
      </c>
      <c r="AB285" s="70">
        <v>44141</v>
      </c>
      <c r="AC285" s="19">
        <v>44137</v>
      </c>
      <c r="AD285" s="70">
        <v>44141</v>
      </c>
      <c r="AE285" s="70">
        <v>44139</v>
      </c>
      <c r="AF285" s="70">
        <v>44139</v>
      </c>
      <c r="AG285" s="70" t="s">
        <v>130</v>
      </c>
      <c r="AH285" s="97">
        <v>1</v>
      </c>
      <c r="AI285" s="97">
        <v>1</v>
      </c>
      <c r="AJ285" s="97">
        <v>1</v>
      </c>
      <c r="AK285" s="71"/>
      <c r="AL285" s="76" t="s">
        <v>117</v>
      </c>
      <c r="AM285" s="87"/>
      <c r="AN285" s="15"/>
      <c r="AO285" s="15"/>
    </row>
    <row r="286" spans="2:41" x14ac:dyDescent="0.25">
      <c r="B286" s="181">
        <f t="shared" si="62"/>
        <v>227</v>
      </c>
      <c r="C286" s="16">
        <v>20201102</v>
      </c>
      <c r="D286" s="16" t="s">
        <v>3</v>
      </c>
      <c r="E286" s="74" t="s">
        <v>832</v>
      </c>
      <c r="F286" s="69"/>
      <c r="G286" s="37"/>
      <c r="H286" s="16" t="s">
        <v>197</v>
      </c>
      <c r="I286" s="16" t="s">
        <v>1048</v>
      </c>
      <c r="J286" s="16" t="s">
        <v>174</v>
      </c>
      <c r="K286" s="37"/>
      <c r="L286" s="69" t="s">
        <v>1015</v>
      </c>
      <c r="M286" s="37"/>
      <c r="N286" s="16"/>
      <c r="O286" s="69" t="s">
        <v>1084</v>
      </c>
      <c r="P286" s="69" t="s">
        <v>865</v>
      </c>
      <c r="Q286" s="18"/>
      <c r="R286" s="16" t="s">
        <v>1131</v>
      </c>
      <c r="S286" s="16" t="s">
        <v>109</v>
      </c>
      <c r="T286" s="16"/>
      <c r="U286" s="16"/>
      <c r="V286" s="16">
        <v>50</v>
      </c>
      <c r="W286" s="15">
        <f>ROUND(IF(D286=Table!$C$3,Y286*Table!$C$4/8,Y286*Table!$D$4/8),3)</f>
        <v>58.5</v>
      </c>
      <c r="X286" s="101">
        <f t="shared" si="60"/>
        <v>58.5</v>
      </c>
      <c r="Y286" s="101">
        <v>1.04</v>
      </c>
      <c r="Z286" s="101">
        <f t="shared" si="61"/>
        <v>1.04</v>
      </c>
      <c r="AA286" s="16" t="s">
        <v>70</v>
      </c>
      <c r="AB286" s="70">
        <v>44141</v>
      </c>
      <c r="AC286" s="19">
        <v>44137</v>
      </c>
      <c r="AD286" s="70">
        <v>44141</v>
      </c>
      <c r="AE286" s="70">
        <v>44138</v>
      </c>
      <c r="AF286" s="70">
        <v>44138</v>
      </c>
      <c r="AG286" s="70" t="s">
        <v>130</v>
      </c>
      <c r="AH286" s="97">
        <v>1</v>
      </c>
      <c r="AI286" s="97">
        <v>1</v>
      </c>
      <c r="AJ286" s="97">
        <v>0.5</v>
      </c>
      <c r="AK286" s="71"/>
      <c r="AL286" s="76" t="s">
        <v>117</v>
      </c>
      <c r="AM286" s="87"/>
      <c r="AN286" s="15"/>
      <c r="AO286" s="15"/>
    </row>
    <row r="287" spans="2:41" x14ac:dyDescent="0.25">
      <c r="B287" s="181">
        <f t="shared" si="62"/>
        <v>228</v>
      </c>
      <c r="C287" s="16">
        <v>20201102</v>
      </c>
      <c r="D287" s="16" t="s">
        <v>3</v>
      </c>
      <c r="E287" s="74" t="s">
        <v>832</v>
      </c>
      <c r="F287" s="69"/>
      <c r="G287" s="37"/>
      <c r="H287" s="16" t="s">
        <v>198</v>
      </c>
      <c r="I287" s="16" t="s">
        <v>1049</v>
      </c>
      <c r="J287" s="16" t="s">
        <v>174</v>
      </c>
      <c r="K287" s="37"/>
      <c r="L287" s="69" t="s">
        <v>1015</v>
      </c>
      <c r="M287" s="37"/>
      <c r="N287" s="16"/>
      <c r="O287" s="69" t="s">
        <v>1085</v>
      </c>
      <c r="P287" s="69" t="s">
        <v>865</v>
      </c>
      <c r="Q287" s="18"/>
      <c r="R287" s="16" t="s">
        <v>1131</v>
      </c>
      <c r="S287" s="16" t="s">
        <v>109</v>
      </c>
      <c r="T287" s="16"/>
      <c r="U287" s="16"/>
      <c r="V287" s="16">
        <v>50</v>
      </c>
      <c r="W287" s="15">
        <f>ROUND(IF(D287=Table!$C$3,Y287*Table!$C$4/8,Y287*Table!$D$4/8),3)</f>
        <v>58.5</v>
      </c>
      <c r="X287" s="101">
        <f t="shared" si="60"/>
        <v>58.5</v>
      </c>
      <c r="Y287" s="101">
        <v>1.04</v>
      </c>
      <c r="Z287" s="101">
        <f t="shared" si="61"/>
        <v>1.04</v>
      </c>
      <c r="AA287" s="16" t="s">
        <v>70</v>
      </c>
      <c r="AB287" s="70">
        <v>44141</v>
      </c>
      <c r="AC287" s="19">
        <v>44137</v>
      </c>
      <c r="AD287" s="70">
        <v>44141</v>
      </c>
      <c r="AE287" s="70">
        <v>44138</v>
      </c>
      <c r="AF287" s="70">
        <v>44138</v>
      </c>
      <c r="AG287" s="70" t="s">
        <v>130</v>
      </c>
      <c r="AH287" s="97">
        <v>1</v>
      </c>
      <c r="AI287" s="97">
        <v>1</v>
      </c>
      <c r="AJ287" s="97">
        <v>0.5</v>
      </c>
      <c r="AK287" s="71"/>
      <c r="AL287" s="76" t="s">
        <v>117</v>
      </c>
      <c r="AM287" s="87"/>
      <c r="AN287" s="15"/>
      <c r="AO287" s="15"/>
    </row>
    <row r="288" spans="2:41" x14ac:dyDescent="0.25">
      <c r="B288" s="181">
        <f t="shared" si="62"/>
        <v>229</v>
      </c>
      <c r="C288" s="16">
        <v>20201102</v>
      </c>
      <c r="D288" s="16" t="s">
        <v>3</v>
      </c>
      <c r="E288" s="74" t="s">
        <v>832</v>
      </c>
      <c r="F288" s="69"/>
      <c r="G288" s="37"/>
      <c r="H288" s="16" t="s">
        <v>1116</v>
      </c>
      <c r="I288" s="16" t="s">
        <v>1050</v>
      </c>
      <c r="J288" s="16" t="s">
        <v>174</v>
      </c>
      <c r="K288" s="37"/>
      <c r="L288" s="69" t="s">
        <v>1015</v>
      </c>
      <c r="M288" s="37"/>
      <c r="N288" s="16"/>
      <c r="O288" s="69" t="s">
        <v>1086</v>
      </c>
      <c r="P288" s="69" t="s">
        <v>865</v>
      </c>
      <c r="Q288" s="18"/>
      <c r="R288" s="16" t="s">
        <v>1131</v>
      </c>
      <c r="S288" s="16" t="s">
        <v>109</v>
      </c>
      <c r="T288" s="16"/>
      <c r="U288" s="16"/>
      <c r="V288" s="16">
        <v>49</v>
      </c>
      <c r="W288" s="15">
        <f>ROUND(IF(D288=Table!$C$3,Y288*Table!$C$4/8,Y288*Table!$D$4/8),3)</f>
        <v>58.5</v>
      </c>
      <c r="X288" s="101">
        <f t="shared" si="60"/>
        <v>58.5</v>
      </c>
      <c r="Y288" s="101">
        <v>1.04</v>
      </c>
      <c r="Z288" s="101">
        <f t="shared" si="61"/>
        <v>1.04</v>
      </c>
      <c r="AA288" s="16" t="s">
        <v>70</v>
      </c>
      <c r="AB288" s="70">
        <v>44141</v>
      </c>
      <c r="AC288" s="19">
        <v>44137</v>
      </c>
      <c r="AD288" s="70">
        <v>44141</v>
      </c>
      <c r="AE288" s="70">
        <v>44138</v>
      </c>
      <c r="AF288" s="70">
        <v>44138</v>
      </c>
      <c r="AG288" s="70" t="s">
        <v>130</v>
      </c>
      <c r="AH288" s="97">
        <v>1</v>
      </c>
      <c r="AI288" s="97">
        <v>1</v>
      </c>
      <c r="AJ288" s="97">
        <v>0.5</v>
      </c>
      <c r="AK288" s="71"/>
      <c r="AL288" s="76" t="s">
        <v>117</v>
      </c>
      <c r="AM288" s="87"/>
      <c r="AN288" s="15"/>
      <c r="AO288" s="15"/>
    </row>
    <row r="289" spans="2:41" x14ac:dyDescent="0.25">
      <c r="B289" s="181">
        <f t="shared" si="62"/>
        <v>230</v>
      </c>
      <c r="C289" s="16">
        <v>20201102</v>
      </c>
      <c r="D289" s="16" t="s">
        <v>3</v>
      </c>
      <c r="E289" s="74" t="s">
        <v>832</v>
      </c>
      <c r="F289" s="69"/>
      <c r="G289" s="37"/>
      <c r="H289" s="16" t="s">
        <v>1117</v>
      </c>
      <c r="I289" s="16" t="s">
        <v>1051</v>
      </c>
      <c r="J289" s="16" t="s">
        <v>174</v>
      </c>
      <c r="K289" s="37"/>
      <c r="L289" s="69" t="s">
        <v>1015</v>
      </c>
      <c r="M289" s="37"/>
      <c r="N289" s="16"/>
      <c r="O289" s="69" t="s">
        <v>1087</v>
      </c>
      <c r="P289" s="69" t="s">
        <v>865</v>
      </c>
      <c r="Q289" s="18"/>
      <c r="R289" s="16" t="s">
        <v>1131</v>
      </c>
      <c r="S289" s="16" t="s">
        <v>109</v>
      </c>
      <c r="T289" s="16"/>
      <c r="U289" s="16"/>
      <c r="V289" s="16">
        <v>440</v>
      </c>
      <c r="W289" s="15">
        <f>ROUND(IF(D289=Table!$C$3,Y289*Table!$C$4/8,Y289*Table!$D$4/8),3)</f>
        <v>148.5</v>
      </c>
      <c r="X289" s="101">
        <f t="shared" si="60"/>
        <v>148.5</v>
      </c>
      <c r="Y289" s="101">
        <v>2.64</v>
      </c>
      <c r="Z289" s="101">
        <f t="shared" si="61"/>
        <v>2.64</v>
      </c>
      <c r="AA289" s="16" t="s">
        <v>70</v>
      </c>
      <c r="AB289" s="70">
        <v>44141</v>
      </c>
      <c r="AC289" s="19">
        <v>44137</v>
      </c>
      <c r="AD289" s="70">
        <v>44141</v>
      </c>
      <c r="AE289" s="70">
        <v>44138</v>
      </c>
      <c r="AF289" s="70">
        <v>44138</v>
      </c>
      <c r="AG289" s="70" t="s">
        <v>130</v>
      </c>
      <c r="AH289" s="97">
        <v>0.98</v>
      </c>
      <c r="AI289" s="97">
        <v>0.96</v>
      </c>
      <c r="AJ289" s="97">
        <v>0.26</v>
      </c>
      <c r="AK289" s="71"/>
      <c r="AL289" s="76" t="s">
        <v>117</v>
      </c>
      <c r="AM289" s="87" t="s">
        <v>1174</v>
      </c>
      <c r="AN289" s="15"/>
      <c r="AO289" s="15"/>
    </row>
    <row r="290" spans="2:41" x14ac:dyDescent="0.25">
      <c r="B290" s="181">
        <f t="shared" si="62"/>
        <v>231</v>
      </c>
      <c r="C290" s="16">
        <v>20201102</v>
      </c>
      <c r="D290" s="16" t="s">
        <v>3</v>
      </c>
      <c r="E290" s="74" t="s">
        <v>832</v>
      </c>
      <c r="F290" s="69"/>
      <c r="G290" s="37"/>
      <c r="H290" s="16" t="s">
        <v>1118</v>
      </c>
      <c r="I290" s="16" t="s">
        <v>1052</v>
      </c>
      <c r="J290" s="16" t="s">
        <v>188</v>
      </c>
      <c r="K290" s="37"/>
      <c r="L290" s="69" t="s">
        <v>1015</v>
      </c>
      <c r="M290" s="37"/>
      <c r="N290" s="16"/>
      <c r="O290" s="69" t="s">
        <v>1088</v>
      </c>
      <c r="P290" s="69" t="s">
        <v>865</v>
      </c>
      <c r="Q290" s="18"/>
      <c r="R290" s="16" t="s">
        <v>1131</v>
      </c>
      <c r="S290" s="16" t="s">
        <v>109</v>
      </c>
      <c r="T290" s="16"/>
      <c r="U290" s="16"/>
      <c r="V290" s="16">
        <v>231</v>
      </c>
      <c r="W290" s="15">
        <f>ROUND(IF(D290=Table!$C$3,Y290*Table!$C$4/8,Y290*Table!$D$4/8),3)</f>
        <v>216</v>
      </c>
      <c r="X290" s="101">
        <f t="shared" si="60"/>
        <v>216</v>
      </c>
      <c r="Y290" s="101">
        <v>3.84</v>
      </c>
      <c r="Z290" s="101">
        <f t="shared" si="61"/>
        <v>3.84</v>
      </c>
      <c r="AA290" s="16" t="s">
        <v>70</v>
      </c>
      <c r="AB290" s="70">
        <v>44141</v>
      </c>
      <c r="AC290" s="19">
        <v>44137</v>
      </c>
      <c r="AD290" s="70">
        <v>44141</v>
      </c>
      <c r="AE290" s="70">
        <v>44138</v>
      </c>
      <c r="AF290" s="70">
        <v>44138</v>
      </c>
      <c r="AG290" s="70" t="s">
        <v>130</v>
      </c>
      <c r="AH290" s="97">
        <v>1</v>
      </c>
      <c r="AI290" s="97">
        <v>1</v>
      </c>
      <c r="AJ290" s="97">
        <v>1</v>
      </c>
      <c r="AK290" s="71"/>
      <c r="AL290" s="76" t="s">
        <v>117</v>
      </c>
      <c r="AM290" s="87"/>
      <c r="AN290" s="15"/>
      <c r="AO290" s="15"/>
    </row>
    <row r="291" spans="2:41" x14ac:dyDescent="0.25">
      <c r="B291" s="181">
        <f t="shared" si="62"/>
        <v>232</v>
      </c>
      <c r="C291" s="16">
        <v>20201102</v>
      </c>
      <c r="D291" s="16" t="s">
        <v>3</v>
      </c>
      <c r="E291" s="74" t="s">
        <v>832</v>
      </c>
      <c r="F291" s="69"/>
      <c r="G291" s="37"/>
      <c r="H291" s="16" t="s">
        <v>1119</v>
      </c>
      <c r="I291" s="16" t="s">
        <v>529</v>
      </c>
      <c r="J291" s="16" t="s">
        <v>174</v>
      </c>
      <c r="K291" s="37"/>
      <c r="L291" s="69" t="s">
        <v>1015</v>
      </c>
      <c r="M291" s="37"/>
      <c r="N291" s="16"/>
      <c r="O291" s="69" t="s">
        <v>1089</v>
      </c>
      <c r="P291" s="69" t="s">
        <v>865</v>
      </c>
      <c r="Q291" s="18"/>
      <c r="R291" s="16" t="s">
        <v>1131</v>
      </c>
      <c r="S291" s="16" t="s">
        <v>109</v>
      </c>
      <c r="T291" s="16"/>
      <c r="U291" s="16"/>
      <c r="V291" s="16">
        <v>155</v>
      </c>
      <c r="W291" s="15">
        <f>ROUND(IF(D291=Table!$C$3,Y291*Table!$C$4/8,Y291*Table!$D$4/8),3)</f>
        <v>54</v>
      </c>
      <c r="X291" s="101">
        <f t="shared" si="60"/>
        <v>54</v>
      </c>
      <c r="Y291" s="101">
        <v>0.96</v>
      </c>
      <c r="Z291" s="101">
        <f t="shared" si="61"/>
        <v>0.96</v>
      </c>
      <c r="AA291" s="16" t="s">
        <v>70</v>
      </c>
      <c r="AB291" s="70">
        <v>44141</v>
      </c>
      <c r="AC291" s="19">
        <v>44137</v>
      </c>
      <c r="AD291" s="70">
        <v>44141</v>
      </c>
      <c r="AE291" s="70">
        <v>44138</v>
      </c>
      <c r="AF291" s="70">
        <v>44138</v>
      </c>
      <c r="AG291" s="70" t="s">
        <v>130</v>
      </c>
      <c r="AH291" s="97">
        <v>1</v>
      </c>
      <c r="AI291" s="97">
        <v>1</v>
      </c>
      <c r="AJ291" s="97">
        <v>1</v>
      </c>
      <c r="AK291" s="71"/>
      <c r="AL291" s="76" t="s">
        <v>117</v>
      </c>
      <c r="AM291" s="87"/>
      <c r="AN291" s="15"/>
      <c r="AO291" s="15"/>
    </row>
    <row r="292" spans="2:41" x14ac:dyDescent="0.25">
      <c r="B292" s="181">
        <f t="shared" si="62"/>
        <v>233</v>
      </c>
      <c r="C292" s="16">
        <v>20201102</v>
      </c>
      <c r="D292" s="16" t="s">
        <v>3</v>
      </c>
      <c r="E292" s="74" t="s">
        <v>832</v>
      </c>
      <c r="F292" s="69"/>
      <c r="G292" s="37"/>
      <c r="H292" s="16" t="s">
        <v>1120</v>
      </c>
      <c r="I292" s="16" t="s">
        <v>1053</v>
      </c>
      <c r="J292" s="16" t="s">
        <v>174</v>
      </c>
      <c r="K292" s="37"/>
      <c r="L292" s="69" t="s">
        <v>1015</v>
      </c>
      <c r="M292" s="37"/>
      <c r="N292" s="16"/>
      <c r="O292" s="69" t="s">
        <v>1090</v>
      </c>
      <c r="P292" s="69" t="s">
        <v>1101</v>
      </c>
      <c r="Q292" s="18"/>
      <c r="R292" s="16" t="s">
        <v>1131</v>
      </c>
      <c r="S292" s="16" t="s">
        <v>109</v>
      </c>
      <c r="T292" s="16"/>
      <c r="U292" s="16"/>
      <c r="V292" s="16">
        <v>205</v>
      </c>
      <c r="W292" s="15">
        <f>ROUND(IF(D292=Table!$C$3,Y292*Table!$C$4/8,Y292*Table!$D$4/8),3)</f>
        <v>166.5</v>
      </c>
      <c r="X292" s="101">
        <f t="shared" si="60"/>
        <v>166.5</v>
      </c>
      <c r="Y292" s="101">
        <v>2.96</v>
      </c>
      <c r="Z292" s="101">
        <f t="shared" si="61"/>
        <v>2.96</v>
      </c>
      <c r="AA292" s="16" t="s">
        <v>70</v>
      </c>
      <c r="AB292" s="70">
        <v>44141</v>
      </c>
      <c r="AC292" s="19">
        <v>44137</v>
      </c>
      <c r="AD292" s="70">
        <v>44141</v>
      </c>
      <c r="AE292" s="70">
        <v>44138</v>
      </c>
      <c r="AF292" s="70">
        <v>44138</v>
      </c>
      <c r="AG292" s="70" t="s">
        <v>130</v>
      </c>
      <c r="AH292" s="97">
        <v>1</v>
      </c>
      <c r="AI292" s="97">
        <v>1</v>
      </c>
      <c r="AJ292" s="97">
        <v>0.26</v>
      </c>
      <c r="AK292" s="71"/>
      <c r="AL292" s="76" t="s">
        <v>117</v>
      </c>
      <c r="AM292" s="87"/>
      <c r="AN292" s="15"/>
      <c r="AO292" s="15"/>
    </row>
    <row r="293" spans="2:41" x14ac:dyDescent="0.25">
      <c r="B293" s="181">
        <f t="shared" si="62"/>
        <v>234</v>
      </c>
      <c r="C293" s="16">
        <v>20201102</v>
      </c>
      <c r="D293" s="16" t="s">
        <v>3</v>
      </c>
      <c r="E293" s="74" t="s">
        <v>832</v>
      </c>
      <c r="F293" s="69"/>
      <c r="G293" s="37"/>
      <c r="H293" s="16" t="s">
        <v>204</v>
      </c>
      <c r="I293" s="16" t="s">
        <v>1054</v>
      </c>
      <c r="J293" s="16" t="s">
        <v>174</v>
      </c>
      <c r="K293" s="37"/>
      <c r="L293" s="69" t="s">
        <v>1015</v>
      </c>
      <c r="M293" s="37"/>
      <c r="N293" s="16"/>
      <c r="O293" s="69" t="s">
        <v>1091</v>
      </c>
      <c r="P293" s="69" t="s">
        <v>865</v>
      </c>
      <c r="Q293" s="18"/>
      <c r="R293" s="16" t="s">
        <v>1131</v>
      </c>
      <c r="S293" s="16" t="s">
        <v>109</v>
      </c>
      <c r="T293" s="16"/>
      <c r="U293" s="16"/>
      <c r="V293" s="16">
        <v>235</v>
      </c>
      <c r="W293" s="15">
        <f>ROUND(IF(D293=Table!$C$3,Y293*Table!$C$4/8,Y293*Table!$D$4/8),3)</f>
        <v>198</v>
      </c>
      <c r="X293" s="101">
        <f t="shared" si="60"/>
        <v>198</v>
      </c>
      <c r="Y293" s="101">
        <v>3.5200000000000005</v>
      </c>
      <c r="Z293" s="101">
        <f t="shared" si="61"/>
        <v>3.5200000000000005</v>
      </c>
      <c r="AA293" s="16" t="s">
        <v>70</v>
      </c>
      <c r="AB293" s="70">
        <v>44141</v>
      </c>
      <c r="AC293" s="19">
        <v>44137</v>
      </c>
      <c r="AD293" s="70">
        <v>44141</v>
      </c>
      <c r="AE293" s="70">
        <v>44138</v>
      </c>
      <c r="AF293" s="70">
        <v>44138</v>
      </c>
      <c r="AG293" s="70" t="s">
        <v>130</v>
      </c>
      <c r="AH293" s="97">
        <v>1</v>
      </c>
      <c r="AI293" s="97">
        <v>1</v>
      </c>
      <c r="AJ293" s="97">
        <v>0.21</v>
      </c>
      <c r="AK293" s="71"/>
      <c r="AL293" s="76" t="s">
        <v>117</v>
      </c>
      <c r="AM293" s="87"/>
      <c r="AN293" s="15"/>
      <c r="AO293" s="15"/>
    </row>
    <row r="294" spans="2:41" x14ac:dyDescent="0.25">
      <c r="B294" s="181">
        <f t="shared" si="62"/>
        <v>235</v>
      </c>
      <c r="C294" s="16">
        <v>20201102</v>
      </c>
      <c r="D294" s="16" t="s">
        <v>3</v>
      </c>
      <c r="E294" s="74" t="s">
        <v>832</v>
      </c>
      <c r="F294" s="69"/>
      <c r="G294" s="37"/>
      <c r="H294" s="16" t="s">
        <v>1121</v>
      </c>
      <c r="I294" s="16" t="s">
        <v>1055</v>
      </c>
      <c r="J294" s="16" t="s">
        <v>174</v>
      </c>
      <c r="K294" s="37"/>
      <c r="L294" s="69" t="s">
        <v>1015</v>
      </c>
      <c r="M294" s="37"/>
      <c r="N294" s="16"/>
      <c r="O294" s="69" t="s">
        <v>1092</v>
      </c>
      <c r="P294" s="69" t="s">
        <v>865</v>
      </c>
      <c r="Q294" s="18"/>
      <c r="R294" s="16" t="s">
        <v>1131</v>
      </c>
      <c r="S294" s="16" t="s">
        <v>109</v>
      </c>
      <c r="T294" s="16"/>
      <c r="U294" s="16"/>
      <c r="V294" s="16">
        <v>257</v>
      </c>
      <c r="W294" s="15">
        <f>ROUND(IF(D294=Table!$C$3,Y294*Table!$C$4/8,Y294*Table!$D$4/8),3)</f>
        <v>252</v>
      </c>
      <c r="X294" s="101">
        <f t="shared" si="60"/>
        <v>252</v>
      </c>
      <c r="Y294" s="101">
        <v>4.4799999999999995</v>
      </c>
      <c r="Z294" s="101">
        <f t="shared" si="61"/>
        <v>4.4799999999999995</v>
      </c>
      <c r="AA294" s="16" t="s">
        <v>70</v>
      </c>
      <c r="AB294" s="70">
        <v>44141</v>
      </c>
      <c r="AC294" s="19">
        <v>44137</v>
      </c>
      <c r="AD294" s="70">
        <v>44141</v>
      </c>
      <c r="AE294" s="70">
        <v>44138</v>
      </c>
      <c r="AF294" s="70">
        <v>44138</v>
      </c>
      <c r="AG294" s="70" t="s">
        <v>130</v>
      </c>
      <c r="AH294" s="97">
        <v>1</v>
      </c>
      <c r="AI294" s="97">
        <v>1</v>
      </c>
      <c r="AJ294" s="97">
        <v>1</v>
      </c>
      <c r="AK294" s="71"/>
      <c r="AL294" s="76" t="s">
        <v>117</v>
      </c>
      <c r="AM294" s="87"/>
      <c r="AN294" s="15"/>
      <c r="AO294" s="15"/>
    </row>
    <row r="295" spans="2:41" x14ac:dyDescent="0.25">
      <c r="B295" s="181">
        <f t="shared" si="62"/>
        <v>236</v>
      </c>
      <c r="C295" s="16">
        <v>20201102</v>
      </c>
      <c r="D295" s="16" t="s">
        <v>3</v>
      </c>
      <c r="E295" s="74" t="s">
        <v>832</v>
      </c>
      <c r="F295" s="69"/>
      <c r="G295" s="37"/>
      <c r="H295" s="16" t="s">
        <v>1122</v>
      </c>
      <c r="I295" s="16" t="s">
        <v>1056</v>
      </c>
      <c r="J295" s="16" t="s">
        <v>174</v>
      </c>
      <c r="K295" s="37"/>
      <c r="L295" s="69" t="s">
        <v>1015</v>
      </c>
      <c r="M295" s="37"/>
      <c r="N295" s="16"/>
      <c r="O295" s="69" t="s">
        <v>1093</v>
      </c>
      <c r="P295" s="69" t="s">
        <v>865</v>
      </c>
      <c r="Q295" s="18"/>
      <c r="R295" s="16" t="s">
        <v>1128</v>
      </c>
      <c r="S295" s="16" t="s">
        <v>66</v>
      </c>
      <c r="T295" s="16"/>
      <c r="U295" s="16"/>
      <c r="V295" s="16">
        <v>107</v>
      </c>
      <c r="W295" s="15">
        <f>ROUND(IF(D295=Table!$C$3,Y295*Table!$C$4/8,Y295*Table!$D$4/8),3)</f>
        <v>121.5</v>
      </c>
      <c r="X295" s="101">
        <f t="shared" si="60"/>
        <v>121.5</v>
      </c>
      <c r="Y295" s="101">
        <v>2.16</v>
      </c>
      <c r="Z295" s="101">
        <f t="shared" si="61"/>
        <v>2.16</v>
      </c>
      <c r="AA295" s="16" t="s">
        <v>70</v>
      </c>
      <c r="AB295" s="70">
        <v>44141</v>
      </c>
      <c r="AC295" s="19">
        <v>44137</v>
      </c>
      <c r="AD295" s="70">
        <v>44141</v>
      </c>
      <c r="AE295" s="70">
        <v>44138</v>
      </c>
      <c r="AF295" s="70">
        <v>44138</v>
      </c>
      <c r="AG295" s="70" t="s">
        <v>130</v>
      </c>
      <c r="AH295" s="97">
        <v>1</v>
      </c>
      <c r="AI295" s="97">
        <v>1</v>
      </c>
      <c r="AJ295" s="97">
        <v>1</v>
      </c>
      <c r="AK295" s="71"/>
      <c r="AL295" s="76" t="s">
        <v>117</v>
      </c>
      <c r="AM295" s="87"/>
      <c r="AN295" s="15"/>
      <c r="AO295" s="15"/>
    </row>
    <row r="296" spans="2:41" x14ac:dyDescent="0.25">
      <c r="B296" s="181">
        <f t="shared" si="62"/>
        <v>237</v>
      </c>
      <c r="C296" s="16">
        <v>20201102</v>
      </c>
      <c r="D296" s="16" t="s">
        <v>3</v>
      </c>
      <c r="E296" s="74" t="s">
        <v>832</v>
      </c>
      <c r="F296" s="69"/>
      <c r="G296" s="37"/>
      <c r="H296" s="131" t="s">
        <v>1123</v>
      </c>
      <c r="I296" s="16" t="s">
        <v>1057</v>
      </c>
      <c r="J296" s="16" t="s">
        <v>188</v>
      </c>
      <c r="K296" s="37"/>
      <c r="L296" s="69" t="s">
        <v>1015</v>
      </c>
      <c r="M296" s="37"/>
      <c r="N296" s="16"/>
      <c r="O296" s="69" t="s">
        <v>1094</v>
      </c>
      <c r="P296" s="69" t="s">
        <v>865</v>
      </c>
      <c r="Q296" s="18"/>
      <c r="R296" s="16" t="s">
        <v>1130</v>
      </c>
      <c r="S296" s="16" t="s">
        <v>63</v>
      </c>
      <c r="T296" s="16"/>
      <c r="U296" s="16"/>
      <c r="V296" s="16">
        <v>187</v>
      </c>
      <c r="W296" s="15">
        <f>ROUND(IF(D296=Table!$C$3,Y296*Table!$C$4/8,Y296*Table!$D$4/8),3)</f>
        <v>103.5</v>
      </c>
      <c r="X296" s="101">
        <f t="shared" si="60"/>
        <v>103.5</v>
      </c>
      <c r="Y296" s="101">
        <v>1.84</v>
      </c>
      <c r="Z296" s="101">
        <f t="shared" si="61"/>
        <v>1.84</v>
      </c>
      <c r="AA296" s="16" t="s">
        <v>70</v>
      </c>
      <c r="AB296" s="70">
        <v>44141</v>
      </c>
      <c r="AC296" s="19">
        <v>44137</v>
      </c>
      <c r="AD296" s="70">
        <v>44141</v>
      </c>
      <c r="AE296" s="70">
        <v>44139</v>
      </c>
      <c r="AF296" s="70">
        <v>44139</v>
      </c>
      <c r="AG296" s="70" t="s">
        <v>130</v>
      </c>
      <c r="AH296" s="97">
        <v>0.79</v>
      </c>
      <c r="AI296" s="97">
        <v>0.5</v>
      </c>
      <c r="AJ296" s="97">
        <v>1</v>
      </c>
      <c r="AK296" s="71"/>
      <c r="AL296" s="76" t="s">
        <v>116</v>
      </c>
      <c r="AM296" s="87" t="s">
        <v>1207</v>
      </c>
      <c r="AN296" s="15"/>
      <c r="AO296" s="15" t="s">
        <v>1433</v>
      </c>
    </row>
    <row r="297" spans="2:41" x14ac:dyDescent="0.25">
      <c r="B297" s="181">
        <f t="shared" si="62"/>
        <v>238</v>
      </c>
      <c r="C297" s="16">
        <v>20201102</v>
      </c>
      <c r="D297" s="16" t="s">
        <v>3</v>
      </c>
      <c r="E297" s="74" t="s">
        <v>832</v>
      </c>
      <c r="F297" s="69"/>
      <c r="G297" s="37"/>
      <c r="H297" s="16" t="s">
        <v>1124</v>
      </c>
      <c r="I297" s="16" t="s">
        <v>1058</v>
      </c>
      <c r="J297" s="16" t="s">
        <v>188</v>
      </c>
      <c r="K297" s="37"/>
      <c r="L297" s="62" t="s">
        <v>1015</v>
      </c>
      <c r="M297" s="37"/>
      <c r="N297" s="16"/>
      <c r="O297" s="69" t="s">
        <v>1095</v>
      </c>
      <c r="P297" s="69" t="s">
        <v>865</v>
      </c>
      <c r="Q297" s="18"/>
      <c r="R297" s="16" t="s">
        <v>1129</v>
      </c>
      <c r="S297" s="16" t="s">
        <v>147</v>
      </c>
      <c r="T297" s="16"/>
      <c r="U297" s="16"/>
      <c r="V297" s="16">
        <v>215</v>
      </c>
      <c r="W297" s="15">
        <f>ROUND(IF(D297=Table!$C$3,Y297*Table!$C$4/8,Y297*Table!$D$4/8),3)</f>
        <v>234</v>
      </c>
      <c r="X297" s="101">
        <f t="shared" si="60"/>
        <v>234</v>
      </c>
      <c r="Y297" s="101">
        <v>4.16</v>
      </c>
      <c r="Z297" s="101">
        <f t="shared" si="61"/>
        <v>4.16</v>
      </c>
      <c r="AA297" s="16" t="s">
        <v>70</v>
      </c>
      <c r="AB297" s="70">
        <v>44141</v>
      </c>
      <c r="AC297" s="19">
        <v>44137</v>
      </c>
      <c r="AD297" s="70">
        <v>44141</v>
      </c>
      <c r="AE297" s="70">
        <v>44138</v>
      </c>
      <c r="AF297" s="70">
        <v>44138</v>
      </c>
      <c r="AG297" s="70" t="s">
        <v>130</v>
      </c>
      <c r="AH297" s="97">
        <v>1</v>
      </c>
      <c r="AI297" s="97">
        <v>1</v>
      </c>
      <c r="AJ297" s="97">
        <v>1</v>
      </c>
      <c r="AK297" s="71"/>
      <c r="AL297" s="76" t="s">
        <v>117</v>
      </c>
      <c r="AM297" s="87"/>
      <c r="AN297" s="15"/>
      <c r="AO297" s="15"/>
    </row>
    <row r="298" spans="2:41" x14ac:dyDescent="0.25">
      <c r="B298" s="181">
        <f t="shared" si="62"/>
        <v>239</v>
      </c>
      <c r="C298" s="16">
        <v>20201102</v>
      </c>
      <c r="D298" s="16" t="s">
        <v>3</v>
      </c>
      <c r="E298" s="74" t="s">
        <v>832</v>
      </c>
      <c r="F298" s="69"/>
      <c r="G298" s="37"/>
      <c r="H298" s="16" t="s">
        <v>1125</v>
      </c>
      <c r="I298" s="16" t="s">
        <v>1059</v>
      </c>
      <c r="J298" s="16" t="s">
        <v>188</v>
      </c>
      <c r="K298" s="37"/>
      <c r="L298" s="62" t="s">
        <v>1015</v>
      </c>
      <c r="M298" s="37"/>
      <c r="N298" s="16"/>
      <c r="O298" s="69" t="s">
        <v>1096</v>
      </c>
      <c r="P298" s="69" t="s">
        <v>865</v>
      </c>
      <c r="Q298" s="18"/>
      <c r="R298" s="16" t="s">
        <v>1129</v>
      </c>
      <c r="S298" s="16" t="s">
        <v>147</v>
      </c>
      <c r="T298" s="16"/>
      <c r="U298" s="16"/>
      <c r="V298" s="16">
        <v>217</v>
      </c>
      <c r="W298" s="15">
        <f>ROUND(IF(D298=Table!$C$3,Y298*Table!$C$4/8,Y298*Table!$D$4/8),3)</f>
        <v>234</v>
      </c>
      <c r="X298" s="101">
        <f t="shared" si="60"/>
        <v>234</v>
      </c>
      <c r="Y298" s="101">
        <v>4.16</v>
      </c>
      <c r="Z298" s="101">
        <f t="shared" si="61"/>
        <v>4.16</v>
      </c>
      <c r="AA298" s="16" t="s">
        <v>70</v>
      </c>
      <c r="AB298" s="70">
        <v>44141</v>
      </c>
      <c r="AC298" s="19">
        <v>44137</v>
      </c>
      <c r="AD298" s="70">
        <v>44141</v>
      </c>
      <c r="AE298" s="70">
        <v>44138</v>
      </c>
      <c r="AF298" s="70">
        <v>44138</v>
      </c>
      <c r="AG298" s="70" t="s">
        <v>130</v>
      </c>
      <c r="AH298" s="97">
        <v>1</v>
      </c>
      <c r="AI298" s="97">
        <v>1</v>
      </c>
      <c r="AJ298" s="97">
        <v>1</v>
      </c>
      <c r="AK298" s="71"/>
      <c r="AL298" s="76" t="s">
        <v>117</v>
      </c>
      <c r="AM298" s="87"/>
      <c r="AN298" s="15"/>
      <c r="AO298" s="15"/>
    </row>
    <row r="299" spans="2:41" x14ac:dyDescent="0.25">
      <c r="B299" s="181">
        <f t="shared" ref="B299:B323" si="63">B298+1</f>
        <v>240</v>
      </c>
      <c r="C299" s="16">
        <v>20201102</v>
      </c>
      <c r="D299" s="16" t="s">
        <v>3</v>
      </c>
      <c r="E299" s="74" t="s">
        <v>832</v>
      </c>
      <c r="F299" s="69"/>
      <c r="G299" s="37"/>
      <c r="H299" s="16" t="s">
        <v>1126</v>
      </c>
      <c r="I299" s="16" t="s">
        <v>1060</v>
      </c>
      <c r="J299" s="16" t="s">
        <v>174</v>
      </c>
      <c r="K299" s="37"/>
      <c r="L299" s="62" t="s">
        <v>1015</v>
      </c>
      <c r="M299" s="37"/>
      <c r="N299" s="16"/>
      <c r="O299" s="69" t="s">
        <v>1097</v>
      </c>
      <c r="P299" s="69" t="s">
        <v>865</v>
      </c>
      <c r="Q299" s="18"/>
      <c r="R299" s="16" t="s">
        <v>1129</v>
      </c>
      <c r="S299" s="16" t="s">
        <v>147</v>
      </c>
      <c r="T299" s="16"/>
      <c r="U299" s="16"/>
      <c r="V299" s="16">
        <v>279</v>
      </c>
      <c r="W299" s="15">
        <f>ROUND(IF(D299=Table!$C$3,Y299*Table!$C$4/8,Y299*Table!$D$4/8),3)</f>
        <v>270</v>
      </c>
      <c r="X299" s="101">
        <f t="shared" si="60"/>
        <v>270</v>
      </c>
      <c r="Y299" s="101">
        <v>4.8000000000000007</v>
      </c>
      <c r="Z299" s="101">
        <f t="shared" si="61"/>
        <v>4.8000000000000007</v>
      </c>
      <c r="AA299" s="16" t="s">
        <v>70</v>
      </c>
      <c r="AB299" s="70">
        <v>44141</v>
      </c>
      <c r="AC299" s="19">
        <v>44137</v>
      </c>
      <c r="AD299" s="70">
        <v>44141</v>
      </c>
      <c r="AE299" s="70">
        <v>44138</v>
      </c>
      <c r="AF299" s="70">
        <v>44138</v>
      </c>
      <c r="AG299" s="70" t="s">
        <v>130</v>
      </c>
      <c r="AH299" s="97">
        <v>1</v>
      </c>
      <c r="AI299" s="97">
        <v>1</v>
      </c>
      <c r="AJ299" s="97">
        <v>0.5</v>
      </c>
      <c r="AK299" s="71"/>
      <c r="AL299" s="76" t="s">
        <v>117</v>
      </c>
      <c r="AM299" s="87"/>
      <c r="AN299" s="15"/>
      <c r="AO299" s="15"/>
    </row>
    <row r="300" spans="2:41" x14ac:dyDescent="0.25">
      <c r="B300" s="149">
        <f t="shared" si="63"/>
        <v>241</v>
      </c>
      <c r="C300" s="16">
        <v>20201105</v>
      </c>
      <c r="D300" s="16" t="s">
        <v>3</v>
      </c>
      <c r="E300" s="74" t="s">
        <v>1231</v>
      </c>
      <c r="F300" s="69"/>
      <c r="G300" s="37"/>
      <c r="H300" s="16" t="s">
        <v>531</v>
      </c>
      <c r="I300" s="16" t="s">
        <v>1222</v>
      </c>
      <c r="J300" s="16"/>
      <c r="K300" s="37"/>
      <c r="L300" s="69" t="s">
        <v>1232</v>
      </c>
      <c r="M300" s="37"/>
      <c r="N300" s="16"/>
      <c r="O300" s="69"/>
      <c r="P300" s="69" t="s">
        <v>1224</v>
      </c>
      <c r="Q300" s="18"/>
      <c r="R300" s="16" t="s">
        <v>168</v>
      </c>
      <c r="S300" s="16" t="s">
        <v>61</v>
      </c>
      <c r="T300" s="16"/>
      <c r="U300" s="16"/>
      <c r="V300" s="16">
        <v>52</v>
      </c>
      <c r="W300" s="15">
        <f>ROUND(IF(D300=Table!$C$3,Y300*Table!$C$4/8,Y300*Table!$D$4/8),3)</f>
        <v>67.5</v>
      </c>
      <c r="X300" s="101">
        <f t="shared" ref="X300:X309" si="64">W300</f>
        <v>67.5</v>
      </c>
      <c r="Y300" s="101">
        <v>1.2</v>
      </c>
      <c r="Z300" s="101"/>
      <c r="AA300" s="16" t="s">
        <v>70</v>
      </c>
      <c r="AB300" s="70">
        <v>44145</v>
      </c>
      <c r="AC300" s="19">
        <v>44140</v>
      </c>
      <c r="AD300" s="70">
        <v>44145</v>
      </c>
      <c r="AE300" s="70">
        <v>44140</v>
      </c>
      <c r="AF300" s="70">
        <v>44140</v>
      </c>
      <c r="AG300" s="70" t="s">
        <v>130</v>
      </c>
      <c r="AH300" s="97">
        <v>1</v>
      </c>
      <c r="AI300" s="97">
        <v>1</v>
      </c>
      <c r="AJ300" s="97">
        <v>0.33</v>
      </c>
      <c r="AK300" s="71"/>
      <c r="AL300" s="76" t="s">
        <v>117</v>
      </c>
      <c r="AM300" s="87"/>
      <c r="AN300" s="15"/>
      <c r="AO300" s="15"/>
    </row>
    <row r="301" spans="2:41" x14ac:dyDescent="0.25">
      <c r="B301" s="149">
        <f t="shared" si="63"/>
        <v>242</v>
      </c>
      <c r="C301" s="16">
        <v>20201105</v>
      </c>
      <c r="D301" s="16" t="s">
        <v>3</v>
      </c>
      <c r="E301" s="74" t="s">
        <v>1231</v>
      </c>
      <c r="F301" s="69"/>
      <c r="G301" s="37"/>
      <c r="H301" s="16" t="s">
        <v>493</v>
      </c>
      <c r="I301" s="16" t="s">
        <v>272</v>
      </c>
      <c r="J301" s="16"/>
      <c r="K301" s="37"/>
      <c r="L301" s="69" t="s">
        <v>1232</v>
      </c>
      <c r="M301" s="37"/>
      <c r="N301" s="16"/>
      <c r="O301" s="69"/>
      <c r="P301" s="69" t="s">
        <v>536</v>
      </c>
      <c r="Q301" s="18"/>
      <c r="R301" s="16" t="s">
        <v>168</v>
      </c>
      <c r="S301" s="16" t="s">
        <v>61</v>
      </c>
      <c r="T301" s="16"/>
      <c r="U301" s="16"/>
      <c r="V301" s="16">
        <v>93</v>
      </c>
      <c r="W301" s="15">
        <f>ROUND(IF(D301=Table!$C$3,Y301*Table!$C$4/8,Y301*Table!$D$4/8),3)</f>
        <v>45</v>
      </c>
      <c r="X301" s="101">
        <f t="shared" si="64"/>
        <v>45</v>
      </c>
      <c r="Y301" s="101">
        <v>0.8</v>
      </c>
      <c r="Z301" s="101"/>
      <c r="AA301" s="16" t="s">
        <v>70</v>
      </c>
      <c r="AB301" s="70">
        <v>44145</v>
      </c>
      <c r="AC301" s="19">
        <v>44140</v>
      </c>
      <c r="AD301" s="70">
        <v>44145</v>
      </c>
      <c r="AE301" s="70">
        <v>44140</v>
      </c>
      <c r="AF301" s="70">
        <v>44140</v>
      </c>
      <c r="AG301" s="70" t="s">
        <v>130</v>
      </c>
      <c r="AH301" s="97">
        <v>1</v>
      </c>
      <c r="AI301" s="97">
        <v>1</v>
      </c>
      <c r="AJ301" s="97">
        <v>1</v>
      </c>
      <c r="AK301" s="71"/>
      <c r="AL301" s="76" t="s">
        <v>117</v>
      </c>
      <c r="AM301" s="87"/>
      <c r="AN301" s="15"/>
      <c r="AO301" s="15"/>
    </row>
    <row r="302" spans="2:41" x14ac:dyDescent="0.25">
      <c r="B302" s="149">
        <f t="shared" si="63"/>
        <v>243</v>
      </c>
      <c r="C302" s="16">
        <v>20201105</v>
      </c>
      <c r="D302" s="16" t="s">
        <v>3</v>
      </c>
      <c r="E302" s="74" t="s">
        <v>1231</v>
      </c>
      <c r="F302" s="69"/>
      <c r="G302" s="37"/>
      <c r="H302" s="16" t="s">
        <v>222</v>
      </c>
      <c r="I302" s="16" t="s">
        <v>1223</v>
      </c>
      <c r="J302" s="16"/>
      <c r="K302" s="37"/>
      <c r="L302" s="69" t="s">
        <v>1232</v>
      </c>
      <c r="M302" s="37"/>
      <c r="N302" s="16"/>
      <c r="O302" s="69"/>
      <c r="P302" s="69" t="s">
        <v>396</v>
      </c>
      <c r="Q302" s="18"/>
      <c r="R302" s="16" t="s">
        <v>168</v>
      </c>
      <c r="S302" s="16" t="s">
        <v>61</v>
      </c>
      <c r="T302" s="16"/>
      <c r="U302" s="16"/>
      <c r="V302" s="16">
        <v>117</v>
      </c>
      <c r="W302" s="15">
        <f>ROUND(IF(D302=Table!$C$3,Y302*Table!$C$4/8,Y302*Table!$D$4/8),3)</f>
        <v>45</v>
      </c>
      <c r="X302" s="101">
        <f t="shared" si="64"/>
        <v>45</v>
      </c>
      <c r="Y302" s="101">
        <v>0.8</v>
      </c>
      <c r="Z302" s="101"/>
      <c r="AA302" s="16" t="s">
        <v>70</v>
      </c>
      <c r="AB302" s="70">
        <v>44145</v>
      </c>
      <c r="AC302" s="19">
        <v>44140</v>
      </c>
      <c r="AD302" s="70">
        <v>44145</v>
      </c>
      <c r="AE302" s="70">
        <v>44140</v>
      </c>
      <c r="AF302" s="70">
        <v>44140</v>
      </c>
      <c r="AG302" s="70" t="s">
        <v>130</v>
      </c>
      <c r="AH302" s="97">
        <v>1</v>
      </c>
      <c r="AI302" s="97">
        <v>1</v>
      </c>
      <c r="AJ302" s="97">
        <v>1</v>
      </c>
      <c r="AK302" s="71"/>
      <c r="AL302" s="76" t="s">
        <v>117</v>
      </c>
      <c r="AM302" s="87"/>
      <c r="AN302" s="15"/>
      <c r="AO302" s="15"/>
    </row>
    <row r="303" spans="2:41" x14ac:dyDescent="0.25">
      <c r="B303" s="149">
        <f t="shared" si="63"/>
        <v>244</v>
      </c>
      <c r="C303" s="16">
        <v>20201105</v>
      </c>
      <c r="D303" s="16" t="s">
        <v>3</v>
      </c>
      <c r="E303" s="74" t="s">
        <v>1231</v>
      </c>
      <c r="F303" s="69"/>
      <c r="G303" s="37"/>
      <c r="H303" s="16" t="s">
        <v>532</v>
      </c>
      <c r="I303" s="16" t="s">
        <v>781</v>
      </c>
      <c r="J303" s="16"/>
      <c r="K303" s="37"/>
      <c r="L303" s="69" t="s">
        <v>1232</v>
      </c>
      <c r="M303" s="37"/>
      <c r="N303" s="16"/>
      <c r="O303" s="69"/>
      <c r="P303" s="69" t="s">
        <v>494</v>
      </c>
      <c r="Q303" s="18"/>
      <c r="R303" s="16" t="s">
        <v>168</v>
      </c>
      <c r="S303" s="16" t="s">
        <v>61</v>
      </c>
      <c r="T303" s="16"/>
      <c r="U303" s="16"/>
      <c r="V303" s="16">
        <v>438</v>
      </c>
      <c r="W303" s="15">
        <f>ROUND(IF(D303=Table!$C$3,Y303*Table!$C$4/8,Y303*Table!$D$4/8),3)</f>
        <v>157.5</v>
      </c>
      <c r="X303" s="101">
        <f t="shared" si="64"/>
        <v>157.5</v>
      </c>
      <c r="Y303" s="101">
        <v>2.8</v>
      </c>
      <c r="Z303" s="101"/>
      <c r="AA303" s="16" t="s">
        <v>70</v>
      </c>
      <c r="AB303" s="70">
        <v>44145</v>
      </c>
      <c r="AC303" s="19">
        <v>44140</v>
      </c>
      <c r="AD303" s="70">
        <v>44145</v>
      </c>
      <c r="AE303" s="70">
        <v>44140</v>
      </c>
      <c r="AF303" s="70">
        <v>44140</v>
      </c>
      <c r="AG303" s="70" t="s">
        <v>130</v>
      </c>
      <c r="AH303" s="97">
        <v>0.96</v>
      </c>
      <c r="AI303" s="97">
        <v>0.93</v>
      </c>
      <c r="AJ303" s="97">
        <v>0.77</v>
      </c>
      <c r="AK303" s="71"/>
      <c r="AL303" s="76" t="s">
        <v>107</v>
      </c>
      <c r="AM303" s="87" t="s">
        <v>1394</v>
      </c>
      <c r="AN303" s="184" t="s">
        <v>1237</v>
      </c>
      <c r="AO303" s="15"/>
    </row>
    <row r="304" spans="2:41" x14ac:dyDescent="0.25">
      <c r="B304" s="149">
        <f t="shared" si="63"/>
        <v>245</v>
      </c>
      <c r="C304" s="16">
        <v>20201105</v>
      </c>
      <c r="D304" s="16" t="s">
        <v>3</v>
      </c>
      <c r="E304" s="74" t="s">
        <v>1231</v>
      </c>
      <c r="F304" s="69"/>
      <c r="G304" s="37"/>
      <c r="H304" s="16" t="s">
        <v>218</v>
      </c>
      <c r="I304" s="16" t="s">
        <v>527</v>
      </c>
      <c r="J304" s="16"/>
      <c r="K304" s="37"/>
      <c r="L304" s="69" t="s">
        <v>1232</v>
      </c>
      <c r="M304" s="37"/>
      <c r="N304" s="16"/>
      <c r="O304" s="69"/>
      <c r="P304" s="69" t="s">
        <v>536</v>
      </c>
      <c r="Q304" s="18"/>
      <c r="R304" s="16" t="s">
        <v>168</v>
      </c>
      <c r="S304" s="16" t="s">
        <v>61</v>
      </c>
      <c r="T304" s="16"/>
      <c r="U304" s="16"/>
      <c r="V304" s="16">
        <v>378</v>
      </c>
      <c r="W304" s="15">
        <f>ROUND(IF(D304=Table!$C$3,Y304*Table!$C$4/8,Y304*Table!$D$4/8),3)</f>
        <v>202.5</v>
      </c>
      <c r="X304" s="101">
        <f t="shared" si="64"/>
        <v>202.5</v>
      </c>
      <c r="Y304" s="101">
        <v>3.6</v>
      </c>
      <c r="Z304" s="101"/>
      <c r="AA304" s="16" t="s">
        <v>70</v>
      </c>
      <c r="AB304" s="70">
        <v>44145</v>
      </c>
      <c r="AC304" s="19">
        <v>44140</v>
      </c>
      <c r="AD304" s="70">
        <v>44145</v>
      </c>
      <c r="AE304" s="70">
        <v>44144</v>
      </c>
      <c r="AF304" s="70">
        <v>44144</v>
      </c>
      <c r="AG304" s="70" t="s">
        <v>130</v>
      </c>
      <c r="AH304" s="97">
        <v>1</v>
      </c>
      <c r="AI304" s="97">
        <v>1</v>
      </c>
      <c r="AJ304" s="97">
        <v>0.57999999999999996</v>
      </c>
      <c r="AK304" s="71"/>
      <c r="AL304" s="76" t="s">
        <v>117</v>
      </c>
      <c r="AM304" s="87"/>
      <c r="AN304" s="15"/>
      <c r="AO304" s="15"/>
    </row>
    <row r="305" spans="2:41" x14ac:dyDescent="0.25">
      <c r="B305" s="149">
        <f t="shared" si="63"/>
        <v>246</v>
      </c>
      <c r="C305" s="16">
        <v>20201105</v>
      </c>
      <c r="D305" s="16" t="s">
        <v>3</v>
      </c>
      <c r="E305" s="74" t="s">
        <v>1231</v>
      </c>
      <c r="F305" s="69"/>
      <c r="G305" s="37"/>
      <c r="H305" s="16" t="s">
        <v>219</v>
      </c>
      <c r="I305" s="16" t="s">
        <v>528</v>
      </c>
      <c r="J305" s="16"/>
      <c r="K305" s="37"/>
      <c r="L305" s="69" t="s">
        <v>1232</v>
      </c>
      <c r="M305" s="37"/>
      <c r="N305" s="16"/>
      <c r="O305" s="69"/>
      <c r="P305" s="69" t="s">
        <v>1225</v>
      </c>
      <c r="Q305" s="18"/>
      <c r="R305" s="16" t="s">
        <v>168</v>
      </c>
      <c r="S305" s="16" t="s">
        <v>61</v>
      </c>
      <c r="T305" s="16"/>
      <c r="U305" s="16"/>
      <c r="V305" s="16">
        <v>259</v>
      </c>
      <c r="W305" s="15">
        <f>ROUND(IF(D305=Table!$C$3,Y305*Table!$C$4/8,Y305*Table!$D$4/8),3)</f>
        <v>247.5</v>
      </c>
      <c r="X305" s="101">
        <f t="shared" si="64"/>
        <v>247.5</v>
      </c>
      <c r="Y305" s="101">
        <v>4.4000000000000004</v>
      </c>
      <c r="Z305" s="101"/>
      <c r="AA305" s="16" t="s">
        <v>70</v>
      </c>
      <c r="AB305" s="70">
        <v>44145</v>
      </c>
      <c r="AC305" s="19">
        <v>44140</v>
      </c>
      <c r="AD305" s="70">
        <v>44145</v>
      </c>
      <c r="AE305" s="70">
        <v>44145</v>
      </c>
      <c r="AF305" s="70">
        <v>44145</v>
      </c>
      <c r="AG305" s="70" t="s">
        <v>130</v>
      </c>
      <c r="AH305" s="97">
        <v>0.99</v>
      </c>
      <c r="AI305" s="97">
        <v>0.96</v>
      </c>
      <c r="AJ305" s="97">
        <v>0.32</v>
      </c>
      <c r="AK305" s="71"/>
      <c r="AL305" s="76" t="s">
        <v>117</v>
      </c>
      <c r="AM305" s="87" t="s">
        <v>1387</v>
      </c>
      <c r="AN305" s="15"/>
      <c r="AO305" s="15"/>
    </row>
    <row r="306" spans="2:41" x14ac:dyDescent="0.25">
      <c r="B306" s="149">
        <f t="shared" si="63"/>
        <v>247</v>
      </c>
      <c r="C306" s="16">
        <v>20201105</v>
      </c>
      <c r="D306" s="16" t="s">
        <v>3</v>
      </c>
      <c r="E306" s="74" t="s">
        <v>1231</v>
      </c>
      <c r="F306" s="69"/>
      <c r="G306" s="37"/>
      <c r="H306" s="16" t="s">
        <v>573</v>
      </c>
      <c r="I306" s="16" t="s">
        <v>210</v>
      </c>
      <c r="J306" s="16"/>
      <c r="K306" s="37"/>
      <c r="L306" s="69" t="s">
        <v>1232</v>
      </c>
      <c r="M306" s="37"/>
      <c r="N306" s="16"/>
      <c r="O306" s="69"/>
      <c r="P306" s="69" t="s">
        <v>1226</v>
      </c>
      <c r="Q306" s="18"/>
      <c r="R306" s="16" t="s">
        <v>169</v>
      </c>
      <c r="S306" s="16" t="s">
        <v>109</v>
      </c>
      <c r="T306" s="16"/>
      <c r="U306" s="16"/>
      <c r="V306" s="16">
        <v>1633</v>
      </c>
      <c r="W306" s="15">
        <f>ROUND(IF(D306=Table!$C$3,Y306*Table!$C$4/8,Y306*Table!$D$4/8),3)</f>
        <v>382.5</v>
      </c>
      <c r="X306" s="101">
        <f t="shared" si="64"/>
        <v>382.5</v>
      </c>
      <c r="Y306" s="101">
        <v>6.8</v>
      </c>
      <c r="Z306" s="101">
        <f t="shared" ref="Z306:Z316" si="65">Y306</f>
        <v>6.8</v>
      </c>
      <c r="AA306" s="16" t="s">
        <v>70</v>
      </c>
      <c r="AB306" s="70">
        <v>44145</v>
      </c>
      <c r="AC306" s="19">
        <v>44140</v>
      </c>
      <c r="AD306" s="70">
        <v>44145</v>
      </c>
      <c r="AE306" s="70">
        <v>44140</v>
      </c>
      <c r="AF306" s="70">
        <v>44140</v>
      </c>
      <c r="AG306" s="70" t="s">
        <v>130</v>
      </c>
      <c r="AH306" s="97">
        <v>1</v>
      </c>
      <c r="AI306" s="97">
        <v>1</v>
      </c>
      <c r="AJ306" s="97">
        <v>0.59</v>
      </c>
      <c r="AK306" s="71"/>
      <c r="AL306" s="76" t="s">
        <v>117</v>
      </c>
      <c r="AM306" s="87"/>
      <c r="AN306" s="15"/>
      <c r="AO306" s="15"/>
    </row>
    <row r="307" spans="2:41" x14ac:dyDescent="0.25">
      <c r="B307" s="149">
        <f t="shared" si="63"/>
        <v>248</v>
      </c>
      <c r="C307" s="16">
        <v>20201105</v>
      </c>
      <c r="D307" s="16" t="s">
        <v>3</v>
      </c>
      <c r="E307" s="74" t="s">
        <v>1231</v>
      </c>
      <c r="F307" s="69"/>
      <c r="G307" s="37"/>
      <c r="H307" s="16" t="s">
        <v>243</v>
      </c>
      <c r="I307" s="16" t="s">
        <v>1038</v>
      </c>
      <c r="J307" s="16"/>
      <c r="K307" s="37"/>
      <c r="L307" s="69" t="s">
        <v>1232</v>
      </c>
      <c r="M307" s="37"/>
      <c r="N307" s="16"/>
      <c r="O307" s="69"/>
      <c r="P307" s="69" t="s">
        <v>536</v>
      </c>
      <c r="Q307" s="18"/>
      <c r="R307" s="16" t="s">
        <v>169</v>
      </c>
      <c r="S307" s="16" t="s">
        <v>109</v>
      </c>
      <c r="T307" s="16"/>
      <c r="U307" s="16"/>
      <c r="V307" s="16">
        <v>50</v>
      </c>
      <c r="W307" s="15">
        <f>ROUND(IF(D307=Table!$C$3,Y307*Table!$C$4/8,Y307*Table!$D$4/8),3)</f>
        <v>31.5</v>
      </c>
      <c r="X307" s="101">
        <f t="shared" si="64"/>
        <v>31.5</v>
      </c>
      <c r="Y307" s="101">
        <v>0.56000000000000005</v>
      </c>
      <c r="Z307" s="101">
        <f t="shared" si="65"/>
        <v>0.56000000000000005</v>
      </c>
      <c r="AA307" s="16" t="s">
        <v>70</v>
      </c>
      <c r="AB307" s="70">
        <v>44145</v>
      </c>
      <c r="AC307" s="19">
        <v>44140</v>
      </c>
      <c r="AD307" s="70">
        <v>44145</v>
      </c>
      <c r="AE307" s="70">
        <v>44140</v>
      </c>
      <c r="AF307" s="70">
        <v>44140</v>
      </c>
      <c r="AG307" s="70" t="s">
        <v>130</v>
      </c>
      <c r="AH307" s="97">
        <v>1</v>
      </c>
      <c r="AI307" s="97">
        <v>1</v>
      </c>
      <c r="AJ307" s="97">
        <v>0.5</v>
      </c>
      <c r="AK307" s="71"/>
      <c r="AL307" s="76" t="s">
        <v>117</v>
      </c>
      <c r="AM307" s="87"/>
      <c r="AN307" s="15"/>
      <c r="AO307" s="15"/>
    </row>
    <row r="308" spans="2:41" x14ac:dyDescent="0.25">
      <c r="B308" s="149">
        <f t="shared" si="63"/>
        <v>249</v>
      </c>
      <c r="C308" s="16">
        <v>20201105</v>
      </c>
      <c r="D308" s="16" t="s">
        <v>3</v>
      </c>
      <c r="E308" s="74" t="s">
        <v>1231</v>
      </c>
      <c r="F308" s="69"/>
      <c r="G308" s="37"/>
      <c r="H308" s="16" t="s">
        <v>1227</v>
      </c>
      <c r="I308" s="16" t="s">
        <v>1039</v>
      </c>
      <c r="J308" s="16"/>
      <c r="K308" s="37"/>
      <c r="L308" s="69" t="s">
        <v>1232</v>
      </c>
      <c r="M308" s="37"/>
      <c r="N308" s="16"/>
      <c r="O308" s="69"/>
      <c r="P308" s="69" t="s">
        <v>536</v>
      </c>
      <c r="Q308" s="18"/>
      <c r="R308" s="16" t="s">
        <v>169</v>
      </c>
      <c r="S308" s="16" t="s">
        <v>109</v>
      </c>
      <c r="T308" s="16"/>
      <c r="U308" s="16"/>
      <c r="V308" s="16">
        <v>50</v>
      </c>
      <c r="W308" s="15">
        <f>ROUND(IF(D308=Table!$C$3,Y308*Table!$C$4/8,Y308*Table!$D$4/8),3)</f>
        <v>31.5</v>
      </c>
      <c r="X308" s="101">
        <f t="shared" si="64"/>
        <v>31.5</v>
      </c>
      <c r="Y308" s="101">
        <v>0.56000000000000005</v>
      </c>
      <c r="Z308" s="101">
        <f t="shared" si="65"/>
        <v>0.56000000000000005</v>
      </c>
      <c r="AA308" s="16" t="s">
        <v>70</v>
      </c>
      <c r="AB308" s="70">
        <v>44145</v>
      </c>
      <c r="AC308" s="19">
        <v>44140</v>
      </c>
      <c r="AD308" s="70">
        <v>44145</v>
      </c>
      <c r="AE308" s="70">
        <v>44140</v>
      </c>
      <c r="AF308" s="70">
        <v>44140</v>
      </c>
      <c r="AG308" s="70" t="s">
        <v>130</v>
      </c>
      <c r="AH308" s="97">
        <v>1</v>
      </c>
      <c r="AI308" s="97">
        <v>1</v>
      </c>
      <c r="AJ308" s="97">
        <v>0.5</v>
      </c>
      <c r="AK308" s="71"/>
      <c r="AL308" s="76" t="s">
        <v>117</v>
      </c>
      <c r="AM308" s="87"/>
      <c r="AN308" s="15"/>
      <c r="AO308" s="15"/>
    </row>
    <row r="309" spans="2:41" x14ac:dyDescent="0.25">
      <c r="B309" s="149">
        <f t="shared" si="63"/>
        <v>250</v>
      </c>
      <c r="C309" s="16">
        <v>20201105</v>
      </c>
      <c r="D309" s="16" t="s">
        <v>3</v>
      </c>
      <c r="E309" s="74" t="s">
        <v>1231</v>
      </c>
      <c r="F309" s="69"/>
      <c r="G309" s="37"/>
      <c r="H309" s="16" t="s">
        <v>244</v>
      </c>
      <c r="I309" s="16" t="s">
        <v>1040</v>
      </c>
      <c r="J309" s="16"/>
      <c r="K309" s="37"/>
      <c r="L309" s="69" t="s">
        <v>1232</v>
      </c>
      <c r="M309" s="37"/>
      <c r="N309" s="16"/>
      <c r="O309" s="69"/>
      <c r="P309" s="69" t="s">
        <v>536</v>
      </c>
      <c r="Q309" s="18"/>
      <c r="R309" s="16" t="s">
        <v>169</v>
      </c>
      <c r="S309" s="16" t="s">
        <v>109</v>
      </c>
      <c r="T309" s="16"/>
      <c r="U309" s="16"/>
      <c r="V309" s="16">
        <v>50</v>
      </c>
      <c r="W309" s="15">
        <f>ROUND(IF(D309=Table!$C$3,Y309*Table!$C$4/8,Y309*Table!$D$4/8),3)</f>
        <v>31.5</v>
      </c>
      <c r="X309" s="101">
        <f t="shared" si="64"/>
        <v>31.5</v>
      </c>
      <c r="Y309" s="101">
        <v>0.56000000000000005</v>
      </c>
      <c r="Z309" s="101">
        <f t="shared" si="65"/>
        <v>0.56000000000000005</v>
      </c>
      <c r="AA309" s="16" t="s">
        <v>70</v>
      </c>
      <c r="AB309" s="70">
        <v>44145</v>
      </c>
      <c r="AC309" s="19">
        <v>44140</v>
      </c>
      <c r="AD309" s="70">
        <v>44145</v>
      </c>
      <c r="AE309" s="70">
        <v>44140</v>
      </c>
      <c r="AF309" s="70">
        <v>44140</v>
      </c>
      <c r="AG309" s="70" t="s">
        <v>130</v>
      </c>
      <c r="AH309" s="97">
        <v>1</v>
      </c>
      <c r="AI309" s="97">
        <v>1</v>
      </c>
      <c r="AJ309" s="97">
        <v>0.5</v>
      </c>
      <c r="AK309" s="71"/>
      <c r="AL309" s="76" t="s">
        <v>117</v>
      </c>
      <c r="AM309" s="87"/>
      <c r="AN309" s="15"/>
      <c r="AO309" s="15"/>
    </row>
    <row r="310" spans="2:41" x14ac:dyDescent="0.25">
      <c r="B310" s="149">
        <f t="shared" si="63"/>
        <v>251</v>
      </c>
      <c r="C310" s="16">
        <v>20201105</v>
      </c>
      <c r="D310" s="16" t="s">
        <v>3</v>
      </c>
      <c r="E310" s="74" t="s">
        <v>1231</v>
      </c>
      <c r="F310" s="69"/>
      <c r="G310" s="37"/>
      <c r="H310" s="16" t="s">
        <v>855</v>
      </c>
      <c r="I310" s="16" t="s">
        <v>1041</v>
      </c>
      <c r="J310" s="16"/>
      <c r="K310" s="37"/>
      <c r="L310" s="69" t="s">
        <v>1232</v>
      </c>
      <c r="M310" s="37"/>
      <c r="N310" s="16"/>
      <c r="O310" s="69"/>
      <c r="P310" s="69" t="s">
        <v>536</v>
      </c>
      <c r="Q310" s="18"/>
      <c r="R310" s="16" t="s">
        <v>170</v>
      </c>
      <c r="S310" s="16" t="s">
        <v>63</v>
      </c>
      <c r="T310" s="16"/>
      <c r="U310" s="16"/>
      <c r="V310" s="16">
        <v>50</v>
      </c>
      <c r="W310" s="15">
        <f>ROUND(IF(D310=Table!$C$3,Y310*Table!$C$4/8,Y310*Table!$D$4/8),3)</f>
        <v>31.5</v>
      </c>
      <c r="X310" s="101">
        <f t="shared" ref="X310:X320" si="66">W310</f>
        <v>31.5</v>
      </c>
      <c r="Y310" s="101">
        <v>0.56000000000000005</v>
      </c>
      <c r="Z310" s="101">
        <f t="shared" si="65"/>
        <v>0.56000000000000005</v>
      </c>
      <c r="AA310" s="16" t="s">
        <v>70</v>
      </c>
      <c r="AB310" s="70">
        <v>44145</v>
      </c>
      <c r="AC310" s="19">
        <v>44140</v>
      </c>
      <c r="AD310" s="70">
        <v>44145</v>
      </c>
      <c r="AE310" s="70">
        <v>44144</v>
      </c>
      <c r="AF310" s="70">
        <v>44144</v>
      </c>
      <c r="AG310" s="70" t="s">
        <v>130</v>
      </c>
      <c r="AH310" s="97">
        <v>1</v>
      </c>
      <c r="AI310" s="97">
        <v>1</v>
      </c>
      <c r="AJ310" s="97">
        <v>1</v>
      </c>
      <c r="AK310" s="71"/>
      <c r="AL310" s="76" t="s">
        <v>117</v>
      </c>
      <c r="AM310" s="87"/>
      <c r="AN310" s="15"/>
      <c r="AO310" s="15"/>
    </row>
    <row r="311" spans="2:41" x14ac:dyDescent="0.25">
      <c r="B311" s="149">
        <f t="shared" si="63"/>
        <v>252</v>
      </c>
      <c r="C311" s="16">
        <v>20201105</v>
      </c>
      <c r="D311" s="16" t="s">
        <v>3</v>
      </c>
      <c r="E311" s="74" t="s">
        <v>1231</v>
      </c>
      <c r="F311" s="69"/>
      <c r="G311" s="37"/>
      <c r="H311" s="16" t="s">
        <v>734</v>
      </c>
      <c r="I311" s="16" t="s">
        <v>1042</v>
      </c>
      <c r="J311" s="16"/>
      <c r="K311" s="37"/>
      <c r="L311" s="69" t="s">
        <v>1232</v>
      </c>
      <c r="M311" s="37"/>
      <c r="N311" s="16"/>
      <c r="O311" s="69"/>
      <c r="P311" s="69" t="s">
        <v>536</v>
      </c>
      <c r="Q311" s="18"/>
      <c r="R311" s="16" t="s">
        <v>170</v>
      </c>
      <c r="S311" s="16" t="s">
        <v>63</v>
      </c>
      <c r="T311" s="16"/>
      <c r="U311" s="16"/>
      <c r="V311" s="16">
        <v>50</v>
      </c>
      <c r="W311" s="15">
        <f>ROUND(IF(D311=Table!$C$3,Y311*Table!$C$4/8,Y311*Table!$D$4/8),3)</f>
        <v>31.5</v>
      </c>
      <c r="X311" s="101">
        <f t="shared" si="66"/>
        <v>31.5</v>
      </c>
      <c r="Y311" s="101">
        <v>0.56000000000000005</v>
      </c>
      <c r="Z311" s="101">
        <f t="shared" si="65"/>
        <v>0.56000000000000005</v>
      </c>
      <c r="AA311" s="16" t="s">
        <v>70</v>
      </c>
      <c r="AB311" s="70">
        <v>44145</v>
      </c>
      <c r="AC311" s="19">
        <v>44140</v>
      </c>
      <c r="AD311" s="70">
        <v>44145</v>
      </c>
      <c r="AE311" s="70">
        <v>44144</v>
      </c>
      <c r="AF311" s="70">
        <v>44144</v>
      </c>
      <c r="AG311" s="70" t="s">
        <v>130</v>
      </c>
      <c r="AH311" s="97">
        <v>1</v>
      </c>
      <c r="AI311" s="97">
        <v>1</v>
      </c>
      <c r="AJ311" s="97">
        <v>1</v>
      </c>
      <c r="AK311" s="71"/>
      <c r="AL311" s="76" t="s">
        <v>117</v>
      </c>
      <c r="AM311" s="87"/>
      <c r="AN311" s="15"/>
      <c r="AO311" s="15"/>
    </row>
    <row r="312" spans="2:41" x14ac:dyDescent="0.25">
      <c r="B312" s="149">
        <f t="shared" si="63"/>
        <v>253</v>
      </c>
      <c r="C312" s="16">
        <v>20201105</v>
      </c>
      <c r="D312" s="16" t="s">
        <v>3</v>
      </c>
      <c r="E312" s="74" t="s">
        <v>1231</v>
      </c>
      <c r="F312" s="69"/>
      <c r="G312" s="37"/>
      <c r="H312" s="16" t="s">
        <v>245</v>
      </c>
      <c r="I312" s="16" t="s">
        <v>1043</v>
      </c>
      <c r="J312" s="16"/>
      <c r="K312" s="37"/>
      <c r="L312" s="69" t="s">
        <v>1232</v>
      </c>
      <c r="M312" s="37"/>
      <c r="N312" s="16"/>
      <c r="O312" s="69"/>
      <c r="P312" s="69" t="s">
        <v>536</v>
      </c>
      <c r="Q312" s="18"/>
      <c r="R312" s="16" t="s">
        <v>170</v>
      </c>
      <c r="S312" s="16" t="s">
        <v>63</v>
      </c>
      <c r="T312" s="16"/>
      <c r="U312" s="16"/>
      <c r="V312" s="16">
        <v>50</v>
      </c>
      <c r="W312" s="15">
        <f>ROUND(IF(D312=Table!$C$3,Y312*Table!$C$4/8,Y312*Table!$D$4/8),3)</f>
        <v>31.5</v>
      </c>
      <c r="X312" s="101">
        <f t="shared" si="66"/>
        <v>31.5</v>
      </c>
      <c r="Y312" s="101">
        <v>0.56000000000000005</v>
      </c>
      <c r="Z312" s="101">
        <f t="shared" si="65"/>
        <v>0.56000000000000005</v>
      </c>
      <c r="AA312" s="16" t="s">
        <v>70</v>
      </c>
      <c r="AB312" s="70">
        <v>44145</v>
      </c>
      <c r="AC312" s="19">
        <v>44140</v>
      </c>
      <c r="AD312" s="70">
        <v>44145</v>
      </c>
      <c r="AE312" s="70">
        <v>44144</v>
      </c>
      <c r="AF312" s="70">
        <v>44144</v>
      </c>
      <c r="AG312" s="70" t="s">
        <v>130</v>
      </c>
      <c r="AH312" s="97">
        <v>1</v>
      </c>
      <c r="AI312" s="97">
        <v>1</v>
      </c>
      <c r="AJ312" s="97">
        <v>1</v>
      </c>
      <c r="AK312" s="71"/>
      <c r="AL312" s="76" t="s">
        <v>117</v>
      </c>
      <c r="AM312" s="87"/>
      <c r="AN312" s="15"/>
      <c r="AO312" s="15"/>
    </row>
    <row r="313" spans="2:41" x14ac:dyDescent="0.25">
      <c r="B313" s="149">
        <f t="shared" si="63"/>
        <v>254</v>
      </c>
      <c r="C313" s="16">
        <v>20201105</v>
      </c>
      <c r="D313" s="16" t="s">
        <v>3</v>
      </c>
      <c r="E313" s="74" t="s">
        <v>1231</v>
      </c>
      <c r="F313" s="69"/>
      <c r="G313" s="37"/>
      <c r="H313" s="16" t="s">
        <v>405</v>
      </c>
      <c r="I313" s="16" t="s">
        <v>1044</v>
      </c>
      <c r="J313" s="16"/>
      <c r="K313" s="37"/>
      <c r="L313" s="69" t="s">
        <v>1232</v>
      </c>
      <c r="M313" s="37"/>
      <c r="N313" s="16"/>
      <c r="O313" s="69"/>
      <c r="P313" s="69" t="s">
        <v>536</v>
      </c>
      <c r="Q313" s="18"/>
      <c r="R313" s="16" t="s">
        <v>170</v>
      </c>
      <c r="S313" s="16" t="s">
        <v>63</v>
      </c>
      <c r="T313" s="16"/>
      <c r="U313" s="16"/>
      <c r="V313" s="16">
        <v>50</v>
      </c>
      <c r="W313" s="15">
        <f>ROUND(IF(D313=Table!$C$3,Y313*Table!$C$4/8,Y313*Table!$D$4/8),3)</f>
        <v>31.5</v>
      </c>
      <c r="X313" s="101">
        <f t="shared" si="66"/>
        <v>31.5</v>
      </c>
      <c r="Y313" s="101">
        <v>0.56000000000000005</v>
      </c>
      <c r="Z313" s="101">
        <f t="shared" si="65"/>
        <v>0.56000000000000005</v>
      </c>
      <c r="AA313" s="16" t="s">
        <v>70</v>
      </c>
      <c r="AB313" s="70">
        <v>44145</v>
      </c>
      <c r="AC313" s="19">
        <v>44140</v>
      </c>
      <c r="AD313" s="70">
        <v>44145</v>
      </c>
      <c r="AE313" s="70">
        <v>44144</v>
      </c>
      <c r="AF313" s="70">
        <v>44144</v>
      </c>
      <c r="AG313" s="70" t="s">
        <v>130</v>
      </c>
      <c r="AH313" s="97">
        <v>1</v>
      </c>
      <c r="AI313" s="97">
        <v>1</v>
      </c>
      <c r="AJ313" s="97">
        <v>1</v>
      </c>
      <c r="AK313" s="71"/>
      <c r="AL313" s="76" t="s">
        <v>117</v>
      </c>
      <c r="AM313" s="87"/>
      <c r="AN313" s="15"/>
      <c r="AO313" s="15"/>
    </row>
    <row r="314" spans="2:41" x14ac:dyDescent="0.25">
      <c r="B314" s="149">
        <f t="shared" si="63"/>
        <v>255</v>
      </c>
      <c r="C314" s="16">
        <v>20201105</v>
      </c>
      <c r="D314" s="16" t="s">
        <v>3</v>
      </c>
      <c r="E314" s="74" t="s">
        <v>1231</v>
      </c>
      <c r="F314" s="69"/>
      <c r="G314" s="37"/>
      <c r="H314" s="16" t="s">
        <v>735</v>
      </c>
      <c r="I314" s="16" t="s">
        <v>1045</v>
      </c>
      <c r="J314" s="16"/>
      <c r="K314" s="37"/>
      <c r="L314" s="69" t="s">
        <v>1232</v>
      </c>
      <c r="M314" s="37"/>
      <c r="N314" s="16"/>
      <c r="O314" s="69"/>
      <c r="P314" s="69" t="s">
        <v>536</v>
      </c>
      <c r="Q314" s="18"/>
      <c r="R314" s="16" t="s">
        <v>170</v>
      </c>
      <c r="S314" s="16" t="s">
        <v>63</v>
      </c>
      <c r="T314" s="16"/>
      <c r="U314" s="16"/>
      <c r="V314" s="16">
        <v>50</v>
      </c>
      <c r="W314" s="15">
        <f>ROUND(IF(D314=Table!$C$3,Y314*Table!$C$4/8,Y314*Table!$D$4/8),3)</f>
        <v>31.5</v>
      </c>
      <c r="X314" s="101">
        <f t="shared" si="66"/>
        <v>31.5</v>
      </c>
      <c r="Y314" s="101">
        <v>0.56000000000000005</v>
      </c>
      <c r="Z314" s="101">
        <f t="shared" si="65"/>
        <v>0.56000000000000005</v>
      </c>
      <c r="AA314" s="16" t="s">
        <v>70</v>
      </c>
      <c r="AB314" s="70">
        <v>44145</v>
      </c>
      <c r="AC314" s="19">
        <v>44140</v>
      </c>
      <c r="AD314" s="70">
        <v>44145</v>
      </c>
      <c r="AE314" s="70">
        <v>44144</v>
      </c>
      <c r="AF314" s="70">
        <v>44144</v>
      </c>
      <c r="AG314" s="70" t="s">
        <v>130</v>
      </c>
      <c r="AH314" s="97">
        <v>1</v>
      </c>
      <c r="AI314" s="97">
        <v>1</v>
      </c>
      <c r="AJ314" s="97">
        <v>1</v>
      </c>
      <c r="AK314" s="71"/>
      <c r="AL314" s="76" t="s">
        <v>117</v>
      </c>
      <c r="AM314" s="87"/>
      <c r="AN314" s="15"/>
      <c r="AO314" s="15"/>
    </row>
    <row r="315" spans="2:41" x14ac:dyDescent="0.25">
      <c r="B315" s="149">
        <f t="shared" si="63"/>
        <v>256</v>
      </c>
      <c r="C315" s="16">
        <v>20201105</v>
      </c>
      <c r="D315" s="16" t="s">
        <v>3</v>
      </c>
      <c r="E315" s="74" t="s">
        <v>1231</v>
      </c>
      <c r="F315" s="69"/>
      <c r="G315" s="37"/>
      <c r="H315" s="16" t="s">
        <v>736</v>
      </c>
      <c r="I315" s="16" t="s">
        <v>1046</v>
      </c>
      <c r="J315" s="16"/>
      <c r="K315" s="37"/>
      <c r="L315" s="69" t="s">
        <v>1232</v>
      </c>
      <c r="M315" s="37"/>
      <c r="N315" s="16"/>
      <c r="O315" s="69"/>
      <c r="P315" s="69" t="s">
        <v>536</v>
      </c>
      <c r="Q315" s="18"/>
      <c r="R315" s="16" t="s">
        <v>170</v>
      </c>
      <c r="S315" s="16" t="s">
        <v>63</v>
      </c>
      <c r="T315" s="16"/>
      <c r="U315" s="16"/>
      <c r="V315" s="16">
        <v>52</v>
      </c>
      <c r="W315" s="15">
        <f>ROUND(IF(D315=Table!$C$3,Y315*Table!$C$4/8,Y315*Table!$D$4/8),3)</f>
        <v>31.5</v>
      </c>
      <c r="X315" s="101">
        <f t="shared" si="66"/>
        <v>31.5</v>
      </c>
      <c r="Y315" s="101">
        <v>0.56000000000000005</v>
      </c>
      <c r="Z315" s="101">
        <f t="shared" si="65"/>
        <v>0.56000000000000005</v>
      </c>
      <c r="AA315" s="16" t="s">
        <v>70</v>
      </c>
      <c r="AB315" s="70">
        <v>44145</v>
      </c>
      <c r="AC315" s="19">
        <v>44140</v>
      </c>
      <c r="AD315" s="70">
        <v>44145</v>
      </c>
      <c r="AE315" s="70">
        <v>44144</v>
      </c>
      <c r="AF315" s="70">
        <v>44144</v>
      </c>
      <c r="AG315" s="70" t="s">
        <v>130</v>
      </c>
      <c r="AH315" s="97">
        <v>1</v>
      </c>
      <c r="AI315" s="97">
        <v>1</v>
      </c>
      <c r="AJ315" s="97">
        <v>1</v>
      </c>
      <c r="AK315" s="71"/>
      <c r="AL315" s="76" t="s">
        <v>117</v>
      </c>
      <c r="AM315" s="87"/>
      <c r="AN315" s="15"/>
      <c r="AO315" s="15"/>
    </row>
    <row r="316" spans="2:41" x14ac:dyDescent="0.25">
      <c r="B316" s="149">
        <f t="shared" si="63"/>
        <v>257</v>
      </c>
      <c r="C316" s="16">
        <v>20201105</v>
      </c>
      <c r="D316" s="16" t="s">
        <v>3</v>
      </c>
      <c r="E316" s="74" t="s">
        <v>1231</v>
      </c>
      <c r="F316" s="69"/>
      <c r="G316" s="37"/>
      <c r="H316" s="16" t="s">
        <v>252</v>
      </c>
      <c r="I316" s="16" t="s">
        <v>1047</v>
      </c>
      <c r="J316" s="16"/>
      <c r="K316" s="37"/>
      <c r="L316" s="69" t="s">
        <v>1232</v>
      </c>
      <c r="M316" s="37"/>
      <c r="N316" s="16"/>
      <c r="O316" s="69"/>
      <c r="P316" s="69" t="s">
        <v>536</v>
      </c>
      <c r="Q316" s="18"/>
      <c r="R316" s="16" t="s">
        <v>170</v>
      </c>
      <c r="S316" s="16" t="s">
        <v>63</v>
      </c>
      <c r="T316" s="16"/>
      <c r="U316" s="16"/>
      <c r="V316" s="16">
        <v>50</v>
      </c>
      <c r="W316" s="15">
        <f>ROUND(IF(D316=Table!$C$3,Y316*Table!$C$4/8,Y316*Table!$D$4/8),3)</f>
        <v>31.5</v>
      </c>
      <c r="X316" s="101">
        <f t="shared" si="66"/>
        <v>31.5</v>
      </c>
      <c r="Y316" s="101">
        <v>0.56000000000000005</v>
      </c>
      <c r="Z316" s="101">
        <f t="shared" si="65"/>
        <v>0.56000000000000005</v>
      </c>
      <c r="AA316" s="16" t="s">
        <v>70</v>
      </c>
      <c r="AB316" s="70">
        <v>44145</v>
      </c>
      <c r="AC316" s="19">
        <v>44140</v>
      </c>
      <c r="AD316" s="70">
        <v>44145</v>
      </c>
      <c r="AE316" s="70">
        <v>44144</v>
      </c>
      <c r="AF316" s="70">
        <v>44144</v>
      </c>
      <c r="AG316" s="70" t="s">
        <v>130</v>
      </c>
      <c r="AH316" s="97">
        <v>1</v>
      </c>
      <c r="AI316" s="97">
        <v>1</v>
      </c>
      <c r="AJ316" s="97">
        <v>1</v>
      </c>
      <c r="AK316" s="71"/>
      <c r="AL316" s="76" t="s">
        <v>117</v>
      </c>
      <c r="AM316" s="87"/>
      <c r="AN316" s="15"/>
      <c r="AO316" s="15"/>
    </row>
    <row r="317" spans="2:41" x14ac:dyDescent="0.25">
      <c r="B317" s="149">
        <f t="shared" si="63"/>
        <v>258</v>
      </c>
      <c r="C317" s="16">
        <v>20201105</v>
      </c>
      <c r="D317" s="16" t="s">
        <v>3</v>
      </c>
      <c r="E317" s="74" t="s">
        <v>1231</v>
      </c>
      <c r="F317" s="69"/>
      <c r="G317" s="37"/>
      <c r="H317" s="16" t="s">
        <v>1228</v>
      </c>
      <c r="I317" s="16" t="s">
        <v>1048</v>
      </c>
      <c r="J317" s="16"/>
      <c r="K317" s="37"/>
      <c r="L317" s="69" t="s">
        <v>1232</v>
      </c>
      <c r="M317" s="37"/>
      <c r="N317" s="16"/>
      <c r="O317" s="69"/>
      <c r="P317" s="69" t="s">
        <v>536</v>
      </c>
      <c r="Q317" s="18"/>
      <c r="R317" s="16" t="s">
        <v>168</v>
      </c>
      <c r="S317" s="16" t="s">
        <v>61</v>
      </c>
      <c r="T317" s="16"/>
      <c r="U317" s="16"/>
      <c r="V317" s="16">
        <v>50</v>
      </c>
      <c r="W317" s="15">
        <f>ROUND(IF(D317=Table!$C$3,Y317*Table!$C$4/8,Y317*Table!$D$4/8),3)</f>
        <v>31.5</v>
      </c>
      <c r="X317" s="101">
        <f t="shared" si="66"/>
        <v>31.5</v>
      </c>
      <c r="Y317" s="101">
        <v>0.56000000000000005</v>
      </c>
      <c r="Z317" s="101"/>
      <c r="AA317" s="16" t="s">
        <v>70</v>
      </c>
      <c r="AB317" s="70">
        <v>44145</v>
      </c>
      <c r="AC317" s="19">
        <v>44140</v>
      </c>
      <c r="AD317" s="70">
        <v>44145</v>
      </c>
      <c r="AE317" s="70">
        <v>44145</v>
      </c>
      <c r="AF317" s="70">
        <v>44145</v>
      </c>
      <c r="AG317" s="70" t="s">
        <v>130</v>
      </c>
      <c r="AH317" s="97">
        <v>1</v>
      </c>
      <c r="AI317" s="97">
        <v>1</v>
      </c>
      <c r="AJ317" s="97">
        <v>1</v>
      </c>
      <c r="AK317" s="71"/>
      <c r="AL317" s="76" t="s">
        <v>117</v>
      </c>
      <c r="AM317" s="87"/>
      <c r="AN317" s="15"/>
      <c r="AO317" s="15"/>
    </row>
    <row r="318" spans="2:41" x14ac:dyDescent="0.25">
      <c r="B318" s="149">
        <f t="shared" si="63"/>
        <v>259</v>
      </c>
      <c r="C318" s="16">
        <v>20201105</v>
      </c>
      <c r="D318" s="16" t="s">
        <v>3</v>
      </c>
      <c r="E318" s="74" t="s">
        <v>1231</v>
      </c>
      <c r="F318" s="69"/>
      <c r="G318" s="37"/>
      <c r="H318" s="16" t="s">
        <v>1229</v>
      </c>
      <c r="I318" s="16" t="s">
        <v>1049</v>
      </c>
      <c r="J318" s="16"/>
      <c r="K318" s="37"/>
      <c r="L318" s="69" t="s">
        <v>1232</v>
      </c>
      <c r="M318" s="37"/>
      <c r="N318" s="16"/>
      <c r="O318" s="69"/>
      <c r="P318" s="69" t="s">
        <v>536</v>
      </c>
      <c r="Q318" s="18"/>
      <c r="R318" s="16" t="s">
        <v>168</v>
      </c>
      <c r="S318" s="16" t="s">
        <v>61</v>
      </c>
      <c r="T318" s="16"/>
      <c r="U318" s="16"/>
      <c r="V318" s="16">
        <v>50</v>
      </c>
      <c r="W318" s="15">
        <f>ROUND(IF(D318=Table!$C$3,Y318*Table!$C$4/8,Y318*Table!$D$4/8),3)</f>
        <v>31.5</v>
      </c>
      <c r="X318" s="101">
        <f t="shared" si="66"/>
        <v>31.5</v>
      </c>
      <c r="Y318" s="101">
        <v>0.56000000000000005</v>
      </c>
      <c r="Z318" s="101"/>
      <c r="AA318" s="16" t="s">
        <v>70</v>
      </c>
      <c r="AB318" s="70">
        <v>44145</v>
      </c>
      <c r="AC318" s="19">
        <v>44140</v>
      </c>
      <c r="AD318" s="70">
        <v>44145</v>
      </c>
      <c r="AE318" s="70">
        <v>44145</v>
      </c>
      <c r="AF318" s="70">
        <v>44145</v>
      </c>
      <c r="AG318" s="70" t="s">
        <v>130</v>
      </c>
      <c r="AH318" s="97">
        <v>1</v>
      </c>
      <c r="AI318" s="97">
        <v>1</v>
      </c>
      <c r="AJ318" s="97">
        <v>1</v>
      </c>
      <c r="AK318" s="71"/>
      <c r="AL318" s="76" t="s">
        <v>117</v>
      </c>
      <c r="AM318" s="87"/>
      <c r="AN318" s="15"/>
      <c r="AO318" s="15"/>
    </row>
    <row r="319" spans="2:41" x14ac:dyDescent="0.25">
      <c r="B319" s="149">
        <f t="shared" si="63"/>
        <v>260</v>
      </c>
      <c r="C319" s="16">
        <v>20201105</v>
      </c>
      <c r="D319" s="16" t="s">
        <v>3</v>
      </c>
      <c r="E319" s="74" t="s">
        <v>1231</v>
      </c>
      <c r="F319" s="69"/>
      <c r="G319" s="37"/>
      <c r="H319" s="16" t="s">
        <v>856</v>
      </c>
      <c r="I319" s="16" t="s">
        <v>1050</v>
      </c>
      <c r="J319" s="16"/>
      <c r="K319" s="37"/>
      <c r="L319" s="69" t="s">
        <v>1232</v>
      </c>
      <c r="M319" s="37"/>
      <c r="N319" s="16"/>
      <c r="O319" s="69"/>
      <c r="P319" s="69" t="s">
        <v>536</v>
      </c>
      <c r="Q319" s="18"/>
      <c r="R319" s="16" t="s">
        <v>168</v>
      </c>
      <c r="S319" s="16" t="s">
        <v>61</v>
      </c>
      <c r="T319" s="16"/>
      <c r="U319" s="16"/>
      <c r="V319" s="16">
        <v>49</v>
      </c>
      <c r="W319" s="15">
        <f>ROUND(IF(D319=Table!$C$3,Y319*Table!$C$4/8,Y319*Table!$D$4/8),3)</f>
        <v>31.5</v>
      </c>
      <c r="X319" s="101">
        <f t="shared" si="66"/>
        <v>31.5</v>
      </c>
      <c r="Y319" s="101">
        <v>0.56000000000000005</v>
      </c>
      <c r="Z319" s="101"/>
      <c r="AA319" s="16" t="s">
        <v>70</v>
      </c>
      <c r="AB319" s="70">
        <v>44145</v>
      </c>
      <c r="AC319" s="19">
        <v>44140</v>
      </c>
      <c r="AD319" s="70">
        <v>44145</v>
      </c>
      <c r="AE319" s="70">
        <v>44145</v>
      </c>
      <c r="AF319" s="70">
        <v>44145</v>
      </c>
      <c r="AG319" s="70" t="s">
        <v>130</v>
      </c>
      <c r="AH319" s="97">
        <v>1</v>
      </c>
      <c r="AI319" s="97">
        <v>1</v>
      </c>
      <c r="AJ319" s="97">
        <v>1</v>
      </c>
      <c r="AK319" s="71"/>
      <c r="AL319" s="76" t="s">
        <v>117</v>
      </c>
      <c r="AM319" s="87"/>
      <c r="AN319" s="15"/>
      <c r="AO319" s="15"/>
    </row>
    <row r="320" spans="2:41" x14ac:dyDescent="0.25">
      <c r="B320" s="149">
        <f t="shared" si="63"/>
        <v>261</v>
      </c>
      <c r="C320" s="16">
        <v>20201105</v>
      </c>
      <c r="D320" s="16" t="s">
        <v>3</v>
      </c>
      <c r="E320" s="74" t="s">
        <v>1231</v>
      </c>
      <c r="F320" s="69"/>
      <c r="G320" s="37"/>
      <c r="H320" s="16" t="s">
        <v>1230</v>
      </c>
      <c r="I320" s="16" t="s">
        <v>529</v>
      </c>
      <c r="J320" s="16"/>
      <c r="K320" s="37"/>
      <c r="L320" s="69" t="s">
        <v>1232</v>
      </c>
      <c r="M320" s="37"/>
      <c r="N320" s="16"/>
      <c r="O320" s="69"/>
      <c r="P320" s="69" t="s">
        <v>536</v>
      </c>
      <c r="Q320" s="18"/>
      <c r="R320" s="16" t="s">
        <v>168</v>
      </c>
      <c r="S320" s="16" t="s">
        <v>61</v>
      </c>
      <c r="T320" s="16"/>
      <c r="U320" s="16"/>
      <c r="V320" s="16">
        <v>153</v>
      </c>
      <c r="W320" s="15">
        <f>ROUND(IF(D320=Table!$C$3,Y320*Table!$C$4/8,Y320*Table!$D$4/8),3)</f>
        <v>31.5</v>
      </c>
      <c r="X320" s="101">
        <f t="shared" si="66"/>
        <v>31.5</v>
      </c>
      <c r="Y320" s="101">
        <v>0.56000000000000005</v>
      </c>
      <c r="Z320" s="101"/>
      <c r="AA320" s="16" t="s">
        <v>70</v>
      </c>
      <c r="AB320" s="70">
        <v>44145</v>
      </c>
      <c r="AC320" s="19">
        <v>44140</v>
      </c>
      <c r="AD320" s="70">
        <v>44145</v>
      </c>
      <c r="AE320" s="70">
        <v>44145</v>
      </c>
      <c r="AF320" s="70">
        <v>44145</v>
      </c>
      <c r="AG320" s="70" t="s">
        <v>130</v>
      </c>
      <c r="AH320" s="97">
        <v>1</v>
      </c>
      <c r="AI320" s="97">
        <v>1</v>
      </c>
      <c r="AJ320" s="97">
        <v>1</v>
      </c>
      <c r="AK320" s="71"/>
      <c r="AL320" s="76" t="s">
        <v>117</v>
      </c>
      <c r="AM320" s="87"/>
      <c r="AN320" s="15"/>
      <c r="AO320" s="15"/>
    </row>
    <row r="321" spans="2:41" x14ac:dyDescent="0.25">
      <c r="B321" s="149">
        <f t="shared" si="63"/>
        <v>262</v>
      </c>
      <c r="C321" s="16">
        <v>20201105</v>
      </c>
      <c r="D321" s="16" t="s">
        <v>2</v>
      </c>
      <c r="E321" s="74" t="s">
        <v>1242</v>
      </c>
      <c r="F321" s="69"/>
      <c r="G321" s="37"/>
      <c r="H321" s="16"/>
      <c r="I321" s="16" t="s">
        <v>1243</v>
      </c>
      <c r="J321" s="16"/>
      <c r="K321" s="37"/>
      <c r="L321" s="69"/>
      <c r="M321" s="37"/>
      <c r="N321" s="16"/>
      <c r="O321" s="69">
        <v>1.17</v>
      </c>
      <c r="P321" s="69"/>
      <c r="Q321" s="18"/>
      <c r="R321" s="16"/>
      <c r="S321" s="16" t="s">
        <v>61</v>
      </c>
      <c r="T321" s="16"/>
      <c r="U321" s="16"/>
      <c r="V321" s="16"/>
      <c r="W321" s="15">
        <f>ROUND(IF(D321=Table!$C$3,Y321*Table!$C$4/8,Y321*Table!$D$4/8),3)</f>
        <v>178.75</v>
      </c>
      <c r="X321" s="101">
        <f>W321</f>
        <v>178.75</v>
      </c>
      <c r="Y321" s="101">
        <v>11</v>
      </c>
      <c r="Z321" s="101"/>
      <c r="AA321" s="16" t="s">
        <v>21</v>
      </c>
      <c r="AB321" s="70">
        <v>44144</v>
      </c>
      <c r="AC321" s="19">
        <v>44140</v>
      </c>
      <c r="AD321" s="70">
        <v>44144</v>
      </c>
      <c r="AE321" s="19">
        <v>44140</v>
      </c>
      <c r="AF321" s="70">
        <v>44144</v>
      </c>
      <c r="AG321" s="70" t="s">
        <v>130</v>
      </c>
      <c r="AH321" s="97">
        <v>1</v>
      </c>
      <c r="AI321" s="97">
        <v>1</v>
      </c>
      <c r="AJ321" s="97">
        <v>1</v>
      </c>
      <c r="AK321" s="71"/>
      <c r="AL321" s="76" t="s">
        <v>117</v>
      </c>
      <c r="AM321" s="87"/>
      <c r="AN321" s="15"/>
      <c r="AO321" s="15"/>
    </row>
    <row r="322" spans="2:41" x14ac:dyDescent="0.25">
      <c r="B322" s="149">
        <f t="shared" si="63"/>
        <v>263</v>
      </c>
      <c r="C322" s="16">
        <v>20201105</v>
      </c>
      <c r="D322" s="16" t="s">
        <v>2</v>
      </c>
      <c r="E322" s="74" t="s">
        <v>1242</v>
      </c>
      <c r="F322" s="69"/>
      <c r="G322" s="37"/>
      <c r="H322" s="16"/>
      <c r="I322" s="16" t="s">
        <v>1244</v>
      </c>
      <c r="J322" s="16"/>
      <c r="K322" s="37"/>
      <c r="L322" s="69"/>
      <c r="M322" s="37"/>
      <c r="N322" s="16"/>
      <c r="O322" s="69">
        <v>1.5</v>
      </c>
      <c r="P322" s="69"/>
      <c r="Q322" s="18"/>
      <c r="R322" s="16"/>
      <c r="S322" s="16" t="s">
        <v>61</v>
      </c>
      <c r="T322" s="16"/>
      <c r="U322" s="16"/>
      <c r="V322" s="16"/>
      <c r="W322" s="15">
        <f>ROUND(IF(D322=Table!$C$3,Y322*Table!$C$4/8,Y322*Table!$D$4/8),3)</f>
        <v>32.5</v>
      </c>
      <c r="X322" s="101">
        <f>W322</f>
        <v>32.5</v>
      </c>
      <c r="Y322" s="101">
        <v>2</v>
      </c>
      <c r="Z322" s="101"/>
      <c r="AA322" s="16" t="s">
        <v>21</v>
      </c>
      <c r="AB322" s="70">
        <v>44144</v>
      </c>
      <c r="AC322" s="19">
        <v>44140</v>
      </c>
      <c r="AD322" s="70">
        <v>44144</v>
      </c>
      <c r="AE322" s="19">
        <v>44140</v>
      </c>
      <c r="AF322" s="70">
        <v>44144</v>
      </c>
      <c r="AG322" s="70" t="s">
        <v>130</v>
      </c>
      <c r="AH322" s="97">
        <v>1</v>
      </c>
      <c r="AI322" s="97">
        <v>1</v>
      </c>
      <c r="AJ322" s="97">
        <v>1</v>
      </c>
      <c r="AK322" s="71"/>
      <c r="AL322" s="76" t="s">
        <v>117</v>
      </c>
      <c r="AM322" s="87"/>
      <c r="AN322" s="15"/>
      <c r="AO322" s="15"/>
    </row>
    <row r="323" spans="2:41" x14ac:dyDescent="0.25">
      <c r="B323" s="154">
        <f t="shared" si="63"/>
        <v>264</v>
      </c>
      <c r="C323" s="16">
        <v>20201109</v>
      </c>
      <c r="D323" s="16" t="s">
        <v>2</v>
      </c>
      <c r="E323" s="74" t="s">
        <v>1349</v>
      </c>
      <c r="F323" s="69"/>
      <c r="G323" s="37"/>
      <c r="H323" s="16" t="s">
        <v>1325</v>
      </c>
      <c r="I323" s="16" t="s">
        <v>1257</v>
      </c>
      <c r="J323" s="16" t="s">
        <v>188</v>
      </c>
      <c r="K323" s="37"/>
      <c r="L323" s="69"/>
      <c r="M323" s="37"/>
      <c r="N323" s="16"/>
      <c r="O323" s="69" t="s">
        <v>184</v>
      </c>
      <c r="P323" s="69" t="s">
        <v>1310</v>
      </c>
      <c r="Q323" s="18"/>
      <c r="R323" s="16" t="s">
        <v>168</v>
      </c>
      <c r="S323" s="16" t="s">
        <v>63</v>
      </c>
      <c r="T323" s="16"/>
      <c r="U323" s="16"/>
      <c r="V323" s="16">
        <v>43</v>
      </c>
      <c r="W323" s="15">
        <f>ROUND(IF(D323=Table!$C$3,Y323*Table!$C$4/8,Y323*Table!$D$4/8),3)</f>
        <v>71.5</v>
      </c>
      <c r="X323" s="101">
        <f t="shared" ref="X323:X361" si="67">W323</f>
        <v>71.5</v>
      </c>
      <c r="Y323" s="101">
        <v>4.4000000000000004</v>
      </c>
      <c r="Z323" s="101">
        <f t="shared" ref="Z323:Z330" si="68">Y323</f>
        <v>4.4000000000000004</v>
      </c>
      <c r="AA323" s="16" t="s">
        <v>21</v>
      </c>
      <c r="AB323" s="70">
        <v>44151</v>
      </c>
      <c r="AC323" s="19">
        <v>44144</v>
      </c>
      <c r="AD323" s="70">
        <v>44151</v>
      </c>
      <c r="AE323" s="70">
        <v>44151</v>
      </c>
      <c r="AF323" s="70">
        <v>44151</v>
      </c>
      <c r="AG323" s="70" t="s">
        <v>130</v>
      </c>
      <c r="AH323" s="97">
        <v>1</v>
      </c>
      <c r="AI323" s="97">
        <v>1</v>
      </c>
      <c r="AJ323" s="97">
        <v>0.94099999999999995</v>
      </c>
      <c r="AK323" s="71"/>
      <c r="AL323" s="76" t="s">
        <v>117</v>
      </c>
      <c r="AM323" s="87" t="s">
        <v>1596</v>
      </c>
      <c r="AN323" s="15"/>
      <c r="AO323" s="15"/>
    </row>
    <row r="324" spans="2:41" x14ac:dyDescent="0.25">
      <c r="B324" s="154">
        <f t="shared" ref="B324:B359" si="69">B323+1</f>
        <v>265</v>
      </c>
      <c r="C324" s="16">
        <v>20201109</v>
      </c>
      <c r="D324" s="16" t="s">
        <v>2</v>
      </c>
      <c r="E324" s="74" t="s">
        <v>1349</v>
      </c>
      <c r="F324" s="69"/>
      <c r="G324" s="37"/>
      <c r="H324" s="16" t="s">
        <v>1326</v>
      </c>
      <c r="I324" s="16" t="s">
        <v>1258</v>
      </c>
      <c r="J324" s="16" t="s">
        <v>188</v>
      </c>
      <c r="K324" s="37"/>
      <c r="L324" s="69"/>
      <c r="M324" s="37"/>
      <c r="N324" s="16"/>
      <c r="O324" s="69" t="s">
        <v>203</v>
      </c>
      <c r="P324" s="69" t="s">
        <v>1311</v>
      </c>
      <c r="Q324" s="18"/>
      <c r="R324" s="16" t="s">
        <v>168</v>
      </c>
      <c r="S324" s="16" t="s">
        <v>63</v>
      </c>
      <c r="T324" s="16"/>
      <c r="U324" s="16"/>
      <c r="V324" s="16">
        <v>47</v>
      </c>
      <c r="W324" s="15">
        <f>ROUND(IF(D324=Table!$C$3,Y324*Table!$C$4/8,Y324*Table!$D$4/8),3)</f>
        <v>58.5</v>
      </c>
      <c r="X324" s="101">
        <f t="shared" si="67"/>
        <v>58.5</v>
      </c>
      <c r="Y324" s="101">
        <v>3.6</v>
      </c>
      <c r="Z324" s="101">
        <f t="shared" si="68"/>
        <v>3.6</v>
      </c>
      <c r="AA324" s="16" t="s">
        <v>21</v>
      </c>
      <c r="AB324" s="70">
        <v>44151</v>
      </c>
      <c r="AC324" s="19">
        <v>44144</v>
      </c>
      <c r="AD324" s="70">
        <v>44151</v>
      </c>
      <c r="AE324" s="70">
        <v>44151</v>
      </c>
      <c r="AF324" s="70">
        <v>44151</v>
      </c>
      <c r="AG324" s="70" t="s">
        <v>130</v>
      </c>
      <c r="AH324" s="97">
        <v>0.93300000000000005</v>
      </c>
      <c r="AI324" s="97">
        <v>0.93300000000000005</v>
      </c>
      <c r="AJ324" s="97">
        <v>1</v>
      </c>
      <c r="AK324" s="71"/>
      <c r="AL324" s="76" t="s">
        <v>117</v>
      </c>
      <c r="AM324" s="147" t="s">
        <v>1597</v>
      </c>
      <c r="AN324" s="15"/>
      <c r="AO324" s="15"/>
    </row>
    <row r="325" spans="2:41" x14ac:dyDescent="0.25">
      <c r="B325" s="154">
        <f t="shared" si="69"/>
        <v>266</v>
      </c>
      <c r="C325" s="16">
        <v>20201109</v>
      </c>
      <c r="D325" s="16" t="s">
        <v>2</v>
      </c>
      <c r="E325" s="74" t="s">
        <v>1349</v>
      </c>
      <c r="F325" s="69"/>
      <c r="G325" s="37"/>
      <c r="H325" s="16" t="s">
        <v>1327</v>
      </c>
      <c r="I325" s="16" t="s">
        <v>1259</v>
      </c>
      <c r="J325" s="16" t="s">
        <v>188</v>
      </c>
      <c r="K325" s="37"/>
      <c r="L325" s="69"/>
      <c r="M325" s="37"/>
      <c r="N325" s="16"/>
      <c r="O325" s="69" t="s">
        <v>203</v>
      </c>
      <c r="P325" s="69" t="s">
        <v>1312</v>
      </c>
      <c r="Q325" s="18"/>
      <c r="R325" s="16" t="s">
        <v>168</v>
      </c>
      <c r="S325" s="16" t="s">
        <v>63</v>
      </c>
      <c r="T325" s="16"/>
      <c r="U325" s="16"/>
      <c r="V325" s="16">
        <v>36</v>
      </c>
      <c r="W325" s="15">
        <f>ROUND(IF(D325=Table!$C$3,Y325*Table!$C$4/8,Y325*Table!$D$4/8),3)</f>
        <v>44.2</v>
      </c>
      <c r="X325" s="101">
        <f t="shared" si="67"/>
        <v>44.2</v>
      </c>
      <c r="Y325" s="101">
        <v>2.72</v>
      </c>
      <c r="Z325" s="101">
        <f t="shared" si="68"/>
        <v>2.72</v>
      </c>
      <c r="AA325" s="16" t="s">
        <v>21</v>
      </c>
      <c r="AB325" s="70">
        <v>44151</v>
      </c>
      <c r="AC325" s="19">
        <v>44144</v>
      </c>
      <c r="AD325" s="70">
        <v>44151</v>
      </c>
      <c r="AE325" s="70">
        <v>44151</v>
      </c>
      <c r="AF325" s="70">
        <v>44151</v>
      </c>
      <c r="AG325" s="70" t="s">
        <v>130</v>
      </c>
      <c r="AH325" s="97">
        <v>0.9</v>
      </c>
      <c r="AI325" s="97">
        <v>0.9</v>
      </c>
      <c r="AJ325" s="97">
        <v>1</v>
      </c>
      <c r="AK325" s="71"/>
      <c r="AL325" s="76" t="s">
        <v>117</v>
      </c>
      <c r="AM325" s="87" t="s">
        <v>1598</v>
      </c>
      <c r="AN325" s="15"/>
      <c r="AO325" s="15"/>
    </row>
    <row r="326" spans="2:41" x14ac:dyDescent="0.25">
      <c r="B326" s="154">
        <f t="shared" si="69"/>
        <v>267</v>
      </c>
      <c r="C326" s="16">
        <v>20201109</v>
      </c>
      <c r="D326" s="16" t="s">
        <v>2</v>
      </c>
      <c r="E326" s="74" t="s">
        <v>1349</v>
      </c>
      <c r="F326" s="69"/>
      <c r="G326" s="37"/>
      <c r="H326" s="16" t="s">
        <v>1328</v>
      </c>
      <c r="I326" s="16" t="s">
        <v>1260</v>
      </c>
      <c r="J326" s="16" t="s">
        <v>188</v>
      </c>
      <c r="K326" s="37"/>
      <c r="L326" s="69"/>
      <c r="M326" s="37"/>
      <c r="N326" s="16"/>
      <c r="O326" s="69" t="s">
        <v>1070</v>
      </c>
      <c r="P326" s="69" t="s">
        <v>1313</v>
      </c>
      <c r="Q326" s="18"/>
      <c r="R326" s="16" t="s">
        <v>168</v>
      </c>
      <c r="S326" s="16" t="s">
        <v>63</v>
      </c>
      <c r="T326" s="16"/>
      <c r="U326" s="16"/>
      <c r="V326" s="16">
        <v>32</v>
      </c>
      <c r="W326" s="15">
        <f>ROUND(IF(D326=Table!$C$3,Y326*Table!$C$4/8,Y326*Table!$D$4/8),3)</f>
        <v>71.5</v>
      </c>
      <c r="X326" s="101">
        <f t="shared" si="67"/>
        <v>71.5</v>
      </c>
      <c r="Y326" s="101">
        <v>4.4000000000000004</v>
      </c>
      <c r="Z326" s="101">
        <f t="shared" si="68"/>
        <v>4.4000000000000004</v>
      </c>
      <c r="AA326" s="16" t="s">
        <v>21</v>
      </c>
      <c r="AB326" s="70">
        <v>44151</v>
      </c>
      <c r="AC326" s="19">
        <v>44144</v>
      </c>
      <c r="AD326" s="70">
        <v>44151</v>
      </c>
      <c r="AE326" s="70">
        <v>44151</v>
      </c>
      <c r="AF326" s="70">
        <v>44151</v>
      </c>
      <c r="AG326" s="70" t="s">
        <v>130</v>
      </c>
      <c r="AH326" s="97">
        <v>1</v>
      </c>
      <c r="AI326" s="97">
        <v>1</v>
      </c>
      <c r="AJ326" s="97">
        <v>1</v>
      </c>
      <c r="AK326" s="71"/>
      <c r="AL326" s="76" t="s">
        <v>117</v>
      </c>
      <c r="AM326" s="87"/>
      <c r="AN326" s="15"/>
      <c r="AO326" s="15"/>
    </row>
    <row r="327" spans="2:41" x14ac:dyDescent="0.25">
      <c r="B327" s="154">
        <f t="shared" si="69"/>
        <v>268</v>
      </c>
      <c r="C327" s="16">
        <v>20201109</v>
      </c>
      <c r="D327" s="16" t="s">
        <v>2</v>
      </c>
      <c r="E327" s="74" t="s">
        <v>1349</v>
      </c>
      <c r="F327" s="69"/>
      <c r="G327" s="37"/>
      <c r="H327" s="16" t="s">
        <v>1329</v>
      </c>
      <c r="I327" s="16" t="s">
        <v>1261</v>
      </c>
      <c r="J327" s="16" t="s">
        <v>188</v>
      </c>
      <c r="K327" s="37"/>
      <c r="L327" s="69"/>
      <c r="M327" s="37"/>
      <c r="N327" s="16"/>
      <c r="O327" s="69" t="s">
        <v>192</v>
      </c>
      <c r="P327" s="69" t="s">
        <v>1313</v>
      </c>
      <c r="Q327" s="18"/>
      <c r="R327" s="16" t="s">
        <v>168</v>
      </c>
      <c r="S327" s="16" t="s">
        <v>63</v>
      </c>
      <c r="T327" s="16"/>
      <c r="U327" s="16"/>
      <c r="V327" s="16">
        <v>39</v>
      </c>
      <c r="W327" s="15">
        <f>ROUND(IF(D327=Table!$C$3,Y327*Table!$C$4/8,Y327*Table!$D$4/8),3)</f>
        <v>45.5</v>
      </c>
      <c r="X327" s="101">
        <f t="shared" si="67"/>
        <v>45.5</v>
      </c>
      <c r="Y327" s="101">
        <v>2.8</v>
      </c>
      <c r="Z327" s="101">
        <f t="shared" si="68"/>
        <v>2.8</v>
      </c>
      <c r="AA327" s="16" t="s">
        <v>21</v>
      </c>
      <c r="AB327" s="70">
        <v>44151</v>
      </c>
      <c r="AC327" s="19">
        <v>44144</v>
      </c>
      <c r="AD327" s="70">
        <v>44151</v>
      </c>
      <c r="AE327" s="70">
        <v>44151</v>
      </c>
      <c r="AF327" s="70">
        <v>44151</v>
      </c>
      <c r="AG327" s="70" t="s">
        <v>130</v>
      </c>
      <c r="AH327" s="97">
        <v>1</v>
      </c>
      <c r="AI327" s="97">
        <v>1</v>
      </c>
      <c r="AJ327" s="97">
        <v>1</v>
      </c>
      <c r="AK327" s="71"/>
      <c r="AL327" s="76" t="s">
        <v>117</v>
      </c>
      <c r="AM327" s="87"/>
      <c r="AN327" s="15"/>
      <c r="AO327" s="15"/>
    </row>
    <row r="328" spans="2:41" x14ac:dyDescent="0.25">
      <c r="B328" s="154">
        <f t="shared" si="69"/>
        <v>269</v>
      </c>
      <c r="C328" s="16">
        <v>20201109</v>
      </c>
      <c r="D328" s="16" t="s">
        <v>2</v>
      </c>
      <c r="E328" s="74" t="s">
        <v>1349</v>
      </c>
      <c r="F328" s="69"/>
      <c r="G328" s="37"/>
      <c r="H328" s="16" t="s">
        <v>1330</v>
      </c>
      <c r="I328" s="16" t="s">
        <v>1262</v>
      </c>
      <c r="J328" s="16" t="s">
        <v>188</v>
      </c>
      <c r="K328" s="37"/>
      <c r="L328" s="69"/>
      <c r="M328" s="37"/>
      <c r="N328" s="16"/>
      <c r="O328" s="69" t="s">
        <v>821</v>
      </c>
      <c r="P328" s="69" t="s">
        <v>1313</v>
      </c>
      <c r="Q328" s="18"/>
      <c r="R328" s="16" t="s">
        <v>168</v>
      </c>
      <c r="S328" s="16" t="s">
        <v>63</v>
      </c>
      <c r="T328" s="16"/>
      <c r="U328" s="16"/>
      <c r="V328" s="16">
        <v>70</v>
      </c>
      <c r="W328" s="15">
        <f>ROUND(IF(D328=Table!$C$3,Y328*Table!$C$4/8,Y328*Table!$D$4/8),3)</f>
        <v>55.9</v>
      </c>
      <c r="X328" s="101">
        <f t="shared" si="67"/>
        <v>55.9</v>
      </c>
      <c r="Y328" s="101">
        <v>3.44</v>
      </c>
      <c r="Z328" s="101">
        <f t="shared" si="68"/>
        <v>3.44</v>
      </c>
      <c r="AA328" s="16" t="s">
        <v>21</v>
      </c>
      <c r="AB328" s="70">
        <v>44151</v>
      </c>
      <c r="AC328" s="19">
        <v>44144</v>
      </c>
      <c r="AD328" s="70">
        <v>44151</v>
      </c>
      <c r="AE328" s="70">
        <v>44151</v>
      </c>
      <c r="AF328" s="70">
        <v>44151</v>
      </c>
      <c r="AG328" s="70" t="s">
        <v>130</v>
      </c>
      <c r="AH328" s="97">
        <v>1</v>
      </c>
      <c r="AI328" s="97">
        <v>1</v>
      </c>
      <c r="AJ328" s="97">
        <v>1</v>
      </c>
      <c r="AK328" s="71"/>
      <c r="AL328" s="76" t="s">
        <v>117</v>
      </c>
      <c r="AM328" s="87"/>
      <c r="AN328" s="15"/>
      <c r="AO328" s="15"/>
    </row>
    <row r="329" spans="2:41" x14ac:dyDescent="0.25">
      <c r="B329" s="154">
        <f t="shared" si="69"/>
        <v>270</v>
      </c>
      <c r="C329" s="16">
        <v>20201109</v>
      </c>
      <c r="D329" s="16" t="s">
        <v>2</v>
      </c>
      <c r="E329" s="74" t="s">
        <v>1349</v>
      </c>
      <c r="F329" s="69"/>
      <c r="G329" s="37"/>
      <c r="H329" s="16" t="s">
        <v>1331</v>
      </c>
      <c r="I329" s="16" t="s">
        <v>1263</v>
      </c>
      <c r="J329" s="16" t="s">
        <v>188</v>
      </c>
      <c r="K329" s="37"/>
      <c r="L329" s="69"/>
      <c r="M329" s="37"/>
      <c r="N329" s="16"/>
      <c r="O329" s="69" t="s">
        <v>195</v>
      </c>
      <c r="P329" s="69" t="s">
        <v>1313</v>
      </c>
      <c r="Q329" s="18"/>
      <c r="R329" s="16" t="s">
        <v>168</v>
      </c>
      <c r="S329" s="16" t="s">
        <v>63</v>
      </c>
      <c r="T329" s="16"/>
      <c r="U329" s="16"/>
      <c r="V329" s="16">
        <v>37</v>
      </c>
      <c r="W329" s="15">
        <f>ROUND(IF(D329=Table!$C$3,Y329*Table!$C$4/8,Y329*Table!$D$4/8),3)</f>
        <v>39</v>
      </c>
      <c r="X329" s="101">
        <f t="shared" si="67"/>
        <v>39</v>
      </c>
      <c r="Y329" s="101">
        <v>2.4</v>
      </c>
      <c r="Z329" s="101">
        <f t="shared" si="68"/>
        <v>2.4</v>
      </c>
      <c r="AA329" s="16" t="s">
        <v>21</v>
      </c>
      <c r="AB329" s="70">
        <v>44151</v>
      </c>
      <c r="AC329" s="19">
        <v>44144</v>
      </c>
      <c r="AD329" s="70">
        <v>44151</v>
      </c>
      <c r="AE329" s="70">
        <v>44151</v>
      </c>
      <c r="AF329" s="70">
        <v>44151</v>
      </c>
      <c r="AG329" s="70" t="s">
        <v>130</v>
      </c>
      <c r="AH329" s="97">
        <v>1</v>
      </c>
      <c r="AI329" s="97">
        <v>1</v>
      </c>
      <c r="AJ329" s="97">
        <v>1</v>
      </c>
      <c r="AK329" s="71"/>
      <c r="AL329" s="76" t="s">
        <v>117</v>
      </c>
      <c r="AM329" s="87"/>
      <c r="AN329" s="15"/>
      <c r="AO329" s="15"/>
    </row>
    <row r="330" spans="2:41" x14ac:dyDescent="0.25">
      <c r="B330" s="154">
        <f t="shared" si="69"/>
        <v>271</v>
      </c>
      <c r="C330" s="16">
        <v>20201109</v>
      </c>
      <c r="D330" s="16" t="s">
        <v>2</v>
      </c>
      <c r="E330" s="74" t="s">
        <v>1349</v>
      </c>
      <c r="F330" s="69"/>
      <c r="G330" s="37"/>
      <c r="H330" s="16" t="s">
        <v>1332</v>
      </c>
      <c r="I330" s="16" t="s">
        <v>1264</v>
      </c>
      <c r="J330" s="16" t="s">
        <v>188</v>
      </c>
      <c r="K330" s="37"/>
      <c r="L330" s="69"/>
      <c r="M330" s="37"/>
      <c r="N330" s="16"/>
      <c r="O330" s="69" t="s">
        <v>815</v>
      </c>
      <c r="P330" s="69" t="s">
        <v>1311</v>
      </c>
      <c r="Q330" s="18"/>
      <c r="R330" s="16" t="s">
        <v>168</v>
      </c>
      <c r="S330" s="16" t="s">
        <v>63</v>
      </c>
      <c r="T330" s="16"/>
      <c r="U330" s="16"/>
      <c r="V330" s="16">
        <v>47</v>
      </c>
      <c r="W330" s="15">
        <f>ROUND(IF(D330=Table!$C$3,Y330*Table!$C$4/8,Y330*Table!$D$4/8),3)</f>
        <v>55.9</v>
      </c>
      <c r="X330" s="101">
        <f t="shared" si="67"/>
        <v>55.9</v>
      </c>
      <c r="Y330" s="101">
        <v>3.44</v>
      </c>
      <c r="Z330" s="101">
        <f t="shared" si="68"/>
        <v>3.44</v>
      </c>
      <c r="AA330" s="16" t="s">
        <v>21</v>
      </c>
      <c r="AB330" s="70">
        <v>44151</v>
      </c>
      <c r="AC330" s="19">
        <v>44144</v>
      </c>
      <c r="AD330" s="70">
        <v>44151</v>
      </c>
      <c r="AE330" s="70">
        <v>44151</v>
      </c>
      <c r="AF330" s="70">
        <v>44151</v>
      </c>
      <c r="AG330" s="70" t="s">
        <v>130</v>
      </c>
      <c r="AH330" s="97">
        <v>1</v>
      </c>
      <c r="AI330" s="97">
        <v>1</v>
      </c>
      <c r="AJ330" s="97">
        <v>0.78600000000000003</v>
      </c>
      <c r="AK330" s="71"/>
      <c r="AL330" s="76" t="s">
        <v>117</v>
      </c>
      <c r="AM330" s="87" t="s">
        <v>1600</v>
      </c>
      <c r="AN330" s="15"/>
      <c r="AO330" s="15"/>
    </row>
    <row r="331" spans="2:41" x14ac:dyDescent="0.25">
      <c r="B331" s="154">
        <f t="shared" si="69"/>
        <v>272</v>
      </c>
      <c r="C331" s="16">
        <v>20201109</v>
      </c>
      <c r="D331" s="16" t="s">
        <v>2</v>
      </c>
      <c r="E331" s="74" t="s">
        <v>1349</v>
      </c>
      <c r="F331" s="69"/>
      <c r="G331" s="37"/>
      <c r="H331" s="16" t="s">
        <v>1333</v>
      </c>
      <c r="I331" s="16" t="s">
        <v>1265</v>
      </c>
      <c r="J331" s="16" t="s">
        <v>188</v>
      </c>
      <c r="K331" s="37"/>
      <c r="L331" s="69"/>
      <c r="M331" s="37"/>
      <c r="N331" s="16"/>
      <c r="O331" s="69" t="s">
        <v>1292</v>
      </c>
      <c r="P331" s="69" t="s">
        <v>1310</v>
      </c>
      <c r="Q331" s="18"/>
      <c r="R331" s="16" t="s">
        <v>168</v>
      </c>
      <c r="S331" s="16" t="s">
        <v>63</v>
      </c>
      <c r="T331" s="16"/>
      <c r="U331" s="16"/>
      <c r="V331" s="16">
        <v>91</v>
      </c>
      <c r="W331" s="15">
        <f>ROUND(IF(D331=Table!$C$3,Y331*Table!$C$4/8,Y331*Table!$D$4/8),3)</f>
        <v>91</v>
      </c>
      <c r="X331" s="101">
        <f t="shared" si="67"/>
        <v>91</v>
      </c>
      <c r="Y331" s="101">
        <v>5.6</v>
      </c>
      <c r="Z331" s="101">
        <f>Y331</f>
        <v>5.6</v>
      </c>
      <c r="AA331" s="16" t="s">
        <v>21</v>
      </c>
      <c r="AB331" s="70">
        <v>44151</v>
      </c>
      <c r="AC331" s="19">
        <v>44144</v>
      </c>
      <c r="AD331" s="70">
        <v>44151</v>
      </c>
      <c r="AE331" s="70">
        <v>44151</v>
      </c>
      <c r="AF331" s="70">
        <v>44151</v>
      </c>
      <c r="AG331" s="70" t="s">
        <v>130</v>
      </c>
      <c r="AH331" s="97">
        <v>0.93300000000000005</v>
      </c>
      <c r="AI331" s="97">
        <v>0.93600000000000005</v>
      </c>
      <c r="AJ331" s="97">
        <v>1</v>
      </c>
      <c r="AK331" s="71"/>
      <c r="AL331" s="76" t="s">
        <v>117</v>
      </c>
      <c r="AM331" s="87" t="s">
        <v>1599</v>
      </c>
      <c r="AN331" s="15"/>
      <c r="AO331" s="15"/>
    </row>
    <row r="332" spans="2:41" x14ac:dyDescent="0.25">
      <c r="B332" s="154">
        <f t="shared" si="69"/>
        <v>273</v>
      </c>
      <c r="C332" s="16">
        <v>20201109</v>
      </c>
      <c r="D332" s="16" t="s">
        <v>2</v>
      </c>
      <c r="E332" s="74" t="s">
        <v>1349</v>
      </c>
      <c r="F332" s="69"/>
      <c r="G332" s="37"/>
      <c r="H332" s="16" t="s">
        <v>1334</v>
      </c>
      <c r="I332" s="16" t="s">
        <v>1266</v>
      </c>
      <c r="J332" s="16" t="s">
        <v>188</v>
      </c>
      <c r="K332" s="37"/>
      <c r="L332" s="69"/>
      <c r="M332" s="37"/>
      <c r="N332" s="16"/>
      <c r="O332" s="69" t="s">
        <v>1293</v>
      </c>
      <c r="P332" s="69" t="s">
        <v>1314</v>
      </c>
      <c r="Q332" s="18"/>
      <c r="R332" s="16" t="s">
        <v>169</v>
      </c>
      <c r="S332" s="16" t="s">
        <v>61</v>
      </c>
      <c r="T332" s="16"/>
      <c r="U332" s="16"/>
      <c r="V332" s="16">
        <v>31</v>
      </c>
      <c r="W332" s="15">
        <f>ROUND(IF(D332=Table!$C$3,Y332*Table!$C$4/8,Y332*Table!$D$4/8),3)</f>
        <v>44.2</v>
      </c>
      <c r="X332" s="101">
        <f t="shared" si="67"/>
        <v>44.2</v>
      </c>
      <c r="Y332" s="101">
        <v>2.72</v>
      </c>
      <c r="Z332" s="101"/>
      <c r="AA332" s="16" t="s">
        <v>21</v>
      </c>
      <c r="AB332" s="70">
        <v>44151</v>
      </c>
      <c r="AC332" s="19">
        <v>44144</v>
      </c>
      <c r="AD332" s="70">
        <v>44151</v>
      </c>
      <c r="AE332" s="70">
        <v>44144</v>
      </c>
      <c r="AF332" s="70">
        <v>44151</v>
      </c>
      <c r="AG332" s="70" t="s">
        <v>130</v>
      </c>
      <c r="AH332" s="97">
        <v>1</v>
      </c>
      <c r="AI332" s="97">
        <v>1</v>
      </c>
      <c r="AJ332" s="97">
        <v>1</v>
      </c>
      <c r="AK332" s="71"/>
      <c r="AL332" s="76" t="s">
        <v>117</v>
      </c>
      <c r="AM332" s="87"/>
      <c r="AN332" s="15"/>
      <c r="AO332" s="15"/>
    </row>
    <row r="333" spans="2:41" x14ac:dyDescent="0.25">
      <c r="B333" s="154">
        <f t="shared" si="69"/>
        <v>274</v>
      </c>
      <c r="C333" s="16">
        <v>20201109</v>
      </c>
      <c r="D333" s="16" t="s">
        <v>2</v>
      </c>
      <c r="E333" s="74" t="s">
        <v>1349</v>
      </c>
      <c r="F333" s="69"/>
      <c r="G333" s="37"/>
      <c r="H333" s="16" t="s">
        <v>1335</v>
      </c>
      <c r="I333" s="16" t="s">
        <v>1267</v>
      </c>
      <c r="J333" s="16" t="s">
        <v>188</v>
      </c>
      <c r="K333" s="37"/>
      <c r="L333" s="69"/>
      <c r="M333" s="37"/>
      <c r="N333" s="16"/>
      <c r="O333" s="69" t="s">
        <v>1294</v>
      </c>
      <c r="P333" s="69" t="s">
        <v>1315</v>
      </c>
      <c r="Q333" s="18"/>
      <c r="R333" s="16" t="s">
        <v>169</v>
      </c>
      <c r="S333" s="16" t="s">
        <v>61</v>
      </c>
      <c r="T333" s="16"/>
      <c r="U333" s="16"/>
      <c r="V333" s="16">
        <v>106</v>
      </c>
      <c r="W333" s="15">
        <f>ROUND(IF(D333=Table!$C$3,Y333*Table!$C$4/8,Y333*Table!$D$4/8),3)</f>
        <v>84.5</v>
      </c>
      <c r="X333" s="101">
        <f t="shared" si="67"/>
        <v>84.5</v>
      </c>
      <c r="Y333" s="101">
        <v>5.2</v>
      </c>
      <c r="Z333" s="101"/>
      <c r="AA333" s="16" t="s">
        <v>21</v>
      </c>
      <c r="AB333" s="70">
        <v>44151</v>
      </c>
      <c r="AC333" s="19">
        <v>44144</v>
      </c>
      <c r="AD333" s="70">
        <v>44151</v>
      </c>
      <c r="AE333" s="70">
        <v>44144</v>
      </c>
      <c r="AF333" s="70">
        <v>44151</v>
      </c>
      <c r="AG333" s="70" t="s">
        <v>130</v>
      </c>
      <c r="AH333" s="97">
        <v>0.90500000000000003</v>
      </c>
      <c r="AI333" s="97">
        <v>0.90500000000000003</v>
      </c>
      <c r="AJ333" s="97">
        <v>1</v>
      </c>
      <c r="AK333" s="71"/>
      <c r="AL333" s="76" t="s">
        <v>117</v>
      </c>
      <c r="AM333" s="87" t="s">
        <v>1399</v>
      </c>
      <c r="AN333" s="15"/>
      <c r="AO333" s="15"/>
    </row>
    <row r="334" spans="2:41" x14ac:dyDescent="0.25">
      <c r="B334" s="154">
        <f t="shared" si="69"/>
        <v>275</v>
      </c>
      <c r="C334" s="16">
        <v>20201109</v>
      </c>
      <c r="D334" s="16" t="s">
        <v>2</v>
      </c>
      <c r="E334" s="74" t="s">
        <v>1349</v>
      </c>
      <c r="F334" s="69"/>
      <c r="G334" s="37"/>
      <c r="H334" s="16" t="s">
        <v>1336</v>
      </c>
      <c r="I334" s="16" t="s">
        <v>1268</v>
      </c>
      <c r="J334" s="16" t="s">
        <v>188</v>
      </c>
      <c r="K334" s="37"/>
      <c r="L334" s="69"/>
      <c r="M334" s="37"/>
      <c r="N334" s="16"/>
      <c r="O334" s="69" t="s">
        <v>1295</v>
      </c>
      <c r="P334" s="69" t="s">
        <v>1316</v>
      </c>
      <c r="Q334" s="18"/>
      <c r="R334" s="16" t="s">
        <v>169</v>
      </c>
      <c r="S334" s="16" t="s">
        <v>61</v>
      </c>
      <c r="T334" s="16"/>
      <c r="U334" s="16"/>
      <c r="V334" s="16">
        <v>47</v>
      </c>
      <c r="W334" s="15">
        <f>ROUND(IF(D334=Table!$C$3,Y334*Table!$C$4/8,Y334*Table!$D$4/8),3)</f>
        <v>45.5</v>
      </c>
      <c r="X334" s="101">
        <f t="shared" si="67"/>
        <v>45.5</v>
      </c>
      <c r="Y334" s="101">
        <v>2.8</v>
      </c>
      <c r="Z334" s="101"/>
      <c r="AA334" s="16" t="s">
        <v>21</v>
      </c>
      <c r="AB334" s="70">
        <v>44151</v>
      </c>
      <c r="AC334" s="19">
        <v>44144</v>
      </c>
      <c r="AD334" s="70">
        <v>44151</v>
      </c>
      <c r="AE334" s="70">
        <v>44144</v>
      </c>
      <c r="AF334" s="70">
        <v>44151</v>
      </c>
      <c r="AG334" s="70" t="s">
        <v>130</v>
      </c>
      <c r="AH334" s="97">
        <v>0.88900000000000001</v>
      </c>
      <c r="AI334" s="97">
        <v>0.89500000000000002</v>
      </c>
      <c r="AJ334" s="97">
        <v>1</v>
      </c>
      <c r="AK334" s="71"/>
      <c r="AL334" s="76" t="s">
        <v>116</v>
      </c>
      <c r="AM334" s="87" t="s">
        <v>1446</v>
      </c>
      <c r="AN334" s="15"/>
      <c r="AO334" s="15" t="s">
        <v>1480</v>
      </c>
    </row>
    <row r="335" spans="2:41" x14ac:dyDescent="0.25">
      <c r="B335" s="154">
        <f t="shared" si="69"/>
        <v>276</v>
      </c>
      <c r="C335" s="16">
        <v>20201109</v>
      </c>
      <c r="D335" s="16" t="s">
        <v>2</v>
      </c>
      <c r="E335" s="74" t="s">
        <v>1349</v>
      </c>
      <c r="F335" s="69"/>
      <c r="G335" s="37"/>
      <c r="H335" s="16" t="s">
        <v>1337</v>
      </c>
      <c r="I335" s="16" t="s">
        <v>1269</v>
      </c>
      <c r="J335" s="16" t="s">
        <v>188</v>
      </c>
      <c r="K335" s="37"/>
      <c r="L335" s="69"/>
      <c r="M335" s="37"/>
      <c r="N335" s="16"/>
      <c r="O335" s="69" t="s">
        <v>1296</v>
      </c>
      <c r="P335" s="69" t="s">
        <v>1316</v>
      </c>
      <c r="Q335" s="18"/>
      <c r="R335" s="16" t="s">
        <v>169</v>
      </c>
      <c r="S335" s="16" t="s">
        <v>61</v>
      </c>
      <c r="T335" s="16"/>
      <c r="U335" s="16"/>
      <c r="V335" s="16">
        <v>55</v>
      </c>
      <c r="W335" s="15">
        <f>ROUND(IF(D335=Table!$C$3,Y335*Table!$C$4/8,Y335*Table!$D$4/8),3)</f>
        <v>44.2</v>
      </c>
      <c r="X335" s="101">
        <f t="shared" si="67"/>
        <v>44.2</v>
      </c>
      <c r="Y335" s="101">
        <v>2.72</v>
      </c>
      <c r="Z335" s="101"/>
      <c r="AA335" s="16" t="s">
        <v>21</v>
      </c>
      <c r="AB335" s="70">
        <v>44151</v>
      </c>
      <c r="AC335" s="19">
        <v>44144</v>
      </c>
      <c r="AD335" s="70">
        <v>44151</v>
      </c>
      <c r="AE335" s="70">
        <v>44144</v>
      </c>
      <c r="AF335" s="70">
        <v>44151</v>
      </c>
      <c r="AG335" s="70" t="s">
        <v>130</v>
      </c>
      <c r="AH335" s="97">
        <v>1</v>
      </c>
      <c r="AI335" s="97">
        <v>1</v>
      </c>
      <c r="AJ335" s="97" t="s">
        <v>213</v>
      </c>
      <c r="AK335" s="71"/>
      <c r="AL335" s="76" t="s">
        <v>117</v>
      </c>
      <c r="AM335" s="87"/>
      <c r="AN335" s="15"/>
      <c r="AO335" s="15"/>
    </row>
    <row r="336" spans="2:41" x14ac:dyDescent="0.25">
      <c r="B336" s="154">
        <f t="shared" si="69"/>
        <v>277</v>
      </c>
      <c r="C336" s="16">
        <v>20201109</v>
      </c>
      <c r="D336" s="16" t="s">
        <v>2</v>
      </c>
      <c r="E336" s="74" t="s">
        <v>1349</v>
      </c>
      <c r="F336" s="69"/>
      <c r="G336" s="37"/>
      <c r="H336" s="16" t="s">
        <v>1338</v>
      </c>
      <c r="I336" s="146" t="s">
        <v>1270</v>
      </c>
      <c r="J336" s="16" t="s">
        <v>174</v>
      </c>
      <c r="K336" s="37"/>
      <c r="L336" s="69"/>
      <c r="M336" s="37"/>
      <c r="N336" s="16"/>
      <c r="O336" s="69" t="s">
        <v>1297</v>
      </c>
      <c r="P336" s="69" t="s">
        <v>1316</v>
      </c>
      <c r="Q336" s="18"/>
      <c r="R336" s="16" t="s">
        <v>169</v>
      </c>
      <c r="S336" s="16" t="s">
        <v>61</v>
      </c>
      <c r="T336" s="16"/>
      <c r="U336" s="16"/>
      <c r="V336" s="16">
        <v>73</v>
      </c>
      <c r="W336" s="15">
        <f>ROUND(IF(D336=Table!$C$3,Y336*Table!$C$4/8,Y336*Table!$D$4/8),3)</f>
        <v>78</v>
      </c>
      <c r="X336" s="101">
        <f t="shared" si="67"/>
        <v>78</v>
      </c>
      <c r="Y336" s="101">
        <v>4.8</v>
      </c>
      <c r="Z336" s="101"/>
      <c r="AA336" s="16" t="s">
        <v>21</v>
      </c>
      <c r="AB336" s="70">
        <v>44151</v>
      </c>
      <c r="AC336" s="19">
        <v>44144</v>
      </c>
      <c r="AD336" s="70">
        <v>44151</v>
      </c>
      <c r="AE336" s="70">
        <v>44144</v>
      </c>
      <c r="AF336" s="70">
        <v>44151</v>
      </c>
      <c r="AG336" s="70" t="s">
        <v>130</v>
      </c>
      <c r="AH336" s="97">
        <v>1</v>
      </c>
      <c r="AI336" s="97">
        <v>1</v>
      </c>
      <c r="AJ336" s="97">
        <v>1</v>
      </c>
      <c r="AK336" s="71"/>
      <c r="AL336" s="76" t="s">
        <v>117</v>
      </c>
      <c r="AM336" s="87"/>
      <c r="AN336" s="15"/>
      <c r="AO336" s="15"/>
    </row>
    <row r="337" spans="2:41" x14ac:dyDescent="0.25">
      <c r="B337" s="154">
        <f>B336+1</f>
        <v>278</v>
      </c>
      <c r="C337" s="16">
        <v>20201109</v>
      </c>
      <c r="D337" s="16" t="s">
        <v>2</v>
      </c>
      <c r="E337" s="74" t="s">
        <v>1349</v>
      </c>
      <c r="F337" s="69"/>
      <c r="G337" s="37"/>
      <c r="H337" s="16" t="s">
        <v>1339</v>
      </c>
      <c r="I337" s="16" t="s">
        <v>1271</v>
      </c>
      <c r="J337" s="16" t="s">
        <v>188</v>
      </c>
      <c r="K337" s="37"/>
      <c r="L337" s="69"/>
      <c r="M337" s="37"/>
      <c r="N337" s="16"/>
      <c r="O337" s="69" t="s">
        <v>184</v>
      </c>
      <c r="P337" s="69" t="s">
        <v>1310</v>
      </c>
      <c r="Q337" s="18"/>
      <c r="R337" s="16" t="s">
        <v>169</v>
      </c>
      <c r="S337" s="16" t="s">
        <v>61</v>
      </c>
      <c r="T337" s="16"/>
      <c r="U337" s="16"/>
      <c r="V337" s="16">
        <v>24</v>
      </c>
      <c r="W337" s="15">
        <f>ROUND(IF(D337=Table!$C$3,Y337*Table!$C$4/8,Y337*Table!$D$4/8),3)</f>
        <v>44.2</v>
      </c>
      <c r="X337" s="101">
        <f t="shared" si="67"/>
        <v>44.2</v>
      </c>
      <c r="Y337" s="101">
        <v>2.72</v>
      </c>
      <c r="Z337" s="101"/>
      <c r="AA337" s="16" t="s">
        <v>21</v>
      </c>
      <c r="AB337" s="70">
        <v>44151</v>
      </c>
      <c r="AC337" s="19">
        <v>44144</v>
      </c>
      <c r="AD337" s="70">
        <v>44151</v>
      </c>
      <c r="AE337" s="70">
        <v>44144</v>
      </c>
      <c r="AF337" s="70">
        <v>44151</v>
      </c>
      <c r="AG337" s="70" t="s">
        <v>130</v>
      </c>
      <c r="AH337" s="97">
        <v>1</v>
      </c>
      <c r="AI337" s="97">
        <v>1</v>
      </c>
      <c r="AJ337" s="97">
        <v>0.7</v>
      </c>
      <c r="AK337" s="71"/>
      <c r="AL337" s="76" t="s">
        <v>117</v>
      </c>
      <c r="AM337" s="87" t="s">
        <v>1447</v>
      </c>
      <c r="AN337" s="15"/>
      <c r="AO337" s="15"/>
    </row>
    <row r="338" spans="2:41" x14ac:dyDescent="0.25">
      <c r="B338" s="154">
        <f>B337+1</f>
        <v>279</v>
      </c>
      <c r="C338" s="16">
        <v>20201109</v>
      </c>
      <c r="D338" s="16" t="s">
        <v>2</v>
      </c>
      <c r="E338" s="74" t="s">
        <v>1349</v>
      </c>
      <c r="F338" s="69"/>
      <c r="G338" s="37"/>
      <c r="H338" s="16" t="s">
        <v>1439</v>
      </c>
      <c r="I338" s="16" t="s">
        <v>1440</v>
      </c>
      <c r="J338" s="16"/>
      <c r="K338" s="37"/>
      <c r="L338" s="69"/>
      <c r="M338" s="37"/>
      <c r="N338" s="16"/>
      <c r="O338" s="69" t="s">
        <v>203</v>
      </c>
      <c r="P338" s="69" t="s">
        <v>1310</v>
      </c>
      <c r="Q338" s="18"/>
      <c r="R338" s="16" t="s">
        <v>169</v>
      </c>
      <c r="S338" s="16" t="s">
        <v>61</v>
      </c>
      <c r="T338" s="16"/>
      <c r="U338" s="16"/>
      <c r="V338" s="16">
        <v>37</v>
      </c>
      <c r="W338" s="15">
        <f>ROUND(IF(D338=Table!$C$3,Y338*Table!$C$4/8,Y338*Table!$D$4/8),3)</f>
        <v>39</v>
      </c>
      <c r="X338" s="101">
        <f t="shared" si="67"/>
        <v>39</v>
      </c>
      <c r="Y338" s="101">
        <f>0.3*8</f>
        <v>2.4</v>
      </c>
      <c r="Z338" s="101"/>
      <c r="AA338" s="16" t="s">
        <v>21</v>
      </c>
      <c r="AB338" s="70">
        <v>44151</v>
      </c>
      <c r="AC338" s="19">
        <v>44144</v>
      </c>
      <c r="AD338" s="70">
        <v>44151</v>
      </c>
      <c r="AE338" s="70">
        <v>44144</v>
      </c>
      <c r="AF338" s="70">
        <v>44151</v>
      </c>
      <c r="AG338" s="70" t="s">
        <v>130</v>
      </c>
      <c r="AH338" s="97">
        <v>1</v>
      </c>
      <c r="AI338" s="97">
        <v>1</v>
      </c>
      <c r="AJ338" s="97">
        <v>1</v>
      </c>
      <c r="AK338" s="71"/>
      <c r="AL338" s="76" t="s">
        <v>117</v>
      </c>
      <c r="AM338" s="87"/>
      <c r="AN338" s="15"/>
      <c r="AO338" s="15"/>
    </row>
    <row r="339" spans="2:41" x14ac:dyDescent="0.25">
      <c r="B339" s="154">
        <f>B338+1</f>
        <v>280</v>
      </c>
      <c r="C339" s="16">
        <v>20201109</v>
      </c>
      <c r="D339" s="16" t="s">
        <v>2</v>
      </c>
      <c r="E339" s="74" t="s">
        <v>1349</v>
      </c>
      <c r="F339" s="69"/>
      <c r="G339" s="37"/>
      <c r="H339" s="16" t="s">
        <v>1340</v>
      </c>
      <c r="I339" s="16" t="s">
        <v>1272</v>
      </c>
      <c r="J339" s="16" t="s">
        <v>188</v>
      </c>
      <c r="K339" s="37"/>
      <c r="L339" s="69"/>
      <c r="M339" s="37"/>
      <c r="N339" s="16"/>
      <c r="O339" s="69" t="s">
        <v>1298</v>
      </c>
      <c r="P339" s="69" t="s">
        <v>1317</v>
      </c>
      <c r="Q339" s="18"/>
      <c r="R339" s="16" t="s">
        <v>170</v>
      </c>
      <c r="S339" s="16" t="s">
        <v>147</v>
      </c>
      <c r="T339" s="16"/>
      <c r="U339" s="16"/>
      <c r="V339" s="16">
        <v>76</v>
      </c>
      <c r="W339" s="15">
        <f>ROUND(IF(D339=Table!$C$3,Y339*Table!$C$4/8,Y339*Table!$D$4/8),3)</f>
        <v>84.5</v>
      </c>
      <c r="X339" s="101">
        <f t="shared" si="67"/>
        <v>84.5</v>
      </c>
      <c r="Y339" s="101">
        <v>5.2</v>
      </c>
      <c r="Z339" s="101">
        <f t="shared" ref="Z339:Z346" si="70">Y339</f>
        <v>5.2</v>
      </c>
      <c r="AA339" s="16" t="s">
        <v>21</v>
      </c>
      <c r="AB339" s="70">
        <v>44151</v>
      </c>
      <c r="AC339" s="19">
        <v>44144</v>
      </c>
      <c r="AD339" s="70">
        <v>44151</v>
      </c>
      <c r="AE339" s="70">
        <v>44147</v>
      </c>
      <c r="AF339" s="70">
        <v>44147</v>
      </c>
      <c r="AG339" s="70" t="s">
        <v>130</v>
      </c>
      <c r="AH339" s="97">
        <v>0.88200000000000001</v>
      </c>
      <c r="AI339" s="97">
        <v>0.85</v>
      </c>
      <c r="AJ339" s="97">
        <v>1</v>
      </c>
      <c r="AK339" s="71"/>
      <c r="AL339" s="76" t="s">
        <v>117</v>
      </c>
      <c r="AM339" s="87" t="s">
        <v>1593</v>
      </c>
      <c r="AN339" s="15"/>
      <c r="AO339" s="15"/>
    </row>
    <row r="340" spans="2:41" x14ac:dyDescent="0.25">
      <c r="B340" s="154">
        <f t="shared" si="69"/>
        <v>281</v>
      </c>
      <c r="C340" s="16">
        <v>20201109</v>
      </c>
      <c r="D340" s="16" t="s">
        <v>2</v>
      </c>
      <c r="E340" s="74" t="s">
        <v>1349</v>
      </c>
      <c r="F340" s="69"/>
      <c r="G340" s="37"/>
      <c r="H340" s="16" t="s">
        <v>1341</v>
      </c>
      <c r="I340" s="16" t="s">
        <v>1273</v>
      </c>
      <c r="J340" s="16" t="s">
        <v>188</v>
      </c>
      <c r="K340" s="37"/>
      <c r="L340" s="69"/>
      <c r="M340" s="37"/>
      <c r="N340" s="16"/>
      <c r="O340" s="69" t="s">
        <v>1299</v>
      </c>
      <c r="P340" s="69" t="s">
        <v>1318</v>
      </c>
      <c r="Q340" s="18"/>
      <c r="R340" s="16" t="s">
        <v>170</v>
      </c>
      <c r="S340" s="16" t="s">
        <v>147</v>
      </c>
      <c r="T340" s="16"/>
      <c r="U340" s="16"/>
      <c r="V340" s="16">
        <v>77</v>
      </c>
      <c r="W340" s="15">
        <f>ROUND(IF(D340=Table!$C$3,Y340*Table!$C$4/8,Y340*Table!$D$4/8),3)</f>
        <v>91</v>
      </c>
      <c r="X340" s="101">
        <f t="shared" si="67"/>
        <v>91</v>
      </c>
      <c r="Y340" s="101">
        <v>5.6</v>
      </c>
      <c r="Z340" s="101">
        <f t="shared" si="70"/>
        <v>5.6</v>
      </c>
      <c r="AA340" s="16" t="s">
        <v>21</v>
      </c>
      <c r="AB340" s="70">
        <v>44151</v>
      </c>
      <c r="AC340" s="19">
        <v>44144</v>
      </c>
      <c r="AD340" s="70">
        <v>44151</v>
      </c>
      <c r="AE340" s="70">
        <v>44147</v>
      </c>
      <c r="AF340" s="70">
        <v>44147</v>
      </c>
      <c r="AG340" s="70" t="s">
        <v>130</v>
      </c>
      <c r="AH340" s="97">
        <v>0.8</v>
      </c>
      <c r="AI340" s="97">
        <v>0.81299999999999994</v>
      </c>
      <c r="AJ340" s="97">
        <v>1</v>
      </c>
      <c r="AK340" s="71"/>
      <c r="AL340" s="76" t="s">
        <v>117</v>
      </c>
      <c r="AM340" s="87" t="s">
        <v>1456</v>
      </c>
      <c r="AN340" s="15"/>
      <c r="AO340" s="15"/>
    </row>
    <row r="341" spans="2:41" x14ac:dyDescent="0.25">
      <c r="B341" s="154">
        <f t="shared" si="69"/>
        <v>282</v>
      </c>
      <c r="C341" s="16">
        <v>20201109</v>
      </c>
      <c r="D341" s="16" t="s">
        <v>2</v>
      </c>
      <c r="E341" s="74" t="s">
        <v>1349</v>
      </c>
      <c r="F341" s="69"/>
      <c r="G341" s="37"/>
      <c r="H341" s="16" t="s">
        <v>1342</v>
      </c>
      <c r="I341" s="16" t="s">
        <v>1274</v>
      </c>
      <c r="J341" s="16" t="s">
        <v>188</v>
      </c>
      <c r="K341" s="37"/>
      <c r="L341" s="69"/>
      <c r="M341" s="37"/>
      <c r="N341" s="16"/>
      <c r="O341" s="69" t="s">
        <v>1299</v>
      </c>
      <c r="P341" s="69" t="s">
        <v>1318</v>
      </c>
      <c r="Q341" s="18"/>
      <c r="R341" s="16" t="s">
        <v>170</v>
      </c>
      <c r="S341" s="16" t="s">
        <v>147</v>
      </c>
      <c r="T341" s="16"/>
      <c r="U341" s="16"/>
      <c r="V341" s="16">
        <v>56</v>
      </c>
      <c r="W341" s="15">
        <f>ROUND(IF(D341=Table!$C$3,Y341*Table!$C$4/8,Y341*Table!$D$4/8),3)</f>
        <v>58.5</v>
      </c>
      <c r="X341" s="101">
        <f t="shared" si="67"/>
        <v>58.5</v>
      </c>
      <c r="Y341" s="101">
        <v>3.6</v>
      </c>
      <c r="Z341" s="101">
        <f t="shared" si="70"/>
        <v>3.6</v>
      </c>
      <c r="AA341" s="16" t="s">
        <v>21</v>
      </c>
      <c r="AB341" s="70">
        <v>44151</v>
      </c>
      <c r="AC341" s="19">
        <v>44144</v>
      </c>
      <c r="AD341" s="70">
        <v>44151</v>
      </c>
      <c r="AE341" s="70">
        <v>44146</v>
      </c>
      <c r="AF341" s="70">
        <v>44146</v>
      </c>
      <c r="AG341" s="70" t="s">
        <v>130</v>
      </c>
      <c r="AH341" s="97">
        <v>0.89500000000000002</v>
      </c>
      <c r="AI341" s="97">
        <v>0.89500000000000002</v>
      </c>
      <c r="AJ341" s="97" t="s">
        <v>213</v>
      </c>
      <c r="AK341" s="71"/>
      <c r="AL341" s="76" t="s">
        <v>117</v>
      </c>
      <c r="AM341" s="87" t="s">
        <v>1445</v>
      </c>
      <c r="AN341" s="15"/>
      <c r="AO341" s="15"/>
    </row>
    <row r="342" spans="2:41" x14ac:dyDescent="0.25">
      <c r="B342" s="154">
        <f t="shared" si="69"/>
        <v>283</v>
      </c>
      <c r="C342" s="16">
        <v>20201109</v>
      </c>
      <c r="D342" s="16" t="s">
        <v>2</v>
      </c>
      <c r="E342" s="74" t="s">
        <v>1349</v>
      </c>
      <c r="F342" s="69"/>
      <c r="G342" s="37"/>
      <c r="H342" s="16" t="s">
        <v>1343</v>
      </c>
      <c r="I342" s="16" t="s">
        <v>1275</v>
      </c>
      <c r="J342" s="16" t="s">
        <v>188</v>
      </c>
      <c r="K342" s="37"/>
      <c r="L342" s="69"/>
      <c r="M342" s="37"/>
      <c r="N342" s="16"/>
      <c r="O342" s="69" t="s">
        <v>1300</v>
      </c>
      <c r="P342" s="69" t="s">
        <v>1318</v>
      </c>
      <c r="Q342" s="18"/>
      <c r="R342" s="16" t="s">
        <v>170</v>
      </c>
      <c r="S342" s="16" t="s">
        <v>147</v>
      </c>
      <c r="T342" s="16"/>
      <c r="U342" s="16"/>
      <c r="V342" s="16">
        <v>138</v>
      </c>
      <c r="W342" s="15">
        <f>ROUND(IF(D342=Table!$C$3,Y342*Table!$C$4/8,Y342*Table!$D$4/8),3)</f>
        <v>162.5</v>
      </c>
      <c r="X342" s="101">
        <f t="shared" si="67"/>
        <v>162.5</v>
      </c>
      <c r="Y342" s="101">
        <v>10</v>
      </c>
      <c r="Z342" s="101">
        <f t="shared" si="70"/>
        <v>10</v>
      </c>
      <c r="AA342" s="16" t="s">
        <v>21</v>
      </c>
      <c r="AB342" s="70">
        <v>44151</v>
      </c>
      <c r="AC342" s="19">
        <v>44144</v>
      </c>
      <c r="AD342" s="70">
        <v>44151</v>
      </c>
      <c r="AE342" s="70">
        <v>44151</v>
      </c>
      <c r="AF342" s="70">
        <v>44151</v>
      </c>
      <c r="AG342" s="70" t="s">
        <v>130</v>
      </c>
      <c r="AH342" s="97">
        <v>0.96799999999999997</v>
      </c>
      <c r="AI342" s="97">
        <v>0.97099999999999997</v>
      </c>
      <c r="AJ342" s="97">
        <v>1</v>
      </c>
      <c r="AK342" s="71"/>
      <c r="AL342" s="76" t="s">
        <v>117</v>
      </c>
      <c r="AM342" s="87" t="s">
        <v>1588</v>
      </c>
      <c r="AN342" s="15"/>
      <c r="AO342" s="15"/>
    </row>
    <row r="343" spans="2:41" x14ac:dyDescent="0.25">
      <c r="B343" s="154">
        <f t="shared" si="69"/>
        <v>284</v>
      </c>
      <c r="C343" s="16">
        <v>20201109</v>
      </c>
      <c r="D343" s="16" t="s">
        <v>2</v>
      </c>
      <c r="E343" s="74" t="s">
        <v>1349</v>
      </c>
      <c r="F343" s="69"/>
      <c r="G343" s="37"/>
      <c r="H343" s="16" t="s">
        <v>1344</v>
      </c>
      <c r="I343" s="16" t="s">
        <v>1276</v>
      </c>
      <c r="J343" s="16" t="s">
        <v>188</v>
      </c>
      <c r="K343" s="37"/>
      <c r="L343" s="69"/>
      <c r="M343" s="37"/>
      <c r="N343" s="16"/>
      <c r="O343" s="69" t="s">
        <v>1301</v>
      </c>
      <c r="P343" s="69" t="s">
        <v>1318</v>
      </c>
      <c r="Q343" s="18"/>
      <c r="R343" s="16" t="s">
        <v>170</v>
      </c>
      <c r="S343" s="16" t="s">
        <v>147</v>
      </c>
      <c r="T343" s="16"/>
      <c r="U343" s="16"/>
      <c r="V343" s="16">
        <v>58</v>
      </c>
      <c r="W343" s="15">
        <f>ROUND(IF(D343=Table!$C$3,Y343*Table!$C$4/8,Y343*Table!$D$4/8),3)</f>
        <v>55.9</v>
      </c>
      <c r="X343" s="101">
        <f t="shared" si="67"/>
        <v>55.9</v>
      </c>
      <c r="Y343" s="101">
        <v>3.44</v>
      </c>
      <c r="Z343" s="101">
        <f t="shared" si="70"/>
        <v>3.44</v>
      </c>
      <c r="AA343" s="16" t="s">
        <v>21</v>
      </c>
      <c r="AB343" s="70">
        <v>44151</v>
      </c>
      <c r="AC343" s="19">
        <v>44144</v>
      </c>
      <c r="AD343" s="70">
        <v>44151</v>
      </c>
      <c r="AE343" s="70">
        <v>44145</v>
      </c>
      <c r="AF343" s="70">
        <v>44145</v>
      </c>
      <c r="AG343" s="70" t="s">
        <v>130</v>
      </c>
      <c r="AH343" s="97">
        <v>0.879</v>
      </c>
      <c r="AI343" s="97">
        <v>0.879</v>
      </c>
      <c r="AJ343" s="97">
        <v>1</v>
      </c>
      <c r="AK343" s="71"/>
      <c r="AL343" s="76" t="s">
        <v>117</v>
      </c>
      <c r="AM343" s="87" t="s">
        <v>1591</v>
      </c>
      <c r="AN343" s="15"/>
      <c r="AO343" s="15"/>
    </row>
    <row r="344" spans="2:41" x14ac:dyDescent="0.25">
      <c r="B344" s="154">
        <f t="shared" si="69"/>
        <v>285</v>
      </c>
      <c r="C344" s="16">
        <v>20201109</v>
      </c>
      <c r="D344" s="16" t="s">
        <v>2</v>
      </c>
      <c r="E344" s="74" t="s">
        <v>1349</v>
      </c>
      <c r="F344" s="69"/>
      <c r="G344" s="37"/>
      <c r="H344" s="16" t="s">
        <v>1345</v>
      </c>
      <c r="I344" s="16" t="s">
        <v>1277</v>
      </c>
      <c r="J344" s="16" t="s">
        <v>188</v>
      </c>
      <c r="K344" s="37"/>
      <c r="L344" s="69"/>
      <c r="M344" s="37"/>
      <c r="N344" s="16"/>
      <c r="O344" s="69" t="s">
        <v>1302</v>
      </c>
      <c r="P344" s="69" t="s">
        <v>1314</v>
      </c>
      <c r="Q344" s="18"/>
      <c r="R344" s="16" t="s">
        <v>170</v>
      </c>
      <c r="S344" s="16" t="s">
        <v>147</v>
      </c>
      <c r="T344" s="16"/>
      <c r="U344" s="16"/>
      <c r="V344" s="16">
        <v>20</v>
      </c>
      <c r="W344" s="15">
        <f>ROUND(IF(D344=Table!$C$3,Y344*Table!$C$4/8,Y344*Table!$D$4/8),3)</f>
        <v>44.2</v>
      </c>
      <c r="X344" s="101">
        <f t="shared" si="67"/>
        <v>44.2</v>
      </c>
      <c r="Y344" s="101">
        <v>2.72</v>
      </c>
      <c r="Z344" s="101">
        <f t="shared" si="70"/>
        <v>2.72</v>
      </c>
      <c r="AA344" s="16" t="s">
        <v>21</v>
      </c>
      <c r="AB344" s="70">
        <v>44151</v>
      </c>
      <c r="AC344" s="19">
        <v>44144</v>
      </c>
      <c r="AD344" s="70">
        <v>44151</v>
      </c>
      <c r="AE344" s="70">
        <v>44145</v>
      </c>
      <c r="AF344" s="70">
        <v>44145</v>
      </c>
      <c r="AG344" s="70" t="s">
        <v>130</v>
      </c>
      <c r="AH344" s="97">
        <v>1</v>
      </c>
      <c r="AI344" s="97">
        <v>1</v>
      </c>
      <c r="AJ344" s="97">
        <v>1</v>
      </c>
      <c r="AK344" s="71"/>
      <c r="AL344" s="76" t="s">
        <v>117</v>
      </c>
      <c r="AM344" s="87"/>
      <c r="AN344" s="15"/>
      <c r="AO344" s="15"/>
    </row>
    <row r="345" spans="2:41" x14ac:dyDescent="0.25">
      <c r="B345" s="154">
        <f t="shared" si="69"/>
        <v>286</v>
      </c>
      <c r="C345" s="16">
        <v>20201109</v>
      </c>
      <c r="D345" s="16" t="s">
        <v>2</v>
      </c>
      <c r="E345" s="74" t="s">
        <v>1349</v>
      </c>
      <c r="F345" s="69"/>
      <c r="G345" s="37"/>
      <c r="H345" s="16" t="s">
        <v>1346</v>
      </c>
      <c r="I345" s="16" t="s">
        <v>1278</v>
      </c>
      <c r="J345" s="16" t="s">
        <v>188</v>
      </c>
      <c r="K345" s="37"/>
      <c r="L345" s="69"/>
      <c r="M345" s="37"/>
      <c r="N345" s="16"/>
      <c r="O345" s="69" t="s">
        <v>1303</v>
      </c>
      <c r="P345" s="69" t="s">
        <v>1319</v>
      </c>
      <c r="Q345" s="18"/>
      <c r="R345" s="16" t="s">
        <v>170</v>
      </c>
      <c r="S345" s="16" t="s">
        <v>147</v>
      </c>
      <c r="T345" s="16"/>
      <c r="U345" s="16"/>
      <c r="V345" s="16">
        <v>38</v>
      </c>
      <c r="W345" s="15">
        <f>ROUND(IF(D345=Table!$C$3,Y345*Table!$C$4/8,Y345*Table!$D$4/8),3)</f>
        <v>44.2</v>
      </c>
      <c r="X345" s="101">
        <f t="shared" si="67"/>
        <v>44.2</v>
      </c>
      <c r="Y345" s="101">
        <v>2.72</v>
      </c>
      <c r="Z345" s="101">
        <f t="shared" si="70"/>
        <v>2.72</v>
      </c>
      <c r="AA345" s="16" t="s">
        <v>21</v>
      </c>
      <c r="AB345" s="70">
        <v>44151</v>
      </c>
      <c r="AC345" s="19">
        <v>44144</v>
      </c>
      <c r="AD345" s="70">
        <v>44151</v>
      </c>
      <c r="AE345" s="70">
        <v>44145</v>
      </c>
      <c r="AF345" s="70">
        <v>44145</v>
      </c>
      <c r="AG345" s="70" t="s">
        <v>130</v>
      </c>
      <c r="AH345" s="97">
        <v>1</v>
      </c>
      <c r="AI345" s="97">
        <v>1</v>
      </c>
      <c r="AJ345" s="97">
        <v>1</v>
      </c>
      <c r="AK345" s="71"/>
      <c r="AL345" s="76" t="s">
        <v>117</v>
      </c>
      <c r="AM345" s="87"/>
      <c r="AN345" s="15"/>
      <c r="AO345" s="15"/>
    </row>
    <row r="346" spans="2:41" x14ac:dyDescent="0.25">
      <c r="B346" s="154">
        <f t="shared" si="69"/>
        <v>287</v>
      </c>
      <c r="C346" s="16">
        <v>20201109</v>
      </c>
      <c r="D346" s="16" t="s">
        <v>2</v>
      </c>
      <c r="E346" s="74" t="s">
        <v>1349</v>
      </c>
      <c r="F346" s="69"/>
      <c r="G346" s="37"/>
      <c r="H346" s="16" t="s">
        <v>1347</v>
      </c>
      <c r="I346" s="16" t="s">
        <v>1279</v>
      </c>
      <c r="J346" s="16" t="s">
        <v>188</v>
      </c>
      <c r="K346" s="37"/>
      <c r="L346" s="69"/>
      <c r="M346" s="37"/>
      <c r="N346" s="16"/>
      <c r="O346" s="69" t="s">
        <v>1304</v>
      </c>
      <c r="P346" s="69" t="s">
        <v>1316</v>
      </c>
      <c r="Q346" s="18"/>
      <c r="R346" s="16" t="s">
        <v>171</v>
      </c>
      <c r="S346" s="16" t="s">
        <v>109</v>
      </c>
      <c r="T346" s="16"/>
      <c r="U346" s="16"/>
      <c r="V346" s="16">
        <v>45</v>
      </c>
      <c r="W346" s="15">
        <f>ROUND(IF(D346=Table!$C$3,Y346*Table!$C$4/8,Y346*Table!$D$4/8),3)</f>
        <v>45.5</v>
      </c>
      <c r="X346" s="101">
        <f t="shared" si="67"/>
        <v>45.5</v>
      </c>
      <c r="Y346" s="101">
        <v>2.8</v>
      </c>
      <c r="Z346" s="101">
        <f t="shared" si="70"/>
        <v>2.8</v>
      </c>
      <c r="AA346" s="16" t="s">
        <v>21</v>
      </c>
      <c r="AB346" s="70">
        <v>44151</v>
      </c>
      <c r="AC346" s="19">
        <v>44144</v>
      </c>
      <c r="AD346" s="70">
        <v>44151</v>
      </c>
      <c r="AE346" s="70">
        <v>44145</v>
      </c>
      <c r="AF346" s="70">
        <v>44145</v>
      </c>
      <c r="AG346" s="70" t="s">
        <v>130</v>
      </c>
      <c r="AH346" s="97">
        <v>0.94099999999999995</v>
      </c>
      <c r="AI346" s="97">
        <v>0.94099999999999995</v>
      </c>
      <c r="AJ346" s="97" t="s">
        <v>213</v>
      </c>
      <c r="AK346" s="71"/>
      <c r="AL346" s="76" t="s">
        <v>117</v>
      </c>
      <c r="AM346" s="87" t="s">
        <v>1382</v>
      </c>
      <c r="AN346" s="15"/>
      <c r="AO346" s="15"/>
    </row>
    <row r="347" spans="2:41" x14ac:dyDescent="0.25">
      <c r="B347" s="154">
        <f>B346+1</f>
        <v>288</v>
      </c>
      <c r="C347" s="16">
        <v>20201109</v>
      </c>
      <c r="D347" s="16" t="s">
        <v>2</v>
      </c>
      <c r="E347" s="74" t="s">
        <v>1349</v>
      </c>
      <c r="F347" s="69"/>
      <c r="G347" s="37"/>
      <c r="H347" s="16" t="s">
        <v>1442</v>
      </c>
      <c r="I347" s="16" t="s">
        <v>1441</v>
      </c>
      <c r="J347" s="16"/>
      <c r="K347" s="37"/>
      <c r="L347" s="69"/>
      <c r="M347" s="37"/>
      <c r="N347" s="16"/>
      <c r="O347" s="69" t="s">
        <v>1304</v>
      </c>
      <c r="P347" s="69" t="s">
        <v>1316</v>
      </c>
      <c r="Q347" s="18"/>
      <c r="R347" s="16" t="s">
        <v>169</v>
      </c>
      <c r="S347" s="16" t="s">
        <v>61</v>
      </c>
      <c r="T347" s="16"/>
      <c r="U347" s="16"/>
      <c r="V347" s="16">
        <v>27</v>
      </c>
      <c r="W347" s="15">
        <f>ROUND(IF(D347=Table!$C$3,Y347*Table!$C$4/8,Y347*Table!$D$4/8),3)</f>
        <v>39</v>
      </c>
      <c r="X347" s="101">
        <f t="shared" si="67"/>
        <v>39</v>
      </c>
      <c r="Y347" s="101">
        <f>0.3*8</f>
        <v>2.4</v>
      </c>
      <c r="Z347" s="101"/>
      <c r="AA347" s="16" t="s">
        <v>21</v>
      </c>
      <c r="AB347" s="70">
        <v>44151</v>
      </c>
      <c r="AC347" s="19">
        <v>44144</v>
      </c>
      <c r="AD347" s="70">
        <v>44151</v>
      </c>
      <c r="AE347" s="70">
        <v>44148</v>
      </c>
      <c r="AF347" s="70">
        <v>44148</v>
      </c>
      <c r="AG347" s="70" t="s">
        <v>130</v>
      </c>
      <c r="AH347" s="97">
        <v>1</v>
      </c>
      <c r="AI347" s="97">
        <v>1</v>
      </c>
      <c r="AJ347" s="97">
        <v>0.85699999999999998</v>
      </c>
      <c r="AK347" s="71"/>
      <c r="AL347" s="76" t="s">
        <v>117</v>
      </c>
      <c r="AM347" s="87" t="s">
        <v>1564</v>
      </c>
      <c r="AN347" s="15"/>
      <c r="AO347" s="15"/>
    </row>
    <row r="348" spans="2:41" x14ac:dyDescent="0.25">
      <c r="B348" s="154">
        <f>B347+1</f>
        <v>289</v>
      </c>
      <c r="C348" s="16">
        <v>20201109</v>
      </c>
      <c r="D348" s="16" t="s">
        <v>2</v>
      </c>
      <c r="E348" s="74" t="s">
        <v>1349</v>
      </c>
      <c r="F348" s="69"/>
      <c r="G348" s="37"/>
      <c r="H348" s="16" t="s">
        <v>1348</v>
      </c>
      <c r="I348" s="16" t="s">
        <v>1280</v>
      </c>
      <c r="J348" s="16" t="s">
        <v>188</v>
      </c>
      <c r="K348" s="37"/>
      <c r="L348" s="69"/>
      <c r="M348" s="37"/>
      <c r="N348" s="16"/>
      <c r="O348" s="69" t="s">
        <v>1305</v>
      </c>
      <c r="P348" s="69" t="s">
        <v>1316</v>
      </c>
      <c r="Q348" s="18"/>
      <c r="R348" s="16" t="s">
        <v>171</v>
      </c>
      <c r="S348" s="16" t="s">
        <v>109</v>
      </c>
      <c r="T348" s="16"/>
      <c r="U348" s="16"/>
      <c r="V348" s="16">
        <v>119</v>
      </c>
      <c r="W348" s="15">
        <f>ROUND(IF(D348=Table!$C$3,Y348*Table!$C$4/8,Y348*Table!$D$4/8),3)</f>
        <v>91</v>
      </c>
      <c r="X348" s="101">
        <f t="shared" si="67"/>
        <v>91</v>
      </c>
      <c r="Y348" s="101">
        <v>5.6</v>
      </c>
      <c r="Z348" s="101">
        <f t="shared" ref="Z348:Z361" si="71">Y348</f>
        <v>5.6</v>
      </c>
      <c r="AA348" s="16" t="s">
        <v>21</v>
      </c>
      <c r="AB348" s="70">
        <v>44151</v>
      </c>
      <c r="AC348" s="19">
        <v>44144</v>
      </c>
      <c r="AD348" s="70">
        <v>44151</v>
      </c>
      <c r="AE348" s="70">
        <v>44145</v>
      </c>
      <c r="AF348" s="70">
        <v>44145</v>
      </c>
      <c r="AG348" s="70" t="s">
        <v>130</v>
      </c>
      <c r="AH348" s="97">
        <v>0.93500000000000005</v>
      </c>
      <c r="AI348" s="97">
        <v>0.93500000000000005</v>
      </c>
      <c r="AJ348" s="97">
        <v>1</v>
      </c>
      <c r="AK348" s="71"/>
      <c r="AL348" s="76" t="s">
        <v>117</v>
      </c>
      <c r="AM348" s="87" t="s">
        <v>1383</v>
      </c>
      <c r="AN348" s="15"/>
      <c r="AO348" s="15"/>
    </row>
    <row r="349" spans="2:41" x14ac:dyDescent="0.25">
      <c r="B349" s="154">
        <f t="shared" si="69"/>
        <v>290</v>
      </c>
      <c r="C349" s="16">
        <v>20201109</v>
      </c>
      <c r="D349" s="16" t="s">
        <v>2</v>
      </c>
      <c r="E349" s="74" t="s">
        <v>1349</v>
      </c>
      <c r="F349" s="69"/>
      <c r="G349" s="37"/>
      <c r="H349" s="16" t="s">
        <v>410</v>
      </c>
      <c r="I349" s="16" t="s">
        <v>1281</v>
      </c>
      <c r="J349" s="16" t="s">
        <v>188</v>
      </c>
      <c r="K349" s="37"/>
      <c r="L349" s="69"/>
      <c r="M349" s="37"/>
      <c r="N349" s="16"/>
      <c r="O349" s="69" t="s">
        <v>203</v>
      </c>
      <c r="P349" s="69" t="s">
        <v>1315</v>
      </c>
      <c r="Q349" s="18"/>
      <c r="R349" s="16" t="s">
        <v>171</v>
      </c>
      <c r="S349" s="16" t="s">
        <v>109</v>
      </c>
      <c r="T349" s="16"/>
      <c r="U349" s="16"/>
      <c r="V349" s="16">
        <v>58</v>
      </c>
      <c r="W349" s="15">
        <f>ROUND(IF(D349=Table!$C$3,Y349*Table!$C$4/8,Y349*Table!$D$4/8),3)</f>
        <v>45.5</v>
      </c>
      <c r="X349" s="101">
        <f t="shared" si="67"/>
        <v>45.5</v>
      </c>
      <c r="Y349" s="101">
        <v>2.8</v>
      </c>
      <c r="Z349" s="101">
        <f t="shared" si="71"/>
        <v>2.8</v>
      </c>
      <c r="AA349" s="16" t="s">
        <v>21</v>
      </c>
      <c r="AB349" s="70">
        <v>44151</v>
      </c>
      <c r="AC349" s="19">
        <v>44144</v>
      </c>
      <c r="AD349" s="70">
        <v>44151</v>
      </c>
      <c r="AE349" s="70">
        <v>44146</v>
      </c>
      <c r="AF349" s="70">
        <v>44146</v>
      </c>
      <c r="AG349" s="70" t="s">
        <v>130</v>
      </c>
      <c r="AH349" s="97">
        <v>1</v>
      </c>
      <c r="AI349" s="97">
        <v>1</v>
      </c>
      <c r="AJ349" s="97">
        <v>1</v>
      </c>
      <c r="AK349" s="71"/>
      <c r="AL349" s="76" t="s">
        <v>117</v>
      </c>
      <c r="AM349" s="87"/>
      <c r="AN349" s="15"/>
      <c r="AO349" s="15"/>
    </row>
    <row r="350" spans="2:41" x14ac:dyDescent="0.25">
      <c r="B350" s="154">
        <f t="shared" si="69"/>
        <v>291</v>
      </c>
      <c r="C350" s="16">
        <v>20201109</v>
      </c>
      <c r="D350" s="16" t="s">
        <v>2</v>
      </c>
      <c r="E350" s="74" t="s">
        <v>1349</v>
      </c>
      <c r="F350" s="69"/>
      <c r="G350" s="37"/>
      <c r="H350" s="16" t="s">
        <v>414</v>
      </c>
      <c r="I350" s="16" t="s">
        <v>1282</v>
      </c>
      <c r="J350" s="16" t="s">
        <v>188</v>
      </c>
      <c r="K350" s="37"/>
      <c r="L350" s="69"/>
      <c r="M350" s="37"/>
      <c r="N350" s="16"/>
      <c r="O350" s="69" t="s">
        <v>200</v>
      </c>
      <c r="P350" s="69" t="s">
        <v>1315</v>
      </c>
      <c r="Q350" s="18"/>
      <c r="R350" s="16" t="s">
        <v>171</v>
      </c>
      <c r="S350" s="16" t="s">
        <v>109</v>
      </c>
      <c r="T350" s="16"/>
      <c r="U350" s="16"/>
      <c r="V350" s="16">
        <v>50</v>
      </c>
      <c r="W350" s="15">
        <f>ROUND(IF(D350=Table!$C$3,Y350*Table!$C$4/8,Y350*Table!$D$4/8),3)</f>
        <v>58.5</v>
      </c>
      <c r="X350" s="101">
        <f t="shared" si="67"/>
        <v>58.5</v>
      </c>
      <c r="Y350" s="101">
        <v>3.6</v>
      </c>
      <c r="Z350" s="101">
        <f t="shared" si="71"/>
        <v>3.6</v>
      </c>
      <c r="AA350" s="16" t="s">
        <v>21</v>
      </c>
      <c r="AB350" s="70">
        <v>44151</v>
      </c>
      <c r="AC350" s="19">
        <v>44144</v>
      </c>
      <c r="AD350" s="70">
        <v>44151</v>
      </c>
      <c r="AE350" s="70">
        <v>44146</v>
      </c>
      <c r="AF350" s="70">
        <v>44146</v>
      </c>
      <c r="AG350" s="70" t="s">
        <v>130</v>
      </c>
      <c r="AH350" s="97">
        <v>0.85699999999999998</v>
      </c>
      <c r="AI350" s="97">
        <v>0.86399999999999999</v>
      </c>
      <c r="AJ350" s="97">
        <v>1</v>
      </c>
      <c r="AK350" s="71"/>
      <c r="AL350" s="76" t="s">
        <v>107</v>
      </c>
      <c r="AM350" s="87" t="s">
        <v>1450</v>
      </c>
      <c r="AN350" s="15"/>
      <c r="AO350" s="15"/>
    </row>
    <row r="351" spans="2:41" x14ac:dyDescent="0.25">
      <c r="B351" s="154">
        <f t="shared" si="69"/>
        <v>292</v>
      </c>
      <c r="C351" s="16">
        <v>20201109</v>
      </c>
      <c r="D351" s="16" t="s">
        <v>2</v>
      </c>
      <c r="E351" s="74" t="s">
        <v>1349</v>
      </c>
      <c r="F351" s="69"/>
      <c r="G351" s="37"/>
      <c r="H351" s="16" t="s">
        <v>416</v>
      </c>
      <c r="I351" s="16" t="s">
        <v>1283</v>
      </c>
      <c r="J351" s="16" t="s">
        <v>188</v>
      </c>
      <c r="K351" s="37"/>
      <c r="L351" s="69"/>
      <c r="M351" s="37"/>
      <c r="N351" s="16"/>
      <c r="O351" s="69" t="s">
        <v>821</v>
      </c>
      <c r="P351" s="69" t="s">
        <v>1320</v>
      </c>
      <c r="Q351" s="18"/>
      <c r="R351" s="16" t="s">
        <v>171</v>
      </c>
      <c r="S351" s="16" t="s">
        <v>109</v>
      </c>
      <c r="T351" s="16"/>
      <c r="U351" s="16"/>
      <c r="V351" s="16">
        <v>121</v>
      </c>
      <c r="W351" s="15">
        <f>ROUND(IF(D351=Table!$C$3,Y351*Table!$C$4/8,Y351*Table!$D$4/8),3)</f>
        <v>156</v>
      </c>
      <c r="X351" s="101">
        <f t="shared" si="67"/>
        <v>156</v>
      </c>
      <c r="Y351" s="101">
        <v>9.6</v>
      </c>
      <c r="Z351" s="101">
        <f t="shared" si="71"/>
        <v>9.6</v>
      </c>
      <c r="AA351" s="16" t="s">
        <v>21</v>
      </c>
      <c r="AB351" s="70">
        <v>44151</v>
      </c>
      <c r="AC351" s="19">
        <v>44144</v>
      </c>
      <c r="AD351" s="70">
        <v>44151</v>
      </c>
      <c r="AE351" s="70">
        <v>44147</v>
      </c>
      <c r="AF351" s="70">
        <v>44147</v>
      </c>
      <c r="AG351" s="70" t="s">
        <v>130</v>
      </c>
      <c r="AH351" s="97">
        <v>1</v>
      </c>
      <c r="AI351" s="97">
        <v>0.97</v>
      </c>
      <c r="AJ351" s="97">
        <v>0.875</v>
      </c>
      <c r="AK351" s="71"/>
      <c r="AL351" s="76" t="s">
        <v>117</v>
      </c>
      <c r="AM351" s="87" t="s">
        <v>1476</v>
      </c>
      <c r="AN351" s="15"/>
      <c r="AO351" s="15"/>
    </row>
    <row r="352" spans="2:41" x14ac:dyDescent="0.25">
      <c r="B352" s="154">
        <f t="shared" si="69"/>
        <v>293</v>
      </c>
      <c r="C352" s="16">
        <v>20201109</v>
      </c>
      <c r="D352" s="16" t="s">
        <v>2</v>
      </c>
      <c r="E352" s="74" t="s">
        <v>1349</v>
      </c>
      <c r="F352" s="69"/>
      <c r="G352" s="37"/>
      <c r="H352" s="16" t="s">
        <v>417</v>
      </c>
      <c r="I352" s="16" t="s">
        <v>1284</v>
      </c>
      <c r="J352" s="16" t="s">
        <v>188</v>
      </c>
      <c r="K352" s="37"/>
      <c r="L352" s="69"/>
      <c r="M352" s="37"/>
      <c r="N352" s="16"/>
      <c r="O352" s="69" t="s">
        <v>200</v>
      </c>
      <c r="P352" s="69" t="s">
        <v>1321</v>
      </c>
      <c r="Q352" s="18"/>
      <c r="R352" s="16" t="s">
        <v>171</v>
      </c>
      <c r="S352" s="16" t="s">
        <v>109</v>
      </c>
      <c r="T352" s="16"/>
      <c r="U352" s="16"/>
      <c r="V352" s="16">
        <v>22</v>
      </c>
      <c r="W352" s="15">
        <f>ROUND(IF(D352=Table!$C$3,Y352*Table!$C$4/8,Y352*Table!$D$4/8),3)</f>
        <v>44.2</v>
      </c>
      <c r="X352" s="101">
        <f t="shared" si="67"/>
        <v>44.2</v>
      </c>
      <c r="Y352" s="101">
        <v>2.72</v>
      </c>
      <c r="Z352" s="101">
        <f t="shared" si="71"/>
        <v>2.72</v>
      </c>
      <c r="AA352" s="16" t="s">
        <v>21</v>
      </c>
      <c r="AB352" s="70">
        <v>44151</v>
      </c>
      <c r="AC352" s="19">
        <v>44144</v>
      </c>
      <c r="AD352" s="70">
        <v>44151</v>
      </c>
      <c r="AE352" s="70">
        <v>44147</v>
      </c>
      <c r="AF352" s="70">
        <v>44147</v>
      </c>
      <c r="AG352" s="70" t="s">
        <v>130</v>
      </c>
      <c r="AH352" s="97">
        <v>1</v>
      </c>
      <c r="AI352" s="97">
        <v>1</v>
      </c>
      <c r="AJ352" s="97">
        <v>1</v>
      </c>
      <c r="AK352" s="71"/>
      <c r="AL352" s="76" t="s">
        <v>117</v>
      </c>
      <c r="AM352" s="87"/>
      <c r="AN352" s="15"/>
      <c r="AO352" s="15"/>
    </row>
    <row r="353" spans="2:41" x14ac:dyDescent="0.25">
      <c r="B353" s="154">
        <f t="shared" si="69"/>
        <v>294</v>
      </c>
      <c r="C353" s="16">
        <v>20201109</v>
      </c>
      <c r="D353" s="16" t="s">
        <v>2</v>
      </c>
      <c r="E353" s="74" t="s">
        <v>1349</v>
      </c>
      <c r="F353" s="69"/>
      <c r="G353" s="37"/>
      <c r="H353" s="16" t="s">
        <v>424</v>
      </c>
      <c r="I353" s="16" t="s">
        <v>1285</v>
      </c>
      <c r="J353" s="16" t="s">
        <v>188</v>
      </c>
      <c r="K353" s="37"/>
      <c r="L353" s="69"/>
      <c r="M353" s="37"/>
      <c r="N353" s="16"/>
      <c r="O353" s="69" t="s">
        <v>200</v>
      </c>
      <c r="P353" s="69" t="s">
        <v>1314</v>
      </c>
      <c r="Q353" s="18"/>
      <c r="R353" s="16" t="s">
        <v>171</v>
      </c>
      <c r="S353" s="16" t="s">
        <v>109</v>
      </c>
      <c r="T353" s="16"/>
      <c r="U353" s="16"/>
      <c r="V353" s="16">
        <v>36</v>
      </c>
      <c r="W353" s="15">
        <f>ROUND(IF(D353=Table!$C$3,Y353*Table!$C$4/8,Y353*Table!$D$4/8),3)</f>
        <v>39</v>
      </c>
      <c r="X353" s="101">
        <f t="shared" si="67"/>
        <v>39</v>
      </c>
      <c r="Y353" s="101">
        <v>2.4</v>
      </c>
      <c r="Z353" s="101">
        <f t="shared" si="71"/>
        <v>2.4</v>
      </c>
      <c r="AA353" s="16" t="s">
        <v>21</v>
      </c>
      <c r="AB353" s="70">
        <v>44151</v>
      </c>
      <c r="AC353" s="19">
        <v>44144</v>
      </c>
      <c r="AD353" s="70">
        <v>44151</v>
      </c>
      <c r="AE353" s="70">
        <v>44147</v>
      </c>
      <c r="AF353" s="70">
        <v>44147</v>
      </c>
      <c r="AG353" s="70" t="s">
        <v>130</v>
      </c>
      <c r="AH353" s="97">
        <v>0.84599999999999997</v>
      </c>
      <c r="AI353" s="97">
        <v>0.84599999999999997</v>
      </c>
      <c r="AJ353" s="97">
        <v>1</v>
      </c>
      <c r="AK353" s="71"/>
      <c r="AL353" s="76" t="s">
        <v>117</v>
      </c>
      <c r="AM353" s="87" t="s">
        <v>1477</v>
      </c>
      <c r="AN353" s="15"/>
      <c r="AO353" s="15"/>
    </row>
    <row r="354" spans="2:41" x14ac:dyDescent="0.25">
      <c r="B354" s="154">
        <f t="shared" si="69"/>
        <v>295</v>
      </c>
      <c r="C354" s="16">
        <v>20201109</v>
      </c>
      <c r="D354" s="16" t="s">
        <v>2</v>
      </c>
      <c r="E354" s="74" t="s">
        <v>1349</v>
      </c>
      <c r="F354" s="69"/>
      <c r="G354" s="37"/>
      <c r="H354" s="16" t="s">
        <v>425</v>
      </c>
      <c r="I354" s="16" t="s">
        <v>1286</v>
      </c>
      <c r="J354" s="16" t="s">
        <v>188</v>
      </c>
      <c r="K354" s="37"/>
      <c r="L354" s="69"/>
      <c r="M354" s="37"/>
      <c r="N354" s="16"/>
      <c r="O354" s="69" t="s">
        <v>203</v>
      </c>
      <c r="P354" s="69" t="s">
        <v>1316</v>
      </c>
      <c r="Q354" s="18"/>
      <c r="R354" s="16" t="s">
        <v>171</v>
      </c>
      <c r="S354" s="16" t="s">
        <v>109</v>
      </c>
      <c r="T354" s="16"/>
      <c r="U354" s="16"/>
      <c r="V354" s="16">
        <v>37</v>
      </c>
      <c r="W354" s="15">
        <f>ROUND(IF(D354=Table!$C$3,Y354*Table!$C$4/8,Y354*Table!$D$4/8),3)</f>
        <v>39</v>
      </c>
      <c r="X354" s="101">
        <f t="shared" si="67"/>
        <v>39</v>
      </c>
      <c r="Y354" s="101">
        <v>2.4</v>
      </c>
      <c r="Z354" s="101">
        <f t="shared" si="71"/>
        <v>2.4</v>
      </c>
      <c r="AA354" s="16" t="s">
        <v>21</v>
      </c>
      <c r="AB354" s="70">
        <v>44151</v>
      </c>
      <c r="AC354" s="19">
        <v>44144</v>
      </c>
      <c r="AD354" s="70">
        <v>44151</v>
      </c>
      <c r="AE354" s="70">
        <v>44147</v>
      </c>
      <c r="AF354" s="70">
        <v>44147</v>
      </c>
      <c r="AG354" s="70" t="s">
        <v>130</v>
      </c>
      <c r="AH354" s="97">
        <v>0.83299999999999996</v>
      </c>
      <c r="AI354" s="97">
        <v>0.83299999999999996</v>
      </c>
      <c r="AJ354" s="97" t="s">
        <v>213</v>
      </c>
      <c r="AK354" s="71"/>
      <c r="AL354" s="76" t="s">
        <v>117</v>
      </c>
      <c r="AM354" s="87" t="s">
        <v>1478</v>
      </c>
      <c r="AN354" s="15"/>
      <c r="AO354" s="15"/>
    </row>
    <row r="355" spans="2:41" x14ac:dyDescent="0.25">
      <c r="B355" s="154">
        <f t="shared" si="69"/>
        <v>296</v>
      </c>
      <c r="C355" s="16">
        <v>20201109</v>
      </c>
      <c r="D355" s="16" t="s">
        <v>2</v>
      </c>
      <c r="E355" s="74" t="s">
        <v>1349</v>
      </c>
      <c r="F355" s="69"/>
      <c r="G355" s="37"/>
      <c r="H355" s="16" t="s">
        <v>439</v>
      </c>
      <c r="I355" s="16" t="s">
        <v>1287</v>
      </c>
      <c r="J355" s="16" t="s">
        <v>188</v>
      </c>
      <c r="K355" s="37"/>
      <c r="L355" s="69"/>
      <c r="M355" s="37"/>
      <c r="N355" s="16"/>
      <c r="O355" s="69" t="s">
        <v>1306</v>
      </c>
      <c r="P355" s="69" t="s">
        <v>1316</v>
      </c>
      <c r="Q355" s="18"/>
      <c r="R355" s="16" t="s">
        <v>171</v>
      </c>
      <c r="S355" s="16" t="s">
        <v>109</v>
      </c>
      <c r="T355" s="16"/>
      <c r="U355" s="16"/>
      <c r="V355" s="16">
        <v>36</v>
      </c>
      <c r="W355" s="15">
        <f>ROUND(IF(D355=Table!$C$3,Y355*Table!$C$4/8,Y355*Table!$D$4/8),3)</f>
        <v>32.5</v>
      </c>
      <c r="X355" s="101">
        <f t="shared" si="67"/>
        <v>32.5</v>
      </c>
      <c r="Y355" s="101">
        <v>2</v>
      </c>
      <c r="Z355" s="101">
        <f t="shared" si="71"/>
        <v>2</v>
      </c>
      <c r="AA355" s="16" t="s">
        <v>21</v>
      </c>
      <c r="AB355" s="70">
        <v>44151</v>
      </c>
      <c r="AC355" s="19">
        <v>44144</v>
      </c>
      <c r="AD355" s="70">
        <v>44151</v>
      </c>
      <c r="AE355" s="70">
        <v>44147</v>
      </c>
      <c r="AF355" s="70">
        <v>44147</v>
      </c>
      <c r="AG355" s="70" t="s">
        <v>130</v>
      </c>
      <c r="AH355" s="97">
        <v>1</v>
      </c>
      <c r="AI355" s="97">
        <v>1</v>
      </c>
      <c r="AJ355" s="97">
        <v>1</v>
      </c>
      <c r="AK355" s="71"/>
      <c r="AL355" s="76" t="s">
        <v>116</v>
      </c>
      <c r="AM355" s="87"/>
      <c r="AN355" s="15"/>
      <c r="AO355" s="15" t="s">
        <v>1479</v>
      </c>
    </row>
    <row r="356" spans="2:41" x14ac:dyDescent="0.25">
      <c r="B356" s="154">
        <f t="shared" si="69"/>
        <v>297</v>
      </c>
      <c r="C356" s="16">
        <v>20201109</v>
      </c>
      <c r="D356" s="16" t="s">
        <v>2</v>
      </c>
      <c r="E356" s="74" t="s">
        <v>1349</v>
      </c>
      <c r="F356" s="69"/>
      <c r="G356" s="37"/>
      <c r="H356" s="16" t="s">
        <v>441</v>
      </c>
      <c r="I356" s="16" t="s">
        <v>1288</v>
      </c>
      <c r="J356" s="16" t="s">
        <v>188</v>
      </c>
      <c r="K356" s="37"/>
      <c r="L356" s="69"/>
      <c r="M356" s="37"/>
      <c r="N356" s="16"/>
      <c r="O356" s="69" t="s">
        <v>1307</v>
      </c>
      <c r="P356" s="69" t="s">
        <v>1322</v>
      </c>
      <c r="Q356" s="18"/>
      <c r="R356" s="16" t="s">
        <v>172</v>
      </c>
      <c r="S356" s="16" t="s">
        <v>66</v>
      </c>
      <c r="T356" s="16"/>
      <c r="U356" s="16"/>
      <c r="V356" s="16">
        <v>46</v>
      </c>
      <c r="W356" s="15">
        <f>ROUND(IF(D356=Table!$C$3,Y356*Table!$C$4/8,Y356*Table!$D$4/8),3)</f>
        <v>44.2</v>
      </c>
      <c r="X356" s="101">
        <f t="shared" si="67"/>
        <v>44.2</v>
      </c>
      <c r="Y356" s="101">
        <v>2.72</v>
      </c>
      <c r="Z356" s="101">
        <f t="shared" si="71"/>
        <v>2.72</v>
      </c>
      <c r="AA356" s="16" t="s">
        <v>21</v>
      </c>
      <c r="AB356" s="70">
        <v>44151</v>
      </c>
      <c r="AC356" s="19">
        <v>44144</v>
      </c>
      <c r="AD356" s="70">
        <v>44151</v>
      </c>
      <c r="AE356" s="70">
        <v>44144</v>
      </c>
      <c r="AF356" s="70">
        <v>44144</v>
      </c>
      <c r="AG356" s="70" t="s">
        <v>130</v>
      </c>
      <c r="AH356" s="97">
        <v>1</v>
      </c>
      <c r="AI356" s="97">
        <v>1</v>
      </c>
      <c r="AJ356" s="97">
        <v>1</v>
      </c>
      <c r="AK356" s="71"/>
      <c r="AL356" s="76" t="s">
        <v>117</v>
      </c>
      <c r="AM356" s="87"/>
      <c r="AN356" s="15"/>
      <c r="AO356" s="15"/>
    </row>
    <row r="357" spans="2:41" x14ac:dyDescent="0.25">
      <c r="B357" s="154">
        <f t="shared" si="69"/>
        <v>298</v>
      </c>
      <c r="C357" s="16">
        <v>20201109</v>
      </c>
      <c r="D357" s="16" t="s">
        <v>2</v>
      </c>
      <c r="E357" s="74" t="s">
        <v>1349</v>
      </c>
      <c r="F357" s="69"/>
      <c r="G357" s="37"/>
      <c r="H357" s="16" t="s">
        <v>442</v>
      </c>
      <c r="I357" s="16" t="s">
        <v>1289</v>
      </c>
      <c r="J357" s="16" t="s">
        <v>188</v>
      </c>
      <c r="K357" s="37"/>
      <c r="L357" s="69"/>
      <c r="M357" s="37"/>
      <c r="N357" s="16"/>
      <c r="O357" s="69" t="s">
        <v>1308</v>
      </c>
      <c r="P357" s="69" t="s">
        <v>1315</v>
      </c>
      <c r="Q357" s="18"/>
      <c r="R357" s="16" t="s">
        <v>172</v>
      </c>
      <c r="S357" s="16" t="s">
        <v>66</v>
      </c>
      <c r="T357" s="16"/>
      <c r="U357" s="16"/>
      <c r="V357" s="16">
        <v>31</v>
      </c>
      <c r="W357" s="15">
        <f>ROUND(IF(D357=Table!$C$3,Y357*Table!$C$4/8,Y357*Table!$D$4/8),3)</f>
        <v>44.2</v>
      </c>
      <c r="X357" s="101">
        <f t="shared" si="67"/>
        <v>44.2</v>
      </c>
      <c r="Y357" s="101">
        <v>2.72</v>
      </c>
      <c r="Z357" s="101">
        <f t="shared" si="71"/>
        <v>2.72</v>
      </c>
      <c r="AA357" s="16" t="s">
        <v>21</v>
      </c>
      <c r="AB357" s="70">
        <v>44151</v>
      </c>
      <c r="AC357" s="19">
        <v>44144</v>
      </c>
      <c r="AD357" s="70">
        <v>44151</v>
      </c>
      <c r="AE357" s="70">
        <v>44144</v>
      </c>
      <c r="AF357" s="70">
        <v>44144</v>
      </c>
      <c r="AG357" s="70" t="s">
        <v>130</v>
      </c>
      <c r="AH357" s="97">
        <v>1</v>
      </c>
      <c r="AI357" s="97">
        <v>1</v>
      </c>
      <c r="AJ357" s="97" t="s">
        <v>213</v>
      </c>
      <c r="AK357" s="71"/>
      <c r="AL357" s="76" t="s">
        <v>117</v>
      </c>
      <c r="AM357" s="87"/>
      <c r="AN357" s="15"/>
      <c r="AO357" s="15"/>
    </row>
    <row r="358" spans="2:41" x14ac:dyDescent="0.25">
      <c r="B358" s="154">
        <f t="shared" si="69"/>
        <v>299</v>
      </c>
      <c r="C358" s="16">
        <v>20201109</v>
      </c>
      <c r="D358" s="16" t="s">
        <v>2</v>
      </c>
      <c r="E358" s="74" t="s">
        <v>1349</v>
      </c>
      <c r="F358" s="69"/>
      <c r="G358" s="37"/>
      <c r="H358" s="16" t="s">
        <v>443</v>
      </c>
      <c r="I358" s="16" t="s">
        <v>1290</v>
      </c>
      <c r="J358" s="16" t="s">
        <v>188</v>
      </c>
      <c r="K358" s="37"/>
      <c r="L358" s="69"/>
      <c r="M358" s="37"/>
      <c r="N358" s="16"/>
      <c r="O358" s="69" t="s">
        <v>1309</v>
      </c>
      <c r="P358" s="69" t="s">
        <v>1323</v>
      </c>
      <c r="Q358" s="18"/>
      <c r="R358" s="16" t="s">
        <v>172</v>
      </c>
      <c r="S358" s="16" t="s">
        <v>66</v>
      </c>
      <c r="T358" s="16"/>
      <c r="U358" s="16"/>
      <c r="V358" s="16">
        <v>323</v>
      </c>
      <c r="W358" s="15">
        <f>ROUND(IF(D358=Table!$C$3,Y358*Table!$C$4/8,Y358*Table!$D$4/8),3)</f>
        <v>377</v>
      </c>
      <c r="X358" s="101">
        <f t="shared" si="67"/>
        <v>377</v>
      </c>
      <c r="Y358" s="101">
        <v>23.2</v>
      </c>
      <c r="Z358" s="101">
        <f t="shared" si="71"/>
        <v>23.2</v>
      </c>
      <c r="AA358" s="16" t="s">
        <v>21</v>
      </c>
      <c r="AB358" s="70">
        <v>44151</v>
      </c>
      <c r="AC358" s="19">
        <v>44144</v>
      </c>
      <c r="AD358" s="70">
        <v>44151</v>
      </c>
      <c r="AE358" s="70">
        <v>44147</v>
      </c>
      <c r="AF358" s="70">
        <v>44147</v>
      </c>
      <c r="AG358" s="70" t="s">
        <v>131</v>
      </c>
      <c r="AH358" s="97">
        <v>0.92200000000000004</v>
      </c>
      <c r="AI358" s="97">
        <v>0.92900000000000005</v>
      </c>
      <c r="AJ358" s="97">
        <v>1</v>
      </c>
      <c r="AK358" s="71"/>
      <c r="AL358" s="76" t="s">
        <v>117</v>
      </c>
      <c r="AM358" s="87" t="s">
        <v>1482</v>
      </c>
      <c r="AN358" s="15"/>
      <c r="AO358" s="63" t="s">
        <v>1602</v>
      </c>
    </row>
    <row r="359" spans="2:41" x14ac:dyDescent="0.25">
      <c r="B359" s="154">
        <f t="shared" si="69"/>
        <v>300</v>
      </c>
      <c r="C359" s="16">
        <v>20201109</v>
      </c>
      <c r="D359" s="16" t="s">
        <v>2</v>
      </c>
      <c r="E359" s="74" t="s">
        <v>1349</v>
      </c>
      <c r="F359" s="69"/>
      <c r="G359" s="37"/>
      <c r="H359" s="16" t="s">
        <v>444</v>
      </c>
      <c r="I359" s="16" t="s">
        <v>1291</v>
      </c>
      <c r="J359" s="16" t="s">
        <v>188</v>
      </c>
      <c r="K359" s="37"/>
      <c r="L359" s="69"/>
      <c r="M359" s="37"/>
      <c r="N359" s="16"/>
      <c r="O359" s="69" t="s">
        <v>1070</v>
      </c>
      <c r="P359" s="69" t="s">
        <v>1324</v>
      </c>
      <c r="Q359" s="18"/>
      <c r="R359" s="16" t="s">
        <v>172</v>
      </c>
      <c r="S359" s="16" t="s">
        <v>66</v>
      </c>
      <c r="T359" s="16"/>
      <c r="U359" s="16"/>
      <c r="V359" s="16">
        <v>102</v>
      </c>
      <c r="W359" s="15">
        <f>ROUND(IF(D359=Table!$C$3,Y359*Table!$C$4/8,Y359*Table!$D$4/8),3)</f>
        <v>91</v>
      </c>
      <c r="X359" s="101">
        <f t="shared" si="67"/>
        <v>91</v>
      </c>
      <c r="Y359" s="101">
        <v>5.6</v>
      </c>
      <c r="Z359" s="101">
        <f t="shared" si="71"/>
        <v>5.6</v>
      </c>
      <c r="AA359" s="16" t="s">
        <v>21</v>
      </c>
      <c r="AB359" s="70">
        <v>44151</v>
      </c>
      <c r="AC359" s="19">
        <v>44144</v>
      </c>
      <c r="AD359" s="70">
        <v>44151</v>
      </c>
      <c r="AE359" s="70">
        <v>44144</v>
      </c>
      <c r="AF359" s="70">
        <v>44144</v>
      </c>
      <c r="AG359" s="70" t="s">
        <v>131</v>
      </c>
      <c r="AH359" s="97">
        <v>0.875</v>
      </c>
      <c r="AI359" s="97">
        <v>0.875</v>
      </c>
      <c r="AJ359" s="97" t="s">
        <v>213</v>
      </c>
      <c r="AK359" s="71"/>
      <c r="AL359" s="76" t="s">
        <v>107</v>
      </c>
      <c r="AM359" s="87" t="s">
        <v>1398</v>
      </c>
      <c r="AN359" s="15"/>
      <c r="AO359" s="15"/>
    </row>
    <row r="360" spans="2:41" x14ac:dyDescent="0.25">
      <c r="B360" s="98">
        <f>B359+1</f>
        <v>301</v>
      </c>
      <c r="C360" s="16">
        <v>20201110</v>
      </c>
      <c r="D360" s="16" t="s">
        <v>2</v>
      </c>
      <c r="E360" s="74" t="s">
        <v>1454</v>
      </c>
      <c r="F360" s="69"/>
      <c r="G360" s="37"/>
      <c r="H360" s="16"/>
      <c r="I360" s="16" t="s">
        <v>1389</v>
      </c>
      <c r="J360" s="16"/>
      <c r="K360" s="37"/>
      <c r="L360" s="69"/>
      <c r="M360" s="37"/>
      <c r="N360" s="16"/>
      <c r="O360" s="165">
        <v>1.4</v>
      </c>
      <c r="P360" s="69"/>
      <c r="Q360" s="18"/>
      <c r="R360" s="16"/>
      <c r="S360" s="16" t="s">
        <v>109</v>
      </c>
      <c r="T360" s="16"/>
      <c r="U360" s="16"/>
      <c r="V360" s="16"/>
      <c r="W360" s="15">
        <f>ROUND(IF(D360=Table!$C$3,Y360*Table!$C$4/8,Y360*Table!$D$4/8),3)</f>
        <v>32.5</v>
      </c>
      <c r="X360" s="101">
        <f t="shared" si="67"/>
        <v>32.5</v>
      </c>
      <c r="Y360" s="101">
        <v>2</v>
      </c>
      <c r="Z360" s="101">
        <f t="shared" si="71"/>
        <v>2</v>
      </c>
      <c r="AA360" s="16" t="s">
        <v>70</v>
      </c>
      <c r="AB360" s="70">
        <v>44146</v>
      </c>
      <c r="AC360" s="19">
        <v>44145</v>
      </c>
      <c r="AD360" s="70">
        <v>44146</v>
      </c>
      <c r="AE360" s="70">
        <v>44145</v>
      </c>
      <c r="AF360" s="70">
        <v>44146</v>
      </c>
      <c r="AG360" s="70" t="s">
        <v>130</v>
      </c>
      <c r="AH360" s="97">
        <v>1</v>
      </c>
      <c r="AI360" s="97">
        <v>1</v>
      </c>
      <c r="AJ360" s="97" t="s">
        <v>213</v>
      </c>
      <c r="AK360" s="71"/>
      <c r="AL360" s="76"/>
      <c r="AM360" s="87"/>
      <c r="AN360" s="15"/>
      <c r="AO360" s="15"/>
    </row>
    <row r="361" spans="2:41" x14ac:dyDescent="0.25">
      <c r="B361" s="98">
        <f>B360+1</f>
        <v>302</v>
      </c>
      <c r="C361" s="16">
        <v>20201110</v>
      </c>
      <c r="D361" s="16" t="s">
        <v>2</v>
      </c>
      <c r="E361" s="74" t="s">
        <v>1454</v>
      </c>
      <c r="F361" s="69"/>
      <c r="G361" s="37"/>
      <c r="H361" s="16"/>
      <c r="I361" s="16" t="s">
        <v>1391</v>
      </c>
      <c r="J361" s="16"/>
      <c r="K361" s="37"/>
      <c r="L361" s="69"/>
      <c r="M361" s="37"/>
      <c r="N361" s="16"/>
      <c r="O361" s="165">
        <v>1</v>
      </c>
      <c r="P361" s="69"/>
      <c r="Q361" s="18"/>
      <c r="R361" s="16"/>
      <c r="S361" s="16" t="s">
        <v>109</v>
      </c>
      <c r="T361" s="16"/>
      <c r="U361" s="16"/>
      <c r="V361" s="16"/>
      <c r="W361" s="15">
        <f>ROUND(IF(D361=Table!$C$3,Y361*Table!$C$4/8,Y361*Table!$D$4/8),3)</f>
        <v>113.75</v>
      </c>
      <c r="X361" s="101">
        <f t="shared" si="67"/>
        <v>113.75</v>
      </c>
      <c r="Y361" s="101">
        <v>7</v>
      </c>
      <c r="Z361" s="101">
        <f t="shared" si="71"/>
        <v>7</v>
      </c>
      <c r="AA361" s="16" t="s">
        <v>70</v>
      </c>
      <c r="AB361" s="70">
        <v>44146</v>
      </c>
      <c r="AC361" s="19">
        <v>44145</v>
      </c>
      <c r="AD361" s="70">
        <v>44146</v>
      </c>
      <c r="AE361" s="70">
        <v>44145</v>
      </c>
      <c r="AF361" s="70">
        <v>44146</v>
      </c>
      <c r="AG361" s="70" t="s">
        <v>130</v>
      </c>
      <c r="AH361" s="97">
        <v>0.89500000000000002</v>
      </c>
      <c r="AI361" s="97">
        <v>0.90300000000000002</v>
      </c>
      <c r="AJ361" s="97" t="s">
        <v>213</v>
      </c>
      <c r="AK361" s="71"/>
      <c r="AL361" s="76"/>
      <c r="AM361" s="87"/>
      <c r="AN361" s="15"/>
      <c r="AO361" s="15"/>
    </row>
    <row r="362" spans="2:41" x14ac:dyDescent="0.25">
      <c r="B362" s="98">
        <f>B361+1</f>
        <v>303</v>
      </c>
      <c r="C362" s="16">
        <v>20201113</v>
      </c>
      <c r="D362" s="16" t="s">
        <v>2</v>
      </c>
      <c r="E362" s="74" t="s">
        <v>1567</v>
      </c>
      <c r="F362" s="69"/>
      <c r="G362" s="37"/>
      <c r="H362" s="16"/>
      <c r="I362" s="223" t="s">
        <v>1566</v>
      </c>
      <c r="J362" s="16"/>
      <c r="K362" s="37"/>
      <c r="L362" s="69"/>
      <c r="M362" s="37"/>
      <c r="N362" s="16"/>
      <c r="O362" s="69">
        <v>1.1000000000000001</v>
      </c>
      <c r="P362" s="69"/>
      <c r="Q362" s="18"/>
      <c r="R362" s="16"/>
      <c r="S362" s="16" t="s">
        <v>61</v>
      </c>
      <c r="T362" s="16"/>
      <c r="U362" s="16"/>
      <c r="V362" s="16"/>
      <c r="W362" s="15">
        <f>ROUND(IF(D362=Table!$C$3,Y362*Table!$C$4/8,Y362*Table!$D$4/8),3)</f>
        <v>32.5</v>
      </c>
      <c r="X362" s="101">
        <f>W362</f>
        <v>32.5</v>
      </c>
      <c r="Y362" s="101">
        <v>2</v>
      </c>
      <c r="Z362" s="101">
        <f>Y362</f>
        <v>2</v>
      </c>
      <c r="AA362" s="16" t="s">
        <v>70</v>
      </c>
      <c r="AB362" s="70">
        <v>44148</v>
      </c>
      <c r="AC362" s="19">
        <v>44148</v>
      </c>
      <c r="AD362" s="70">
        <v>44148</v>
      </c>
      <c r="AE362" s="70">
        <v>44148</v>
      </c>
      <c r="AF362" s="70">
        <v>44148</v>
      </c>
      <c r="AG362" s="70" t="s">
        <v>130</v>
      </c>
      <c r="AH362" s="97">
        <v>1</v>
      </c>
      <c r="AI362" s="97">
        <v>1</v>
      </c>
      <c r="AJ362" s="97">
        <v>1</v>
      </c>
      <c r="AK362" s="71"/>
      <c r="AL362" s="76"/>
      <c r="AM362" s="87"/>
      <c r="AN362" s="15"/>
      <c r="AO362" s="15"/>
    </row>
    <row r="363" spans="2:41" x14ac:dyDescent="0.25">
      <c r="B363" s="98">
        <f>B362+1</f>
        <v>304</v>
      </c>
      <c r="C363" s="16">
        <v>20201113</v>
      </c>
      <c r="D363" s="16" t="s">
        <v>2</v>
      </c>
      <c r="E363" s="74" t="s">
        <v>1567</v>
      </c>
      <c r="F363" s="69"/>
      <c r="G363" s="37"/>
      <c r="H363" s="16"/>
      <c r="I363" s="223" t="s">
        <v>883</v>
      </c>
      <c r="J363" s="16"/>
      <c r="K363" s="37"/>
      <c r="L363" s="69"/>
      <c r="M363" s="37"/>
      <c r="N363" s="16"/>
      <c r="O363" s="69">
        <v>1.4</v>
      </c>
      <c r="P363" s="69"/>
      <c r="Q363" s="18"/>
      <c r="R363" s="16"/>
      <c r="S363" s="16" t="s">
        <v>61</v>
      </c>
      <c r="T363" s="16"/>
      <c r="U363" s="16"/>
      <c r="V363" s="16"/>
      <c r="W363" s="15">
        <f>ROUND(IF(D363=Table!$C$3,Y363*Table!$C$4/8,Y363*Table!$D$4/8),3)</f>
        <v>32.5</v>
      </c>
      <c r="X363" s="101">
        <f>W363</f>
        <v>32.5</v>
      </c>
      <c r="Y363" s="101">
        <v>2</v>
      </c>
      <c r="Z363" s="101">
        <f>Y363</f>
        <v>2</v>
      </c>
      <c r="AA363" s="16" t="s">
        <v>70</v>
      </c>
      <c r="AB363" s="70">
        <v>44148</v>
      </c>
      <c r="AC363" s="19">
        <v>44148</v>
      </c>
      <c r="AD363" s="70">
        <v>44148</v>
      </c>
      <c r="AE363" s="70">
        <v>44148</v>
      </c>
      <c r="AF363" s="70">
        <v>44148</v>
      </c>
      <c r="AG363" s="70" t="s">
        <v>130</v>
      </c>
      <c r="AH363" s="97">
        <v>1</v>
      </c>
      <c r="AI363" s="97">
        <v>1</v>
      </c>
      <c r="AJ363" s="97">
        <v>1</v>
      </c>
      <c r="AK363" s="71"/>
      <c r="AL363" s="76"/>
      <c r="AM363" s="87"/>
      <c r="AN363" s="15"/>
      <c r="AO363" s="15"/>
    </row>
    <row r="364" spans="2:41" x14ac:dyDescent="0.25">
      <c r="B364" s="98">
        <f>B363+1</f>
        <v>305</v>
      </c>
      <c r="C364" s="16">
        <v>20201116</v>
      </c>
      <c r="D364" s="16" t="s">
        <v>2</v>
      </c>
      <c r="E364" s="74" t="s">
        <v>1592</v>
      </c>
      <c r="F364" s="69"/>
      <c r="G364" s="37"/>
      <c r="H364" s="16"/>
      <c r="I364" s="16" t="s">
        <v>1023</v>
      </c>
      <c r="J364" s="16"/>
      <c r="K364" s="37"/>
      <c r="L364" s="69"/>
      <c r="M364" s="37"/>
      <c r="N364" s="16"/>
      <c r="O364" s="69">
        <v>1.8</v>
      </c>
      <c r="P364" s="69"/>
      <c r="Q364" s="18"/>
      <c r="R364" s="16"/>
      <c r="S364" s="16" t="s">
        <v>109</v>
      </c>
      <c r="T364" s="16"/>
      <c r="U364" s="16"/>
      <c r="V364" s="16"/>
      <c r="W364" s="15">
        <f>ROUND(IF(D364=Table!$C$3,Y364*Table!$C$4/8,Y364*Table!$D$4/8),3)</f>
        <v>48.75</v>
      </c>
      <c r="X364" s="101">
        <f>W364</f>
        <v>48.75</v>
      </c>
      <c r="Y364" s="101">
        <v>3</v>
      </c>
      <c r="Z364" s="101">
        <f>Y364</f>
        <v>3</v>
      </c>
      <c r="AA364" s="16" t="s">
        <v>70</v>
      </c>
      <c r="AB364" s="70">
        <v>44151</v>
      </c>
      <c r="AC364" s="19">
        <v>44151</v>
      </c>
      <c r="AD364" s="70">
        <v>44151</v>
      </c>
      <c r="AE364" s="70"/>
      <c r="AF364" s="70"/>
      <c r="AG364" s="70"/>
      <c r="AH364" s="97"/>
      <c r="AI364" s="97"/>
      <c r="AJ364" s="97"/>
      <c r="AK364" s="71"/>
      <c r="AL364" s="76"/>
      <c r="AM364" s="87"/>
      <c r="AN364" s="15"/>
      <c r="AO364" s="15"/>
    </row>
    <row r="365" spans="2:41" x14ac:dyDescent="0.25">
      <c r="B365" s="95"/>
      <c r="C365" s="16"/>
      <c r="D365" s="16"/>
      <c r="E365" s="74"/>
      <c r="F365" s="69"/>
      <c r="G365" s="37"/>
      <c r="H365" s="16"/>
      <c r="I365" s="16"/>
      <c r="J365" s="16"/>
      <c r="K365" s="37"/>
      <c r="L365" s="69"/>
      <c r="M365" s="37"/>
      <c r="N365" s="16"/>
      <c r="O365" s="69"/>
      <c r="P365" s="69"/>
      <c r="Q365" s="18"/>
      <c r="R365" s="16"/>
      <c r="S365" s="16"/>
      <c r="T365" s="16"/>
      <c r="U365" s="16"/>
      <c r="V365" s="16"/>
      <c r="W365" s="15"/>
      <c r="X365" s="101"/>
      <c r="Y365" s="101"/>
      <c r="Z365" s="101"/>
      <c r="AA365" s="16"/>
      <c r="AB365" s="70"/>
      <c r="AC365" s="19"/>
      <c r="AD365" s="70"/>
      <c r="AE365" s="70"/>
      <c r="AF365" s="70"/>
      <c r="AG365" s="70"/>
      <c r="AH365" s="97"/>
      <c r="AI365" s="97"/>
      <c r="AJ365" s="97"/>
      <c r="AK365" s="71"/>
      <c r="AL365" s="76"/>
      <c r="AM365" s="87"/>
      <c r="AN365" s="15"/>
      <c r="AO365" s="15"/>
    </row>
    <row r="366" spans="2:41" x14ac:dyDescent="0.25">
      <c r="B366" s="95"/>
      <c r="C366" s="16"/>
      <c r="D366" s="16"/>
      <c r="E366" s="74"/>
      <c r="F366" s="69"/>
      <c r="G366" s="37"/>
      <c r="H366" s="16"/>
      <c r="I366" s="16"/>
      <c r="J366" s="16"/>
      <c r="K366" s="37"/>
      <c r="L366" s="69"/>
      <c r="M366" s="37"/>
      <c r="N366" s="16"/>
      <c r="O366" s="69"/>
      <c r="P366" s="69"/>
      <c r="Q366" s="18"/>
      <c r="R366" s="16"/>
      <c r="S366" s="16"/>
      <c r="T366" s="16"/>
      <c r="U366" s="16"/>
      <c r="V366" s="16"/>
      <c r="W366" s="15"/>
      <c r="X366" s="101"/>
      <c r="Y366" s="101"/>
      <c r="Z366" s="101"/>
      <c r="AA366" s="16"/>
      <c r="AB366" s="70"/>
      <c r="AC366" s="19"/>
      <c r="AD366" s="70"/>
      <c r="AE366" s="70"/>
      <c r="AF366" s="70"/>
      <c r="AG366" s="70"/>
      <c r="AH366" s="97"/>
      <c r="AI366" s="97"/>
      <c r="AJ366" s="97"/>
      <c r="AK366" s="71"/>
      <c r="AL366" s="76"/>
      <c r="AM366" s="87"/>
      <c r="AN366" s="15"/>
      <c r="AO366" s="15"/>
    </row>
    <row r="367" spans="2:41" x14ac:dyDescent="0.25">
      <c r="B367" s="95"/>
      <c r="C367" s="16"/>
      <c r="D367" s="16"/>
      <c r="E367" s="74"/>
      <c r="F367" s="69"/>
      <c r="G367" s="37"/>
      <c r="H367" s="16"/>
      <c r="I367" s="16"/>
      <c r="J367" s="16"/>
      <c r="K367" s="37"/>
      <c r="L367" s="69"/>
      <c r="M367" s="37"/>
      <c r="N367" s="16"/>
      <c r="O367" s="69"/>
      <c r="P367" s="69"/>
      <c r="Q367" s="18"/>
      <c r="R367" s="16"/>
      <c r="S367" s="16"/>
      <c r="T367" s="16"/>
      <c r="U367" s="16"/>
      <c r="V367" s="16"/>
      <c r="W367" s="15"/>
      <c r="X367" s="101"/>
      <c r="Y367" s="101"/>
      <c r="Z367" s="101"/>
      <c r="AA367" s="16"/>
      <c r="AB367" s="70"/>
      <c r="AC367" s="19"/>
      <c r="AD367" s="70"/>
      <c r="AE367" s="70"/>
      <c r="AF367" s="70"/>
      <c r="AG367" s="70"/>
      <c r="AH367" s="97"/>
      <c r="AI367" s="97"/>
      <c r="AJ367" s="97"/>
      <c r="AK367" s="71"/>
      <c r="AL367" s="76"/>
      <c r="AM367" s="87"/>
      <c r="AN367" s="15"/>
      <c r="AO367" s="15"/>
    </row>
    <row r="368" spans="2:41" x14ac:dyDescent="0.25">
      <c r="B368" s="95"/>
      <c r="C368" s="16"/>
      <c r="D368" s="16"/>
      <c r="E368" s="74"/>
      <c r="F368" s="69"/>
      <c r="G368" s="37"/>
      <c r="H368" s="16"/>
      <c r="I368" s="16"/>
      <c r="J368" s="16"/>
      <c r="K368" s="37"/>
      <c r="L368" s="69"/>
      <c r="M368" s="37"/>
      <c r="N368" s="16"/>
      <c r="O368" s="69"/>
      <c r="P368" s="69"/>
      <c r="Q368" s="18"/>
      <c r="R368" s="16"/>
      <c r="S368" s="16"/>
      <c r="T368" s="16"/>
      <c r="U368" s="16"/>
      <c r="V368" s="16"/>
      <c r="W368" s="15"/>
      <c r="X368" s="101"/>
      <c r="Y368" s="101"/>
      <c r="Z368" s="101"/>
      <c r="AA368" s="16"/>
      <c r="AB368" s="70"/>
      <c r="AC368" s="19"/>
      <c r="AD368" s="70"/>
      <c r="AE368" s="70"/>
      <c r="AF368" s="70"/>
      <c r="AG368" s="70"/>
      <c r="AH368" s="97"/>
      <c r="AI368" s="97"/>
      <c r="AJ368" s="97"/>
      <c r="AK368" s="71"/>
      <c r="AL368" s="76"/>
      <c r="AM368" s="87"/>
      <c r="AN368" s="15"/>
      <c r="AO368" s="15"/>
    </row>
    <row r="369" spans="2:41" x14ac:dyDescent="0.25">
      <c r="B369" s="95"/>
      <c r="C369" s="16"/>
      <c r="D369" s="16"/>
      <c r="E369" s="74"/>
      <c r="F369" s="69"/>
      <c r="G369" s="37"/>
      <c r="H369" s="16"/>
      <c r="I369" s="16"/>
      <c r="J369" s="16"/>
      <c r="K369" s="37"/>
      <c r="L369" s="69"/>
      <c r="M369" s="37"/>
      <c r="N369" s="16"/>
      <c r="O369" s="69"/>
      <c r="P369" s="69"/>
      <c r="Q369" s="18"/>
      <c r="R369" s="16"/>
      <c r="S369" s="16"/>
      <c r="T369" s="16"/>
      <c r="U369" s="16"/>
      <c r="V369" s="16"/>
      <c r="W369" s="15"/>
      <c r="X369" s="101"/>
      <c r="Y369" s="101"/>
      <c r="Z369" s="101"/>
      <c r="AA369" s="16"/>
      <c r="AB369" s="70"/>
      <c r="AC369" s="19"/>
      <c r="AD369" s="70"/>
      <c r="AE369" s="70"/>
      <c r="AF369" s="70"/>
      <c r="AG369" s="70"/>
      <c r="AH369" s="97"/>
      <c r="AI369" s="97"/>
      <c r="AJ369" s="97"/>
      <c r="AK369" s="71"/>
      <c r="AL369" s="76"/>
      <c r="AM369" s="87"/>
      <c r="AN369" s="15"/>
      <c r="AO369" s="15"/>
    </row>
    <row r="370" spans="2:41" x14ac:dyDescent="0.25">
      <c r="B370" s="95"/>
      <c r="C370" s="16"/>
      <c r="D370" s="16"/>
      <c r="E370" s="74"/>
      <c r="F370" s="69"/>
      <c r="G370" s="37"/>
      <c r="H370" s="16"/>
      <c r="I370" s="16"/>
      <c r="J370" s="16"/>
      <c r="K370" s="37"/>
      <c r="L370" s="69"/>
      <c r="M370" s="37"/>
      <c r="N370" s="16"/>
      <c r="O370" s="69"/>
      <c r="P370" s="69"/>
      <c r="Q370" s="18"/>
      <c r="R370" s="16"/>
      <c r="S370" s="16"/>
      <c r="T370" s="16"/>
      <c r="U370" s="16"/>
      <c r="V370" s="16"/>
      <c r="W370" s="15"/>
      <c r="X370" s="101"/>
      <c r="Y370" s="101"/>
      <c r="Z370" s="101"/>
      <c r="AA370" s="16"/>
      <c r="AB370" s="70"/>
      <c r="AC370" s="19"/>
      <c r="AD370" s="70"/>
      <c r="AE370" s="70"/>
      <c r="AF370" s="70"/>
      <c r="AG370" s="70"/>
      <c r="AH370" s="97"/>
      <c r="AI370" s="97"/>
      <c r="AJ370" s="97"/>
      <c r="AK370" s="71"/>
      <c r="AL370" s="76"/>
      <c r="AM370" s="87"/>
      <c r="AN370" s="15"/>
      <c r="AO370" s="15"/>
    </row>
    <row r="371" spans="2:41" x14ac:dyDescent="0.25">
      <c r="B371" s="95"/>
      <c r="C371" s="16"/>
      <c r="D371" s="16"/>
      <c r="E371" s="74"/>
      <c r="F371" s="69"/>
      <c r="G371" s="37"/>
      <c r="H371" s="16"/>
      <c r="I371" s="16"/>
      <c r="J371" s="16"/>
      <c r="K371" s="37"/>
      <c r="L371" s="69"/>
      <c r="M371" s="37"/>
      <c r="N371" s="16"/>
      <c r="O371" s="69"/>
      <c r="P371" s="69"/>
      <c r="Q371" s="18"/>
      <c r="R371" s="16"/>
      <c r="S371" s="16"/>
      <c r="T371" s="16"/>
      <c r="U371" s="16"/>
      <c r="V371" s="16"/>
      <c r="W371" s="15"/>
      <c r="X371" s="101"/>
      <c r="Y371" s="101"/>
      <c r="Z371" s="101"/>
      <c r="AA371" s="16"/>
      <c r="AB371" s="70"/>
      <c r="AC371" s="19"/>
      <c r="AD371" s="70"/>
      <c r="AE371" s="70"/>
      <c r="AF371" s="70"/>
      <c r="AG371" s="70"/>
      <c r="AH371" s="97"/>
      <c r="AI371" s="97"/>
      <c r="AJ371" s="97"/>
      <c r="AK371" s="71"/>
      <c r="AL371" s="76"/>
      <c r="AM371" s="87"/>
      <c r="AN371" s="15"/>
      <c r="AO371" s="15"/>
    </row>
    <row r="372" spans="2:41" x14ac:dyDescent="0.25">
      <c r="B372" s="95"/>
      <c r="C372" s="16"/>
      <c r="D372" s="16"/>
      <c r="E372" s="74"/>
      <c r="F372" s="69"/>
      <c r="G372" s="37"/>
      <c r="H372" s="16"/>
      <c r="I372" s="16"/>
      <c r="J372" s="16"/>
      <c r="K372" s="37"/>
      <c r="L372" s="69"/>
      <c r="M372" s="37"/>
      <c r="N372" s="16"/>
      <c r="O372" s="69"/>
      <c r="P372" s="69"/>
      <c r="Q372" s="18"/>
      <c r="R372" s="16"/>
      <c r="S372" s="16"/>
      <c r="T372" s="16"/>
      <c r="U372" s="16"/>
      <c r="V372" s="16"/>
      <c r="W372" s="15"/>
      <c r="X372" s="101"/>
      <c r="Y372" s="101"/>
      <c r="Z372" s="101"/>
      <c r="AA372" s="16"/>
      <c r="AB372" s="70"/>
      <c r="AC372" s="19"/>
      <c r="AD372" s="70"/>
      <c r="AE372" s="70"/>
      <c r="AF372" s="70"/>
      <c r="AG372" s="70"/>
      <c r="AH372" s="97"/>
      <c r="AI372" s="97"/>
      <c r="AJ372" s="97"/>
      <c r="AK372" s="71"/>
      <c r="AL372" s="76"/>
      <c r="AM372" s="87"/>
      <c r="AN372" s="15"/>
      <c r="AO372" s="15"/>
    </row>
    <row r="373" spans="2:41" x14ac:dyDescent="0.25">
      <c r="B373" s="95"/>
      <c r="C373" s="16"/>
      <c r="D373" s="16"/>
      <c r="E373" s="74"/>
      <c r="F373" s="69"/>
      <c r="G373" s="37"/>
      <c r="H373" s="16"/>
      <c r="I373" s="16"/>
      <c r="J373" s="16"/>
      <c r="K373" s="37"/>
      <c r="L373" s="69"/>
      <c r="M373" s="37"/>
      <c r="N373" s="16"/>
      <c r="O373" s="69"/>
      <c r="P373" s="69"/>
      <c r="Q373" s="18"/>
      <c r="R373" s="16"/>
      <c r="S373" s="16"/>
      <c r="T373" s="16"/>
      <c r="U373" s="16"/>
      <c r="V373" s="16"/>
      <c r="W373" s="15"/>
      <c r="X373" s="101"/>
      <c r="Y373" s="101"/>
      <c r="Z373" s="101"/>
      <c r="AA373" s="16"/>
      <c r="AB373" s="70"/>
      <c r="AC373" s="19"/>
      <c r="AD373" s="70"/>
      <c r="AE373" s="70"/>
      <c r="AF373" s="70"/>
      <c r="AG373" s="70"/>
      <c r="AH373" s="97"/>
      <c r="AI373" s="97"/>
      <c r="AJ373" s="97"/>
      <c r="AK373" s="71"/>
      <c r="AL373" s="76"/>
      <c r="AM373" s="87"/>
      <c r="AN373" s="15"/>
      <c r="AO373" s="15"/>
    </row>
    <row r="374" spans="2:41" x14ac:dyDescent="0.25">
      <c r="B374" s="95"/>
      <c r="C374" s="16"/>
      <c r="D374" s="16"/>
      <c r="E374" s="74"/>
      <c r="F374" s="69"/>
      <c r="G374" s="37"/>
      <c r="H374" s="16"/>
      <c r="I374" s="16"/>
      <c r="J374" s="16"/>
      <c r="K374" s="37"/>
      <c r="L374" s="69"/>
      <c r="M374" s="37"/>
      <c r="N374" s="16"/>
      <c r="O374" s="69"/>
      <c r="P374" s="69"/>
      <c r="Q374" s="18"/>
      <c r="R374" s="16"/>
      <c r="S374" s="16"/>
      <c r="T374" s="16"/>
      <c r="U374" s="16"/>
      <c r="V374" s="16"/>
      <c r="W374" s="15"/>
      <c r="X374" s="101"/>
      <c r="Y374" s="101"/>
      <c r="Z374" s="101"/>
      <c r="AA374" s="16"/>
      <c r="AB374" s="70"/>
      <c r="AC374" s="19"/>
      <c r="AD374" s="70"/>
      <c r="AE374" s="70"/>
      <c r="AF374" s="70"/>
      <c r="AG374" s="70"/>
      <c r="AH374" s="97"/>
      <c r="AI374" s="97"/>
      <c r="AJ374" s="97"/>
      <c r="AK374" s="71"/>
      <c r="AL374" s="76"/>
      <c r="AM374" s="87"/>
      <c r="AN374" s="15"/>
      <c r="AO374" s="15"/>
    </row>
    <row r="375" spans="2:41" x14ac:dyDescent="0.25">
      <c r="B375" s="95"/>
      <c r="C375" s="16"/>
      <c r="D375" s="16"/>
      <c r="E375" s="74"/>
      <c r="F375" s="69"/>
      <c r="G375" s="37"/>
      <c r="H375" s="16"/>
      <c r="I375" s="16"/>
      <c r="J375" s="16"/>
      <c r="K375" s="37"/>
      <c r="L375" s="69"/>
      <c r="M375" s="37"/>
      <c r="N375" s="16"/>
      <c r="O375" s="69"/>
      <c r="P375" s="69"/>
      <c r="Q375" s="18"/>
      <c r="R375" s="16"/>
      <c r="S375" s="16"/>
      <c r="T375" s="16"/>
      <c r="U375" s="16"/>
      <c r="V375" s="16"/>
      <c r="W375" s="15"/>
      <c r="X375" s="101"/>
      <c r="Y375" s="101"/>
      <c r="Z375" s="101"/>
      <c r="AA375" s="16"/>
      <c r="AB375" s="70"/>
      <c r="AC375" s="19"/>
      <c r="AD375" s="70"/>
      <c r="AE375" s="70"/>
      <c r="AF375" s="70"/>
      <c r="AG375" s="70"/>
      <c r="AH375" s="97"/>
      <c r="AI375" s="97"/>
      <c r="AJ375" s="97"/>
      <c r="AK375" s="71"/>
      <c r="AL375" s="76"/>
      <c r="AM375" s="87"/>
      <c r="AN375" s="15"/>
      <c r="AO375" s="15"/>
    </row>
    <row r="376" spans="2:41" x14ac:dyDescent="0.25">
      <c r="B376" s="95"/>
      <c r="C376" s="16"/>
      <c r="D376" s="16"/>
      <c r="E376" s="74"/>
      <c r="F376" s="69"/>
      <c r="G376" s="37"/>
      <c r="H376" s="16"/>
      <c r="I376" s="16"/>
      <c r="J376" s="16"/>
      <c r="K376" s="37"/>
      <c r="L376" s="69"/>
      <c r="M376" s="37"/>
      <c r="N376" s="16"/>
      <c r="O376" s="69"/>
      <c r="P376" s="69"/>
      <c r="Q376" s="18"/>
      <c r="R376" s="16"/>
      <c r="S376" s="16"/>
      <c r="T376" s="16"/>
      <c r="U376" s="16"/>
      <c r="V376" s="16"/>
      <c r="W376" s="15"/>
      <c r="X376" s="101"/>
      <c r="Y376" s="101"/>
      <c r="Z376" s="101"/>
      <c r="AA376" s="16"/>
      <c r="AB376" s="70"/>
      <c r="AC376" s="19"/>
      <c r="AD376" s="70"/>
      <c r="AE376" s="70"/>
      <c r="AF376" s="70"/>
      <c r="AG376" s="70"/>
      <c r="AH376" s="97"/>
      <c r="AI376" s="97"/>
      <c r="AJ376" s="97"/>
      <c r="AK376" s="71"/>
      <c r="AL376" s="76"/>
      <c r="AM376" s="87"/>
      <c r="AN376" s="15"/>
      <c r="AO376" s="15"/>
    </row>
    <row r="377" spans="2:41" x14ac:dyDescent="0.25">
      <c r="B377" s="95"/>
      <c r="C377" s="16"/>
      <c r="D377" s="16"/>
      <c r="E377" s="74"/>
      <c r="F377" s="69"/>
      <c r="G377" s="37"/>
      <c r="H377" s="16"/>
      <c r="I377" s="16"/>
      <c r="J377" s="16"/>
      <c r="K377" s="37"/>
      <c r="L377" s="69"/>
      <c r="M377" s="37"/>
      <c r="N377" s="16"/>
      <c r="O377" s="69"/>
      <c r="P377" s="69"/>
      <c r="Q377" s="18"/>
      <c r="R377" s="16"/>
      <c r="S377" s="16"/>
      <c r="T377" s="16"/>
      <c r="U377" s="16"/>
      <c r="V377" s="16"/>
      <c r="W377" s="15"/>
      <c r="X377" s="101"/>
      <c r="Y377" s="101"/>
      <c r="Z377" s="101"/>
      <c r="AA377" s="16"/>
      <c r="AB377" s="70"/>
      <c r="AC377" s="19"/>
      <c r="AD377" s="70"/>
      <c r="AE377" s="70"/>
      <c r="AF377" s="70"/>
      <c r="AG377" s="70"/>
      <c r="AH377" s="97"/>
      <c r="AI377" s="97"/>
      <c r="AJ377" s="97"/>
      <c r="AK377" s="71"/>
      <c r="AL377" s="76"/>
      <c r="AM377" s="14"/>
      <c r="AN377" s="15"/>
      <c r="AO377" s="15"/>
    </row>
    <row r="378" spans="2:41" x14ac:dyDescent="0.25">
      <c r="B378" s="95"/>
      <c r="C378" s="16"/>
      <c r="D378" s="16"/>
      <c r="E378" s="74"/>
      <c r="F378" s="69"/>
      <c r="G378" s="37"/>
      <c r="H378" s="16"/>
      <c r="I378" s="16"/>
      <c r="J378" s="16"/>
      <c r="K378" s="37"/>
      <c r="L378" s="69"/>
      <c r="M378" s="37"/>
      <c r="N378" s="3"/>
      <c r="O378" s="69"/>
      <c r="P378" s="69"/>
      <c r="Q378" s="18"/>
      <c r="R378" s="16"/>
      <c r="S378" s="16"/>
      <c r="T378" s="16"/>
      <c r="U378" s="16"/>
      <c r="V378" s="16"/>
      <c r="W378" s="15"/>
      <c r="X378" s="101"/>
      <c r="Y378" s="101"/>
      <c r="Z378" s="101"/>
      <c r="AA378" s="16"/>
      <c r="AB378" s="70"/>
      <c r="AC378" s="19"/>
      <c r="AD378" s="70"/>
      <c r="AE378" s="70"/>
      <c r="AF378" s="70"/>
      <c r="AG378" s="70"/>
      <c r="AH378" s="97"/>
      <c r="AI378" s="97"/>
      <c r="AJ378" s="97"/>
      <c r="AK378" s="71"/>
      <c r="AL378" s="76"/>
      <c r="AM378" s="79"/>
      <c r="AN378" s="15"/>
      <c r="AO378" s="15"/>
    </row>
    <row r="379" spans="2:41" x14ac:dyDescent="0.25">
      <c r="W379"/>
      <c r="X379"/>
      <c r="Y379"/>
      <c r="Z379"/>
    </row>
    <row r="384" spans="2:41" x14ac:dyDescent="0.25">
      <c r="I384" t="s">
        <v>144</v>
      </c>
    </row>
    <row r="385" spans="1:26" x14ac:dyDescent="0.25">
      <c r="A385" t="s">
        <v>144</v>
      </c>
    </row>
    <row r="386" spans="1:26" x14ac:dyDescent="0.25">
      <c r="R386" s="7"/>
      <c r="S386" s="7"/>
      <c r="W386"/>
      <c r="X386"/>
      <c r="Y386"/>
      <c r="Z386"/>
    </row>
    <row r="387" spans="1:26" x14ac:dyDescent="0.25">
      <c r="D387" s="7"/>
      <c r="E387" s="7"/>
      <c r="W387"/>
      <c r="X387"/>
      <c r="Y387"/>
      <c r="Z387"/>
    </row>
    <row r="389" spans="1:26" x14ac:dyDescent="0.25">
      <c r="U389" t="s">
        <v>144</v>
      </c>
    </row>
  </sheetData>
  <customSheetViews>
    <customSheetView guid="{7E0EA425-A420-4443-B9E0-CDF0AA9E5D09}" scale="85" topLeftCell="A88">
      <selection activeCell="AI106" sqref="AI106"/>
      <pageMargins left="0.7" right="0.7" top="0.75" bottom="0.75" header="0.3" footer="0.3"/>
      <pageSetup orientation="portrait" horizontalDpi="300" r:id="rId1"/>
    </customSheetView>
    <customSheetView guid="{C94451EF-7A3E-4D72-B5A4-3D1B193192CC}" scale="70" showPageBreaks="1" showAutoFilter="1" topLeftCell="A7">
      <selection activeCell="A337" sqref="A337:XFD337"/>
      <pageMargins left="0.7" right="0.7" top="0.75" bottom="0.75" header="0.3" footer="0.3"/>
      <pageSetup paperSize="9" orientation="portrait" r:id="rId2"/>
      <autoFilter ref="B59:AO364"/>
    </customSheetView>
    <customSheetView guid="{7ECC2B8E-6A82-42F5-8AB0-4A51C54EA5EC}" scale="85" showPageBreaks="1" filter="1" showAutoFilter="1" topLeftCell="Q35">
      <selection activeCell="X48" sqref="X48"/>
      <pageMargins left="0.7" right="0.7" top="0.75" bottom="0.75" header="0.3" footer="0.3"/>
      <pageSetup paperSize="9" orientation="portrait" r:id="rId3"/>
      <autoFilter ref="B59:AO364">
        <filterColumn colId="3">
          <filters>
            <filter val="CCJP_RN_CARBON_SUV_CRBS_Build_Definition_1406"/>
          </filters>
        </filterColumn>
      </autoFilter>
    </customSheetView>
    <customSheetView guid="{4E06BDBF-2CED-473B-850B-2A6C7311FF41}" scale="70" showPageBreaks="1" filter="1" showAutoFilter="1" topLeftCell="A38">
      <selection activeCell="A52" sqref="A52:XFD52"/>
      <pageMargins left="0.7" right="0.7" top="0.75" bottom="0.75" header="0.3" footer="0.3"/>
      <pageSetup paperSize="9" orientation="portrait" r:id="rId4"/>
      <autoFilter ref="A59:AN508">
        <filterColumn colId="18">
          <filters>
            <filter val="thanh.nguyen-kim"/>
          </filters>
        </filterColumn>
      </autoFilter>
    </customSheetView>
    <customSheetView guid="{970EE037-F5E5-47AF-896A-0F6222879EBC}" scale="85" topLeftCell="G55">
      <selection activeCell="I104" sqref="I104"/>
      <pageMargins left="0.7" right="0.7" top="0.75" bottom="0.75" header="0.3" footer="0.3"/>
      <pageSetup orientation="portrait" horizontalDpi="300" r:id="rId5"/>
    </customSheetView>
    <customSheetView guid="{F96FC7D9-4F89-4FE0-8D00-C0083DEB0472}" scale="85" filter="1" showAutoFilter="1" topLeftCell="O50">
      <selection activeCell="Z78" sqref="Z78"/>
      <pageMargins left="0.7" right="0.7" top="0.75" bottom="0.75" header="0.3" footer="0.3"/>
      <pageSetup orientation="portrait" horizontalDpi="300" verticalDpi="0" r:id="rId6"/>
      <autoFilter ref="B59:AN326">
        <filterColumn colId="17">
          <filters>
            <filter val="phuc.le-hong"/>
          </filters>
        </filterColumn>
      </autoFilter>
    </customSheetView>
    <customSheetView guid="{A2C66332-A809-458E-971B-FDB6D62C74C3}" scale="115" filter="1" showAutoFilter="1" topLeftCell="H88">
      <pane xSplit="1" topLeftCell="AF1" activePane="topRight" state="frozen"/>
      <selection pane="topRight" activeCell="AJ154" sqref="AJ154"/>
      <pageMargins left="0.7" right="0.7" top="0.75" bottom="0.75" header="0.3" footer="0.3"/>
      <pageSetup orientation="portrait" horizontalDpi="300" verticalDpi="0" r:id="rId7"/>
      <autoFilter ref="B59:AN512">
        <filterColumn colId="17">
          <filters>
            <filter val="bang.nguyen-duy"/>
          </filters>
        </filterColumn>
      </autoFilter>
    </customSheetView>
    <customSheetView guid="{3B3E6719-EACB-4D2C-89C1-05FFAB6020FD}" scale="70" filter="1" showAutoFilter="1" topLeftCell="B82">
      <selection activeCell="V349" sqref="V349"/>
      <pageMargins left="0.7" right="0.7" top="0.75" bottom="0.75" header="0.3" footer="0.3"/>
      <pageSetup orientation="portrait" horizontalDpi="300" r:id="rId8"/>
      <autoFilter ref="B59:AN335">
        <filterColumn colId="17">
          <filters>
            <filter val="phuong.nguyen-thanh"/>
          </filters>
        </filterColumn>
      </autoFilter>
    </customSheetView>
    <customSheetView guid="{D33AC7AF-C8AB-4CE9-94C7-9237011A5FC3}" scale="70" filter="1" showAutoFilter="1" topLeftCell="A23">
      <selection activeCell="Q47" sqref="Q47"/>
      <pageMargins left="0.7" right="0.7" top="0.75" bottom="0.75" header="0.3" footer="0.3"/>
      <autoFilter ref="B59:AO361">
        <filterColumn colId="17">
          <filters>
            <filter val="huy.do-anh"/>
          </filters>
        </filterColumn>
      </autoFilter>
    </customSheetView>
    <customSheetView guid="{60D2C030-4E31-4E07-8E1C-44D2EE84B177}" showPageBreaks="1" filter="1" showAutoFilter="1" topLeftCell="U138">
      <selection activeCell="AA370" sqref="AA370"/>
      <pageMargins left="0.7" right="0.7" top="0.75" bottom="0.75" header="0.3" footer="0.3"/>
      <pageSetup orientation="portrait" horizontalDpi="300" r:id="rId9"/>
      <autoFilter ref="B59:AO363">
        <filterColumn colId="17">
          <filters>
            <filter val="chung.ly"/>
          </filters>
        </filterColumn>
      </autoFilter>
    </customSheetView>
    <customSheetView guid="{A2E8CE38-D15E-4374-89B2-69D9421C4465}" scale="85" showPageBreaks="1" filter="1" showAutoFilter="1" topLeftCell="N131">
      <selection activeCell="AA374" sqref="AA374"/>
      <pageMargins left="0.7" right="0.7" top="0.75" bottom="0.75" header="0.3" footer="0.3"/>
      <pageSetup orientation="portrait" horizontalDpi="300" r:id="rId10"/>
      <autoFilter ref="B59:AO364">
        <filterColumn colId="17">
          <filters>
            <filter val="huy.nguyen-hoang"/>
            <filter val="khang.duong-chi"/>
          </filters>
        </filterColumn>
      </autoFilter>
    </customSheetView>
    <customSheetView guid="{336B6883-2145-4B58-921E-CEC7185A847E}" showPageBreaks="1" filter="1" showAutoFilter="1" hiddenColumns="1" topLeftCell="U310">
      <selection activeCell="AM328" sqref="AM328"/>
      <pageMargins left="0.7" right="0.7" top="0.75" bottom="0.75" header="0.3" footer="0.3"/>
      <pageSetup orientation="portrait" horizontalDpi="300" r:id="rId11"/>
      <autoFilter ref="A59:AP364">
        <filterColumn colId="18">
          <filters>
            <filter val="dac.luu-cong"/>
          </filters>
        </filterColumn>
      </autoFilter>
    </customSheetView>
    <customSheetView guid="{89C03E1E-B6A8-49A1-B29C-5DC4FAB2FBC6}" scale="85" filter="1" showAutoFilter="1" topLeftCell="G59">
      <selection activeCell="A337" sqref="A337:XFD337"/>
      <pageMargins left="0.7" right="0.7" top="0.75" bottom="0.75" header="0.3" footer="0.3"/>
      <pageSetup orientation="portrait" horizontalDpi="300" verticalDpi="0" r:id="rId12"/>
      <autoFilter ref="B59:AO364">
        <filterColumn colId="17">
          <filters>
            <filter val="huy.do-anh"/>
          </filters>
        </filterColumn>
      </autoFilter>
    </customSheetView>
    <customSheetView guid="{FECB4C41-27E8-4A22-AFB3-4F54CDD4960E}" scale="85" filter="1" showAutoFilter="1" topLeftCell="A35">
      <selection activeCell="A337" sqref="A337:XFD337"/>
      <pageMargins left="0.7" right="0.7" top="0.75" bottom="0.75" header="0.3" footer="0.3"/>
      <pageSetup orientation="portrait" horizontalDpi="300" verticalDpi="0" r:id="rId13"/>
      <autoFilter ref="B59:AO364">
        <filterColumn colId="17">
          <filters>
            <filter val="huy.do-anh"/>
          </filters>
        </filterColumn>
      </autoFilter>
    </customSheetView>
    <customSheetView guid="{99BC1C51-34DC-4BF2-906C-1E31B6171D71}" filter="1" showAutoFilter="1" topLeftCell="A81">
      <selection activeCell="A337" sqref="A337:XFD337"/>
      <pageMargins left="0.7" right="0.7" top="0.75" bottom="0.75" header="0.3" footer="0.3"/>
      <autoFilter ref="B59:AO364">
        <filterColumn colId="17">
          <filters>
            <filter val="huy.nguyen-hoang"/>
          </filters>
        </filterColumn>
      </autoFilter>
    </customSheetView>
  </customSheetViews>
  <conditionalFormatting sqref="H23:H37 H43:H55">
    <cfRule type="cellIs" dxfId="51" priority="73" operator="equal">
      <formula>1</formula>
    </cfRule>
    <cfRule type="cellIs" dxfId="50" priority="74" operator="lessThan">
      <formula>1</formula>
    </cfRule>
  </conditionalFormatting>
  <conditionalFormatting sqref="O60:P378">
    <cfRule type="cellIs" dxfId="49" priority="70" operator="equal">
      <formula>"PUT_VERSION"</formula>
    </cfRule>
  </conditionalFormatting>
  <conditionalFormatting sqref="D18">
    <cfRule type="expression" dxfId="48" priority="69">
      <formula>$D$18=SUM($D$4:$D$17)</formula>
    </cfRule>
  </conditionalFormatting>
  <conditionalFormatting sqref="E18">
    <cfRule type="expression" dxfId="47" priority="68">
      <formula>$E$18=SUM($E$4:$E$17)</formula>
    </cfRule>
  </conditionalFormatting>
  <conditionalFormatting sqref="F18">
    <cfRule type="expression" dxfId="46" priority="67">
      <formula>$F$18=SUM($F$4:$F$17)</formula>
    </cfRule>
  </conditionalFormatting>
  <conditionalFormatting sqref="D37">
    <cfRule type="expression" dxfId="45" priority="66">
      <formula>$D$37=SUM($D$23:$D$36)</formula>
    </cfRule>
  </conditionalFormatting>
  <conditionalFormatting sqref="E37">
    <cfRule type="expression" dxfId="44" priority="65">
      <formula>$E$37=SUM($E$23:$E$36)</formula>
    </cfRule>
  </conditionalFormatting>
  <conditionalFormatting sqref="H42">
    <cfRule type="cellIs" dxfId="43" priority="55" operator="equal">
      <formula>1</formula>
    </cfRule>
    <cfRule type="cellIs" dxfId="42" priority="56" operator="lessThan">
      <formula>1</formula>
    </cfRule>
  </conditionalFormatting>
  <conditionalFormatting sqref="H56">
    <cfRule type="cellIs" dxfId="41" priority="51" operator="equal">
      <formula>1</formula>
    </cfRule>
    <cfRule type="cellIs" dxfId="40" priority="52" operator="lessThan">
      <formula>1</formula>
    </cfRule>
  </conditionalFormatting>
  <conditionalFormatting sqref="F37">
    <cfRule type="expression" dxfId="39" priority="79">
      <formula>$F$37=SUM($F$23:$F$36)</formula>
    </cfRule>
  </conditionalFormatting>
  <conditionalFormatting sqref="H4:H18">
    <cfRule type="cellIs" dxfId="38" priority="7" operator="equal">
      <formula>1</formula>
    </cfRule>
    <cfRule type="cellIs" dxfId="37" priority="8" operator="lessThan">
      <formula>1</formula>
    </cfRule>
  </conditionalFormatting>
  <conditionalFormatting sqref="AG60:AG378">
    <cfRule type="cellIs" dxfId="36" priority="1" operator="equal">
      <formula>"OK"</formula>
    </cfRule>
    <cfRule type="cellIs" dxfId="35" priority="72" operator="equal">
      <formula>"NG"</formula>
    </cfRule>
  </conditionalFormatting>
  <dataValidations count="1">
    <dataValidation type="list" allowBlank="1" showInputMessage="1" showErrorMessage="1" sqref="U60:U378">
      <formula1>"Yes,No"</formula1>
    </dataValidation>
  </dataValidations>
  <pageMargins left="0.7" right="0.7" top="0.75" bottom="0.75" header="0.3" footer="0.3"/>
  <pageSetup orientation="portrait" horizontalDpi="300" r:id="rId1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5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6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77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8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63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4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61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2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59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0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48" id="{8014DC86-9045-4B22-9DB2-C6E76B610B95}">
            <xm:f>OR(AL60=Table!$C$37,AL60=Table!$C$38)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AL60:AL378</xm:sqref>
        </x14:conditionalFormatting>
        <x14:conditionalFormatting xmlns:xm="http://schemas.microsoft.com/office/excel/2006/main">
          <x14:cfRule type="cellIs" priority="27" operator="equal" id="{ADDC4DDA-5440-4D4C-8617-D143AC21CCE0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8" operator="equal" id="{D4667330-B974-40CE-84A6-3B1F1298C5FC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D60:D378</xm:sqref>
        </x14:conditionalFormatting>
        <x14:conditionalFormatting xmlns:xm="http://schemas.microsoft.com/office/excel/2006/main">
          <x14:cfRule type="cellIs" priority="15" operator="greaterThanOrEqual" id="{3E0B3D80-83A2-4F83-B5A4-9CBE80A4AEA0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6" operator="lessThan" id="{E7EAFFCE-585B-4923-8BE2-264F784E61AB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K23:K37</xm:sqref>
        </x14:conditionalFormatting>
        <x14:conditionalFormatting xmlns:xm="http://schemas.microsoft.com/office/excel/2006/main">
          <x14:cfRule type="cellIs" priority="13" operator="greaterThanOrEqual" id="{5DEBD175-CF7F-404F-9B4C-E51898238746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lessThan" id="{CD79C4F9-E747-4F3C-A304-7CF547094D40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K42:K56</xm:sqref>
        </x14:conditionalFormatting>
        <x14:conditionalFormatting xmlns:xm="http://schemas.microsoft.com/office/excel/2006/main">
          <x14:cfRule type="cellIs" priority="11" operator="greaterThanOrEqual" id="{E1C25EFC-661F-4876-9EF7-613214DE6AE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3439B3E0-32AA-41ED-9607-F890CF950392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K4:K17</xm:sqref>
        </x14:conditionalFormatting>
        <x14:conditionalFormatting xmlns:xm="http://schemas.microsoft.com/office/excel/2006/main">
          <x14:cfRule type="cellIs" priority="9" operator="greaterThanOrEqual" id="{989B3CB8-72B6-498B-A368-450A439C2CA4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30BC877D-6DF7-4FE0-89A2-A4F9CC316C0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Table!$C$37:$C$39</xm:f>
          </x14:formula1>
          <xm:sqref>AL60:AL378</xm:sqref>
        </x14:dataValidation>
        <x14:dataValidation type="list" allowBlank="1" showInputMessage="1" showErrorMessage="1">
          <x14:formula1>
            <xm:f>Table!$C$43:$C$44</xm:f>
          </x14:formula1>
          <xm:sqref>AG60:AG378</xm:sqref>
        </x14:dataValidation>
        <x14:dataValidation type="list" allowBlank="1" showInputMessage="1" showErrorMessage="1">
          <x14:formula1>
            <xm:f>Table!$C$8:$C$9</xm:f>
          </x14:formula1>
          <xm:sqref>D60:D378</xm:sqref>
        </x14:dataValidation>
        <x14:dataValidation type="list" allowBlank="1" showInputMessage="1" showErrorMessage="1">
          <x14:formula1>
            <xm:f>Table!$C$27:$C$33</xm:f>
          </x14:formula1>
          <xm:sqref>AA60:AA378</xm:sqref>
        </x14:dataValidation>
        <x14:dataValidation type="list" allowBlank="1" showInputMessage="1" showErrorMessage="1">
          <x14:formula1>
            <xm:f>Table!$C$13:$C$23</xm:f>
          </x14:formula1>
          <xm:sqref>S60:T378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17" sqref="E17"/>
    </sheetView>
  </sheetViews>
  <sheetFormatPr defaultRowHeight="15" x14ac:dyDescent="0.25"/>
  <sheetData/>
  <customSheetViews>
    <customSheetView guid="{7E0EA425-A420-4443-B9E0-CDF0AA9E5D09}">
      <selection activeCell="E17" sqref="E17"/>
      <pageMargins left="0.7" right="0.7" top="0.75" bottom="0.75" header="0.3" footer="0.3"/>
    </customSheetView>
    <customSheetView guid="{C94451EF-7A3E-4D72-B5A4-3D1B193192CC}" showPageBreaks="1">
      <selection activeCell="J38" sqref="J38"/>
      <pageMargins left="0.7" right="0.7" top="0.75" bottom="0.75" header="0.3" footer="0.3"/>
      <pageSetup paperSize="9" orientation="portrait" r:id="rId1"/>
    </customSheetView>
    <customSheetView guid="{7ECC2B8E-6A82-42F5-8AB0-4A51C54EA5EC}" showPageBreaks="1">
      <selection activeCell="J38" sqref="J38"/>
      <pageMargins left="0.7" right="0.7" top="0.75" bottom="0.75" header="0.3" footer="0.3"/>
      <pageSetup paperSize="9" orientation="portrait" r:id="rId2"/>
    </customSheetView>
    <customSheetView guid="{4E06BDBF-2CED-473B-850B-2A6C7311FF41}" showPageBreaks="1">
      <selection activeCell="J38" sqref="J38"/>
      <pageMargins left="0.7" right="0.7" top="0.75" bottom="0.75" header="0.3" footer="0.3"/>
      <pageSetup paperSize="9" orientation="portrait" r:id="rId3"/>
    </customSheetView>
    <customSheetView guid="{970EE037-F5E5-47AF-896A-0F6222879EBC}">
      <selection activeCell="C39" sqref="C39"/>
      <pageMargins left="0.7" right="0.7" top="0.75" bottom="0.75" header="0.3" footer="0.3"/>
    </customSheetView>
    <customSheetView guid="{F96FC7D9-4F89-4FE0-8D00-C0083DEB0472}">
      <selection activeCell="J38" sqref="J38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3B3E6719-EACB-4D2C-89C1-05FFAB6020FD}">
      <selection activeCell="J38" sqref="J38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  <pageSetup paperSize="9" orientation="portrait" r:id="rId4"/>
    </customSheetView>
    <customSheetView guid="{60D2C030-4E31-4E07-8E1C-44D2EE84B177}">
      <selection activeCell="J38" sqref="J38"/>
      <pageMargins left="0.7" right="0.7" top="0.75" bottom="0.75" header="0.3" footer="0.3"/>
      <pageSetup paperSize="9" orientation="portrait" r:id="rId5"/>
    </customSheetView>
    <customSheetView guid="{A2E8CE38-D15E-4374-89B2-69D9421C4465}" showPageBreaks="1">
      <selection activeCell="J38" sqref="J38"/>
      <pageMargins left="0.7" right="0.7" top="0.75" bottom="0.75" header="0.3" footer="0.3"/>
      <pageSetup paperSize="9" orientation="portrait" r:id="rId6"/>
    </customSheetView>
    <customSheetView guid="{336B6883-2145-4B58-921E-CEC7185A847E}">
      <selection activeCell="J38" sqref="J38"/>
      <pageMargins left="0.7" right="0.7" top="0.75" bottom="0.75" header="0.3" footer="0.3"/>
      <pageSetup paperSize="9" orientation="portrait" r:id="rId7"/>
    </customSheetView>
    <customSheetView guid="{89C03E1E-B6A8-49A1-B29C-5DC4FAB2FBC6}">
      <selection activeCell="J38" sqref="J38"/>
      <pageMargins left="0.7" right="0.7" top="0.75" bottom="0.75" header="0.3" footer="0.3"/>
      <pageSetup paperSize="9" orientation="portrait" r:id="rId8"/>
    </customSheetView>
    <customSheetView guid="{FECB4C41-27E8-4A22-AFB3-4F54CDD4960E}">
      <selection activeCell="J38" sqref="J38"/>
      <pageMargins left="0.7" right="0.7" top="0.75" bottom="0.75" header="0.3" footer="0.3"/>
      <pageSetup paperSize="9" orientation="portrait" r:id="rId9"/>
    </customSheetView>
    <customSheetView guid="{99BC1C51-34DC-4BF2-906C-1E31B6171D71}">
      <selection activeCell="J38" sqref="J38"/>
      <pageMargins left="0.7" right="0.7" top="0.75" bottom="0.75" header="0.3" footer="0.3"/>
      <pageSetup paperSize="9" orientation="portrait" r:id="rId10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0"/>
  <sheetViews>
    <sheetView topLeftCell="A124" zoomScale="85" zoomScaleNormal="85" workbookViewId="0">
      <selection activeCell="B156" sqref="B156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1" spans="1:11" x14ac:dyDescent="0.25">
      <c r="A1" s="1"/>
    </row>
    <row r="2" spans="1:11" x14ac:dyDescent="0.25">
      <c r="A2" s="1">
        <v>1</v>
      </c>
      <c r="B2" s="1" t="s">
        <v>53</v>
      </c>
      <c r="C2" s="1">
        <v>20201015</v>
      </c>
    </row>
    <row r="3" spans="1:11" x14ac:dyDescent="0.25">
      <c r="A3" s="1"/>
      <c r="B3" s="1" t="s">
        <v>90</v>
      </c>
      <c r="C3">
        <f>SUM(G9:G10)</f>
        <v>6.13375</v>
      </c>
      <c r="D3" t="s">
        <v>91</v>
      </c>
    </row>
    <row r="4" spans="1:11" x14ac:dyDescent="0.25">
      <c r="A4" s="1"/>
      <c r="B4" s="1" t="s">
        <v>97</v>
      </c>
      <c r="C4">
        <f>SUM(INT((WEEKDAY(F4-{2,3,4,5,6})+H4-F4)/7))</f>
        <v>4</v>
      </c>
      <c r="D4" t="s">
        <v>91</v>
      </c>
      <c r="E4" t="s">
        <v>118</v>
      </c>
      <c r="F4" s="6">
        <v>44119</v>
      </c>
      <c r="G4" s="6" t="s">
        <v>89</v>
      </c>
      <c r="H4" s="6">
        <v>44124</v>
      </c>
    </row>
    <row r="5" spans="1:11" x14ac:dyDescent="0.25">
      <c r="A5" s="1"/>
      <c r="B5" s="1" t="s">
        <v>98</v>
      </c>
      <c r="C5">
        <f>SUM(INT((WEEKDAY(F5-{2,3,4,5,6})+H5-F5)/7))</f>
        <v>4</v>
      </c>
      <c r="D5" t="s">
        <v>91</v>
      </c>
      <c r="E5" t="s">
        <v>118</v>
      </c>
      <c r="F5" s="6">
        <v>44119</v>
      </c>
      <c r="G5" s="6" t="s">
        <v>89</v>
      </c>
      <c r="H5" s="6">
        <v>44124</v>
      </c>
    </row>
    <row r="6" spans="1:11" x14ac:dyDescent="0.25">
      <c r="A6" s="1"/>
      <c r="B6" s="1" t="s">
        <v>17</v>
      </c>
      <c r="C6" t="str">
        <f>IF(AND(F9=E9,F10=E10),IF(SUM(H9:H10)&gt;SUM(G9:G10),"Delayed",IF(SUM(H9:H10)&lt;SUM(G9:G10),"InAdvanced","Ontime")),"N/A")</f>
        <v>InAdvanced</v>
      </c>
      <c r="F6" s="6"/>
      <c r="G6" s="6"/>
      <c r="H6" s="6"/>
    </row>
    <row r="7" spans="1:11" x14ac:dyDescent="0.25">
      <c r="A7" s="1"/>
    </row>
    <row r="8" spans="1:11" ht="45" x14ac:dyDescent="0.25">
      <c r="A8" s="1"/>
      <c r="C8" s="39" t="s">
        <v>25</v>
      </c>
      <c r="D8" s="39" t="s">
        <v>26</v>
      </c>
      <c r="E8" s="8" t="s">
        <v>92</v>
      </c>
      <c r="F8" s="8" t="s">
        <v>93</v>
      </c>
      <c r="G8" s="8" t="s">
        <v>94</v>
      </c>
      <c r="H8" s="8" t="s">
        <v>95</v>
      </c>
      <c r="I8" s="8" t="s">
        <v>29</v>
      </c>
      <c r="J8" s="8" t="s">
        <v>107</v>
      </c>
      <c r="K8" s="8" t="s">
        <v>116</v>
      </c>
    </row>
    <row r="9" spans="1:11" x14ac:dyDescent="0.25">
      <c r="A9" s="1"/>
      <c r="C9" s="31">
        <v>1</v>
      </c>
      <c r="D9" s="29" t="str">
        <f>Table!$D$3</f>
        <v>PSW</v>
      </c>
      <c r="E9" s="29">
        <f>SUMIFS(Merged_COEM!$W$60:$W$276,Merged_COEM!$D$60:$D$276,D9, Merged_COEM!$C$60:$C$276,C2)</f>
        <v>886</v>
      </c>
      <c r="F9" s="29">
        <f>SUMIFS(Merged_COEM!$X$60:$X$276,Merged_COEM!$D$60:$D$276,D9, Merged_COEM!$C$60:$C$276,C2)-SUM(SUMIFS(Merged_COEM!$X$60:$X$276,Merged_COEM!$D$60:$D$276,Table!$D$3,Merged_COEM!$AA$60:$AA$276,{"Ongoing","N/A",""},Merged_COEM!$C$60:$C$276,C2))</f>
        <v>886</v>
      </c>
      <c r="G9" s="29">
        <f>1/8*(SUMIFS(Merged_COEM!$Y$60:$Y$276,Merged_COEM!$D$60:$D$276,D9, Merged_COEM!$C$60:$C$276,C2))</f>
        <v>1.9662499999999998</v>
      </c>
      <c r="H9" s="29">
        <f>1/8*(SUMIFS(Merged_COEM!$Z$60:$Z$276,Merged_COEM!$D$60:$D$276,D9, Merged_COEM!$C$60:$C$276,C2)-SUM(SUMIFS(Merged_COEM!$Z$60:$Z$276,Merged_COEM!$D$60:$D$276,D9,Merged_COEM!$AA$60:$AA$276,{"Ongoing","N/A",""},Merged_COEM!$C$60:$C$276,C2)))</f>
        <v>1.9962499999999999</v>
      </c>
      <c r="I9" s="51">
        <f>IFERROR(F9/E9,"N/A")</f>
        <v>1</v>
      </c>
      <c r="J9" s="3">
        <f>COUNTIFS(Merged_COEM!$AK$60:$AK$276,J8,Merged_COEM!$D$60:$D$276,D9,Merged_COEM!$C$60:$C$276,C2)</f>
        <v>1</v>
      </c>
      <c r="K9" s="3">
        <f>COUNTIFS(Merged_COEM!$AK$60:$AK$276,K8,Merged_COEM!$D$60:$D$276,D9,Merged_COEM!$C$60:$C$276,C2)</f>
        <v>0</v>
      </c>
    </row>
    <row r="10" spans="1:11" x14ac:dyDescent="0.25">
      <c r="A10" s="1"/>
      <c r="C10" s="31">
        <v>2</v>
      </c>
      <c r="D10" s="29" t="str">
        <f>Table!$C$3</f>
        <v>ASW</v>
      </c>
      <c r="E10" s="29">
        <f>SUMIFS(Merged_COEM!$W$60:$W$276,Merged_COEM!$D$60:$D$276,D10, Merged_COEM!$C$60:$C$276,C2)</f>
        <v>542</v>
      </c>
      <c r="F10" s="29">
        <f>SUMIFS(Merged_COEM!$X$60:$X$276,Merged_COEM!$D$60:$D$276,D10, Merged_COEM!$C$60:$C$276,C2)-SUM(SUMIFS(Merged_COEM!$X$60:$X$276,Merged_COEM!$D$60:$D$276,D10,Merged_COEM!$AA$60:$AA$276,{"Ongoing","N/A",""},Merged_COEM!$C$60:$C$276,C2))</f>
        <v>542</v>
      </c>
      <c r="G10" s="29">
        <f>1/8*(SUMIFS(Merged_COEM!$Y$60:$Y$276,Merged_COEM!$D$60:$D$276,D10, Merged_COEM!$C$60:$C$276,C2))</f>
        <v>4.1675000000000004</v>
      </c>
      <c r="H10" s="29">
        <f>1/8*(SUMIFS(Merged_COEM!$Z$60:$Z$276,Merged_COEM!$D$60:$D$276,D10, Merged_COEM!$C$60:$C$276,C2)-SUM(SUMIFS(Merged_COEM!$Z$60:$Z$276,Merged_COEM!$D$60:$D$276,D10,Merged_COEM!$AA$60:$AA$276,{"Ongoing","N/A",""},Merged_COEM!$C$60:$C$276,C2)))</f>
        <v>1.6875</v>
      </c>
      <c r="I10" s="51">
        <f>IFERROR(F10/E10,"N/A")</f>
        <v>1</v>
      </c>
      <c r="J10" s="3">
        <f>COUNTIFS(Merged_COEM!$AK$60:$AK$276,J8,Merged_COEM!$D$60:$D$276,D10,Merged_COEM!$C$60:$C$276,C2)</f>
        <v>1</v>
      </c>
      <c r="K10" s="3">
        <f>COUNTIFS(Merged_COEM!$AK$60:$AK$276,K8,Merged_COEM!$D$60:$D$276,D10,Merged_COEM!$C$60:$C$276,C2)</f>
        <v>1</v>
      </c>
    </row>
    <row r="11" spans="1:11" x14ac:dyDescent="0.25">
      <c r="A11" s="1"/>
    </row>
    <row r="12" spans="1:11" x14ac:dyDescent="0.25">
      <c r="A12" s="1">
        <v>2</v>
      </c>
      <c r="B12" s="1" t="s">
        <v>53</v>
      </c>
      <c r="C12" s="1">
        <v>20201019</v>
      </c>
    </row>
    <row r="13" spans="1:11" x14ac:dyDescent="0.25">
      <c r="A13" s="1"/>
      <c r="B13" s="1" t="s">
        <v>90</v>
      </c>
      <c r="C13">
        <f>SUM(G19:G20)</f>
        <v>5.5900000000000007</v>
      </c>
      <c r="D13" t="s">
        <v>91</v>
      </c>
    </row>
    <row r="14" spans="1:11" x14ac:dyDescent="0.25">
      <c r="A14" s="1"/>
      <c r="B14" s="1" t="s">
        <v>97</v>
      </c>
      <c r="C14">
        <f>SUM(INT((WEEKDAY(F14-{2,3,4,5,6})+H14-F14)/7))</f>
        <v>4</v>
      </c>
      <c r="D14" t="s">
        <v>91</v>
      </c>
      <c r="E14" t="s">
        <v>118</v>
      </c>
      <c r="F14" s="6">
        <v>44123</v>
      </c>
      <c r="G14" s="6" t="s">
        <v>89</v>
      </c>
      <c r="H14" s="6">
        <v>44126</v>
      </c>
    </row>
    <row r="15" spans="1:11" x14ac:dyDescent="0.25">
      <c r="A15" s="1"/>
      <c r="B15" s="1" t="s">
        <v>98</v>
      </c>
      <c r="C15">
        <f>SUM(INT((WEEKDAY(F15-{2,3,4,5,6})+H15-F15)/7))</f>
        <v>4</v>
      </c>
      <c r="D15" t="s">
        <v>91</v>
      </c>
      <c r="E15" t="s">
        <v>118</v>
      </c>
      <c r="F15" s="6">
        <v>44123</v>
      </c>
      <c r="G15" s="6" t="s">
        <v>89</v>
      </c>
      <c r="H15" s="6">
        <v>44126</v>
      </c>
    </row>
    <row r="16" spans="1:11" x14ac:dyDescent="0.25">
      <c r="A16" s="1"/>
      <c r="B16" s="1" t="s">
        <v>17</v>
      </c>
      <c r="C16" t="str">
        <f>IF(AND(F19=E19,F20=E20),IF(SUM(H19:H20)&gt;SUM(G19:G20),"Delayed",IF(SUM(H19:H20)&lt;SUM(G19:G20),"InAdvanced","Ontime")),"N/A")</f>
        <v>Delayed</v>
      </c>
      <c r="F16" s="6"/>
      <c r="G16" s="6"/>
      <c r="H16" s="6"/>
    </row>
    <row r="17" spans="1:11" x14ac:dyDescent="0.25">
      <c r="A17" s="1"/>
    </row>
    <row r="18" spans="1:11" ht="45" x14ac:dyDescent="0.25">
      <c r="A18" s="1"/>
      <c r="C18" s="39" t="s">
        <v>25</v>
      </c>
      <c r="D18" s="39" t="s">
        <v>26</v>
      </c>
      <c r="E18" s="8" t="s">
        <v>92</v>
      </c>
      <c r="F18" s="8" t="s">
        <v>93</v>
      </c>
      <c r="G18" s="8" t="s">
        <v>94</v>
      </c>
      <c r="H18" s="8" t="s">
        <v>95</v>
      </c>
      <c r="I18" s="8" t="s">
        <v>29</v>
      </c>
      <c r="J18" s="8" t="s">
        <v>107</v>
      </c>
      <c r="K18" s="8" t="s">
        <v>116</v>
      </c>
    </row>
    <row r="19" spans="1:11" x14ac:dyDescent="0.25">
      <c r="A19" s="1"/>
      <c r="C19" s="31">
        <v>1</v>
      </c>
      <c r="D19" s="29" t="str">
        <f>Table!$D$3</f>
        <v>PSW</v>
      </c>
      <c r="E19" s="29">
        <f>SUMIFS(Merged_COEM!$W$60:$W$276,Merged_COEM!$D$60:$D$276,D19, Merged_COEM!$C$60:$C$276,C12)</f>
        <v>384</v>
      </c>
      <c r="F19" s="29">
        <f>SUMIFS(Merged_COEM!$X$60:$X$276,Merged_COEM!$D$60:$D$276,D19, Merged_COEM!$C$60:$C$276,C12)-SUM(SUMIFS(Merged_COEM!$X$60:$X$276,Merged_COEM!$D$60:$D$276,Table!$D$3,Merged_COEM!$AA$60:$AA$276,{"Ongoing","N/A",""},Merged_COEM!$C$60:$C$276,C12))</f>
        <v>384</v>
      </c>
      <c r="G19" s="29">
        <f>1/8*(SUMIFS(Merged_COEM!$Y$60:$Y$276,Merged_COEM!$D$60:$D$276,D19, Merged_COEM!$C$60:$C$276,C12))</f>
        <v>0.85250000000000004</v>
      </c>
      <c r="H19" s="29">
        <f>1/8*(SUMIFS(Merged_COEM!$Z$60:$Z$276,Merged_COEM!$D$60:$D$276,D19, Merged_COEM!$C$60:$C$276,C12)-SUM(SUMIFS(Merged_COEM!$Z$60:$Z$276,Merged_COEM!$D$60:$D$276,D19,Merged_COEM!$AA$60:$AA$276,{"Ongoing","N/A",""},Merged_COEM!$C$60:$C$276,C12)))</f>
        <v>0.85250000000000004</v>
      </c>
      <c r="I19" s="51">
        <f>IFERROR(F19/E19,"N/A")</f>
        <v>1</v>
      </c>
      <c r="J19" s="3">
        <f>COUNTIFS(Merged_COEM!$AK$60:$AK$276,J18,Merged_COEM!$D$60:$D$276,D19,Merged_COEM!$C$60:$C$276,C12)</f>
        <v>0</v>
      </c>
      <c r="K19" s="3">
        <f>COUNTIFS(Merged_COEM!$AK$60:$AK$276,K18,Merged_COEM!$D$60:$D$276,D19,Merged_COEM!$C$60:$C$276,C12)</f>
        <v>0</v>
      </c>
    </row>
    <row r="20" spans="1:11" x14ac:dyDescent="0.25">
      <c r="A20" s="1"/>
      <c r="C20" s="31">
        <v>2</v>
      </c>
      <c r="D20" s="29" t="str">
        <f>Table!$C$3</f>
        <v>ASW</v>
      </c>
      <c r="E20" s="29">
        <f>SUMIFS(Merged_COEM!$W$60:$W$276,Merged_COEM!$D$60:$D$276,D20, Merged_COEM!$C$60:$C$276,C12)</f>
        <v>616</v>
      </c>
      <c r="F20" s="29">
        <f>SUMIFS(Merged_COEM!$X$60:$X$276,Merged_COEM!$D$60:$D$276,D20, Merged_COEM!$C$60:$C$276,C12)-SUM(SUMIFS(Merged_COEM!$X$60:$X$276,Merged_COEM!$D$60:$D$276,D20,Merged_COEM!$AA$60:$AA$276,{"Ongoing","N/A",""},Merged_COEM!$C$60:$C$276,C12))</f>
        <v>616</v>
      </c>
      <c r="G20" s="29">
        <f>1/8*(SUMIFS(Merged_COEM!$Y$60:$Y$276,Merged_COEM!$D$60:$D$276,D20, Merged_COEM!$C$60:$C$276,C12))</f>
        <v>4.7375000000000007</v>
      </c>
      <c r="H20" s="29">
        <f>1/8*(SUMIFS(Merged_COEM!$Z$60:$Z$276,Merged_COEM!$D$60:$D$276,D20, Merged_COEM!$C$60:$C$276,C12)-SUM(SUMIFS(Merged_COEM!$Z$60:$Z$276,Merged_COEM!$D$60:$D$276,D20,Merged_COEM!$AA$60:$AA$276,{"Ongoing","N/A",""},Merged_COEM!$C$60:$C$276,C12)))</f>
        <v>5.625</v>
      </c>
      <c r="I20" s="51">
        <f>IFERROR(F20/E20,"N/A")</f>
        <v>1</v>
      </c>
      <c r="J20" s="3">
        <f>COUNTIFS(Merged_COEM!$AK$60:$AK$276,J18,Merged_COEM!$D$60:$D$276,D20,Merged_COEM!$C$60:$C$276,C12)</f>
        <v>0</v>
      </c>
      <c r="K20" s="3">
        <f>COUNTIFS(Merged_COEM!$AK$60:$AK$276,K18,Merged_COEM!$D$60:$D$276,D20,Merged_COEM!$C$60:$C$276,C12)</f>
        <v>2</v>
      </c>
    </row>
    <row r="22" spans="1:11" x14ac:dyDescent="0.25">
      <c r="A22" s="1">
        <v>3</v>
      </c>
      <c r="B22" s="1" t="s">
        <v>53</v>
      </c>
      <c r="C22" s="1">
        <v>20201020</v>
      </c>
    </row>
    <row r="23" spans="1:11" x14ac:dyDescent="0.25">
      <c r="A23" s="1"/>
      <c r="B23" s="1" t="s">
        <v>90</v>
      </c>
      <c r="C23">
        <f>SUM(G29:G30)</f>
        <v>2.1625000000000001</v>
      </c>
      <c r="D23" t="s">
        <v>91</v>
      </c>
    </row>
    <row r="24" spans="1:11" x14ac:dyDescent="0.25">
      <c r="A24" s="1"/>
      <c r="B24" s="1" t="s">
        <v>97</v>
      </c>
      <c r="C24">
        <f>SUM(INT((WEEKDAY(F24-{2,3,4,5,6})+H24-F24)/7))</f>
        <v>7</v>
      </c>
      <c r="D24" t="s">
        <v>91</v>
      </c>
      <c r="E24" t="s">
        <v>118</v>
      </c>
      <c r="F24" s="6">
        <v>44124</v>
      </c>
      <c r="G24" s="6" t="s">
        <v>89</v>
      </c>
      <c r="H24" s="6">
        <v>44132</v>
      </c>
    </row>
    <row r="25" spans="1:11" x14ac:dyDescent="0.25">
      <c r="A25" s="1"/>
      <c r="B25" s="1" t="s">
        <v>98</v>
      </c>
      <c r="C25">
        <f>SUM(INT((WEEKDAY(F25-{2,3,4,5,6})+H25-F25)/7))</f>
        <v>7</v>
      </c>
      <c r="D25" t="s">
        <v>91</v>
      </c>
      <c r="E25" t="s">
        <v>118</v>
      </c>
      <c r="F25" s="6">
        <v>44124</v>
      </c>
      <c r="G25" s="6" t="s">
        <v>89</v>
      </c>
      <c r="H25" s="6">
        <v>44132</v>
      </c>
    </row>
    <row r="26" spans="1:11" x14ac:dyDescent="0.25">
      <c r="A26" s="1"/>
      <c r="B26" s="1" t="s">
        <v>17</v>
      </c>
      <c r="C26" t="str">
        <f>IF(AND(F29=E29,F30=E30),IF(SUM(H29:H30)&gt;SUM(G29:G30),"Delayed",IF(SUM(H29:H30)&lt;SUM(G29:G30),"InAdvanced","Ontime")),"N/A")</f>
        <v>InAdvanced</v>
      </c>
      <c r="F26" s="6"/>
      <c r="G26" s="6"/>
      <c r="H26" s="6"/>
    </row>
    <row r="27" spans="1:11" x14ac:dyDescent="0.25">
      <c r="A27" s="1"/>
    </row>
    <row r="28" spans="1:11" ht="45" x14ac:dyDescent="0.25">
      <c r="A28" s="1"/>
      <c r="C28" s="39" t="s">
        <v>25</v>
      </c>
      <c r="D28" s="39" t="s">
        <v>26</v>
      </c>
      <c r="E28" s="8" t="s">
        <v>92</v>
      </c>
      <c r="F28" s="8" t="s">
        <v>93</v>
      </c>
      <c r="G28" s="8" t="s">
        <v>94</v>
      </c>
      <c r="H28" s="8" t="s">
        <v>95</v>
      </c>
      <c r="I28" s="8" t="s">
        <v>29</v>
      </c>
      <c r="J28" s="8" t="s">
        <v>107</v>
      </c>
      <c r="K28" s="8" t="s">
        <v>116</v>
      </c>
    </row>
    <row r="29" spans="1:11" x14ac:dyDescent="0.25">
      <c r="A29" s="1"/>
      <c r="C29" s="31">
        <v>1</v>
      </c>
      <c r="D29" s="29" t="str">
        <f>Table!$D$3</f>
        <v>PSW</v>
      </c>
      <c r="E29" s="29">
        <f>SUMIFS(Merged_COEM!$W$60:$W$276,Merged_COEM!$D$60:$D$276,D29, Merged_COEM!$C$60:$C$276,C22)</f>
        <v>974</v>
      </c>
      <c r="F29" s="29">
        <f>SUMIFS(Merged_COEM!$X$60:$X$276,Merged_COEM!$D$60:$D$276,D29, Merged_COEM!$C$60:$C$276,C22)-SUM(SUMIFS(Merged_COEM!$X$60:$X$276,Merged_COEM!$D$60:$D$276,Table!$D$3,Merged_COEM!$AA$60:$AA$276,{"Ongoing","N/A",""},Merged_COEM!$C$60:$C$276,C22))</f>
        <v>974</v>
      </c>
      <c r="G29" s="29">
        <f>1/8*(SUMIFS(Merged_COEM!$Y$60:$Y$276,Merged_COEM!$D$60:$D$276,D29, Merged_COEM!$C$60:$C$276,C22))</f>
        <v>2.1625000000000001</v>
      </c>
      <c r="H29" s="29">
        <f>1/8*(SUMIFS(Merged_COEM!$Z$60:$Z$276,Merged_COEM!$D$60:$D$276,D29, Merged_COEM!$C$60:$C$276,C22)-SUM(SUMIFS(Merged_COEM!$Z$60:$Z$276,Merged_COEM!$D$60:$D$276,D29,Merged_COEM!$AA$60:$AA$276,{"Ongoing","N/A",""},Merged_COEM!$C$60:$C$276,C22)))</f>
        <v>1.3025</v>
      </c>
      <c r="I29" s="51">
        <f>IFERROR(F29/E29,"N/A")</f>
        <v>1</v>
      </c>
      <c r="J29" s="3">
        <f>COUNTIFS(Merged_COEM!$AK$60:$AK$276,J28,Merged_COEM!$D$60:$D$276,D29,Merged_COEM!$C$60:$C$276,C22)</f>
        <v>0</v>
      </c>
      <c r="K29" s="3">
        <f>COUNTIFS(Merged_COEM!$AK$60:$AK$276,K28,Merged_COEM!$D$60:$D$276,D29,Merged_COEM!$C$60:$C$276,C22)</f>
        <v>0</v>
      </c>
    </row>
    <row r="30" spans="1:11" x14ac:dyDescent="0.25">
      <c r="A30" s="1"/>
      <c r="C30" s="31">
        <v>2</v>
      </c>
      <c r="D30" s="29" t="str">
        <f>Table!$C$3</f>
        <v>ASW</v>
      </c>
      <c r="E30" s="29">
        <f>SUMIFS(Merged_COEM!$W$60:$W$276,Merged_COEM!$D$60:$D$276,D30, Merged_COEM!$C$60:$C$276,C22)</f>
        <v>0</v>
      </c>
      <c r="F30" s="29">
        <f>SUMIFS(Merged_COEM!$X$60:$X$276,Merged_COEM!$D$60:$D$276,D30, Merged_COEM!$C$60:$C$276,C22)-SUM(SUMIFS(Merged_COEM!$X$60:$X$276,Merged_COEM!$D$60:$D$276,D30,Merged_COEM!$AA$60:$AA$276,{"Ongoing","N/A",""},Merged_COEM!$C$60:$C$276,C22))</f>
        <v>0</v>
      </c>
      <c r="G30" s="29">
        <f>1/8*(SUMIFS(Merged_COEM!$Y$60:$Y$276,Merged_COEM!$D$60:$D$276,D30, Merged_COEM!$C$60:$C$276,C22))</f>
        <v>0</v>
      </c>
      <c r="H30" s="29">
        <f>1/8*(SUMIFS(Merged_COEM!$Z$60:$Z$276,Merged_COEM!$D$60:$D$276,D30, Merged_COEM!$C$60:$C$276,C22)-SUM(SUMIFS(Merged_COEM!$Z$60:$Z$276,Merged_COEM!$D$60:$D$276,D30,Merged_COEM!$AA$60:$AA$276,{"Ongoing","N/A",""},Merged_COEM!$C$60:$C$276,C22)))</f>
        <v>0</v>
      </c>
      <c r="I30" s="51" t="str">
        <f>IFERROR(F30/E30,"N/A")</f>
        <v>N/A</v>
      </c>
      <c r="J30" s="3">
        <f>COUNTIFS(Merged_COEM!$AK$60:$AK$276,J28,Merged_COEM!$D$60:$D$276,D30,Merged_COEM!$C$60:$C$276,C22)</f>
        <v>0</v>
      </c>
      <c r="K30" s="3">
        <f>COUNTIFS(Merged_COEM!$AK$60:$AK$276,K28,Merged_COEM!$D$60:$D$276,D30,Merged_COEM!$C$60:$C$276,C22)</f>
        <v>0</v>
      </c>
    </row>
    <row r="32" spans="1:11" x14ac:dyDescent="0.25">
      <c r="A32" s="1">
        <v>4</v>
      </c>
      <c r="B32" s="1" t="s">
        <v>53</v>
      </c>
      <c r="C32" s="1">
        <v>20201021</v>
      </c>
    </row>
    <row r="33" spans="1:11" x14ac:dyDescent="0.25">
      <c r="A33" s="1"/>
      <c r="B33" s="1" t="s">
        <v>90</v>
      </c>
      <c r="C33">
        <f>SUM(G39:G40)</f>
        <v>4.6137500000000005</v>
      </c>
      <c r="D33" t="s">
        <v>91</v>
      </c>
    </row>
    <row r="34" spans="1:11" x14ac:dyDescent="0.25">
      <c r="A34" s="1"/>
      <c r="B34" s="1" t="s">
        <v>97</v>
      </c>
      <c r="C34">
        <f>SUM(INT((WEEKDAY(F34-{2,3,4,5,6})+H34-F34)/7))</f>
        <v>6</v>
      </c>
      <c r="D34" t="s">
        <v>91</v>
      </c>
      <c r="E34" t="s">
        <v>118</v>
      </c>
      <c r="F34" s="6">
        <v>44125</v>
      </c>
      <c r="G34" s="6" t="s">
        <v>89</v>
      </c>
      <c r="H34" s="6">
        <v>44132</v>
      </c>
    </row>
    <row r="35" spans="1:11" x14ac:dyDescent="0.25">
      <c r="A35" s="1"/>
      <c r="B35" s="1" t="s">
        <v>98</v>
      </c>
      <c r="C35">
        <f>SUM(INT((WEEKDAY(F35-{2,3,4,5,6})+H35-F35)/7))</f>
        <v>6</v>
      </c>
      <c r="D35" t="s">
        <v>91</v>
      </c>
      <c r="E35" t="s">
        <v>118</v>
      </c>
      <c r="F35" s="6">
        <v>44125</v>
      </c>
      <c r="G35" s="6" t="s">
        <v>89</v>
      </c>
      <c r="H35" s="6">
        <v>44132</v>
      </c>
    </row>
    <row r="36" spans="1:11" x14ac:dyDescent="0.25">
      <c r="A36" s="1"/>
      <c r="B36" s="1" t="s">
        <v>17</v>
      </c>
      <c r="C36" t="str">
        <f>IF(AND(F39=E39,F40=E40),IF(SUM(H39:H40)&gt;SUM(G39:G40),"Delayed",IF(SUM(H39:H40)&lt;SUM(G39:G40),"InAdvanced","Ontime")),"N/A")</f>
        <v>InAdvanced</v>
      </c>
      <c r="F36" s="6"/>
      <c r="G36" s="6"/>
      <c r="H36" s="6"/>
    </row>
    <row r="37" spans="1:11" x14ac:dyDescent="0.25">
      <c r="A37" s="1"/>
    </row>
    <row r="38" spans="1:11" ht="45" x14ac:dyDescent="0.25">
      <c r="A38" s="1"/>
      <c r="C38" s="39" t="s">
        <v>25</v>
      </c>
      <c r="D38" s="39" t="s">
        <v>26</v>
      </c>
      <c r="E38" s="8" t="s">
        <v>92</v>
      </c>
      <c r="F38" s="8" t="s">
        <v>93</v>
      </c>
      <c r="G38" s="8" t="s">
        <v>94</v>
      </c>
      <c r="H38" s="8" t="s">
        <v>95</v>
      </c>
      <c r="I38" s="8" t="s">
        <v>29</v>
      </c>
      <c r="J38" s="8" t="s">
        <v>107</v>
      </c>
      <c r="K38" s="8" t="s">
        <v>116</v>
      </c>
    </row>
    <row r="39" spans="1:11" x14ac:dyDescent="0.25">
      <c r="A39" s="1"/>
      <c r="C39" s="31">
        <v>1</v>
      </c>
      <c r="D39" s="29" t="str">
        <f>Table!$D$3</f>
        <v>PSW</v>
      </c>
      <c r="E39" s="29">
        <f>SUMIFS(Merged_COEM!$W$60:$W$276,Merged_COEM!$D$60:$D$276,D39, Merged_COEM!$C$60:$C$276,C32)</f>
        <v>2079</v>
      </c>
      <c r="F39" s="29">
        <f>SUMIFS(Merged_COEM!$X$60:$X$276,Merged_COEM!$D$60:$D$276,D39, Merged_COEM!$C$60:$C$276,C32)-SUM(SUMIFS(Merged_COEM!$X$60:$X$276,Merged_COEM!$D$60:$D$276,Table!$D$3,Merged_COEM!$AA$60:$AA$276,{"Ongoing","N/A",""},Merged_COEM!$C$60:$C$276,C32))</f>
        <v>2079</v>
      </c>
      <c r="G39" s="29">
        <f>1/8*(SUMIFS(Merged_COEM!$Y$60:$Y$276,Merged_COEM!$D$60:$D$276,D39, Merged_COEM!$C$60:$C$276,C32))</f>
        <v>4.6137500000000005</v>
      </c>
      <c r="H39" s="29">
        <f>1/8*(SUMIFS(Merged_COEM!$Z$60:$Z$276,Merged_COEM!$D$60:$D$276,D39, Merged_COEM!$C$60:$C$276,C32)-SUM(SUMIFS(Merged_COEM!$Z$60:$Z$276,Merged_COEM!$D$60:$D$276,D39,Merged_COEM!$AA$60:$AA$276,{"Ongoing","N/A",""},Merged_COEM!$C$60:$C$276,C32)))</f>
        <v>3.51125</v>
      </c>
      <c r="I39" s="51">
        <f>IFERROR(F39/E39,"N/A")</f>
        <v>1</v>
      </c>
      <c r="J39" s="3">
        <f>COUNTIFS(Merged_COEM!$AK$60:$AK$276,J38,Merged_COEM!$D$60:$D$276,D39,Merged_COEM!$C$60:$C$276,C32)</f>
        <v>2</v>
      </c>
      <c r="K39" s="3">
        <f>COUNTIFS(Merged_COEM!$AK$60:$AK$276,K38,Merged_COEM!$D$60:$D$276,D39,Merged_COEM!$C$60:$C$276,C32)</f>
        <v>0</v>
      </c>
    </row>
    <row r="40" spans="1:11" x14ac:dyDescent="0.25">
      <c r="A40" s="1"/>
      <c r="C40" s="31">
        <v>2</v>
      </c>
      <c r="D40" s="29" t="str">
        <f>Table!$C$3</f>
        <v>ASW</v>
      </c>
      <c r="E40" s="29">
        <f>SUMIFS(Merged_COEM!$W$60:$W$276,Merged_COEM!$D$60:$D$276,D40, Merged_COEM!$C$60:$C$276,C32)</f>
        <v>0</v>
      </c>
      <c r="F40" s="29">
        <f>SUMIFS(Merged_COEM!$X$60:$X$276,Merged_COEM!$D$60:$D$276,D40, Merged_COEM!$C$60:$C$276,C32)-SUM(SUMIFS(Merged_COEM!$X$60:$X$276,Merged_COEM!$D$60:$D$276,D40,Merged_COEM!$AA$60:$AA$276,{"Ongoing","N/A",""},Merged_COEM!$C$60:$C$276,C32))</f>
        <v>0</v>
      </c>
      <c r="G40" s="29">
        <f>1/8*(SUMIFS(Merged_COEM!$Y$60:$Y$276,Merged_COEM!$D$60:$D$276,D40, Merged_COEM!$C$60:$C$276,C32))</f>
        <v>0</v>
      </c>
      <c r="H40" s="29">
        <f>1/8*(SUMIFS(Merged_COEM!$Z$60:$Z$276,Merged_COEM!$D$60:$D$276,D40, Merged_COEM!$C$60:$C$276,C32)-SUM(SUMIFS(Merged_COEM!$Z$60:$Z$276,Merged_COEM!$D$60:$D$276,D40,Merged_COEM!$AA$60:$AA$276,{"Ongoing","N/A",""},Merged_COEM!$C$60:$C$276,C32)))</f>
        <v>0</v>
      </c>
      <c r="I40" s="51" t="str">
        <f>IFERROR(F40/E40,"N/A")</f>
        <v>N/A</v>
      </c>
      <c r="J40" s="3">
        <f>COUNTIFS(Merged_COEM!$AK$60:$AK$276,J38,Merged_COEM!$D$60:$D$276,D40,Merged_COEM!$C$60:$C$276,C32)</f>
        <v>0</v>
      </c>
      <c r="K40" s="3">
        <f>COUNTIFS(Merged_COEM!$AK$60:$AK$276,K38,Merged_COEM!$D$60:$D$276,D40,Merged_COEM!$C$60:$C$276,C32)</f>
        <v>0</v>
      </c>
    </row>
    <row r="42" spans="1:11" x14ac:dyDescent="0.25">
      <c r="A42" s="1">
        <v>5</v>
      </c>
      <c r="B42" s="1" t="s">
        <v>53</v>
      </c>
      <c r="C42" s="1">
        <v>20201022</v>
      </c>
    </row>
    <row r="43" spans="1:11" x14ac:dyDescent="0.25">
      <c r="A43" s="1"/>
      <c r="B43" s="1" t="s">
        <v>90</v>
      </c>
      <c r="C43">
        <f>SUM(G49:G50)</f>
        <v>7.8512500000000003</v>
      </c>
      <c r="D43" t="s">
        <v>91</v>
      </c>
    </row>
    <row r="44" spans="1:11" x14ac:dyDescent="0.25">
      <c r="A44" s="1"/>
      <c r="B44" s="1" t="s">
        <v>97</v>
      </c>
      <c r="C44">
        <f>SUM(INT((WEEKDAY(F44-{2,3,4,5,6})+H44-F44)/7))</f>
        <v>6</v>
      </c>
      <c r="D44" t="s">
        <v>91</v>
      </c>
      <c r="E44" t="s">
        <v>118</v>
      </c>
      <c r="F44" s="6">
        <v>44126</v>
      </c>
      <c r="G44" s="6" t="s">
        <v>89</v>
      </c>
      <c r="H44" s="6">
        <v>44133</v>
      </c>
    </row>
    <row r="45" spans="1:11" x14ac:dyDescent="0.25">
      <c r="A45" s="1"/>
      <c r="B45" s="1" t="s">
        <v>98</v>
      </c>
      <c r="C45">
        <f>SUM(INT((WEEKDAY(F45-{2,3,4,5,6})+H45-F45)/7))</f>
        <v>6</v>
      </c>
      <c r="D45" t="s">
        <v>91</v>
      </c>
      <c r="E45" t="s">
        <v>118</v>
      </c>
      <c r="F45" s="6">
        <v>44126</v>
      </c>
      <c r="G45" s="6" t="s">
        <v>89</v>
      </c>
      <c r="H45" s="6">
        <v>44133</v>
      </c>
    </row>
    <row r="46" spans="1:11" x14ac:dyDescent="0.25">
      <c r="A46" s="1"/>
      <c r="B46" s="1" t="s">
        <v>17</v>
      </c>
      <c r="C46" t="str">
        <f>IF(AND(F49=E49,F50=E50),IF(SUM(H49:H50)&gt;SUM(G49:G50),"Delayed",IF(SUM(H49:H50)&lt;SUM(G49:G50),"InAdvanced","Ontime")),"N/A")</f>
        <v>InAdvanced</v>
      </c>
      <c r="F46" s="6"/>
      <c r="G46" s="6"/>
      <c r="H46" s="6"/>
    </row>
    <row r="47" spans="1:11" x14ac:dyDescent="0.25">
      <c r="A47" s="1"/>
    </row>
    <row r="48" spans="1:11" ht="45" x14ac:dyDescent="0.25">
      <c r="A48" s="1"/>
      <c r="C48" s="39" t="s">
        <v>25</v>
      </c>
      <c r="D48" s="39" t="s">
        <v>26</v>
      </c>
      <c r="E48" s="8" t="s">
        <v>92</v>
      </c>
      <c r="F48" s="8" t="s">
        <v>93</v>
      </c>
      <c r="G48" s="8" t="s">
        <v>94</v>
      </c>
      <c r="H48" s="8" t="s">
        <v>95</v>
      </c>
      <c r="I48" s="8" t="s">
        <v>29</v>
      </c>
      <c r="J48" s="8" t="s">
        <v>107</v>
      </c>
      <c r="K48" s="8" t="s">
        <v>116</v>
      </c>
    </row>
    <row r="49" spans="1:11" x14ac:dyDescent="0.25">
      <c r="A49" s="1"/>
      <c r="C49" s="31">
        <v>1</v>
      </c>
      <c r="D49" s="29" t="str">
        <f>Table!$D$3</f>
        <v>PSW</v>
      </c>
      <c r="E49" s="29">
        <f>SUMIFS(Merged_COEM!$W$60:$W$276,Merged_COEM!$D$60:$D$276,D49, Merged_COEM!$C$60:$C$276,C42)</f>
        <v>3395</v>
      </c>
      <c r="F49" s="29">
        <f>SUMIFS(Merged_COEM!$X$60:$X$276,Merged_COEM!$D$60:$D$276,D49, Merged_COEM!$C$60:$C$276,C42)-SUM(SUMIFS(Merged_COEM!$X$60:$X$276,Merged_COEM!$D$60:$D$276,Table!$D$3,Merged_COEM!$AA$60:$AA$276,{"Ongoing","N/A",""},Merged_COEM!$C$60:$C$276,C42))</f>
        <v>3395</v>
      </c>
      <c r="G49" s="29">
        <f>1/8*(SUMIFS(Merged_COEM!$Y$60:$Y$276,Merged_COEM!$D$60:$D$276,D49, Merged_COEM!$C$60:$C$276,C42))</f>
        <v>7.5437500000000002</v>
      </c>
      <c r="H49" s="29">
        <f>1/8*(SUMIFS(Merged_COEM!$Z$60:$Z$276,Merged_COEM!$D$60:$D$276,D49, Merged_COEM!$C$60:$C$276,C42)-SUM(SUMIFS(Merged_COEM!$Z$60:$Z$276,Merged_COEM!$D$60:$D$276,D49,Merged_COEM!$AA$60:$AA$276,{"Ongoing","N/A",""},Merged_COEM!$C$60:$C$276,C42)))</f>
        <v>7.1187500000000004</v>
      </c>
      <c r="I49" s="51">
        <f>IFERROR(F49/E49,"N/A")</f>
        <v>1</v>
      </c>
      <c r="J49" s="3">
        <f>COUNTIFS(Merged_COEM!$AK$60:$AK$276,J48,Merged_COEM!$D$60:$D$276,D49,Merged_COEM!$C$60:$C$276,C42)</f>
        <v>0</v>
      </c>
      <c r="K49" s="3">
        <f>COUNTIFS(Merged_COEM!$AK$60:$AK$276,K48,Merged_COEM!$D$60:$D$276,D49,Merged_COEM!$C$60:$C$276,C42)</f>
        <v>0</v>
      </c>
    </row>
    <row r="50" spans="1:11" x14ac:dyDescent="0.25">
      <c r="A50" s="1"/>
      <c r="C50" s="31">
        <v>2</v>
      </c>
      <c r="D50" s="29" t="str">
        <f>Table!$C$3</f>
        <v>ASW</v>
      </c>
      <c r="E50" s="29">
        <f>SUMIFS(Merged_COEM!$W$60:$W$276,Merged_COEM!$D$60:$D$276,D50, Merged_COEM!$C$60:$C$276,C42)</f>
        <v>40</v>
      </c>
      <c r="F50" s="29">
        <f>SUMIFS(Merged_COEM!$X$60:$X$276,Merged_COEM!$D$60:$D$276,D50, Merged_COEM!$C$60:$C$276,C42)-SUM(SUMIFS(Merged_COEM!$X$60:$X$276,Merged_COEM!$D$60:$D$276,D50,Merged_COEM!$AA$60:$AA$276,{"Ongoing","N/A",""},Merged_COEM!$C$60:$C$276,C42))</f>
        <v>40</v>
      </c>
      <c r="G50" s="29">
        <f>1/8*(SUMIFS(Merged_COEM!$Y$60:$Y$276,Merged_COEM!$D$60:$D$276,D50, Merged_COEM!$C$60:$C$276,C42))</f>
        <v>0.3075</v>
      </c>
      <c r="H50" s="29">
        <f>1/8*(SUMIFS(Merged_COEM!$Z$60:$Z$276,Merged_COEM!$D$60:$D$276,D50, Merged_COEM!$C$60:$C$276,C42)-SUM(SUMIFS(Merged_COEM!$Z$60:$Z$276,Merged_COEM!$D$60:$D$276,D50,Merged_COEM!$AA$60:$AA$276,{"Ongoing","N/A",""},Merged_COEM!$C$60:$C$276,C42)))</f>
        <v>0.25</v>
      </c>
      <c r="I50" s="51">
        <f>IFERROR(F50/E50,"N/A")</f>
        <v>1</v>
      </c>
      <c r="J50" s="3">
        <f>COUNTIFS(Merged_COEM!$AK$60:$AK$276,J48,Merged_COEM!$D$60:$D$276,D50,Merged_COEM!$C$60:$C$276,C42)</f>
        <v>0</v>
      </c>
      <c r="K50" s="3">
        <f>COUNTIFS(Merged_COEM!$AK$60:$AK$276,K48,Merged_COEM!$D$60:$D$276,D50,Merged_COEM!$C$60:$C$276,C42)</f>
        <v>1</v>
      </c>
    </row>
    <row r="52" spans="1:11" x14ac:dyDescent="0.25">
      <c r="A52" s="1">
        <v>6</v>
      </c>
      <c r="B52" s="1" t="s">
        <v>53</v>
      </c>
      <c r="C52" s="1">
        <v>20201023</v>
      </c>
    </row>
    <row r="53" spans="1:11" x14ac:dyDescent="0.25">
      <c r="A53" s="1"/>
      <c r="B53" s="1" t="s">
        <v>90</v>
      </c>
      <c r="C53">
        <f>SUM(G59:G60)</f>
        <v>3.8062499999999995</v>
      </c>
      <c r="D53" t="s">
        <v>91</v>
      </c>
    </row>
    <row r="54" spans="1:11" x14ac:dyDescent="0.25">
      <c r="A54" s="1"/>
      <c r="B54" s="1" t="s">
        <v>97</v>
      </c>
      <c r="C54">
        <f>SUM(INT((WEEKDAY(F54-{2,3,4,5,6})+H54-F54)/7))</f>
        <v>3</v>
      </c>
      <c r="D54" t="s">
        <v>91</v>
      </c>
      <c r="E54" t="s">
        <v>118</v>
      </c>
      <c r="F54" s="6">
        <v>44127</v>
      </c>
      <c r="G54" s="6" t="s">
        <v>89</v>
      </c>
      <c r="H54" s="6">
        <v>44131</v>
      </c>
    </row>
    <row r="55" spans="1:11" x14ac:dyDescent="0.25">
      <c r="A55" s="1"/>
      <c r="B55" s="1" t="s">
        <v>98</v>
      </c>
      <c r="C55">
        <f>SUM(INT((WEEKDAY(F55-{2,3,4,5,6})+H55-F55)/7))</f>
        <v>3</v>
      </c>
      <c r="D55" t="s">
        <v>91</v>
      </c>
      <c r="E55" t="s">
        <v>118</v>
      </c>
      <c r="F55" s="6">
        <v>44127</v>
      </c>
      <c r="G55" s="6" t="s">
        <v>89</v>
      </c>
      <c r="H55" s="6">
        <v>44131</v>
      </c>
    </row>
    <row r="56" spans="1:11" x14ac:dyDescent="0.25">
      <c r="A56" s="1"/>
      <c r="B56" s="1" t="s">
        <v>17</v>
      </c>
      <c r="C56" t="str">
        <f>IF(AND(F59=E59,F60=E60),IF(SUM(H59:H60)&gt;SUM(G59:G60),"Delayed",IF(SUM(H59:H60)&lt;SUM(G59:G60),"InAdvanced","Ontime")),"N/A")</f>
        <v>Delayed</v>
      </c>
      <c r="F56" s="6"/>
      <c r="G56" s="6"/>
      <c r="H56" s="6"/>
    </row>
    <row r="57" spans="1:11" x14ac:dyDescent="0.25">
      <c r="A57" s="1"/>
    </row>
    <row r="58" spans="1:11" ht="45" x14ac:dyDescent="0.25">
      <c r="A58" s="1"/>
      <c r="C58" s="39" t="s">
        <v>25</v>
      </c>
      <c r="D58" s="39" t="s">
        <v>26</v>
      </c>
      <c r="E58" s="8" t="s">
        <v>92</v>
      </c>
      <c r="F58" s="8" t="s">
        <v>93</v>
      </c>
      <c r="G58" s="8" t="s">
        <v>94</v>
      </c>
      <c r="H58" s="8" t="s">
        <v>95</v>
      </c>
      <c r="I58" s="8" t="s">
        <v>29</v>
      </c>
      <c r="J58" s="8" t="s">
        <v>107</v>
      </c>
      <c r="K58" s="8" t="s">
        <v>116</v>
      </c>
    </row>
    <row r="59" spans="1:11" x14ac:dyDescent="0.25">
      <c r="A59" s="1"/>
      <c r="C59" s="31">
        <v>1</v>
      </c>
      <c r="D59" s="29" t="str">
        <f>Table!$D$3</f>
        <v>PSW</v>
      </c>
      <c r="E59" s="29">
        <f>SUMIFS(Merged_COEM!$W$60:$W$276,Merged_COEM!$D$60:$D$276,D59, Merged_COEM!$C$60:$C$276,C52)</f>
        <v>1715</v>
      </c>
      <c r="F59" s="29">
        <f>SUMIFS(Merged_COEM!$X$60:$X$276,Merged_COEM!$D$60:$D$276,D59, Merged_COEM!$C$60:$C$276,C52)-SUM(SUMIFS(Merged_COEM!$X$60:$X$276,Merged_COEM!$D$60:$D$276,Table!$D$3,Merged_COEM!$AA$60:$AA$276,{"Ongoing","N/A",""},Merged_COEM!$C$60:$C$276,C52))</f>
        <v>1715</v>
      </c>
      <c r="G59" s="29">
        <f>1/8*(SUMIFS(Merged_COEM!$Y$60:$Y$276,Merged_COEM!$D$60:$D$276,D59, Merged_COEM!$C$60:$C$276,C52))</f>
        <v>3.8062499999999995</v>
      </c>
      <c r="H59" s="29">
        <f>1/8*(SUMIFS(Merged_COEM!$Z$60:$Z$276,Merged_COEM!$D$60:$D$276,D59, Merged_COEM!$C$60:$C$276,C52)-SUM(SUMIFS(Merged_COEM!$Z$60:$Z$276,Merged_COEM!$D$60:$D$276,D59,Merged_COEM!$AA$60:$AA$276,{"Ongoing","N/A",""},Merged_COEM!$C$60:$C$276,C52)))</f>
        <v>3.9262499999999996</v>
      </c>
      <c r="I59" s="51">
        <f>IFERROR(F59/E59,"N/A")</f>
        <v>1</v>
      </c>
      <c r="J59" s="3">
        <f>COUNTIFS(Merged_COEM!$AK$60:$AK$276,J58,Merged_COEM!$D$60:$D$276,D59,Merged_COEM!$C$60:$C$276,C52)</f>
        <v>0</v>
      </c>
      <c r="K59" s="3">
        <f>COUNTIFS(Merged_COEM!$AK$60:$AK$276,K58,Merged_COEM!$D$60:$D$276,D59,Merged_COEM!$C$60:$C$276,C52)</f>
        <v>0</v>
      </c>
    </row>
    <row r="60" spans="1:11" x14ac:dyDescent="0.25">
      <c r="A60" s="1"/>
      <c r="C60" s="31">
        <v>2</v>
      </c>
      <c r="D60" s="29" t="str">
        <f>Table!$C$3</f>
        <v>ASW</v>
      </c>
      <c r="E60" s="29">
        <f>SUMIFS(Merged_COEM!$W$60:$W$276,Merged_COEM!$D$60:$D$276,D60, Merged_COEM!$C$60:$C$276,C52)</f>
        <v>0</v>
      </c>
      <c r="F60" s="29">
        <f>SUMIFS(Merged_COEM!$X$60:$X$276,Merged_COEM!$D$60:$D$276,D60, Merged_COEM!$C$60:$C$276,C52)-SUM(SUMIFS(Merged_COEM!$X$60:$X$276,Merged_COEM!$D$60:$D$276,D60,Merged_COEM!$AA$60:$AA$276,{"Ongoing","N/A",""},Merged_COEM!$C$60:$C$276,C52))</f>
        <v>0</v>
      </c>
      <c r="G60" s="29">
        <f>1/8*(SUMIFS(Merged_COEM!$Y$60:$Y$276,Merged_COEM!$D$60:$D$276,D60, Merged_COEM!$C$60:$C$276,C52))</f>
        <v>0</v>
      </c>
      <c r="H60" s="29">
        <f>1/8*(SUMIFS(Merged_COEM!$Z$60:$Z$276,Merged_COEM!$D$60:$D$276,D60, Merged_COEM!$C$60:$C$276,C52)-SUM(SUMIFS(Merged_COEM!$Z$60:$Z$276,Merged_COEM!$D$60:$D$276,D60,Merged_COEM!$AA$60:$AA$276,{"Ongoing","N/A",""},Merged_COEM!$C$60:$C$276,C52)))</f>
        <v>0</v>
      </c>
      <c r="I60" s="51" t="str">
        <f>IFERROR(F60/E60,"N/A")</f>
        <v>N/A</v>
      </c>
      <c r="J60" s="3">
        <f>COUNTIFS(Merged_COEM!$AK$60:$AK$276,J58,Merged_COEM!$D$60:$D$276,D60,Merged_COEM!$C$60:$C$276,C52)</f>
        <v>0</v>
      </c>
      <c r="K60" s="3">
        <f>COUNTIFS(Merged_COEM!$AK$60:$AK$276,K58,Merged_COEM!$D$60:$D$276,D60,Merged_COEM!$C$60:$C$276,C52)</f>
        <v>0</v>
      </c>
    </row>
    <row r="62" spans="1:11" x14ac:dyDescent="0.25">
      <c r="A62" s="1">
        <v>7</v>
      </c>
      <c r="B62" s="1" t="s">
        <v>53</v>
      </c>
      <c r="C62" s="1">
        <v>20201026</v>
      </c>
    </row>
    <row r="63" spans="1:11" x14ac:dyDescent="0.25">
      <c r="A63" s="1"/>
      <c r="B63" s="1" t="s">
        <v>90</v>
      </c>
      <c r="C63">
        <f>SUM(G69:G70)</f>
        <v>5.0825000000000005</v>
      </c>
      <c r="D63" t="s">
        <v>91</v>
      </c>
    </row>
    <row r="64" spans="1:11" x14ac:dyDescent="0.25">
      <c r="A64" s="1"/>
      <c r="B64" s="1" t="s">
        <v>97</v>
      </c>
      <c r="C64">
        <f>SUM(INT((WEEKDAY(F64-{2,3,4,5,6})+H64-F64)/7))</f>
        <v>5</v>
      </c>
      <c r="D64" t="s">
        <v>91</v>
      </c>
      <c r="E64" t="s">
        <v>118</v>
      </c>
      <c r="F64" s="6">
        <v>44130</v>
      </c>
      <c r="G64" s="6" t="s">
        <v>89</v>
      </c>
      <c r="H64" s="6">
        <v>44134</v>
      </c>
    </row>
    <row r="65" spans="1:11" x14ac:dyDescent="0.25">
      <c r="A65" s="1"/>
      <c r="B65" s="1" t="s">
        <v>98</v>
      </c>
      <c r="C65">
        <f>SUM(INT((WEEKDAY(F65-{2,3,4,5,6})+H65-F65)/7))</f>
        <v>5</v>
      </c>
      <c r="D65" t="s">
        <v>91</v>
      </c>
      <c r="E65" t="s">
        <v>118</v>
      </c>
      <c r="F65" s="6">
        <v>44130</v>
      </c>
      <c r="G65" s="6" t="s">
        <v>89</v>
      </c>
      <c r="H65" s="6">
        <v>44134</v>
      </c>
    </row>
    <row r="66" spans="1:11" x14ac:dyDescent="0.25">
      <c r="A66" s="1"/>
      <c r="B66" s="1" t="s">
        <v>17</v>
      </c>
      <c r="C66" t="str">
        <f>IF(AND(F69=E69,F70=E70),IF(SUM(H69:H70)&gt;SUM(G69:G70),"Delayed",IF(SUM(H69:H70)&lt;SUM(G69:G70),"InAdvanced","Ontime")),"N/A")</f>
        <v>InAdvanced</v>
      </c>
      <c r="F66" s="6"/>
      <c r="G66" s="6"/>
      <c r="H66" s="6"/>
    </row>
    <row r="67" spans="1:11" x14ac:dyDescent="0.25">
      <c r="A67" s="1"/>
    </row>
    <row r="68" spans="1:11" ht="45" x14ac:dyDescent="0.25">
      <c r="A68" s="1"/>
      <c r="C68" s="39" t="s">
        <v>25</v>
      </c>
      <c r="D68" s="39" t="s">
        <v>26</v>
      </c>
      <c r="E68" s="8" t="s">
        <v>92</v>
      </c>
      <c r="F68" s="8" t="s">
        <v>93</v>
      </c>
      <c r="G68" s="8" t="s">
        <v>94</v>
      </c>
      <c r="H68" s="8" t="s">
        <v>95</v>
      </c>
      <c r="I68" s="8" t="s">
        <v>29</v>
      </c>
      <c r="J68" s="8" t="s">
        <v>107</v>
      </c>
      <c r="K68" s="8" t="s">
        <v>116</v>
      </c>
    </row>
    <row r="69" spans="1:11" x14ac:dyDescent="0.25">
      <c r="A69" s="1"/>
      <c r="C69" s="31">
        <v>1</v>
      </c>
      <c r="D69" s="29" t="str">
        <f>Table!$D$3</f>
        <v>PSW</v>
      </c>
      <c r="E69" s="29">
        <f>SUMIFS(Merged_COEM!$W$60:$W$276,Merged_COEM!$D$60:$D$276,D69, Merged_COEM!$C$60:$C$276,C62)</f>
        <v>2048</v>
      </c>
      <c r="F69" s="29">
        <f>SUMIFS(Merged_COEM!$X$60:$X$276,Merged_COEM!$D$60:$D$276,D69, Merged_COEM!$C$60:$C$276,C62)-SUM(SUMIFS(Merged_COEM!$X$60:$X$276,Merged_COEM!$D$60:$D$276,Table!$D$3,Merged_COEM!$AA$60:$AA$276,{"Ongoing","N/A",""},Merged_COEM!$C$60:$C$276,C62))</f>
        <v>2048</v>
      </c>
      <c r="G69" s="29">
        <f>1/8*(SUMIFS(Merged_COEM!$Y$60:$Y$276,Merged_COEM!$D$60:$D$276,D69, Merged_COEM!$C$60:$C$276,C62))</f>
        <v>4.5450000000000008</v>
      </c>
      <c r="H69" s="29">
        <f>1/8*(SUMIFS(Merged_COEM!$Z$60:$Z$276,Merged_COEM!$D$60:$D$276,D69, Merged_COEM!$C$60:$C$276,C62)-SUM(SUMIFS(Merged_COEM!$Z$60:$Z$276,Merged_COEM!$D$60:$D$276,D69,Merged_COEM!$AA$60:$AA$276,{"Ongoing","N/A",""},Merged_COEM!$C$60:$C$276,C62)))</f>
        <v>3.4949999999999997</v>
      </c>
      <c r="I69" s="51">
        <f>IFERROR(F69/E69,"N/A")</f>
        <v>1</v>
      </c>
      <c r="J69" s="3">
        <f>COUNTIFS(Merged_COEM!$AK$60:$AK$276,J68,Merged_COEM!$D$60:$D$276,D69,Merged_COEM!$C$60:$C$276,C62)</f>
        <v>0</v>
      </c>
      <c r="K69" s="3">
        <f>COUNTIFS(Merged_COEM!$AK$60:$AK$276,K68,Merged_COEM!$D$60:$D$276,D69,Merged_COEM!$C$60:$C$276,C62)</f>
        <v>0</v>
      </c>
    </row>
    <row r="70" spans="1:11" x14ac:dyDescent="0.25">
      <c r="A70" s="1"/>
      <c r="C70" s="31">
        <v>2</v>
      </c>
      <c r="D70" s="29" t="str">
        <f>Table!$C$3</f>
        <v>ASW</v>
      </c>
      <c r="E70" s="29">
        <f>SUMIFS(Merged_COEM!$W$60:$W$276,Merged_COEM!$D$60:$D$276,D70, Merged_COEM!$C$60:$C$276,C62)</f>
        <v>70</v>
      </c>
      <c r="F70" s="29">
        <f>SUMIFS(Merged_COEM!$X$60:$X$276,Merged_COEM!$D$60:$D$276,D70, Merged_COEM!$C$60:$C$276,C62)-SUM(SUMIFS(Merged_COEM!$X$60:$X$276,Merged_COEM!$D$60:$D$276,D70,Merged_COEM!$AA$60:$AA$276,{"Ongoing","N/A",""},Merged_COEM!$C$60:$C$276,C62))</f>
        <v>70</v>
      </c>
      <c r="G70" s="29">
        <f>1/8*(SUMIFS(Merged_COEM!$Y$60:$Y$276,Merged_COEM!$D$60:$D$276,D70, Merged_COEM!$C$60:$C$276,C62))</f>
        <v>0.53749999999999998</v>
      </c>
      <c r="H70" s="29">
        <f>1/8*(SUMIFS(Merged_COEM!$Z$60:$Z$276,Merged_COEM!$D$60:$D$276,D70, Merged_COEM!$C$60:$C$276,C62)-SUM(SUMIFS(Merged_COEM!$Z$60:$Z$276,Merged_COEM!$D$60:$D$276,D70,Merged_COEM!$AA$60:$AA$276,{"Ongoing","N/A",""},Merged_COEM!$C$60:$C$276,C62)))</f>
        <v>0.375</v>
      </c>
      <c r="I70" s="51">
        <f>IFERROR(F70/E70,"N/A")</f>
        <v>1</v>
      </c>
      <c r="J70" s="3">
        <f>COUNTIFS(Merged_COEM!$AK$60:$AK$276,J68,Merged_COEM!$D$60:$D$276,D70,Merged_COEM!$C$60:$C$276,C62)</f>
        <v>0</v>
      </c>
      <c r="K70" s="3">
        <f>COUNTIFS(Merged_COEM!$AK$60:$AK$276,K68,Merged_COEM!$D$60:$D$276,D70,Merged_COEM!$C$60:$C$276,C62)</f>
        <v>0</v>
      </c>
    </row>
    <row r="72" spans="1:11" x14ac:dyDescent="0.25">
      <c r="A72" s="1">
        <v>8</v>
      </c>
      <c r="B72" s="1" t="s">
        <v>53</v>
      </c>
      <c r="C72" s="1">
        <v>20201028</v>
      </c>
    </row>
    <row r="73" spans="1:11" x14ac:dyDescent="0.25">
      <c r="A73" s="1"/>
      <c r="B73" s="1" t="s">
        <v>90</v>
      </c>
      <c r="C73">
        <f>SUM(G79:G80)</f>
        <v>3.6637499999999998</v>
      </c>
      <c r="D73" t="s">
        <v>91</v>
      </c>
    </row>
    <row r="74" spans="1:11" x14ac:dyDescent="0.25">
      <c r="A74" s="1"/>
      <c r="B74" s="1" t="s">
        <v>97</v>
      </c>
      <c r="C74">
        <f>SUM(INT((WEEKDAY(F74-{2,3,4,5,6})+H74-F74)/7))</f>
        <v>5</v>
      </c>
      <c r="D74" t="s">
        <v>91</v>
      </c>
      <c r="E74" t="s">
        <v>118</v>
      </c>
      <c r="F74" s="6">
        <v>44133</v>
      </c>
      <c r="G74" s="6" t="s">
        <v>89</v>
      </c>
      <c r="H74" s="6">
        <v>44139</v>
      </c>
    </row>
    <row r="75" spans="1:11" x14ac:dyDescent="0.25">
      <c r="A75" s="1"/>
      <c r="B75" s="1" t="s">
        <v>98</v>
      </c>
      <c r="C75">
        <f>SUM(INT((WEEKDAY(F75-{2,3,4,5,6})+H75-F75)/7))</f>
        <v>5</v>
      </c>
      <c r="D75" t="s">
        <v>91</v>
      </c>
      <c r="E75" t="s">
        <v>118</v>
      </c>
      <c r="F75" s="6">
        <v>44133</v>
      </c>
      <c r="G75" s="6" t="s">
        <v>89</v>
      </c>
      <c r="H75" s="6">
        <v>44139</v>
      </c>
    </row>
    <row r="76" spans="1:11" x14ac:dyDescent="0.25">
      <c r="A76" s="1"/>
      <c r="B76" s="1" t="s">
        <v>17</v>
      </c>
      <c r="C76" t="str">
        <f>IF(AND(F79=E79,F80=E80),IF(SUM(H79:H80)&gt;SUM(G79:G80),"Delayed",IF(SUM(H79:H80)&lt;SUM(G79:G80),"InAdvanced","Ontime")),"N/A")</f>
        <v>InAdvanced</v>
      </c>
      <c r="F76" s="6"/>
      <c r="G76" s="6"/>
      <c r="H76" s="6"/>
    </row>
    <row r="77" spans="1:11" x14ac:dyDescent="0.25">
      <c r="A77" s="1"/>
    </row>
    <row r="78" spans="1:11" ht="45" x14ac:dyDescent="0.25">
      <c r="A78" s="1"/>
      <c r="C78" s="39" t="s">
        <v>25</v>
      </c>
      <c r="D78" s="39" t="s">
        <v>26</v>
      </c>
      <c r="E78" s="8" t="s">
        <v>92</v>
      </c>
      <c r="F78" s="8" t="s">
        <v>93</v>
      </c>
      <c r="G78" s="8" t="s">
        <v>94</v>
      </c>
      <c r="H78" s="8" t="s">
        <v>95</v>
      </c>
      <c r="I78" s="8" t="s">
        <v>29</v>
      </c>
      <c r="J78" s="8" t="s">
        <v>107</v>
      </c>
      <c r="K78" s="8" t="s">
        <v>116</v>
      </c>
    </row>
    <row r="79" spans="1:11" x14ac:dyDescent="0.25">
      <c r="A79" s="1"/>
      <c r="C79" s="31">
        <v>1</v>
      </c>
      <c r="D79" s="29" t="str">
        <f>Table!$D$3</f>
        <v>PSW</v>
      </c>
      <c r="E79" s="29">
        <f>SUMIFS(Merged_COEM!$W$60:$W$276,Merged_COEM!$D$60:$D$276,D79, Merged_COEM!$C$60:$C$276,C72)</f>
        <v>1186</v>
      </c>
      <c r="F79" s="29">
        <f>SUMIFS(Merged_COEM!$X$60:$X$276,Merged_COEM!$D$60:$D$276,D79, Merged_COEM!$C$60:$C$276,C72)-SUM(SUMIFS(Merged_COEM!$X$60:$X$276,Merged_COEM!$D$60:$D$276,Table!$D$3,Merged_COEM!$AA$60:$AA$276,{"Ongoing","N/A",""},Merged_COEM!$C$60:$C$276,C72))</f>
        <v>1186</v>
      </c>
      <c r="G79" s="29">
        <f>1/8*(SUMIFS(Merged_COEM!$Y$60:$Y$276,Merged_COEM!$D$60:$D$276,D79, Merged_COEM!$C$60:$C$276,C72))</f>
        <v>2.6349999999999998</v>
      </c>
      <c r="H79" s="29">
        <f>1/8*(SUMIFS(Merged_COEM!$Z$60:$Z$276,Merged_COEM!$D$60:$D$276,D79, Merged_COEM!$C$60:$C$276,C72)-SUM(SUMIFS(Merged_COEM!$Z$60:$Z$276,Merged_COEM!$D$60:$D$276,D79,Merged_COEM!$AA$60:$AA$276,{"Ongoing","N/A",""},Merged_COEM!$C$60:$C$276,C72)))</f>
        <v>1.25</v>
      </c>
      <c r="I79" s="51">
        <f>IFERROR(F79/E79,"N/A")</f>
        <v>1</v>
      </c>
      <c r="J79" s="3">
        <f>COUNTIFS(Merged_COEM!$AK$60:$AK$276,J78,Merged_COEM!$D$60:$D$276,D79,Merged_COEM!$C$60:$C$276,C72)</f>
        <v>0</v>
      </c>
      <c r="K79" s="3">
        <f>COUNTIFS(Merged_COEM!$AK$60:$AK$276,K78,Merged_COEM!$D$60:$D$276,D79,Merged_COEM!$C$60:$C$276,C72)</f>
        <v>0</v>
      </c>
    </row>
    <row r="80" spans="1:11" x14ac:dyDescent="0.25">
      <c r="A80" s="1"/>
      <c r="C80" s="31">
        <v>2</v>
      </c>
      <c r="D80" s="29" t="str">
        <f>Table!$C$3</f>
        <v>ASW</v>
      </c>
      <c r="E80" s="29">
        <f>SUMIFS(Merged_COEM!$W$60:$W$276,Merged_COEM!$D$60:$D$276,D80, Merged_COEM!$C$60:$C$276,C72)</f>
        <v>134</v>
      </c>
      <c r="F80" s="29">
        <f>SUMIFS(Merged_COEM!$X$60:$X$276,Merged_COEM!$D$60:$D$276,D80, Merged_COEM!$C$60:$C$276,C72)-SUM(SUMIFS(Merged_COEM!$X$60:$X$276,Merged_COEM!$D$60:$D$276,D80,Merged_COEM!$AA$60:$AA$276,{"Ongoing","N/A",""},Merged_COEM!$C$60:$C$276,C72))</f>
        <v>134</v>
      </c>
      <c r="G80" s="29">
        <f>1/8*(SUMIFS(Merged_COEM!$Y$60:$Y$276,Merged_COEM!$D$60:$D$276,D80, Merged_COEM!$C$60:$C$276,C72))</f>
        <v>1.0287500000000001</v>
      </c>
      <c r="H80" s="29">
        <f>1/8*(SUMIFS(Merged_COEM!$Z$60:$Z$276,Merged_COEM!$D$60:$D$276,D80, Merged_COEM!$C$60:$C$276,C72)-SUM(SUMIFS(Merged_COEM!$Z$60:$Z$276,Merged_COEM!$D$60:$D$276,D80,Merged_COEM!$AA$60:$AA$276,{"Ongoing","N/A",""},Merged_COEM!$C$60:$C$276,C72)))</f>
        <v>1.25</v>
      </c>
      <c r="I80" s="51">
        <f>IFERROR(F80/E80,"N/A")</f>
        <v>1</v>
      </c>
      <c r="J80" s="3">
        <f>COUNTIFS(Merged_COEM!$AK$60:$AK$276,J78,Merged_COEM!$D$60:$D$276,D80,Merged_COEM!$C$60:$C$276,C72)</f>
        <v>1</v>
      </c>
      <c r="K80" s="3">
        <f>COUNTIFS(Merged_COEM!$AK$60:$AK$276,K78,Merged_COEM!$D$60:$D$276,D80,Merged_COEM!$C$60:$C$276,C72)</f>
        <v>1</v>
      </c>
    </row>
    <row r="82" spans="1:11" x14ac:dyDescent="0.25">
      <c r="A82" s="1">
        <v>9</v>
      </c>
      <c r="B82" s="1" t="s">
        <v>53</v>
      </c>
      <c r="C82" s="1">
        <v>20201030</v>
      </c>
    </row>
    <row r="83" spans="1:11" x14ac:dyDescent="0.25">
      <c r="A83" s="1"/>
      <c r="B83" s="1" t="s">
        <v>90</v>
      </c>
      <c r="C83">
        <f>SUM(G89:G90)</f>
        <v>8.1137499999999996</v>
      </c>
      <c r="D83" t="s">
        <v>91</v>
      </c>
    </row>
    <row r="84" spans="1:11" x14ac:dyDescent="0.25">
      <c r="A84" s="1"/>
      <c r="B84" s="1" t="s">
        <v>97</v>
      </c>
      <c r="C84">
        <f>SUM(INT((WEEKDAY(F84-{2,3,4,5,6})+H84-F84)/7))</f>
        <v>8</v>
      </c>
      <c r="D84" t="s">
        <v>91</v>
      </c>
      <c r="E84" t="s">
        <v>118</v>
      </c>
      <c r="F84" s="6">
        <v>44134</v>
      </c>
      <c r="G84" s="6" t="s">
        <v>89</v>
      </c>
      <c r="H84" s="6">
        <v>44145</v>
      </c>
    </row>
    <row r="85" spans="1:11" x14ac:dyDescent="0.25">
      <c r="A85" s="1"/>
      <c r="B85" s="1" t="s">
        <v>98</v>
      </c>
      <c r="C85">
        <f>SUM(INT((WEEKDAY(F85-{2,3,4,5,6})+H85-F85)/7))</f>
        <v>8</v>
      </c>
      <c r="D85" t="s">
        <v>91</v>
      </c>
      <c r="E85" t="s">
        <v>118</v>
      </c>
      <c r="F85" s="6">
        <v>44134</v>
      </c>
      <c r="G85" s="6" t="s">
        <v>89</v>
      </c>
      <c r="H85" s="6">
        <v>44145</v>
      </c>
    </row>
    <row r="86" spans="1:11" x14ac:dyDescent="0.25">
      <c r="A86" s="1"/>
      <c r="B86" s="1" t="s">
        <v>17</v>
      </c>
      <c r="C86" t="str">
        <f>IF(AND(F89=E89,F90=E90),IF(SUM(H89:H90)&gt;SUM(G89:G90),"Delayed",IF(SUM(H89:H90)&lt;SUM(G89:G90),"InAdvanced","Ontime")),"N/A")</f>
        <v>InAdvanced</v>
      </c>
      <c r="F86" s="6"/>
      <c r="G86" s="6"/>
      <c r="H86" s="6"/>
    </row>
    <row r="87" spans="1:11" x14ac:dyDescent="0.25">
      <c r="A87" s="1"/>
    </row>
    <row r="88" spans="1:11" ht="45" x14ac:dyDescent="0.25">
      <c r="A88" s="1"/>
      <c r="C88" s="39" t="s">
        <v>25</v>
      </c>
      <c r="D88" s="39" t="s">
        <v>26</v>
      </c>
      <c r="E88" s="8" t="s">
        <v>92</v>
      </c>
      <c r="F88" s="8" t="s">
        <v>93</v>
      </c>
      <c r="G88" s="8" t="s">
        <v>94</v>
      </c>
      <c r="H88" s="8" t="s">
        <v>95</v>
      </c>
      <c r="I88" s="8" t="s">
        <v>29</v>
      </c>
      <c r="J88" s="8" t="s">
        <v>107</v>
      </c>
      <c r="K88" s="8" t="s">
        <v>116</v>
      </c>
    </row>
    <row r="89" spans="1:11" x14ac:dyDescent="0.25">
      <c r="A89" s="1"/>
      <c r="C89" s="31">
        <v>1</v>
      </c>
      <c r="D89" s="29" t="str">
        <f>Table!$D$3</f>
        <v>PSW</v>
      </c>
      <c r="E89" s="29">
        <f>SUMIFS(Merged_COEM!$W$60:$W$276,Merged_COEM!$D$60:$D$276,D89, Merged_COEM!$C$60:$C$276,C82)</f>
        <v>3659</v>
      </c>
      <c r="F89" s="29">
        <f>SUMIFS(Merged_COEM!$X$60:$X$276,Merged_COEM!$D$60:$D$276,D89, Merged_COEM!$C$60:$C$276,C82)-SUM(SUMIFS(Merged_COEM!$X$60:$X$276,Merged_COEM!$D$60:$D$276,Table!$D$3,Merged_COEM!$AA$60:$AA$276,{"Ongoing","N/A",""},Merged_COEM!$C$60:$C$276,C82))</f>
        <v>3659</v>
      </c>
      <c r="G89" s="29">
        <f>1/8*(SUMIFS(Merged_COEM!$Y$60:$Y$276,Merged_COEM!$D$60:$D$276,D89, Merged_COEM!$C$60:$C$276,C82))</f>
        <v>8.1137499999999996</v>
      </c>
      <c r="H89" s="29">
        <f>1/8*(SUMIFS(Merged_COEM!$Z$60:$Z$276,Merged_COEM!$D$60:$D$276,D89, Merged_COEM!$C$60:$C$276,C82)-SUM(SUMIFS(Merged_COEM!$Z$60:$Z$276,Merged_COEM!$D$60:$D$276,D89,Merged_COEM!$AA$60:$AA$276,{"Ongoing","N/A",""},Merged_COEM!$C$60:$C$276,C82)))</f>
        <v>7.7837500000000004</v>
      </c>
      <c r="I89" s="51">
        <f>IFERROR(F89/E89,"N/A")</f>
        <v>1</v>
      </c>
      <c r="J89" s="3">
        <f>COUNTIFS(Merged_COEM!$AK$60:$AK$276,J88,Merged_COEM!$D$60:$D$276,D89,Merged_COEM!$C$60:$C$276,C82)</f>
        <v>1</v>
      </c>
      <c r="K89" s="3">
        <f>COUNTIFS(Merged_COEM!$AK$60:$AK$276,K88,Merged_COEM!$D$60:$D$276,D89,Merged_COEM!$C$60:$C$276,C82)</f>
        <v>0</v>
      </c>
    </row>
    <row r="90" spans="1:11" x14ac:dyDescent="0.25">
      <c r="A90" s="1"/>
      <c r="C90" s="31">
        <v>2</v>
      </c>
      <c r="D90" s="29" t="str">
        <f>Table!$C$3</f>
        <v>ASW</v>
      </c>
      <c r="E90" s="29">
        <f>SUMIFS(Merged_COEM!$W$60:$W$276,Merged_COEM!$D$60:$D$276,D90, Merged_COEM!$C$60:$C$276,C82)</f>
        <v>0</v>
      </c>
      <c r="F90" s="29">
        <f>SUMIFS(Merged_COEM!$X$60:$X$276,Merged_COEM!$D$60:$D$276,D90, Merged_COEM!$C$60:$C$276,C82)-SUM(SUMIFS(Merged_COEM!$X$60:$X$276,Merged_COEM!$D$60:$D$276,D90,Merged_COEM!$AA$60:$AA$276,{"Ongoing","N/A",""},Merged_COEM!$C$60:$C$276,C82))</f>
        <v>0</v>
      </c>
      <c r="G90" s="29">
        <f>1/8*(SUMIFS(Merged_COEM!$Y$60:$Y$276,Merged_COEM!$D$60:$D$276,D90, Merged_COEM!$C$60:$C$276,C82))</f>
        <v>0</v>
      </c>
      <c r="H90" s="29">
        <f>1/8*(SUMIFS(Merged_COEM!$Z$60:$Z$276,Merged_COEM!$D$60:$D$276,D90, Merged_COEM!$C$60:$C$276,C82)-SUM(SUMIFS(Merged_COEM!$Z$60:$Z$276,Merged_COEM!$D$60:$D$276,D90,Merged_COEM!$AA$60:$AA$276,{"Ongoing","N/A",""},Merged_COEM!$C$60:$C$276,C82)))</f>
        <v>0</v>
      </c>
      <c r="I90" s="51" t="str">
        <f>IFERROR(F90/E90,"N/A")</f>
        <v>N/A</v>
      </c>
      <c r="J90" s="3">
        <f>COUNTIFS(Merged_COEM!$AK$60:$AK$276,J88,Merged_COEM!$D$60:$D$276,D90,Merged_COEM!$C$60:$C$276,C82)</f>
        <v>0</v>
      </c>
      <c r="K90" s="3">
        <f>COUNTIFS(Merged_COEM!$AK$60:$AK$276,K88,Merged_COEM!$D$60:$D$276,D90,Merged_COEM!$C$60:$C$276,C82)</f>
        <v>0</v>
      </c>
    </row>
    <row r="92" spans="1:11" x14ac:dyDescent="0.25">
      <c r="A92" s="1">
        <v>10</v>
      </c>
      <c r="B92" s="1" t="s">
        <v>53</v>
      </c>
      <c r="C92" s="1">
        <v>20201102</v>
      </c>
    </row>
    <row r="93" spans="1:11" x14ac:dyDescent="0.25">
      <c r="A93" s="1"/>
      <c r="B93" s="1" t="s">
        <v>90</v>
      </c>
      <c r="C93">
        <f>SUM(G99:G100)</f>
        <v>15.66</v>
      </c>
      <c r="D93" t="s">
        <v>91</v>
      </c>
    </row>
    <row r="94" spans="1:11" x14ac:dyDescent="0.25">
      <c r="A94" s="1"/>
      <c r="B94" s="1" t="s">
        <v>97</v>
      </c>
      <c r="C94">
        <f>SUM(INT((WEEKDAY(F94-{2,3,4,5,6})+H94-F94)/7))</f>
        <v>8</v>
      </c>
      <c r="D94" t="s">
        <v>91</v>
      </c>
      <c r="E94" t="s">
        <v>118</v>
      </c>
      <c r="F94" s="6">
        <v>44137</v>
      </c>
      <c r="G94" s="6" t="s">
        <v>89</v>
      </c>
      <c r="H94" s="6">
        <v>44146</v>
      </c>
    </row>
    <row r="95" spans="1:11" x14ac:dyDescent="0.25">
      <c r="A95" s="1"/>
      <c r="B95" s="1" t="s">
        <v>98</v>
      </c>
      <c r="C95">
        <f>SUM(INT((WEEKDAY(F95-{2,3,4,5,6})+H95-F95)/7))</f>
        <v>8</v>
      </c>
      <c r="D95" t="s">
        <v>91</v>
      </c>
      <c r="E95" t="s">
        <v>118</v>
      </c>
      <c r="F95" s="6">
        <v>44137</v>
      </c>
      <c r="G95" s="6" t="s">
        <v>89</v>
      </c>
      <c r="H95" s="6">
        <v>44146</v>
      </c>
    </row>
    <row r="96" spans="1:11" x14ac:dyDescent="0.25">
      <c r="A96" s="1"/>
      <c r="B96" s="1" t="s">
        <v>17</v>
      </c>
      <c r="C96" t="str">
        <f>IF(AND(F99=E99,F100=E100),IF(SUM(H99:H100)&gt;SUM(G99:G100),"Delayed",IF(SUM(H99:H100)&lt;SUM(G99:G100),"InAdvanced","Ontime")),"N/A")</f>
        <v>InAdvanced</v>
      </c>
      <c r="F96" s="6"/>
      <c r="G96" s="6"/>
      <c r="H96" s="6"/>
    </row>
    <row r="97" spans="1:11" x14ac:dyDescent="0.25">
      <c r="A97" s="1"/>
    </row>
    <row r="98" spans="1:11" ht="45" x14ac:dyDescent="0.25">
      <c r="A98" s="1"/>
      <c r="C98" s="39" t="s">
        <v>25</v>
      </c>
      <c r="D98" s="39" t="s">
        <v>26</v>
      </c>
      <c r="E98" s="8" t="s">
        <v>92</v>
      </c>
      <c r="F98" s="8" t="s">
        <v>93</v>
      </c>
      <c r="G98" s="8" t="s">
        <v>94</v>
      </c>
      <c r="H98" s="8" t="s">
        <v>95</v>
      </c>
      <c r="I98" s="8" t="s">
        <v>29</v>
      </c>
      <c r="J98" s="8" t="s">
        <v>107</v>
      </c>
      <c r="K98" s="8" t="s">
        <v>116</v>
      </c>
    </row>
    <row r="99" spans="1:11" x14ac:dyDescent="0.25">
      <c r="A99" s="1"/>
      <c r="C99" s="31">
        <v>1</v>
      </c>
      <c r="D99" s="29" t="str">
        <f>Table!$D$3</f>
        <v>PSW</v>
      </c>
      <c r="E99" s="29">
        <f>SUMIFS(Merged_COEM!$W$60:$W$276,Merged_COEM!$D$60:$D$276,D99, Merged_COEM!$C$60:$C$276,C92)</f>
        <v>4244</v>
      </c>
      <c r="F99" s="29">
        <f>SUMIFS(Merged_COEM!$X$60:$X$276,Merged_COEM!$D$60:$D$276,D99, Merged_COEM!$C$60:$C$276,C92)-SUM(SUMIFS(Merged_COEM!$X$60:$X$276,Merged_COEM!$D$60:$D$276,Table!$D$3,Merged_COEM!$AA$60:$AA$276,{"Ongoing","N/A",""},Merged_COEM!$C$60:$C$276,C92))</f>
        <v>4244</v>
      </c>
      <c r="G99" s="29">
        <f>1/8*(SUMIFS(Merged_COEM!$Y$60:$Y$276,Merged_COEM!$D$60:$D$276,D99, Merged_COEM!$C$60:$C$276,C92))</f>
        <v>9.43</v>
      </c>
      <c r="H99" s="29">
        <f>1/8*(SUMIFS(Merged_COEM!$Z$60:$Z$276,Merged_COEM!$D$60:$D$276,D99, Merged_COEM!$C$60:$C$276,C92)-SUM(SUMIFS(Merged_COEM!$Z$60:$Z$276,Merged_COEM!$D$60:$D$276,D99,Merged_COEM!$AA$60:$AA$276,{"Ongoing","N/A",""},Merged_COEM!$C$60:$C$276,C92)))</f>
        <v>7.9375</v>
      </c>
      <c r="I99" s="51">
        <f>IFERROR(F99/E99,"N/A")</f>
        <v>1</v>
      </c>
      <c r="J99" s="3">
        <f>COUNTIFS(Merged_COEM!$AK$60:$AK$276,J98,Merged_COEM!$D$60:$D$276,D99,Merged_COEM!$C$60:$C$276,C92)</f>
        <v>0</v>
      </c>
      <c r="K99" s="3">
        <f>COUNTIFS(Merged_COEM!$AK$60:$AK$276,K98,Merged_COEM!$D$60:$D$276,D99,Merged_COEM!$C$60:$C$276,C92)</f>
        <v>1</v>
      </c>
    </row>
    <row r="100" spans="1:11" x14ac:dyDescent="0.25">
      <c r="A100" s="1"/>
      <c r="C100" s="31">
        <v>2</v>
      </c>
      <c r="D100" s="29" t="str">
        <f>Table!$C$3</f>
        <v>ASW</v>
      </c>
      <c r="E100" s="29">
        <f>SUMIFS(Merged_COEM!$W$60:$W$276,Merged_COEM!$D$60:$D$276,D100, Merged_COEM!$C$60:$C$276,C92)</f>
        <v>811</v>
      </c>
      <c r="F100" s="29">
        <f>SUMIFS(Merged_COEM!$X$60:$X$276,Merged_COEM!$D$60:$D$276,D100, Merged_COEM!$C$60:$C$276,C92)-SUM(SUMIFS(Merged_COEM!$X$60:$X$276,Merged_COEM!$D$60:$D$276,D100,Merged_COEM!$AA$60:$AA$276,{"Ongoing","N/A",""},Merged_COEM!$C$60:$C$276,C92))</f>
        <v>811</v>
      </c>
      <c r="G100" s="29">
        <f>1/8*(SUMIFS(Merged_COEM!$Y$60:$Y$276,Merged_COEM!$D$60:$D$276,D100, Merged_COEM!$C$60:$C$276,C92))</f>
        <v>6.2300000000000013</v>
      </c>
      <c r="H100" s="29">
        <f>1/8*(SUMIFS(Merged_COEM!$Z$60:$Z$276,Merged_COEM!$D$60:$D$276,D100, Merged_COEM!$C$60:$C$276,C92)-SUM(SUMIFS(Merged_COEM!$Z$60:$Z$276,Merged_COEM!$D$60:$D$276,D100,Merged_COEM!$AA$60:$AA$276,{"Ongoing","N/A",""},Merged_COEM!$C$60:$C$276,C92)))</f>
        <v>7.6574999999999998</v>
      </c>
      <c r="I100" s="51">
        <f>IFERROR(F100/E100,"N/A")</f>
        <v>1</v>
      </c>
      <c r="J100" s="3">
        <f>COUNTIFS(Merged_COEM!$AK$60:$AK$276,J98,Merged_COEM!$D$60:$D$276,D100,Merged_COEM!$C$60:$C$276,C92)</f>
        <v>8</v>
      </c>
      <c r="K100" s="3">
        <f>COUNTIFS(Merged_COEM!$AK$60:$AK$276,K98,Merged_COEM!$D$60:$D$276,D100,Merged_COEM!$C$60:$C$276,C92)</f>
        <v>0</v>
      </c>
    </row>
    <row r="102" spans="1:11" x14ac:dyDescent="0.25">
      <c r="A102" s="1">
        <v>11</v>
      </c>
      <c r="B102" s="1" t="s">
        <v>53</v>
      </c>
      <c r="C102" s="1">
        <v>20201104</v>
      </c>
    </row>
    <row r="103" spans="1:11" x14ac:dyDescent="0.25">
      <c r="A103" s="1"/>
      <c r="B103" s="1" t="s">
        <v>90</v>
      </c>
      <c r="C103">
        <f>SUM(G109:G110)</f>
        <v>1.4137499999999998</v>
      </c>
      <c r="D103" t="s">
        <v>91</v>
      </c>
    </row>
    <row r="104" spans="1:11" x14ac:dyDescent="0.25">
      <c r="A104" s="1"/>
      <c r="B104" s="1" t="s">
        <v>97</v>
      </c>
      <c r="C104">
        <f>SUM(INT((WEEKDAY(F104-{2,3,4,5,6})+H104-F104)/7))</f>
        <v>1</v>
      </c>
      <c r="D104" t="s">
        <v>91</v>
      </c>
      <c r="E104" t="s">
        <v>118</v>
      </c>
      <c r="F104" s="6">
        <v>44140</v>
      </c>
      <c r="G104" s="6" t="s">
        <v>89</v>
      </c>
      <c r="H104" s="6">
        <v>44140</v>
      </c>
    </row>
    <row r="105" spans="1:11" x14ac:dyDescent="0.25">
      <c r="A105" s="1"/>
      <c r="B105" s="1" t="s">
        <v>98</v>
      </c>
      <c r="C105">
        <f>SUM(INT((WEEKDAY(F105-{2,3,4,5,6})+H105-F105)/7))</f>
        <v>1</v>
      </c>
      <c r="D105" t="s">
        <v>91</v>
      </c>
      <c r="E105" t="s">
        <v>118</v>
      </c>
      <c r="F105" s="6">
        <v>44140</v>
      </c>
      <c r="G105" s="6" t="s">
        <v>89</v>
      </c>
      <c r="H105" s="6">
        <v>44140</v>
      </c>
    </row>
    <row r="106" spans="1:11" x14ac:dyDescent="0.25">
      <c r="A106" s="1"/>
      <c r="B106" s="1" t="s">
        <v>17</v>
      </c>
      <c r="C106" t="str">
        <f>IF(AND(F109=E109,F110=E110),IF(SUM(H109:H110)&gt;SUM(G109:G110),"Delayed",IF(SUM(H109:H110)&lt;SUM(G109:G110),"InAdvanced","Ontime")),"N/A")</f>
        <v>Delayed</v>
      </c>
      <c r="F106" s="6"/>
      <c r="G106" s="6"/>
      <c r="H106" s="6"/>
    </row>
    <row r="107" spans="1:11" x14ac:dyDescent="0.25">
      <c r="A107" s="1"/>
    </row>
    <row r="108" spans="1:11" ht="45" x14ac:dyDescent="0.25">
      <c r="A108" s="1"/>
      <c r="C108" s="39" t="s">
        <v>25</v>
      </c>
      <c r="D108" s="39" t="s">
        <v>26</v>
      </c>
      <c r="E108" s="8" t="s">
        <v>92</v>
      </c>
      <c r="F108" s="8" t="s">
        <v>93</v>
      </c>
      <c r="G108" s="8" t="s">
        <v>94</v>
      </c>
      <c r="H108" s="8" t="s">
        <v>95</v>
      </c>
      <c r="I108" s="8" t="s">
        <v>29</v>
      </c>
      <c r="J108" s="8" t="s">
        <v>107</v>
      </c>
      <c r="K108" s="8" t="s">
        <v>116</v>
      </c>
    </row>
    <row r="109" spans="1:11" x14ac:dyDescent="0.25">
      <c r="A109" s="1"/>
      <c r="C109" s="31">
        <v>1</v>
      </c>
      <c r="D109" s="29" t="str">
        <f>Table!$D$3</f>
        <v>PSW</v>
      </c>
      <c r="E109" s="29">
        <f>SUMIFS(Merged_COEM!$W$60:$W$276,Merged_COEM!$D$60:$D$276,D109, Merged_COEM!$C$60:$C$276,C102)</f>
        <v>0</v>
      </c>
      <c r="F109" s="29">
        <f>SUMIFS(Merged_COEM!$X$60:$X$276,Merged_COEM!$D$60:$D$276,D109, Merged_COEM!$C$60:$C$276,C102)-SUM(SUMIFS(Merged_COEM!$X$60:$X$276,Merged_COEM!$D$60:$D$276,Table!$D$3,Merged_COEM!$AA$60:$AA$276,{"Ongoing","N/A",""},Merged_COEM!$C$60:$C$276,C102))</f>
        <v>0</v>
      </c>
      <c r="G109" s="29">
        <f>1/8*(SUMIFS(Merged_COEM!$Y$60:$Y$276,Merged_COEM!$D$60:$D$276,D109, Merged_COEM!$C$60:$C$276,C102))</f>
        <v>0</v>
      </c>
      <c r="H109" s="29">
        <f>1/8*(SUMIFS(Merged_COEM!$Z$60:$Z$276,Merged_COEM!$D$60:$D$276,D109, Merged_COEM!$C$60:$C$276,C102)-SUM(SUMIFS(Merged_COEM!$Z$60:$Z$276,Merged_COEM!$D$60:$D$276,D109,Merged_COEM!$AA$60:$AA$276,{"Ongoing","N/A",""},Merged_COEM!$C$60:$C$276,C102)))</f>
        <v>0</v>
      </c>
      <c r="I109" s="51" t="str">
        <f>IFERROR(F109/E109,"N/A")</f>
        <v>N/A</v>
      </c>
      <c r="J109" s="3">
        <f>COUNTIFS(Merged_COEM!$AK$60:$AK$276,J108,Merged_COEM!$D$60:$D$276,D109,Merged_COEM!$C$60:$C$276,C102)</f>
        <v>0</v>
      </c>
      <c r="K109" s="3">
        <f>COUNTIFS(Merged_COEM!$AK$60:$AK$276,K108,Merged_COEM!$D$60:$D$276,D109,Merged_COEM!$C$60:$C$276,C102)</f>
        <v>0</v>
      </c>
    </row>
    <row r="110" spans="1:11" x14ac:dyDescent="0.25">
      <c r="A110" s="1"/>
      <c r="C110" s="31">
        <v>2</v>
      </c>
      <c r="D110" s="29" t="str">
        <f>Table!$C$3</f>
        <v>ASW</v>
      </c>
      <c r="E110" s="29">
        <f>SUMIFS(Merged_COEM!$W$60:$W$276,Merged_COEM!$D$60:$D$276,D110, Merged_COEM!$C$60:$C$276,C102)</f>
        <v>184</v>
      </c>
      <c r="F110" s="29">
        <f>SUMIFS(Merged_COEM!$X$60:$X$276,Merged_COEM!$D$60:$D$276,D110, Merged_COEM!$C$60:$C$276,C102)-SUM(SUMIFS(Merged_COEM!$X$60:$X$276,Merged_COEM!$D$60:$D$276,D110,Merged_COEM!$AA$60:$AA$276,{"Ongoing","N/A",""},Merged_COEM!$C$60:$C$276,C102))</f>
        <v>184</v>
      </c>
      <c r="G110" s="29">
        <f>1/8*(SUMIFS(Merged_COEM!$Y$60:$Y$276,Merged_COEM!$D$60:$D$276,D110, Merged_COEM!$C$60:$C$276,C102))</f>
        <v>1.4137499999999998</v>
      </c>
      <c r="H110" s="29">
        <f>1/8*(SUMIFS(Merged_COEM!$Z$60:$Z$276,Merged_COEM!$D$60:$D$276,D110, Merged_COEM!$C$60:$C$276,C102)-SUM(SUMIFS(Merged_COEM!$Z$60:$Z$276,Merged_COEM!$D$60:$D$276,D110,Merged_COEM!$AA$60:$AA$276,{"Ongoing","N/A",""},Merged_COEM!$C$60:$C$276,C102)))</f>
        <v>2.25</v>
      </c>
      <c r="I110" s="51">
        <f>IFERROR(F110/E110,"N/A")</f>
        <v>1</v>
      </c>
      <c r="J110" s="3">
        <f>COUNTIFS(Merged_COEM!$AK$60:$AK$276,J108,Merged_COEM!$D$60:$D$276,D110,Merged_COEM!$C$60:$C$276,C102)</f>
        <v>3</v>
      </c>
      <c r="K110" s="3">
        <f>COUNTIFS(Merged_COEM!$AK$60:$AK$276,K108,Merged_COEM!$D$60:$D$276,D110,Merged_COEM!$C$60:$C$276,C102)</f>
        <v>0</v>
      </c>
    </row>
    <row r="112" spans="1:11" x14ac:dyDescent="0.25">
      <c r="A112" s="191">
        <v>12</v>
      </c>
      <c r="B112" s="191" t="s">
        <v>53</v>
      </c>
      <c r="C112" s="191">
        <v>20201106</v>
      </c>
    </row>
    <row r="113" spans="1:11" x14ac:dyDescent="0.25">
      <c r="A113" s="191"/>
      <c r="B113" s="191" t="s">
        <v>90</v>
      </c>
      <c r="C113">
        <f>SUM(G119:G120)</f>
        <v>3.7324999999999999</v>
      </c>
      <c r="D113" t="s">
        <v>91</v>
      </c>
    </row>
    <row r="114" spans="1:11" x14ac:dyDescent="0.25">
      <c r="A114" s="191"/>
      <c r="B114" s="191" t="s">
        <v>97</v>
      </c>
      <c r="C114">
        <f>SUM(INT((WEEKDAY(F114-{2,3,4,5,6})+H114-F114)/7))</f>
        <v>5</v>
      </c>
      <c r="D114" t="s">
        <v>91</v>
      </c>
      <c r="E114" t="s">
        <v>118</v>
      </c>
      <c r="F114" s="6">
        <v>44141</v>
      </c>
      <c r="G114" s="6" t="s">
        <v>89</v>
      </c>
      <c r="H114" s="6">
        <v>44147</v>
      </c>
    </row>
    <row r="115" spans="1:11" x14ac:dyDescent="0.25">
      <c r="A115" s="191"/>
      <c r="B115" s="191" t="s">
        <v>98</v>
      </c>
      <c r="C115">
        <f>SUM(INT((WEEKDAY(F115-{2,3,4,5,6})+H115-F115)/7))</f>
        <v>5</v>
      </c>
      <c r="D115" t="s">
        <v>91</v>
      </c>
      <c r="E115" t="s">
        <v>118</v>
      </c>
      <c r="F115" s="6">
        <v>44141</v>
      </c>
      <c r="G115" s="6" t="s">
        <v>89</v>
      </c>
      <c r="H115" s="6">
        <v>44147</v>
      </c>
    </row>
    <row r="116" spans="1:11" x14ac:dyDescent="0.25">
      <c r="A116" s="191"/>
      <c r="B116" s="191" t="s">
        <v>17</v>
      </c>
      <c r="C116" t="str">
        <f>IF(AND(F119=E119,F120=E120),IF(SUM(H119:H120)&gt;SUM(G119:G120),"Delayed",IF(SUM(H119:H120)&lt;SUM(G119:G120),"InAdvanced","Ontime")),"N/A")</f>
        <v>InAdvanced</v>
      </c>
      <c r="F116" s="6"/>
      <c r="G116" s="6"/>
      <c r="H116" s="6"/>
    </row>
    <row r="117" spans="1:11" x14ac:dyDescent="0.25">
      <c r="A117" s="191"/>
    </row>
    <row r="118" spans="1:11" ht="45" x14ac:dyDescent="0.25">
      <c r="A118" s="191"/>
      <c r="C118" s="192" t="s">
        <v>25</v>
      </c>
      <c r="D118" s="192" t="s">
        <v>26</v>
      </c>
      <c r="E118" s="193" t="s">
        <v>92</v>
      </c>
      <c r="F118" s="193" t="s">
        <v>93</v>
      </c>
      <c r="G118" s="193" t="s">
        <v>94</v>
      </c>
      <c r="H118" s="193" t="s">
        <v>95</v>
      </c>
      <c r="I118" s="193" t="s">
        <v>29</v>
      </c>
      <c r="J118" s="193" t="s">
        <v>107</v>
      </c>
      <c r="K118" s="193" t="s">
        <v>116</v>
      </c>
    </row>
    <row r="119" spans="1:11" x14ac:dyDescent="0.25">
      <c r="A119" s="191"/>
      <c r="C119" s="31">
        <v>1</v>
      </c>
      <c r="D119" s="29" t="str">
        <f>Table!$D$3</f>
        <v>PSW</v>
      </c>
      <c r="E119" s="29">
        <f>SUMIFS(Merged_COEM!$W$60:$W$276,Merged_COEM!$D$60:$D$276,D119, Merged_COEM!$C$60:$C$276,C112)</f>
        <v>1681</v>
      </c>
      <c r="F119" s="29">
        <f>SUMIFS(Merged_COEM!$X$60:$X$276,Merged_COEM!$D$60:$D$276,D119, Merged_COEM!$C$60:$C$276,C112)-SUM(SUMIFS(Merged_COEM!$X$60:$X$276,Merged_COEM!$D$60:$D$276,Table!$D$3,Merged_COEM!$AA$60:$AA$276,{"Ongoing","N/A",""},Merged_COEM!$C$60:$C$276,C112))</f>
        <v>1681</v>
      </c>
      <c r="G119" s="29">
        <f>1/8*(SUMIFS(Merged_COEM!$Y$60:$Y$276,Merged_COEM!$D$60:$D$276,D119, Merged_COEM!$C$60:$C$276,C112))</f>
        <v>3.7324999999999999</v>
      </c>
      <c r="H119" s="29">
        <f>1/8*(SUMIFS(Merged_COEM!$Z$60:$Z$276,Merged_COEM!$D$60:$D$276,D119, Merged_COEM!$C$60:$C$276,C112)-SUM(SUMIFS(Merged_COEM!$Z$60:$Z$276,Merged_COEM!$D$60:$D$276,D119,Merged_COEM!$AA$60:$AA$276,{"Ongoing","N/A",""},Merged_COEM!$C$60:$C$276,C112)))</f>
        <v>3.0249999999999999</v>
      </c>
      <c r="I119" s="51">
        <f>IFERROR(F119/E119,"N/A")</f>
        <v>1</v>
      </c>
      <c r="J119" s="3">
        <f>COUNTIFS(Merged_COEM!$AK$60:$AK$276,J118,Merged_COEM!$D$60:$D$276,D119,Merged_COEM!$C$60:$C$276,C112)</f>
        <v>1</v>
      </c>
      <c r="K119" s="3">
        <f>COUNTIFS(Merged_COEM!$AK$60:$AK$276,K118,Merged_COEM!$D$60:$D$276,D119,Merged_COEM!$C$60:$C$276,C112)</f>
        <v>1</v>
      </c>
    </row>
    <row r="120" spans="1:11" x14ac:dyDescent="0.25">
      <c r="A120" s="191"/>
      <c r="C120" s="31">
        <v>2</v>
      </c>
      <c r="D120" s="29" t="str">
        <f>Table!$C$3</f>
        <v>ASW</v>
      </c>
      <c r="E120" s="29">
        <f>SUMIFS(Merged_COEM!$W$60:$W$276,Merged_COEM!$D$60:$D$276,D120, Merged_COEM!$C$60:$C$276,C112)</f>
        <v>0</v>
      </c>
      <c r="F120" s="29">
        <f>SUMIFS(Merged_COEM!$X$60:$X$276,Merged_COEM!$D$60:$D$276,D120, Merged_COEM!$C$60:$C$276,C112)-SUM(SUMIFS(Merged_COEM!$X$60:$X$276,Merged_COEM!$D$60:$D$276,D120,Merged_COEM!$AA$60:$AA$276,{"Ongoing","N/A",""},Merged_COEM!$C$60:$C$276,C112))</f>
        <v>0</v>
      </c>
      <c r="G120" s="29">
        <f>1/8*(SUMIFS(Merged_COEM!$Y$60:$Y$276,Merged_COEM!$D$60:$D$276,D120, Merged_COEM!$C$60:$C$276,C112))</f>
        <v>0</v>
      </c>
      <c r="H120" s="29">
        <f>1/8*(SUMIFS(Merged_COEM!$Z$60:$Z$276,Merged_COEM!$D$60:$D$276,D120, Merged_COEM!$C$60:$C$276,C112)-SUM(SUMIFS(Merged_COEM!$Z$60:$Z$276,Merged_COEM!$D$60:$D$276,D120,Merged_COEM!$AA$60:$AA$276,{"Ongoing","N/A",""},Merged_COEM!$C$60:$C$276,C112)))</f>
        <v>0</v>
      </c>
      <c r="I120" s="51" t="str">
        <f>IFERROR(F120/E120,"N/A")</f>
        <v>N/A</v>
      </c>
      <c r="J120" s="3">
        <f>COUNTIFS(Merged_COEM!$AK$60:$AK$276,J118,Merged_COEM!$D$60:$D$276,D120,Merged_COEM!$C$60:$C$276,C112)</f>
        <v>0</v>
      </c>
      <c r="K120" s="3">
        <f>COUNTIFS(Merged_COEM!$AK$60:$AK$276,K118,Merged_COEM!$D$60:$D$276,D120,Merged_COEM!$C$60:$C$276,C112)</f>
        <v>0</v>
      </c>
    </row>
    <row r="122" spans="1:11" x14ac:dyDescent="0.25">
      <c r="A122" s="1">
        <v>13</v>
      </c>
      <c r="B122" s="1" t="s">
        <v>53</v>
      </c>
      <c r="C122" s="1">
        <v>20201110</v>
      </c>
    </row>
    <row r="123" spans="1:11" x14ac:dyDescent="0.25">
      <c r="A123" s="1"/>
      <c r="B123" s="1" t="s">
        <v>90</v>
      </c>
      <c r="C123">
        <f>SUM(G129:G130)</f>
        <v>8.8725000000000005</v>
      </c>
      <c r="D123" t="s">
        <v>91</v>
      </c>
    </row>
    <row r="124" spans="1:11" x14ac:dyDescent="0.25">
      <c r="A124" s="1"/>
      <c r="B124" s="1" t="s">
        <v>97</v>
      </c>
      <c r="C124">
        <f>SUM(INT((WEEKDAY(F124-{2,3,4,5,6})+H124-F124)/7))</f>
        <v>9</v>
      </c>
      <c r="D124" t="s">
        <v>91</v>
      </c>
      <c r="E124" t="s">
        <v>118</v>
      </c>
      <c r="F124" s="6">
        <v>44145</v>
      </c>
      <c r="G124" s="6" t="s">
        <v>89</v>
      </c>
      <c r="H124" s="6">
        <v>44155</v>
      </c>
    </row>
    <row r="125" spans="1:11" x14ac:dyDescent="0.25">
      <c r="A125" s="1"/>
      <c r="B125" s="1" t="s">
        <v>98</v>
      </c>
      <c r="C125">
        <f>SUM(INT((WEEKDAY(F125-{2,3,4,5,6})+H125-F125)/7))</f>
        <v>9</v>
      </c>
      <c r="D125" t="s">
        <v>91</v>
      </c>
      <c r="E125" t="s">
        <v>118</v>
      </c>
      <c r="F125" s="6">
        <v>44145</v>
      </c>
      <c r="G125" s="6" t="s">
        <v>89</v>
      </c>
      <c r="H125" s="6">
        <v>44155</v>
      </c>
    </row>
    <row r="126" spans="1:11" x14ac:dyDescent="0.25">
      <c r="A126" s="1"/>
      <c r="B126" s="1" t="s">
        <v>17</v>
      </c>
      <c r="C126" t="str">
        <f>IF(AND(F129=E129,F130=E130),IF(SUM(H129:H130)&gt;SUM(G129:G130),"Delayed",IF(SUM(H129:H130)&lt;SUM(G129:G130),"InAdvanced","Ontime")),"N/A")</f>
        <v>InAdvanced</v>
      </c>
      <c r="F126" s="6"/>
      <c r="G126" s="6"/>
      <c r="H126" s="6"/>
    </row>
    <row r="127" spans="1:11" x14ac:dyDescent="0.25">
      <c r="A127" s="1"/>
    </row>
    <row r="128" spans="1:11" ht="45" x14ac:dyDescent="0.25">
      <c r="A128" s="1"/>
      <c r="C128" s="39" t="s">
        <v>25</v>
      </c>
      <c r="D128" s="39" t="s">
        <v>26</v>
      </c>
      <c r="E128" s="8" t="s">
        <v>92</v>
      </c>
      <c r="F128" s="8" t="s">
        <v>93</v>
      </c>
      <c r="G128" s="8" t="s">
        <v>94</v>
      </c>
      <c r="H128" s="8" t="s">
        <v>95</v>
      </c>
      <c r="I128" s="8" t="s">
        <v>29</v>
      </c>
      <c r="J128" s="8" t="s">
        <v>107</v>
      </c>
      <c r="K128" s="8" t="s">
        <v>116</v>
      </c>
    </row>
    <row r="129" spans="1:11" x14ac:dyDescent="0.25">
      <c r="A129" s="1"/>
      <c r="C129" s="31">
        <v>1</v>
      </c>
      <c r="D129" s="29" t="str">
        <f>Table!$D$3</f>
        <v>PSW</v>
      </c>
      <c r="E129" s="29">
        <f>SUMIFS(Merged_COEM!$W$60:$W$276,Merged_COEM!$D$60:$D$276,D129, Merged_COEM!$C$60:$C$276,C122)</f>
        <v>3561</v>
      </c>
      <c r="F129" s="29">
        <f>SUMIFS(Merged_COEM!$X$60:$X$276,Merged_COEM!$D$60:$D$276,D129, Merged_COEM!$C$60:$C$276,C122)-SUM(SUMIFS(Merged_COEM!$X$60:$X$276,Merged_COEM!$D$60:$D$276,Table!$D$3,Merged_COEM!$AA$60:$AA$276,{"Ongoing","N/A",""},Merged_COEM!$C$60:$C$276,C122))</f>
        <v>3561</v>
      </c>
      <c r="G129" s="29">
        <f>1/8*(SUMIFS(Merged_COEM!$Y$60:$Y$276,Merged_COEM!$D$60:$D$276,D129, Merged_COEM!$C$60:$C$276,C122))</f>
        <v>7.9062500000000009</v>
      </c>
      <c r="H129" s="29">
        <f>1/8*(SUMIFS(Merged_COEM!$Z$60:$Z$276,Merged_COEM!$D$60:$D$276,D129, Merged_COEM!$C$60:$C$276,C122)-SUM(SUMIFS(Merged_COEM!$Z$60:$Z$276,Merged_COEM!$D$60:$D$276,D129,Merged_COEM!$AA$60:$AA$276,{"Ongoing","N/A",""},Merged_COEM!$C$60:$C$276,C122)))</f>
        <v>6.4612499999999997</v>
      </c>
      <c r="I129" s="51">
        <f>IFERROR(F129/E129,"N/A")</f>
        <v>1</v>
      </c>
      <c r="J129" s="3">
        <f>COUNTIFS(Merged_COEM!$AK$60:$AK$276,J128,Merged_COEM!$D$60:$D$276,D129,Merged_COEM!$C$60:$C$276,C122)</f>
        <v>2</v>
      </c>
      <c r="K129" s="3">
        <f>COUNTIFS(Merged_COEM!$AK$60:$AK$276,K128,Merged_COEM!$D$60:$D$276,D129,Merged_COEM!$C$60:$C$276,C122)</f>
        <v>0</v>
      </c>
    </row>
    <row r="130" spans="1:11" x14ac:dyDescent="0.25">
      <c r="A130" s="1"/>
      <c r="C130" s="31">
        <v>2</v>
      </c>
      <c r="D130" s="29" t="str">
        <f>Table!$C$3</f>
        <v>ASW</v>
      </c>
      <c r="E130" s="29">
        <f>SUMIFS(Merged_COEM!$W$60:$W$276,Merged_COEM!$D$60:$D$276,D130, Merged_COEM!$C$60:$C$276,C122)</f>
        <v>126</v>
      </c>
      <c r="F130" s="29">
        <f>SUMIFS(Merged_COEM!$X$60:$X$276,Merged_COEM!$D$60:$D$276,D130, Merged_COEM!$C$60:$C$276,C122)-SUM(SUMIFS(Merged_COEM!$X$60:$X$276,Merged_COEM!$D$60:$D$276,D130,Merged_COEM!$AA$60:$AA$276,{"Ongoing","N/A",""},Merged_COEM!$C$60:$C$276,C122))</f>
        <v>126</v>
      </c>
      <c r="G130" s="29">
        <f>1/8*(SUMIFS(Merged_COEM!$Y$60:$Y$276,Merged_COEM!$D$60:$D$276,D130, Merged_COEM!$C$60:$C$276,C122))</f>
        <v>0.96625000000000005</v>
      </c>
      <c r="H130" s="29">
        <f>1/8*(SUMIFS(Merged_COEM!$Z$60:$Z$276,Merged_COEM!$D$60:$D$276,D130, Merged_COEM!$C$60:$C$276,C122)-SUM(SUMIFS(Merged_COEM!$Z$60:$Z$276,Merged_COEM!$D$60:$D$276,D130,Merged_COEM!$AA$60:$AA$276,{"Ongoing","N/A",""},Merged_COEM!$C$60:$C$276,C122)))</f>
        <v>0.94625000000000004</v>
      </c>
      <c r="I130" s="51">
        <f>IFERROR(F130/E130,"N/A")</f>
        <v>1</v>
      </c>
      <c r="J130" s="3">
        <f>COUNTIFS(Merged_COEM!$AK$60:$AK$276,J128,Merged_COEM!$D$60:$D$276,D130,Merged_COEM!$C$60:$C$276,C122)</f>
        <v>1</v>
      </c>
      <c r="K130" s="3">
        <f>COUNTIFS(Merged_COEM!$AK$60:$AK$276,K128,Merged_COEM!$D$60:$D$276,D130,Merged_COEM!$C$60:$C$276,C122)</f>
        <v>0</v>
      </c>
    </row>
    <row r="132" spans="1:11" x14ac:dyDescent="0.25">
      <c r="A132" s="1">
        <v>14</v>
      </c>
      <c r="B132" s="1" t="s">
        <v>53</v>
      </c>
      <c r="C132" s="1">
        <v>20201111</v>
      </c>
    </row>
    <row r="133" spans="1:11" x14ac:dyDescent="0.25">
      <c r="A133" s="1"/>
      <c r="B133" s="1" t="s">
        <v>90</v>
      </c>
      <c r="C133">
        <f>SUM(G139:G140)</f>
        <v>7.63375</v>
      </c>
      <c r="D133" t="s">
        <v>91</v>
      </c>
    </row>
    <row r="134" spans="1:11" x14ac:dyDescent="0.25">
      <c r="A134" s="1"/>
      <c r="B134" s="1" t="s">
        <v>97</v>
      </c>
      <c r="C134">
        <f>SUM(INT((WEEKDAY(F134-{2,3,4,5,6})+H134-F134)/7))</f>
        <v>3</v>
      </c>
      <c r="D134" t="s">
        <v>91</v>
      </c>
      <c r="E134" t="s">
        <v>118</v>
      </c>
      <c r="F134" s="6">
        <v>44146</v>
      </c>
      <c r="G134" s="6" t="s">
        <v>89</v>
      </c>
      <c r="H134" s="6">
        <v>44150</v>
      </c>
    </row>
    <row r="135" spans="1:11" x14ac:dyDescent="0.25">
      <c r="A135" s="1"/>
      <c r="B135" s="1" t="s">
        <v>98</v>
      </c>
      <c r="C135">
        <f>SUM(INT((WEEKDAY(F135-{2,3,4,5,6})+H135-F135)/7))</f>
        <v>3</v>
      </c>
      <c r="D135" t="s">
        <v>91</v>
      </c>
      <c r="E135" t="s">
        <v>118</v>
      </c>
      <c r="F135" s="6">
        <v>44146</v>
      </c>
      <c r="G135" s="6" t="s">
        <v>89</v>
      </c>
      <c r="H135" s="6">
        <v>44150</v>
      </c>
    </row>
    <row r="136" spans="1:11" x14ac:dyDescent="0.25">
      <c r="A136" s="1"/>
      <c r="B136" s="1" t="s">
        <v>17</v>
      </c>
      <c r="C136" t="str">
        <f>IF(AND(F139=E139,F140=E140),IF(SUM(H139:H140)&gt;SUM(G139:G140),"Delayed",IF(SUM(H139:H140)&lt;SUM(G139:G140),"InAdvanced","Ontime")),"N/A")</f>
        <v>InAdvanced</v>
      </c>
      <c r="F136" s="6"/>
      <c r="G136" s="6"/>
      <c r="H136" s="6"/>
    </row>
    <row r="137" spans="1:11" x14ac:dyDescent="0.25">
      <c r="A137" s="1"/>
    </row>
    <row r="138" spans="1:11" ht="45" x14ac:dyDescent="0.25">
      <c r="A138" s="1"/>
      <c r="C138" s="39" t="s">
        <v>25</v>
      </c>
      <c r="D138" s="39" t="s">
        <v>26</v>
      </c>
      <c r="E138" s="8" t="s">
        <v>92</v>
      </c>
      <c r="F138" s="8" t="s">
        <v>93</v>
      </c>
      <c r="G138" s="8" t="s">
        <v>94</v>
      </c>
      <c r="H138" s="8" t="s">
        <v>95</v>
      </c>
      <c r="I138" s="8" t="s">
        <v>29</v>
      </c>
      <c r="J138" s="8" t="s">
        <v>107</v>
      </c>
      <c r="K138" s="8" t="s">
        <v>116</v>
      </c>
    </row>
    <row r="139" spans="1:11" x14ac:dyDescent="0.25">
      <c r="A139" s="1"/>
      <c r="C139" s="31">
        <v>1</v>
      </c>
      <c r="D139" s="29" t="str">
        <f>Table!$D$3</f>
        <v>PSW</v>
      </c>
      <c r="E139" s="29">
        <f>SUMIFS(Merged_COEM!$W$60:$W$276,Merged_COEM!$D$60:$D$276,D139, Merged_COEM!$C$60:$C$276,C132)</f>
        <v>3080</v>
      </c>
      <c r="F139" s="29">
        <f>SUMIFS(Merged_COEM!$X$60:$X$276,Merged_COEM!$D$60:$D$276,D139, Merged_COEM!$C$60:$C$276,C132)-SUM(SUMIFS(Merged_COEM!$X$60:$X$276,Merged_COEM!$D$60:$D$276,Table!$D$3,Merged_COEM!$AA$60:$AA$276,{"Ongoing","N/A",""},Merged_COEM!$C$60:$C$276,C132))</f>
        <v>3080</v>
      </c>
      <c r="G139" s="29">
        <f>1/8*(SUMIFS(Merged_COEM!$Y$60:$Y$276,Merged_COEM!$D$60:$D$276,D139, Merged_COEM!$C$60:$C$276,C132))</f>
        <v>6.8425000000000002</v>
      </c>
      <c r="H139" s="29">
        <f>1/8*(SUMIFS(Merged_COEM!$Z$60:$Z$276,Merged_COEM!$D$60:$D$276,D139, Merged_COEM!$C$60:$C$276,C132)-SUM(SUMIFS(Merged_COEM!$Z$60:$Z$276,Merged_COEM!$D$60:$D$276,D139,Merged_COEM!$AA$60:$AA$276,{"Ongoing","N/A",""},Merged_COEM!$C$60:$C$276,C132)))</f>
        <v>6.8425000000000002</v>
      </c>
      <c r="I139" s="51">
        <f>IFERROR(F139/E139,"N/A")</f>
        <v>1</v>
      </c>
      <c r="J139" s="3">
        <f>COUNTIFS(Merged_COEM!$AK$60:$AK$276,J138,Merged_COEM!$D$60:$D$276,D139,Merged_COEM!$C$60:$C$276,C132)</f>
        <v>1</v>
      </c>
      <c r="K139" s="3">
        <f>COUNTIFS(Merged_COEM!$AK$60:$AK$276,K138,Merged_COEM!$D$60:$D$276,D139,Merged_COEM!$C$60:$C$276,C132)</f>
        <v>0</v>
      </c>
    </row>
    <row r="140" spans="1:11" x14ac:dyDescent="0.25">
      <c r="A140" s="1"/>
      <c r="C140" s="31">
        <v>2</v>
      </c>
      <c r="D140" s="29" t="str">
        <f>Table!$C$3</f>
        <v>ASW</v>
      </c>
      <c r="E140" s="29">
        <f>SUMIFS(Merged_COEM!$W$60:$W$276,Merged_COEM!$D$60:$D$276,D140, Merged_COEM!$C$60:$C$276,C132)</f>
        <v>103</v>
      </c>
      <c r="F140" s="29">
        <f>SUMIFS(Merged_COEM!$X$60:$X$276,Merged_COEM!$D$60:$D$276,D140, Merged_COEM!$C$60:$C$276,C132)-SUM(SUMIFS(Merged_COEM!$X$60:$X$276,Merged_COEM!$D$60:$D$276,D140,Merged_COEM!$AA$60:$AA$276,{"Ongoing","N/A",""},Merged_COEM!$C$60:$C$276,C132))</f>
        <v>103</v>
      </c>
      <c r="G140" s="29">
        <f>1/8*(SUMIFS(Merged_COEM!$Y$60:$Y$276,Merged_COEM!$D$60:$D$276,D140, Merged_COEM!$C$60:$C$276,C132))</f>
        <v>0.79125000000000001</v>
      </c>
      <c r="H140" s="29">
        <f>1/8*(SUMIFS(Merged_COEM!$Z$60:$Z$276,Merged_COEM!$D$60:$D$276,D140, Merged_COEM!$C$60:$C$276,C132)-SUM(SUMIFS(Merged_COEM!$Z$60:$Z$276,Merged_COEM!$D$60:$D$276,D140,Merged_COEM!$AA$60:$AA$276,{"Ongoing","N/A",""},Merged_COEM!$C$60:$C$276,C132)))</f>
        <v>0.75</v>
      </c>
      <c r="I140" s="51">
        <f>IFERROR(F140/E140,"N/A")</f>
        <v>1</v>
      </c>
      <c r="J140" s="3">
        <f>COUNTIFS(Merged_COEM!$AK$60:$AK$276,J138,Merged_COEM!$D$60:$D$276,D140,Merged_COEM!$C$60:$C$276,C132)</f>
        <v>0</v>
      </c>
      <c r="K140" s="3">
        <f>COUNTIFS(Merged_COEM!$AK$60:$AK$276,K138,Merged_COEM!$D$60:$D$276,D140,Merged_COEM!$C$60:$C$276,C132)</f>
        <v>0</v>
      </c>
    </row>
  </sheetData>
  <customSheetViews>
    <customSheetView guid="{7E0EA425-A420-4443-B9E0-CDF0AA9E5D09}" scale="85" topLeftCell="A124">
      <selection activeCell="B156" sqref="B156"/>
      <pageMargins left="0.7" right="0.7" top="0.75" bottom="0.75" header="0.3" footer="0.3"/>
      <pageSetup orientation="portrait" r:id="rId1"/>
    </customSheetView>
    <customSheetView guid="{C94451EF-7A3E-4D72-B5A4-3D1B193192CC}" scale="85" showPageBreaks="1">
      <selection activeCell="G160" sqref="G160"/>
      <pageMargins left="0.7" right="0.7" top="0.75" bottom="0.75" header="0.3" footer="0.3"/>
      <pageSetup orientation="portrait" r:id="rId2"/>
    </customSheetView>
    <customSheetView guid="{7ECC2B8E-6A82-42F5-8AB0-4A51C54EA5EC}" scale="85" showPageBreaks="1" topLeftCell="A43">
      <selection activeCell="O21" sqref="O21"/>
      <pageMargins left="0.7" right="0.7" top="0.75" bottom="0.75" header="0.3" footer="0.3"/>
      <pageSetup orientation="portrait" r:id="rId3"/>
    </customSheetView>
    <customSheetView guid="{4E06BDBF-2CED-473B-850B-2A6C7311FF41}" scale="85" showPageBreaks="1" topLeftCell="A4">
      <selection activeCell="A93" sqref="A93:XFD93"/>
      <pageMargins left="0.7" right="0.7" top="0.75" bottom="0.75" header="0.3" footer="0.3"/>
      <pageSetup orientation="portrait" r:id="rId4"/>
    </customSheetView>
    <customSheetView guid="{970EE037-F5E5-47AF-896A-0F6222879EBC}" scale="85" topLeftCell="A37">
      <selection activeCell="C56" sqref="C56"/>
      <pageMargins left="0.7" right="0.7" top="0.75" bottom="0.75" header="0.3" footer="0.3"/>
      <pageSetup orientation="portrait" r:id="rId5"/>
    </customSheetView>
    <customSheetView guid="{F96FC7D9-4F89-4FE0-8D00-C0083DEB0472}" scale="85" topLeftCell="A43">
      <selection activeCell="G112" sqref="G112"/>
      <pageMargins left="0.7" right="0.7" top="0.75" bottom="0.75" header="0.3" footer="0.3"/>
      <pageSetup orientation="portrait" r:id="rId6"/>
    </customSheetView>
    <customSheetView guid="{A2C66332-A809-458E-971B-FDB6D62C74C3}" scale="85">
      <selection activeCell="K212" sqref="K212"/>
      <pageMargins left="0.7" right="0.7" top="0.75" bottom="0.75" header="0.3" footer="0.3"/>
      <pageSetup orientation="portrait" r:id="rId7"/>
    </customSheetView>
    <customSheetView guid="{3B3E6719-EACB-4D2C-89C1-05FFAB6020FD}" scale="85">
      <selection activeCell="K212" sqref="K212"/>
      <pageMargins left="0.7" right="0.7" top="0.75" bottom="0.75" header="0.3" footer="0.3"/>
      <pageSetup orientation="portrait" r:id="rId8"/>
    </customSheetView>
    <customSheetView guid="{D33AC7AF-C8AB-4CE9-94C7-9237011A5FC3}" scale="85">
      <selection activeCell="A12" sqref="A12:XFD12"/>
      <pageMargins left="0.7" right="0.7" top="0.75" bottom="0.75" header="0.3" footer="0.3"/>
      <pageSetup orientation="portrait" r:id="rId9"/>
    </customSheetView>
    <customSheetView guid="{60D2C030-4E31-4E07-8E1C-44D2EE84B177}" scale="85">
      <selection activeCell="A12" sqref="A12:XFD12"/>
      <pageMargins left="0.7" right="0.7" top="0.75" bottom="0.75" header="0.3" footer="0.3"/>
      <pageSetup orientation="portrait" r:id="rId10"/>
    </customSheetView>
    <customSheetView guid="{A2E8CE38-D15E-4374-89B2-69D9421C4465}" scale="85" showPageBreaks="1">
      <selection activeCell="A12" sqref="A12:XFD12"/>
      <pageMargins left="0.7" right="0.7" top="0.75" bottom="0.75" header="0.3" footer="0.3"/>
      <pageSetup orientation="portrait" r:id="rId11"/>
    </customSheetView>
    <customSheetView guid="{336B6883-2145-4B58-921E-CEC7185A847E}" scale="85">
      <selection activeCell="A93" sqref="A93:XFD93"/>
      <pageMargins left="0.7" right="0.7" top="0.75" bottom="0.75" header="0.3" footer="0.3"/>
      <pageSetup orientation="portrait" r:id="rId12"/>
    </customSheetView>
    <customSheetView guid="{89C03E1E-B6A8-49A1-B29C-5DC4FAB2FBC6}" scale="85">
      <selection activeCell="A12" sqref="A12:XFD12"/>
      <pageMargins left="0.7" right="0.7" top="0.75" bottom="0.75" header="0.3" footer="0.3"/>
      <pageSetup orientation="portrait" r:id="rId13"/>
    </customSheetView>
    <customSheetView guid="{FECB4C41-27E8-4A22-AFB3-4F54CDD4960E}" scale="85">
      <selection activeCell="A12" sqref="A12:XFD12"/>
      <pageMargins left="0.7" right="0.7" top="0.75" bottom="0.75" header="0.3" footer="0.3"/>
      <pageSetup orientation="portrait" r:id="rId14"/>
    </customSheetView>
    <customSheetView guid="{99BC1C51-34DC-4BF2-906C-1E31B6171D71}" scale="85">
      <selection activeCell="A12" sqref="A12:XFD12"/>
      <pageMargins left="0.7" right="0.7" top="0.75" bottom="0.75" header="0.3" footer="0.3"/>
      <pageSetup orientation="portrait" r:id="rId15"/>
    </customSheetView>
  </customSheetViews>
  <conditionalFormatting sqref="I9:I11">
    <cfRule type="cellIs" dxfId="13" priority="8" operator="equal">
      <formula>1</formula>
    </cfRule>
  </conditionalFormatting>
  <conditionalFormatting sqref="I19:I20">
    <cfRule type="cellIs" dxfId="12" priority="6" operator="equal">
      <formula>1</formula>
    </cfRule>
  </conditionalFormatting>
  <conditionalFormatting sqref="I29:I30">
    <cfRule type="cellIs" dxfId="11" priority="5" operator="equal">
      <formula>1</formula>
    </cfRule>
  </conditionalFormatting>
  <conditionalFormatting sqref="I59:I60">
    <cfRule type="cellIs" dxfId="10" priority="1" operator="equal">
      <formula>1</formula>
    </cfRule>
  </conditionalFormatting>
  <conditionalFormatting sqref="I39:I40">
    <cfRule type="cellIs" dxfId="9" priority="3" operator="equal">
      <formula>1</formula>
    </cfRule>
  </conditionalFormatting>
  <conditionalFormatting sqref="I49:I50">
    <cfRule type="cellIs" dxfId="8" priority="2" operator="equal">
      <formula>1</formula>
    </cfRule>
  </conditionalFormatting>
  <pageMargins left="0.7" right="0.7" top="0.75" bottom="0.75" header="0.3" footer="0.3"/>
  <pageSetup orientation="portrait" r:id="rId1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K242"/>
  <sheetViews>
    <sheetView topLeftCell="A178" workbookViewId="0">
      <selection activeCell="P17" sqref="P17"/>
    </sheetView>
  </sheetViews>
  <sheetFormatPr defaultRowHeight="15" x14ac:dyDescent="0.25"/>
  <cols>
    <col min="6" max="6" width="12.5703125" customWidth="1"/>
    <col min="8" max="8" width="14.42578125" customWidth="1"/>
  </cols>
  <sheetData>
    <row r="4" spans="1:11" x14ac:dyDescent="0.25">
      <c r="A4">
        <v>1</v>
      </c>
      <c r="B4" s="1" t="s">
        <v>53</v>
      </c>
      <c r="C4" s="1" t="s">
        <v>404</v>
      </c>
    </row>
    <row r="5" spans="1:11" x14ac:dyDescent="0.25">
      <c r="B5" s="1" t="s">
        <v>90</v>
      </c>
      <c r="C5">
        <f>SUM(G11:G12)</f>
        <v>20.129999999999995</v>
      </c>
      <c r="D5" t="s">
        <v>91</v>
      </c>
    </row>
    <row r="6" spans="1:11" x14ac:dyDescent="0.25">
      <c r="B6" s="1" t="s">
        <v>97</v>
      </c>
      <c r="C6">
        <f>SUM(INT((WEEKDAY(F6-{2,3,4,5,6})+H6-F6)/7))</f>
        <v>6</v>
      </c>
      <c r="D6" t="s">
        <v>91</v>
      </c>
      <c r="E6" t="s">
        <v>118</v>
      </c>
      <c r="F6" s="6">
        <v>44118</v>
      </c>
      <c r="G6" s="6" t="s">
        <v>89</v>
      </c>
      <c r="H6" s="6">
        <v>44125</v>
      </c>
    </row>
    <row r="7" spans="1:11" x14ac:dyDescent="0.25">
      <c r="B7" s="1" t="s">
        <v>98</v>
      </c>
      <c r="C7">
        <f>SUM(INT((WEEKDAY(F7-{2,3,4,5,6})+H7-F7)/7))</f>
        <v>6</v>
      </c>
      <c r="D7" t="s">
        <v>91</v>
      </c>
      <c r="E7" t="s">
        <v>173</v>
      </c>
      <c r="F7" s="6">
        <v>44118</v>
      </c>
      <c r="G7" s="6" t="s">
        <v>89</v>
      </c>
      <c r="H7" s="6">
        <v>44125</v>
      </c>
    </row>
    <row r="8" spans="1:11" x14ac:dyDescent="0.25">
      <c r="B8" s="1" t="s">
        <v>17</v>
      </c>
      <c r="C8" t="str">
        <f>IF(AND(F11=E11,F12=E12),IF(SUM(H11:H12)&gt;SUM(G11:G12),"Delayed",IF(SUM(H11:H12)&lt;SUM(G11:G12),"InAdvanced","Ontime")),"N/A")</f>
        <v>InAdvanced</v>
      </c>
      <c r="F8" s="6"/>
      <c r="G8" s="6"/>
      <c r="H8" s="6"/>
    </row>
    <row r="10" spans="1:11" ht="75" x14ac:dyDescent="0.25">
      <c r="C10" s="39" t="s">
        <v>25</v>
      </c>
      <c r="D10" s="39" t="s">
        <v>26</v>
      </c>
      <c r="E10" s="8" t="s">
        <v>92</v>
      </c>
      <c r="F10" s="8" t="s">
        <v>93</v>
      </c>
      <c r="G10" s="8" t="s">
        <v>94</v>
      </c>
      <c r="H10" s="8" t="s">
        <v>95</v>
      </c>
      <c r="I10" s="8" t="s">
        <v>29</v>
      </c>
      <c r="J10" s="8" t="str">
        <f>Table!$C$37</f>
        <v>OPL</v>
      </c>
      <c r="K10" s="8" t="str">
        <f>Table!$C$38</f>
        <v>Defect</v>
      </c>
    </row>
    <row r="11" spans="1:11" x14ac:dyDescent="0.25">
      <c r="C11" s="31">
        <v>1</v>
      </c>
      <c r="D11" s="29" t="str">
        <f>Table!$D$3</f>
        <v>PSW</v>
      </c>
      <c r="E11" s="29">
        <f>SUMIFS(Merged_JOEM!$W$60:$W$378,Merged_JOEM!$D$60:$D$378,D11, Merged_JOEM!$E$60:$E$378,C4)</f>
        <v>4491</v>
      </c>
      <c r="F11" s="29">
        <f>SUMIFS(Merged_JOEM!$X$60:$X$378,Merged_JOEM!$D$60:$D$378,D11, Merged_JOEM!$E$60:$E$378,C4)-SUM(SUMIFS(Merged_JOEM!$X$60:$X$378,Merged_JOEM!$D$60:$D$378,D11,Merged_JOEM!$AA$60:$AA$378,{"Ongoing","N/A",""},Merged_JOEM!$E$60:$E$378,C4))</f>
        <v>4491</v>
      </c>
      <c r="G11" s="29">
        <f>1/8*(SUMIFS(Merged_JOEM!$Y$60:$Y$378,Merged_JOEM!$D$60:$D$378,D11, Merged_JOEM!$E$60:$E$378,C4))</f>
        <v>9.9799999999999986</v>
      </c>
      <c r="H11" s="29">
        <f>1/8*(SUMIFS(Merged_JOEM!$Z$60:$Z$378,Merged_JOEM!$D$60:$D$378,D11, Merged_JOEM!$E$60:$E$378,C4)-SUM(SUMIFS(Merged_JOEM!$Z$60:$Z$378,Merged_JOEM!$D$60:$D$378,D11,Merged_JOEM!$AA$60:$AA$378,{"Ongoing","N/A",""},Merged_JOEM!$E$60:$E$378,C4)))</f>
        <v>8.7099999999999973</v>
      </c>
      <c r="I11" s="127">
        <f>IFERROR(F11/E11,"N/A")</f>
        <v>1</v>
      </c>
      <c r="J11" s="3">
        <f>COUNTIFS(Merged_JOEM!$AL$60:$AL$378,J10,Merged_JOEM!$D$60:$D$378,D11,Merged_JOEM!$E$60:$E$378,C4)</f>
        <v>3</v>
      </c>
      <c r="K11" s="3">
        <f>COUNTIFS(Merged_JOEM!$AL$60:$AL$378,K10,Merged_JOEM!$D$60:$D$378,D11,Merged_JOEM!$E$60:$E$378,C4)</f>
        <v>0</v>
      </c>
    </row>
    <row r="12" spans="1:11" x14ac:dyDescent="0.25">
      <c r="C12" s="31">
        <v>2</v>
      </c>
      <c r="D12" s="29" t="str">
        <f>Table!$C$3</f>
        <v>ASW</v>
      </c>
      <c r="E12" s="29">
        <f>SUMIFS(Merged_JOEM!$W$60:$W$378,Merged_JOEM!$D$60:$D$378,D12, Merged_JOEM!$E$60:$E$378,C4)</f>
        <v>1319.5</v>
      </c>
      <c r="F12" s="29">
        <f>SUMIFS(Merged_JOEM!$X$60:$X$378,Merged_JOEM!$D$60:$D$378,D12, Merged_JOEM!$E$60:$E$378,C4)-SUM(SUMIFS(Merged_JOEM!$X$60:$X$378,Merged_JOEM!$D$60:$D$378,D12,Merged_JOEM!$AA$60:$AA$378,{"Ongoing","N/A",""},Merged_JOEM!$E$60:$E$378,C4))</f>
        <v>1319.5</v>
      </c>
      <c r="G12" s="29">
        <f>1/8*(SUMIFS(Merged_JOEM!$Y$60:$Y$378,Merged_JOEM!$D$60:$D$378,D12,Merged_JOEM!$E$60:$E$378,C4))</f>
        <v>10.149999999999999</v>
      </c>
      <c r="H12" s="29">
        <f>1/8*(SUMIFS(Merged_JOEM!$Z$60:$Z$378,Merged_JOEM!$D$60:$D$378,D12,Merged_JOEM!$E$60:$E$378,C4)-SUM(SUMIFS(Merged_JOEM!$Z$60:$Z$378,Merged_JOEM!$D$60:$D$378,D12,Merged_JOEM!$AA$60:$AA$378,{"Ongoing","N/A",""},Merged_JOEM!$E$60:$E$378,C4)))</f>
        <v>10.149999999999999</v>
      </c>
      <c r="I12" s="127">
        <f>IFERROR(F12/E12,"N/A")</f>
        <v>1</v>
      </c>
      <c r="J12" s="3">
        <f>COUNTIFS(Merged_JOEM!$AL$60:$AL$378,J10,Merged_JOEM!$D$60:$D$378,D12,Merged_JOEM!$E$60:$E$378,C4)</f>
        <v>0</v>
      </c>
      <c r="K12" s="3">
        <f>COUNTIFS(Merged_JOEM!$AL$60:$AL$378,K10,Merged_JOEM!$D$60:$D$378,D12,Merged_JOEM!$E$60:$E$378,C4)</f>
        <v>0</v>
      </c>
    </row>
    <row r="14" spans="1:11" x14ac:dyDescent="0.25">
      <c r="C14" t="s">
        <v>96</v>
      </c>
    </row>
    <row r="15" spans="1:11" x14ac:dyDescent="0.25">
      <c r="D15" s="125"/>
    </row>
    <row r="16" spans="1:11" x14ac:dyDescent="0.25">
      <c r="B16" s="118"/>
      <c r="C16" s="118"/>
    </row>
    <row r="17" spans="1:11" x14ac:dyDescent="0.25">
      <c r="A17">
        <v>2</v>
      </c>
      <c r="B17" s="139" t="s">
        <v>53</v>
      </c>
      <c r="C17" s="139" t="s">
        <v>490</v>
      </c>
    </row>
    <row r="18" spans="1:11" x14ac:dyDescent="0.25">
      <c r="B18" s="139" t="s">
        <v>90</v>
      </c>
      <c r="C18">
        <f>SUM(G24:G25)</f>
        <v>1.63</v>
      </c>
      <c r="D18" t="s">
        <v>91</v>
      </c>
    </row>
    <row r="19" spans="1:11" x14ac:dyDescent="0.25">
      <c r="B19" s="139" t="s">
        <v>97</v>
      </c>
      <c r="C19">
        <f>SUM(INT((WEEKDAY(F19-{2,3,4,5,6})+H19-F19)/7))</f>
        <v>2</v>
      </c>
      <c r="D19" t="s">
        <v>91</v>
      </c>
      <c r="E19" t="s">
        <v>118</v>
      </c>
      <c r="F19" s="6">
        <v>44123</v>
      </c>
      <c r="G19" s="6" t="s">
        <v>89</v>
      </c>
      <c r="H19" s="6">
        <v>44124</v>
      </c>
    </row>
    <row r="20" spans="1:11" x14ac:dyDescent="0.25">
      <c r="B20" s="139" t="s">
        <v>98</v>
      </c>
      <c r="C20">
        <f>SUM(INT((WEEKDAY(F20-{2,3,4,5,6})+H20-F20)/7))</f>
        <v>2</v>
      </c>
      <c r="D20" t="s">
        <v>91</v>
      </c>
      <c r="E20" t="s">
        <v>173</v>
      </c>
      <c r="F20" s="6">
        <v>44123</v>
      </c>
      <c r="G20" s="6" t="s">
        <v>89</v>
      </c>
      <c r="H20" s="6">
        <v>44124</v>
      </c>
    </row>
    <row r="21" spans="1:11" x14ac:dyDescent="0.25">
      <c r="B21" s="139" t="s">
        <v>17</v>
      </c>
      <c r="C21" t="str">
        <f>IF(AND(F24=E24,F25=E25),IF(SUM(H24:H25)&gt;SUM(G24:G25),"Delayed",IF(SUM(H24:H25)&lt;SUM(G24:G25),"InAdvanced","Ontime")),"N/A")</f>
        <v>InAdvanced</v>
      </c>
      <c r="F21" s="6"/>
      <c r="G21" s="6"/>
      <c r="H21" s="6"/>
    </row>
    <row r="23" spans="1:11" ht="75" x14ac:dyDescent="0.25">
      <c r="C23" s="140" t="s">
        <v>25</v>
      </c>
      <c r="D23" s="140" t="s">
        <v>26</v>
      </c>
      <c r="E23" s="141" t="s">
        <v>92</v>
      </c>
      <c r="F23" s="141" t="s">
        <v>93</v>
      </c>
      <c r="G23" s="141" t="s">
        <v>94</v>
      </c>
      <c r="H23" s="141" t="s">
        <v>95</v>
      </c>
      <c r="I23" s="141" t="s">
        <v>29</v>
      </c>
      <c r="J23" s="141" t="str">
        <f>Table!$C$37</f>
        <v>OPL</v>
      </c>
      <c r="K23" s="141" t="str">
        <f>Table!$C$38</f>
        <v>Defect</v>
      </c>
    </row>
    <row r="24" spans="1:11" x14ac:dyDescent="0.25">
      <c r="C24" s="31">
        <v>1</v>
      </c>
      <c r="D24" s="29" t="str">
        <f>Table!$D$3</f>
        <v>PSW</v>
      </c>
      <c r="E24" s="29">
        <f>SUMIFS(Merged_JOEM!$W$60:$W$378,Merged_JOEM!$D$60:$D$378,D24, Merged_JOEM!$E$60:$E$378,C17)</f>
        <v>733.5</v>
      </c>
      <c r="F24" s="29">
        <f>SUMIFS(Merged_JOEM!$X$60:$X$378,Merged_JOEM!$D$60:$D$378,D24, Merged_JOEM!$E$60:$E$378,C17)-SUM(SUMIFS(Merged_JOEM!$X$60:$X$378,Merged_JOEM!$D$60:$D$378,D24,Merged_JOEM!$AA$60:$AA$378,{"Ongoing","N/A",""},Merged_JOEM!$E$60:$E$378,C17))</f>
        <v>733.5</v>
      </c>
      <c r="G24" s="29">
        <f>1/8*(SUMIFS(Merged_JOEM!$Y$60:$Y$378,Merged_JOEM!$D$60:$D$378,D24, Merged_JOEM!$E$60:$E$378,C17))</f>
        <v>1.63</v>
      </c>
      <c r="H24" s="29">
        <f>1/8*(SUMIFS(Merged_JOEM!$Z$60:$Z$378,Merged_JOEM!$D$60:$D$378,D24, Merged_JOEM!$E$60:$E$378,C17)-SUM(SUMIFS(Merged_JOEM!$Z$60:$Z$378,Merged_JOEM!$D$60:$D$378,D24,Merged_JOEM!$AA$60:$AA$378,{"Ongoing","N/A",""},Merged_JOEM!$E$60:$E$378,C17)))</f>
        <v>1.5</v>
      </c>
      <c r="I24" s="127">
        <f>IFERROR(F24/E24,"N/A")</f>
        <v>1</v>
      </c>
      <c r="J24" s="3">
        <f>COUNTIFS(Merged_JOEM!$AL$60:$AL$378,J23,Merged_JOEM!$D$60:$D$378,D24,Merged_JOEM!$E$60:$E$378,C17)</f>
        <v>0</v>
      </c>
      <c r="K24" s="3">
        <f>COUNTIFS(Merged_JOEM!$AL$60:$AL$378,K23,Merged_JOEM!$D$60:$D$378,D24,Merged_JOEM!$E$60:$E$378,C17)</f>
        <v>0</v>
      </c>
    </row>
    <row r="25" spans="1:11" x14ac:dyDescent="0.25">
      <c r="C25" s="31">
        <v>2</v>
      </c>
      <c r="D25" s="29" t="str">
        <f>Table!$C$3</f>
        <v>ASW</v>
      </c>
      <c r="E25" s="29">
        <f>SUMIFS(Merged_JOEM!$W$60:$W$378,Merged_JOEM!$D$60:$D$378,D25, Merged_JOEM!$E$60:$E$378,C17)</f>
        <v>0</v>
      </c>
      <c r="F25" s="29">
        <f>SUMIFS(Merged_JOEM!$X$60:$X$378,Merged_JOEM!$D$60:$D$378,D25, Merged_JOEM!$E$60:$E$378,C17)-SUM(SUMIFS(Merged_JOEM!$X$60:$X$378,Merged_JOEM!$D$60:$D$378,D25,Merged_JOEM!$AA$60:$AA$378,{"Ongoing","N/A",""},Merged_JOEM!$E$60:$E$378,C17))</f>
        <v>0</v>
      </c>
      <c r="G25" s="29">
        <f>1/8*(SUMIFS(Merged_JOEM!$Y$60:$Y$378,Merged_JOEM!$D$60:$D$378,D25,Merged_JOEM!$E$60:$E$378,C17))</f>
        <v>0</v>
      </c>
      <c r="H25" s="29">
        <f>1/8*(SUMIFS(Merged_JOEM!$Z$60:$Z$378,Merged_JOEM!$D$60:$D$378,D25,Merged_JOEM!$E$60:$E$378,C17)-SUM(SUMIFS(Merged_JOEM!$Z$60:$Z$378,Merged_JOEM!$D$60:$D$378,D25,Merged_JOEM!$AA$60:$AA$378,{"Ongoing","N/A",""},Merged_JOEM!$E$60:$E$378,C17)))</f>
        <v>0</v>
      </c>
      <c r="I25" s="127" t="str">
        <f>IFERROR(F25/E25,"N/A")</f>
        <v>N/A</v>
      </c>
      <c r="J25" s="3">
        <f>COUNTIFS(Merged_JOEM!$AL$60:$AL$378,J23,Merged_JOEM!$D$60:$D$378,D25,Merged_JOEM!$E$60:$E$378,C17)</f>
        <v>0</v>
      </c>
      <c r="K25" s="3">
        <f>COUNTIFS(Merged_JOEM!$AL$60:$AL$378,K23,Merged_JOEM!$D$60:$D$378,D25,Merged_JOEM!$E$60:$E$378,C17)</f>
        <v>0</v>
      </c>
    </row>
    <row r="27" spans="1:11" x14ac:dyDescent="0.25">
      <c r="C27" t="s">
        <v>96</v>
      </c>
    </row>
    <row r="29" spans="1:11" x14ac:dyDescent="0.25">
      <c r="A29">
        <v>3</v>
      </c>
      <c r="B29" s="139" t="s">
        <v>53</v>
      </c>
      <c r="C29" s="139" t="s">
        <v>519</v>
      </c>
    </row>
    <row r="30" spans="1:11" x14ac:dyDescent="0.25">
      <c r="B30" s="139" t="s">
        <v>90</v>
      </c>
      <c r="C30">
        <f>SUM(G36:G37)</f>
        <v>0.375</v>
      </c>
      <c r="D30" t="s">
        <v>91</v>
      </c>
    </row>
    <row r="31" spans="1:11" x14ac:dyDescent="0.25">
      <c r="B31" s="139" t="s">
        <v>97</v>
      </c>
      <c r="C31">
        <f>SUM(INT((WEEKDAY(F31-{2,3,4,5,6})+H31-F31)/7))</f>
        <v>1</v>
      </c>
      <c r="D31" t="s">
        <v>91</v>
      </c>
      <c r="E31" t="s">
        <v>118</v>
      </c>
      <c r="F31" s="6">
        <v>44123</v>
      </c>
      <c r="G31" s="6" t="s">
        <v>89</v>
      </c>
      <c r="H31" s="6">
        <v>44123</v>
      </c>
    </row>
    <row r="32" spans="1:11" x14ac:dyDescent="0.25">
      <c r="B32" s="139" t="s">
        <v>98</v>
      </c>
      <c r="C32">
        <f>SUM(INT((WEEKDAY(F32-{2,3,4,5,6})+H32-F32)/7))</f>
        <v>1</v>
      </c>
      <c r="D32" t="s">
        <v>91</v>
      </c>
      <c r="E32" t="s">
        <v>173</v>
      </c>
      <c r="F32" s="6">
        <v>44123</v>
      </c>
      <c r="G32" s="6" t="s">
        <v>89</v>
      </c>
      <c r="H32" s="6">
        <v>44123</v>
      </c>
    </row>
    <row r="33" spans="1:11" x14ac:dyDescent="0.25">
      <c r="B33" s="139" t="s">
        <v>17</v>
      </c>
      <c r="C33" t="str">
        <f>IF(AND(F36=E36,F37=E37),IF(SUM(H36:H37)&gt;SUM(G36:G37),"Delayed",IF(SUM(H36:H37)&lt;SUM(G36:G37),"InAdvanced","Ontime")),"N/A")</f>
        <v>InAdvanced</v>
      </c>
      <c r="F33" s="6"/>
      <c r="G33" s="6"/>
      <c r="H33" s="6"/>
    </row>
    <row r="35" spans="1:11" ht="75" x14ac:dyDescent="0.25">
      <c r="C35" s="140" t="s">
        <v>25</v>
      </c>
      <c r="D35" s="140" t="s">
        <v>26</v>
      </c>
      <c r="E35" s="141" t="s">
        <v>92</v>
      </c>
      <c r="F35" s="141" t="s">
        <v>93</v>
      </c>
      <c r="G35" s="141" t="s">
        <v>94</v>
      </c>
      <c r="H35" s="141" t="s">
        <v>95</v>
      </c>
      <c r="I35" s="141" t="s">
        <v>29</v>
      </c>
      <c r="J35" s="141" t="str">
        <f>Table!$C$37</f>
        <v>OPL</v>
      </c>
      <c r="K35" s="141" t="str">
        <f>Table!$C$38</f>
        <v>Defect</v>
      </c>
    </row>
    <row r="36" spans="1:11" x14ac:dyDescent="0.25">
      <c r="C36" s="31">
        <v>1</v>
      </c>
      <c r="D36" s="29" t="str">
        <f>Table!$D$3</f>
        <v>PSW</v>
      </c>
      <c r="E36" s="29">
        <f>SUMIFS(Merged_JOEM!$W$60:$W$378,Merged_JOEM!$D$60:$D$378,D36, Merged_JOEM!$E$60:$E$378,C29)</f>
        <v>0</v>
      </c>
      <c r="F36" s="29">
        <f>SUMIFS(Merged_JOEM!$X$60:$X$378,Merged_JOEM!$D$60:$D$378,D36, Merged_JOEM!$E$60:$E$378,C29)-SUM(SUMIFS(Merged_JOEM!$X$60:$X$378,Merged_JOEM!$D$60:$D$378,D36,Merged_JOEM!$AA$60:$AA$378,{"Ongoing","N/A",""},Merged_JOEM!$E$60:$E$378,C29))</f>
        <v>0</v>
      </c>
      <c r="G36" s="29">
        <f>1/8*(SUMIFS(Merged_JOEM!$Y$60:$Y$378,Merged_JOEM!$D$60:$D$378,D36, Merged_JOEM!$E$60:$E$378,C29))</f>
        <v>0</v>
      </c>
      <c r="H36" s="29">
        <f>1/8*(SUMIFS(Merged_JOEM!$Z$60:$Z$378,Merged_JOEM!$D$60:$D$378,D36, Merged_JOEM!$E$60:$E$378,C29)-SUM(SUMIFS(Merged_JOEM!$Z$60:$Z$378,Merged_JOEM!$D$60:$D$378,D36,Merged_JOEM!$AA$60:$AA$378,{"Ongoing","N/A",""},Merged_JOEM!$E$60:$E$378,C29)))</f>
        <v>0</v>
      </c>
      <c r="I36" s="127" t="str">
        <f>IFERROR(F36/E36,"N/A")</f>
        <v>N/A</v>
      </c>
      <c r="J36" s="3">
        <f>COUNTIFS(Merged_JOEM!$AL$60:$AL$378,J35,Merged_JOEM!$D$60:$D$378,D36,Merged_JOEM!$E$60:$E$378,C29)</f>
        <v>0</v>
      </c>
      <c r="K36" s="3">
        <f>COUNTIFS(Merged_JOEM!$AL$60:$AL$378,K35,Merged_JOEM!$D$60:$D$378,D36,Merged_JOEM!$E$60:$E$378,C29)</f>
        <v>0</v>
      </c>
    </row>
    <row r="37" spans="1:11" x14ac:dyDescent="0.25">
      <c r="C37" s="31">
        <v>2</v>
      </c>
      <c r="D37" s="29" t="str">
        <f>Table!$C$3</f>
        <v>ASW</v>
      </c>
      <c r="E37" s="29">
        <f>SUMIFS(Merged_JOEM!$W$60:$W$378,Merged_JOEM!$D$60:$D$378,D37, Merged_JOEM!$E$60:$E$378,C29)</f>
        <v>48.75</v>
      </c>
      <c r="F37" s="29">
        <f>SUMIFS(Merged_JOEM!$X$60:$X$378,Merged_JOEM!$D$60:$D$378,D37, Merged_JOEM!$E$60:$E$378,C29)-SUM(SUMIFS(Merged_JOEM!$X$60:$X$378,Merged_JOEM!$D$60:$D$378,D37,Merged_JOEM!$AA$60:$AA$378,{"Ongoing","N/A",""},Merged_JOEM!$E$60:$E$378,C29))</f>
        <v>48.75</v>
      </c>
      <c r="G37" s="29">
        <f>1/8*(SUMIFS(Merged_JOEM!$Y$60:$Y$378,Merged_JOEM!$D$60:$D$378,D37,Merged_JOEM!$E$60:$E$378,C29))</f>
        <v>0.375</v>
      </c>
      <c r="H37" s="29">
        <f>1/8*(SUMIFS(Merged_JOEM!$Z$60:$Z$378,Merged_JOEM!$D$60:$D$378,D37,Merged_JOEM!$E$60:$E$378,C29)-SUM(SUMIFS(Merged_JOEM!$Z$60:$Z$378,Merged_JOEM!$D$60:$D$378,D37,Merged_JOEM!$AA$60:$AA$378,{"Ongoing","N/A",""},Merged_JOEM!$E$60:$E$378,C29)))</f>
        <v>0</v>
      </c>
      <c r="I37" s="127">
        <f>IFERROR(F37/E37,"N/A")</f>
        <v>1</v>
      </c>
      <c r="J37" s="3">
        <f>COUNTIFS(Merged_JOEM!$AL$60:$AL$378,J35,Merged_JOEM!$D$60:$D$378,D37,Merged_JOEM!$E$60:$E$378,C29)</f>
        <v>0</v>
      </c>
      <c r="K37" s="3">
        <f>COUNTIFS(Merged_JOEM!$AL$60:$AL$378,K35,Merged_JOEM!$D$60:$D$378,D37,Merged_JOEM!$E$60:$E$378,C29)</f>
        <v>0</v>
      </c>
    </row>
    <row r="39" spans="1:11" x14ac:dyDescent="0.25">
      <c r="C39" t="s">
        <v>96</v>
      </c>
    </row>
    <row r="41" spans="1:11" x14ac:dyDescent="0.25">
      <c r="A41">
        <v>4</v>
      </c>
      <c r="B41" s="139" t="s">
        <v>53</v>
      </c>
      <c r="C41" s="139" t="s">
        <v>520</v>
      </c>
    </row>
    <row r="42" spans="1:11" x14ac:dyDescent="0.25">
      <c r="B42" s="139" t="s">
        <v>90</v>
      </c>
      <c r="C42">
        <f>SUM(G48:G49)</f>
        <v>1.3125</v>
      </c>
      <c r="D42" t="s">
        <v>91</v>
      </c>
    </row>
    <row r="43" spans="1:11" x14ac:dyDescent="0.25">
      <c r="B43" s="139" t="s">
        <v>97</v>
      </c>
      <c r="C43">
        <f>SUM(INT((WEEKDAY(F43-{2,3,4,5,6})+H43-F43)/7))</f>
        <v>2</v>
      </c>
      <c r="D43" t="s">
        <v>91</v>
      </c>
      <c r="E43" t="s">
        <v>118</v>
      </c>
      <c r="F43" s="6">
        <v>44124</v>
      </c>
      <c r="G43" s="6" t="s">
        <v>89</v>
      </c>
      <c r="H43" s="6">
        <v>44125</v>
      </c>
    </row>
    <row r="44" spans="1:11" x14ac:dyDescent="0.25">
      <c r="B44" s="139" t="s">
        <v>98</v>
      </c>
      <c r="C44">
        <f>SUM(INT((WEEKDAY(F44-{2,3,4,5,6})+H44-F44)/7))</f>
        <v>2</v>
      </c>
      <c r="D44" t="s">
        <v>91</v>
      </c>
      <c r="E44" t="s">
        <v>173</v>
      </c>
      <c r="F44" s="6">
        <v>44124</v>
      </c>
      <c r="G44" s="6" t="s">
        <v>89</v>
      </c>
      <c r="H44" s="6">
        <v>44125</v>
      </c>
    </row>
    <row r="45" spans="1:11" x14ac:dyDescent="0.25">
      <c r="B45" s="139" t="s">
        <v>17</v>
      </c>
      <c r="C45" t="str">
        <f>IF(AND(F48=E48,F49=E49),IF(SUM(H48:H49)&gt;SUM(G48:G49),"Delayed",IF(SUM(H48:H49)&lt;SUM(G48:G49),"InAdvanced","Ontime")),"N/A")</f>
        <v>InAdvanced</v>
      </c>
      <c r="F45" s="6"/>
      <c r="G45" s="6"/>
      <c r="H45" s="6"/>
    </row>
    <row r="47" spans="1:11" ht="75" x14ac:dyDescent="0.25">
      <c r="C47" s="140" t="s">
        <v>25</v>
      </c>
      <c r="D47" s="140" t="s">
        <v>26</v>
      </c>
      <c r="E47" s="141" t="s">
        <v>92</v>
      </c>
      <c r="F47" s="141" t="s">
        <v>93</v>
      </c>
      <c r="G47" s="141" t="s">
        <v>94</v>
      </c>
      <c r="H47" s="141" t="s">
        <v>95</v>
      </c>
      <c r="I47" s="141" t="s">
        <v>29</v>
      </c>
      <c r="J47" s="141" t="str">
        <f>Table!$C$37</f>
        <v>OPL</v>
      </c>
      <c r="K47" s="141" t="str">
        <f>Table!$C$38</f>
        <v>Defect</v>
      </c>
    </row>
    <row r="48" spans="1:11" x14ac:dyDescent="0.25">
      <c r="C48" s="31">
        <v>1</v>
      </c>
      <c r="D48" s="29" t="str">
        <f>Table!$D$3</f>
        <v>PSW</v>
      </c>
      <c r="E48" s="29">
        <f>SUMIFS(Merged_JOEM!$W$60:$W$378,Merged_JOEM!$D$60:$D$378,D48, Merged_JOEM!$E$60:$E$378,C41)</f>
        <v>0</v>
      </c>
      <c r="F48" s="29">
        <f>SUMIFS(Merged_JOEM!$X$60:$X$378,Merged_JOEM!$D$60:$D$378,D48, Merged_JOEM!$E$60:$E$378,C41)-SUM(SUMIFS(Merged_JOEM!$X$60:$X$378,Merged_JOEM!$D$60:$D$378,D48,Merged_JOEM!$AA$60:$AA$378,{"Ongoing","N/A",""},Merged_JOEM!$E$60:$E$378,C41))</f>
        <v>0</v>
      </c>
      <c r="G48" s="29">
        <f>1/8*(SUMIFS(Merged_JOEM!$Y$60:$Y$378,Merged_JOEM!$D$60:$D$378,D48, Merged_JOEM!$E$60:$E$378,C41))</f>
        <v>0</v>
      </c>
      <c r="H48" s="29">
        <f>1/8*(SUMIFS(Merged_JOEM!$Z$60:$Z$378,Merged_JOEM!$D$60:$D$378,D48, Merged_JOEM!$E$60:$E$378,C41)-SUM(SUMIFS(Merged_JOEM!$Z$60:$Z$378,Merged_JOEM!$D$60:$D$378,D48,Merged_JOEM!$AA$60:$AA$378,{"Ongoing","N/A",""},Merged_JOEM!$E$60:$E$378,C41)))</f>
        <v>0</v>
      </c>
      <c r="I48" s="127" t="str">
        <f>IFERROR(F48/E48,"N/A")</f>
        <v>N/A</v>
      </c>
      <c r="J48" s="3">
        <f>COUNTIFS(Merged_JOEM!$AL$60:$AL$378,J47,Merged_JOEM!$D$60:$D$378,D48,Merged_JOEM!$E$60:$E$378,C41)</f>
        <v>0</v>
      </c>
      <c r="K48" s="3">
        <f>COUNTIFS(Merged_JOEM!$AL$60:$AL$378,K47,Merged_JOEM!$D$60:$D$378,D48,Merged_JOEM!$E$60:$E$378,C41)</f>
        <v>0</v>
      </c>
    </row>
    <row r="49" spans="1:11" x14ac:dyDescent="0.25">
      <c r="C49" s="31">
        <v>2</v>
      </c>
      <c r="D49" s="29" t="str">
        <f>Table!$C$3</f>
        <v>ASW</v>
      </c>
      <c r="E49" s="29">
        <f>SUMIFS(Merged_JOEM!$W$60:$W$378,Merged_JOEM!$D$60:$D$378,D49, Merged_JOEM!$E$60:$E$378,C41)</f>
        <v>170.625</v>
      </c>
      <c r="F49" s="29">
        <f>SUMIFS(Merged_JOEM!$X$60:$X$378,Merged_JOEM!$D$60:$D$378,D49, Merged_JOEM!$E$60:$E$378,C41)-SUM(SUMIFS(Merged_JOEM!$X$60:$X$378,Merged_JOEM!$D$60:$D$378,D49,Merged_JOEM!$AA$60:$AA$378,{"Ongoing","N/A",""},Merged_JOEM!$E$60:$E$378,C41))</f>
        <v>170.625</v>
      </c>
      <c r="G49" s="29">
        <f>1/8*(SUMIFS(Merged_JOEM!$Y$60:$Y$378,Merged_JOEM!$D$60:$D$378,D49,Merged_JOEM!$E$60:$E$378,C41))</f>
        <v>1.3125</v>
      </c>
      <c r="H49" s="29">
        <f>1/8*(SUMIFS(Merged_JOEM!$Z$60:$Z$378,Merged_JOEM!$D$60:$D$378,D49,Merged_JOEM!$E$60:$E$378,C41)-SUM(SUMIFS(Merged_JOEM!$Z$60:$Z$378,Merged_JOEM!$D$60:$D$378,D49,Merged_JOEM!$AA$60:$AA$378,{"Ongoing","N/A",""},Merged_JOEM!$E$60:$E$378,C41)))</f>
        <v>0.5</v>
      </c>
      <c r="I49" s="127">
        <f>IFERROR(F49/E49,"N/A")</f>
        <v>1</v>
      </c>
      <c r="J49" s="3">
        <f>COUNTIFS(Merged_JOEM!$AL$60:$AL$378,J47,Merged_JOEM!$D$60:$D$378,D49,Merged_JOEM!$E$60:$E$378,C41)</f>
        <v>1</v>
      </c>
      <c r="K49" s="3">
        <f>COUNTIFS(Merged_JOEM!$AL$60:$AL$378,K47,Merged_JOEM!$D$60:$D$378,D49,Merged_JOEM!$E$60:$E$378,C41)</f>
        <v>1</v>
      </c>
    </row>
    <row r="51" spans="1:11" x14ac:dyDescent="0.25">
      <c r="C51" t="s">
        <v>96</v>
      </c>
    </row>
    <row r="53" spans="1:11" x14ac:dyDescent="0.25">
      <c r="A53">
        <v>5</v>
      </c>
      <c r="B53" s="1" t="s">
        <v>53</v>
      </c>
      <c r="C53" s="1" t="s">
        <v>530</v>
      </c>
    </row>
    <row r="54" spans="1:11" x14ac:dyDescent="0.25">
      <c r="B54" s="1" t="s">
        <v>90</v>
      </c>
      <c r="C54">
        <f>SUM(G60:G61)</f>
        <v>2.8080000000000007</v>
      </c>
      <c r="D54" t="s">
        <v>91</v>
      </c>
    </row>
    <row r="55" spans="1:11" x14ac:dyDescent="0.25">
      <c r="B55" s="1" t="s">
        <v>97</v>
      </c>
      <c r="C55">
        <f>SUM(INT((WEEKDAY(F55-{2,3,4,5,6})+H55-F55)/7))</f>
        <v>4</v>
      </c>
      <c r="D55" t="s">
        <v>91</v>
      </c>
      <c r="E55" t="s">
        <v>118</v>
      </c>
      <c r="F55" s="6">
        <v>44124</v>
      </c>
      <c r="G55" s="6" t="s">
        <v>89</v>
      </c>
      <c r="H55" s="6">
        <v>44127</v>
      </c>
    </row>
    <row r="56" spans="1:11" x14ac:dyDescent="0.25">
      <c r="B56" s="1" t="s">
        <v>98</v>
      </c>
      <c r="C56">
        <f>SUM(INT((WEEKDAY(F56-{2,3,4,5,6})+H56-F56)/7))</f>
        <v>4</v>
      </c>
      <c r="D56" t="s">
        <v>91</v>
      </c>
      <c r="E56" t="s">
        <v>173</v>
      </c>
      <c r="F56" s="6">
        <v>44124</v>
      </c>
      <c r="G56" s="6" t="s">
        <v>89</v>
      </c>
      <c r="H56" s="6">
        <v>44127</v>
      </c>
    </row>
    <row r="57" spans="1:11" x14ac:dyDescent="0.25">
      <c r="B57" s="1" t="s">
        <v>17</v>
      </c>
      <c r="C57" t="str">
        <f>IF(AND(F60=E60,F61=E61),IF(SUM(H60:H61)&gt;SUM(G60:G61),"Delayed",IF(SUM(H60:H61)&lt;SUM(G60:G61),"InAdvanced","Ontime")),"N/A")</f>
        <v>Ontime</v>
      </c>
      <c r="F57" s="6"/>
      <c r="G57" s="6"/>
      <c r="H57" s="6"/>
    </row>
    <row r="59" spans="1:11" ht="75" x14ac:dyDescent="0.25">
      <c r="C59" s="39" t="s">
        <v>25</v>
      </c>
      <c r="D59" s="39" t="s">
        <v>26</v>
      </c>
      <c r="E59" s="8" t="s">
        <v>92</v>
      </c>
      <c r="F59" s="8" t="s">
        <v>93</v>
      </c>
      <c r="G59" s="8" t="s">
        <v>94</v>
      </c>
      <c r="H59" s="8" t="s">
        <v>95</v>
      </c>
      <c r="I59" s="8" t="s">
        <v>29</v>
      </c>
      <c r="J59" s="8" t="str">
        <f>Table!$C$37</f>
        <v>OPL</v>
      </c>
      <c r="K59" s="8" t="str">
        <f>Table!$C$38</f>
        <v>Defect</v>
      </c>
    </row>
    <row r="60" spans="1:11" x14ac:dyDescent="0.25">
      <c r="C60" s="31">
        <v>1</v>
      </c>
      <c r="D60" s="29" t="str">
        <f>Table!$D$3</f>
        <v>PSW</v>
      </c>
      <c r="E60" s="29">
        <f>SUMIFS(Merged_JOEM!$W$60:$W$378,Merged_JOEM!$D$60:$D$378,D60, Merged_JOEM!$E$60:$E$378,C53)</f>
        <v>1263.5999999999999</v>
      </c>
      <c r="F60" s="29">
        <f>SUMIFS(Merged_JOEM!$X$60:$X$378,Merged_JOEM!$D$60:$D$378,D60, Merged_JOEM!$E$60:$E$378,C53)-SUM(SUMIFS(Merged_JOEM!$X$60:$X$378,Merged_JOEM!$D$60:$D$378,D60,Merged_JOEM!$AA$60:$AA$378,{"Ongoing","N/A",""},Merged_JOEM!$E$60:$E$378,C53))</f>
        <v>1263.5999999999999</v>
      </c>
      <c r="G60" s="29">
        <f>1/8*(SUMIFS(Merged_JOEM!$Y$60:$Y$378,Merged_JOEM!$D$60:$D$378,D60, Merged_JOEM!$E$60:$E$378,C53))</f>
        <v>2.8080000000000007</v>
      </c>
      <c r="H60" s="29">
        <f>1/8*(SUMIFS(Merged_JOEM!$Z$60:$Z$378,Merged_JOEM!$D$60:$D$378,D60, Merged_JOEM!$E$60:$E$378,C53)-SUM(SUMIFS(Merged_JOEM!$Z$60:$Z$378,Merged_JOEM!$D$60:$D$378,D60,Merged_JOEM!$AA$60:$AA$378,{"Ongoing","N/A",""},Merged_JOEM!$E$60:$E$378,C53)))</f>
        <v>2.8080000000000007</v>
      </c>
      <c r="I60" s="127">
        <f>IFERROR(F60/E60,"N/A")</f>
        <v>1</v>
      </c>
      <c r="J60" s="3">
        <f>COUNTIFS(Merged_JOEM!$AL$60:$AL$378,J59,Merged_JOEM!$D$60:$D$378,D60,Merged_JOEM!$E$60:$E$378,C53)</f>
        <v>0</v>
      </c>
      <c r="K60" s="3">
        <f>COUNTIFS(Merged_JOEM!$AL$60:$AL$378,K59,Merged_JOEM!$D$60:$D$378,D60,Merged_JOEM!$E$60:$E$378,C53)</f>
        <v>0</v>
      </c>
    </row>
    <row r="61" spans="1:11" x14ac:dyDescent="0.25">
      <c r="C61" s="31">
        <v>2</v>
      </c>
      <c r="D61" s="29" t="str">
        <f>Table!$C$3</f>
        <v>ASW</v>
      </c>
      <c r="E61" s="29">
        <f>SUMIFS(Merged_JOEM!$W$60:$W$378,Merged_JOEM!$D$60:$D$378,D61, Merged_JOEM!$E$60:$E$378,C53)</f>
        <v>0</v>
      </c>
      <c r="F61" s="29">
        <f>SUMIFS(Merged_JOEM!$X$60:$X$378,Merged_JOEM!$D$60:$D$378,D61, Merged_JOEM!$E$60:$E$378,C53)-SUM(SUMIFS(Merged_JOEM!$X$60:$X$378,Merged_JOEM!$D$60:$D$378,D61,Merged_JOEM!$AA$60:$AA$378,{"Ongoing","N/A",""},Merged_JOEM!$E$60:$E$378,C53))</f>
        <v>0</v>
      </c>
      <c r="G61" s="29">
        <f>1/8*(SUMIFS(Merged_JOEM!$Y$60:$Y$378,Merged_JOEM!$D$60:$D$378,D61,Merged_JOEM!$E$60:$E$378,C53))</f>
        <v>0</v>
      </c>
      <c r="H61" s="29">
        <f>1/8*(SUMIFS(Merged_JOEM!$Z$60:$Z$378,Merged_JOEM!$D$60:$D$378,D61,Merged_JOEM!$E$60:$E$378,C53)-SUM(SUMIFS(Merged_JOEM!$Z$60:$Z$378,Merged_JOEM!$D$60:$D$378,D61,Merged_JOEM!$AA$60:$AA$378,{"Ongoing","N/A",""},Merged_JOEM!$E$60:$E$378,C53)))</f>
        <v>0</v>
      </c>
      <c r="I61" s="127" t="str">
        <f>IFERROR(F61/E61,"N/A")</f>
        <v>N/A</v>
      </c>
      <c r="J61" s="3">
        <f>COUNTIFS(Merged_JOEM!$AL$60:$AL$378,J59,Merged_JOEM!$D$60:$D$378,D61,Merged_JOEM!$E$60:$E$378,C53)</f>
        <v>0</v>
      </c>
      <c r="K61" s="3">
        <f>COUNTIFS(Merged_JOEM!$AL$60:$AL$378,K59,Merged_JOEM!$D$60:$D$378,D61,Merged_JOEM!$E$60:$E$378,C53)</f>
        <v>0</v>
      </c>
    </row>
    <row r="63" spans="1:11" x14ac:dyDescent="0.25">
      <c r="C63" t="s">
        <v>96</v>
      </c>
    </row>
    <row r="65" spans="1:11" x14ac:dyDescent="0.25">
      <c r="A65">
        <v>6</v>
      </c>
      <c r="B65" s="1" t="s">
        <v>53</v>
      </c>
      <c r="C65" s="1" t="s">
        <v>557</v>
      </c>
    </row>
    <row r="66" spans="1:11" x14ac:dyDescent="0.25">
      <c r="B66" s="1" t="s">
        <v>90</v>
      </c>
      <c r="C66">
        <f>SUM(G72:G73)</f>
        <v>1.8000000000000003</v>
      </c>
      <c r="D66" t="s">
        <v>91</v>
      </c>
    </row>
    <row r="67" spans="1:11" x14ac:dyDescent="0.25">
      <c r="B67" s="1" t="s">
        <v>97</v>
      </c>
      <c r="C67">
        <f>SUM(INT((WEEKDAY(F67-{2,3,4,5,6})+H67-F67)/7))</f>
        <v>3</v>
      </c>
      <c r="D67" t="s">
        <v>91</v>
      </c>
      <c r="E67" t="s">
        <v>118</v>
      </c>
      <c r="F67" s="6">
        <v>44124</v>
      </c>
      <c r="G67" s="6" t="s">
        <v>89</v>
      </c>
      <c r="H67" s="6">
        <v>44126</v>
      </c>
    </row>
    <row r="68" spans="1:11" x14ac:dyDescent="0.25">
      <c r="B68" s="1" t="s">
        <v>98</v>
      </c>
      <c r="C68">
        <f>SUM(INT((WEEKDAY(F68-{2,3,4,5,6})+H68-F68)/7))</f>
        <v>3</v>
      </c>
      <c r="D68" t="s">
        <v>91</v>
      </c>
      <c r="E68" t="s">
        <v>173</v>
      </c>
      <c r="F68" s="6">
        <v>44124</v>
      </c>
      <c r="G68" s="6" t="s">
        <v>89</v>
      </c>
      <c r="H68" s="6">
        <v>44126</v>
      </c>
    </row>
    <row r="69" spans="1:11" x14ac:dyDescent="0.25">
      <c r="B69" s="1" t="s">
        <v>17</v>
      </c>
      <c r="C69" t="str">
        <f>IF(AND(F72=E72,F73=E73),IF(SUM(H72:H73)&gt;SUM(G72:G73),"Delayed",IF(SUM(H72:H73)&lt;SUM(G72:G73),"InAdvanced","Ontime")),"N/A")</f>
        <v>Ontime</v>
      </c>
      <c r="F69" s="6"/>
      <c r="G69" s="6"/>
      <c r="H69" s="6"/>
    </row>
    <row r="71" spans="1:11" ht="75" x14ac:dyDescent="0.25">
      <c r="C71" s="39" t="s">
        <v>25</v>
      </c>
      <c r="D71" s="39" t="s">
        <v>26</v>
      </c>
      <c r="E71" s="8" t="s">
        <v>92</v>
      </c>
      <c r="F71" s="8" t="s">
        <v>93</v>
      </c>
      <c r="G71" s="8" t="s">
        <v>94</v>
      </c>
      <c r="H71" s="8" t="s">
        <v>95</v>
      </c>
      <c r="I71" s="8" t="s">
        <v>29</v>
      </c>
      <c r="J71" s="8" t="str">
        <f>Table!$C$37</f>
        <v>OPL</v>
      </c>
      <c r="K71" s="8" t="str">
        <f>Table!$C$38</f>
        <v>Defect</v>
      </c>
    </row>
    <row r="72" spans="1:11" x14ac:dyDescent="0.25">
      <c r="C72" s="31">
        <v>1</v>
      </c>
      <c r="D72" s="29" t="str">
        <f>Table!$D$3</f>
        <v>PSW</v>
      </c>
      <c r="E72" s="29">
        <f>SUMIFS(Merged_JOEM!$W$60:$W$378,Merged_JOEM!$D$60:$D$378,D72, Merged_JOEM!$E$60:$E$378,C65)</f>
        <v>157.5</v>
      </c>
      <c r="F72" s="29">
        <f>SUMIFS(Merged_JOEM!$X$60:$X$378,Merged_JOEM!$D$60:$D$378,D72, Merged_JOEM!$E$60:$E$378,C65)-SUM(SUMIFS(Merged_JOEM!$X$60:$X$378,Merged_JOEM!$D$60:$D$378,D72,Merged_JOEM!$AA$60:$AA$378,{"Ongoing","N/A",""},Merged_JOEM!$E$60:$E$378,C65))</f>
        <v>157.5</v>
      </c>
      <c r="G72" s="29">
        <f>1/8*(SUMIFS(Merged_JOEM!$Y$60:$Y$378,Merged_JOEM!$D$60:$D$378,D72, Merged_JOEM!$E$60:$E$378,C65))</f>
        <v>0.35</v>
      </c>
      <c r="H72" s="29">
        <f>1/8*(SUMIFS(Merged_JOEM!$Z$60:$Z$378,Merged_JOEM!$D$60:$D$378,D72, Merged_JOEM!$E$60:$E$378,C65)-SUM(SUMIFS(Merged_JOEM!$Z$60:$Z$378,Merged_JOEM!$D$60:$D$378,D72,Merged_JOEM!$AA$60:$AA$378,{"Ongoing","N/A",""},Merged_JOEM!$E$60:$E$378,C65)))</f>
        <v>0.35</v>
      </c>
      <c r="I72" s="127">
        <f>IFERROR(F72/E72,"N/A")</f>
        <v>1</v>
      </c>
      <c r="J72" s="3">
        <f>COUNTIFS(Merged_JOEM!$AL$60:$AL$378,J71,Merged_JOEM!$D$60:$D$378,D72,Merged_JOEM!$E$60:$E$378,C65)</f>
        <v>0</v>
      </c>
      <c r="K72" s="3">
        <f>COUNTIFS(Merged_JOEM!$AL$60:$AL$378,K71,Merged_JOEM!$D$60:$D$378,D72,Merged_JOEM!$E$60:$E$378,C65)</f>
        <v>0</v>
      </c>
    </row>
    <row r="73" spans="1:11" x14ac:dyDescent="0.25">
      <c r="C73" s="31">
        <v>2</v>
      </c>
      <c r="D73" s="29" t="str">
        <f>Table!$C$3</f>
        <v>ASW</v>
      </c>
      <c r="E73" s="29">
        <f>SUMIFS(Merged_JOEM!$W$60:$W$378,Merged_JOEM!$D$60:$D$378,D73, Merged_JOEM!$E$60:$E$378,C65)</f>
        <v>188.5</v>
      </c>
      <c r="F73" s="29">
        <f>SUMIFS(Merged_JOEM!$X$60:$X$378,Merged_JOEM!$D$60:$D$378,D73, Merged_JOEM!$E$60:$E$378,C65)-SUM(SUMIFS(Merged_JOEM!$X$60:$X$378,Merged_JOEM!$D$60:$D$378,D73,Merged_JOEM!$AA$60:$AA$378,{"Ongoing","N/A",""},Merged_JOEM!$E$60:$E$378,C65))</f>
        <v>188.5</v>
      </c>
      <c r="G73" s="29">
        <f>1/8*(SUMIFS(Merged_JOEM!$Y$60:$Y$378,Merged_JOEM!$D$60:$D$378,D73,Merged_JOEM!$E$60:$E$378,C65))</f>
        <v>1.4500000000000002</v>
      </c>
      <c r="H73" s="29">
        <f>1/8*(SUMIFS(Merged_JOEM!$Z$60:$Z$378,Merged_JOEM!$D$60:$D$378,D73,Merged_JOEM!$E$60:$E$378,C65)-SUM(SUMIFS(Merged_JOEM!$Z$60:$Z$378,Merged_JOEM!$D$60:$D$378,D73,Merged_JOEM!$AA$60:$AA$378,{"Ongoing","N/A",""},Merged_JOEM!$E$60:$E$378,C65)))</f>
        <v>1.4500000000000002</v>
      </c>
      <c r="I73" s="127">
        <f>IFERROR(F73/E73,"N/A")</f>
        <v>1</v>
      </c>
      <c r="J73" s="3">
        <f>COUNTIFS(Merged_JOEM!$AL$60:$AL$378,J71,Merged_JOEM!$D$60:$D$378,D73,Merged_JOEM!$E$60:$E$378,C65)</f>
        <v>0</v>
      </c>
      <c r="K73" s="3">
        <f>COUNTIFS(Merged_JOEM!$AL$60:$AL$378,K71,Merged_JOEM!$D$60:$D$378,D73,Merged_JOEM!$E$60:$E$378,C65)</f>
        <v>0</v>
      </c>
    </row>
    <row r="75" spans="1:11" x14ac:dyDescent="0.25">
      <c r="C75" t="s">
        <v>96</v>
      </c>
    </row>
    <row r="77" spans="1:11" x14ac:dyDescent="0.25">
      <c r="A77">
        <v>7</v>
      </c>
      <c r="B77" s="1" t="s">
        <v>53</v>
      </c>
      <c r="C77" s="1" t="s">
        <v>632</v>
      </c>
    </row>
    <row r="78" spans="1:11" x14ac:dyDescent="0.25">
      <c r="B78" s="1" t="s">
        <v>90</v>
      </c>
      <c r="C78">
        <f>SUM(G84:G85)</f>
        <v>0.1875</v>
      </c>
      <c r="D78" t="s">
        <v>91</v>
      </c>
    </row>
    <row r="79" spans="1:11" x14ac:dyDescent="0.25">
      <c r="B79" s="1" t="s">
        <v>97</v>
      </c>
      <c r="C79">
        <f>SUM(INT((WEEKDAY(F79-{2,3,4,5,6})+H79-F79)/7))</f>
        <v>2</v>
      </c>
      <c r="D79" t="s">
        <v>91</v>
      </c>
      <c r="E79" t="s">
        <v>118</v>
      </c>
      <c r="F79" s="6">
        <v>44126</v>
      </c>
      <c r="G79" s="6" t="s">
        <v>89</v>
      </c>
      <c r="H79" s="6">
        <v>44127</v>
      </c>
    </row>
    <row r="80" spans="1:11" x14ac:dyDescent="0.25">
      <c r="B80" s="1" t="s">
        <v>98</v>
      </c>
      <c r="C80">
        <f>SUM(INT((WEEKDAY(F80-{2,3,4,5,6})+H80-F80)/7))</f>
        <v>2</v>
      </c>
      <c r="D80" t="s">
        <v>91</v>
      </c>
      <c r="E80" t="s">
        <v>173</v>
      </c>
      <c r="F80" s="6">
        <v>44126</v>
      </c>
      <c r="G80" s="6" t="s">
        <v>89</v>
      </c>
      <c r="H80" s="6">
        <v>44127</v>
      </c>
    </row>
    <row r="81" spans="1:11" x14ac:dyDescent="0.25">
      <c r="B81" s="1" t="s">
        <v>17</v>
      </c>
      <c r="C81" t="str">
        <f>IF(AND(F84=E84,F85=E85),IF(SUM(H84:H85)&gt;SUM(G84:G85),"Delayed",IF(SUM(H84:H85)&lt;SUM(G84:G85),"InAdvanced","Ontime")),"N/A")</f>
        <v>InAdvanced</v>
      </c>
      <c r="F81" s="6"/>
      <c r="G81" s="6"/>
      <c r="H81" s="6"/>
    </row>
    <row r="83" spans="1:11" ht="75" x14ac:dyDescent="0.25">
      <c r="C83" s="39" t="s">
        <v>25</v>
      </c>
      <c r="D83" s="39" t="s">
        <v>26</v>
      </c>
      <c r="E83" s="8" t="s">
        <v>92</v>
      </c>
      <c r="F83" s="8" t="s">
        <v>93</v>
      </c>
      <c r="G83" s="8" t="s">
        <v>94</v>
      </c>
      <c r="H83" s="8" t="s">
        <v>95</v>
      </c>
      <c r="I83" s="8" t="s">
        <v>29</v>
      </c>
      <c r="J83" s="8" t="str">
        <f>Table!$C$37</f>
        <v>OPL</v>
      </c>
      <c r="K83" s="8" t="str">
        <f>Table!$C$38</f>
        <v>Defect</v>
      </c>
    </row>
    <row r="84" spans="1:11" x14ac:dyDescent="0.25">
      <c r="C84" s="31">
        <v>1</v>
      </c>
      <c r="D84" s="29" t="str">
        <f>Table!$D$3</f>
        <v>PSW</v>
      </c>
      <c r="E84" s="29">
        <f>SUMIFS(Merged_JOEM!$W$60:$W$378,Merged_JOEM!$D$60:$D$378,D84, Merged_JOEM!$E$60:$E$378,C77)</f>
        <v>0</v>
      </c>
      <c r="F84" s="29">
        <f>SUMIFS(Merged_JOEM!$X$60:$X$378,Merged_JOEM!$D$60:$D$378,D84, Merged_JOEM!$E$60:$E$378,C77)-SUM(SUMIFS(Merged_JOEM!$X$60:$X$378,Merged_JOEM!$D$60:$D$378,D84,Merged_JOEM!$AA$60:$AA$378,{"Ongoing","N/A",""},Merged_JOEM!$E$60:$E$378,C77))</f>
        <v>0</v>
      </c>
      <c r="G84" s="29">
        <f>1/8*(SUMIFS(Merged_JOEM!$Y$60:$Y$378,Merged_JOEM!$D$60:$D$378,D84, Merged_JOEM!$E$60:$E$378,C77))</f>
        <v>0</v>
      </c>
      <c r="H84" s="29">
        <f>1/8*(SUMIFS(Merged_JOEM!$Z$60:$Z$378,Merged_JOEM!$D$60:$D$378,D84, Merged_JOEM!$E$60:$E$378,C77)-SUM(SUMIFS(Merged_JOEM!$Z$60:$Z$378,Merged_JOEM!$D$60:$D$378,D84,Merged_JOEM!$AA$60:$AA$378,{"Ongoing","N/A",""},Merged_JOEM!$E$60:$E$378,C77)))</f>
        <v>0</v>
      </c>
      <c r="I84" s="127" t="str">
        <f>IFERROR(F84/E84,"N/A")</f>
        <v>N/A</v>
      </c>
      <c r="J84" s="3">
        <f>COUNTIFS(Merged_JOEM!$AL$60:$AL$378,J83,Merged_JOEM!$D$60:$D$378,D84,Merged_JOEM!$E$60:$E$378,C77)</f>
        <v>0</v>
      </c>
      <c r="K84" s="3">
        <f>COUNTIFS(Merged_JOEM!$AL$60:$AL$378,K83,Merged_JOEM!$D$60:$D$378,D84,Merged_JOEM!$E$60:$E$378,C77)</f>
        <v>0</v>
      </c>
    </row>
    <row r="85" spans="1:11" x14ac:dyDescent="0.25">
      <c r="C85" s="31">
        <v>2</v>
      </c>
      <c r="D85" s="29" t="str">
        <f>Table!$C$3</f>
        <v>ASW</v>
      </c>
      <c r="E85" s="29">
        <f>SUMIFS(Merged_JOEM!$W$60:$W$378,Merged_JOEM!$D$60:$D$378,D85, Merged_JOEM!$E$60:$E$378,C77)</f>
        <v>24.375</v>
      </c>
      <c r="F85" s="29">
        <f>SUMIFS(Merged_JOEM!$X$60:$X$378,Merged_JOEM!$D$60:$D$378,D85, Merged_JOEM!$E$60:$E$378,C77)-SUM(SUMIFS(Merged_JOEM!$X$60:$X$378,Merged_JOEM!$D$60:$D$378,D85,Merged_JOEM!$AA$60:$AA$378,{"Ongoing","N/A",""},Merged_JOEM!$E$60:$E$378,C77))</f>
        <v>24.375</v>
      </c>
      <c r="G85" s="29">
        <f>1/8*(SUMIFS(Merged_JOEM!$Y$60:$Y$378,Merged_JOEM!$D$60:$D$378,D85,Merged_JOEM!$E$60:$E$378,C77))</f>
        <v>0.1875</v>
      </c>
      <c r="H85" s="29">
        <f>1/8*(SUMIFS(Merged_JOEM!$Z$60:$Z$378,Merged_JOEM!$D$60:$D$378,D85,Merged_JOEM!$E$60:$E$378,C77)-SUM(SUMIFS(Merged_JOEM!$Z$60:$Z$378,Merged_JOEM!$D$60:$D$378,D85,Merged_JOEM!$AA$60:$AA$378,{"Ongoing","N/A",""},Merged_JOEM!$E$60:$E$378,C77)))</f>
        <v>0</v>
      </c>
      <c r="I85" s="127">
        <f>IFERROR(F85/E85,"N/A")</f>
        <v>1</v>
      </c>
      <c r="J85" s="3">
        <f>COUNTIFS(Merged_JOEM!$AL$60:$AL$378,J83,Merged_JOEM!$D$60:$D$378,D85,Merged_JOEM!$E$60:$E$378,C77)</f>
        <v>0</v>
      </c>
      <c r="K85" s="3">
        <f>COUNTIFS(Merged_JOEM!$AL$60:$AL$378,K83,Merged_JOEM!$D$60:$D$378,D85,Merged_JOEM!$E$60:$E$378,C77)</f>
        <v>0</v>
      </c>
    </row>
    <row r="87" spans="1:11" x14ac:dyDescent="0.25">
      <c r="C87" t="s">
        <v>96</v>
      </c>
    </row>
    <row r="89" spans="1:11" x14ac:dyDescent="0.25">
      <c r="A89">
        <v>8</v>
      </c>
      <c r="B89" s="1" t="s">
        <v>53</v>
      </c>
      <c r="C89" s="1" t="s">
        <v>641</v>
      </c>
    </row>
    <row r="90" spans="1:11" x14ac:dyDescent="0.25">
      <c r="B90" s="1" t="s">
        <v>90</v>
      </c>
      <c r="C90">
        <f>SUM(G96:G97)</f>
        <v>0.5625</v>
      </c>
      <c r="D90" t="s">
        <v>91</v>
      </c>
    </row>
    <row r="91" spans="1:11" x14ac:dyDescent="0.25">
      <c r="B91" s="1" t="s">
        <v>97</v>
      </c>
      <c r="C91">
        <f>SUM(INT((WEEKDAY(F91-{2,3,4,5,6})+H91-F91)/7))</f>
        <v>1</v>
      </c>
      <c r="D91" t="s">
        <v>91</v>
      </c>
      <c r="E91" t="s">
        <v>118</v>
      </c>
      <c r="F91" s="6">
        <v>44127</v>
      </c>
      <c r="G91" s="6" t="s">
        <v>89</v>
      </c>
      <c r="H91" s="6">
        <v>44127</v>
      </c>
    </row>
    <row r="92" spans="1:11" x14ac:dyDescent="0.25">
      <c r="B92" s="1" t="s">
        <v>98</v>
      </c>
      <c r="C92">
        <f>SUM(INT((WEEKDAY(F92-{2,3,4,5,6})+H92-F92)/7))</f>
        <v>1</v>
      </c>
      <c r="D92" t="s">
        <v>91</v>
      </c>
      <c r="E92" t="s">
        <v>173</v>
      </c>
      <c r="F92" s="6">
        <v>44127</v>
      </c>
      <c r="G92" s="6" t="s">
        <v>89</v>
      </c>
      <c r="H92" s="6">
        <v>44127</v>
      </c>
    </row>
    <row r="93" spans="1:11" x14ac:dyDescent="0.25">
      <c r="B93" s="1" t="s">
        <v>17</v>
      </c>
      <c r="C93" t="str">
        <f>IF(AND(F96=E96,F97=E97),IF(SUM(H96:H97)&gt;SUM(G96:G97),"Delayed",IF(SUM(H96:H97)&lt;SUM(G96:G97),"InAdvanced","Ontime")),"N/A")</f>
        <v>InAdvanced</v>
      </c>
      <c r="F93" s="6"/>
      <c r="G93" s="6"/>
      <c r="H93" s="6"/>
    </row>
    <row r="95" spans="1:11" ht="75" x14ac:dyDescent="0.25">
      <c r="C95" s="39" t="s">
        <v>25</v>
      </c>
      <c r="D95" s="39" t="s">
        <v>26</v>
      </c>
      <c r="E95" s="8" t="s">
        <v>92</v>
      </c>
      <c r="F95" s="8" t="s">
        <v>93</v>
      </c>
      <c r="G95" s="8" t="s">
        <v>94</v>
      </c>
      <c r="H95" s="8" t="s">
        <v>95</v>
      </c>
      <c r="I95" s="8" t="s">
        <v>29</v>
      </c>
      <c r="J95" s="8" t="str">
        <f>Table!$C$37</f>
        <v>OPL</v>
      </c>
      <c r="K95" s="8" t="str">
        <f>Table!$C$38</f>
        <v>Defect</v>
      </c>
    </row>
    <row r="96" spans="1:11" x14ac:dyDescent="0.25">
      <c r="C96" s="31">
        <v>1</v>
      </c>
      <c r="D96" s="29" t="str">
        <f>Table!$D$3</f>
        <v>PSW</v>
      </c>
      <c r="E96" s="29">
        <f>SUMIFS(Merged_JOEM!$W$60:$W$378,Merged_JOEM!$D$60:$D$378,D96, Merged_JOEM!$E$60:$E$378,C89)</f>
        <v>0</v>
      </c>
      <c r="F96" s="29">
        <f>SUMIFS(Merged_JOEM!$X$60:$X$378,Merged_JOEM!$D$60:$D$378,D96, Merged_JOEM!$E$60:$E$378,C89)-SUM(SUMIFS(Merged_JOEM!$X$60:$X$378,Merged_JOEM!$D$60:$D$378,D96,Merged_JOEM!$AA$60:$AA$378,{"Ongoing","N/A",""},Merged_JOEM!$E$60:$E$378,C89))</f>
        <v>0</v>
      </c>
      <c r="G96" s="29">
        <f>1/8*(SUMIFS(Merged_JOEM!$Y$60:$Y$378,Merged_JOEM!$D$60:$D$378,D96, Merged_JOEM!$E$60:$E$378,C89))</f>
        <v>0</v>
      </c>
      <c r="H96" s="29">
        <f>1/8*(SUMIFS(Merged_JOEM!$Z$60:$Z$378,Merged_JOEM!$D$60:$D$378,D96, Merged_JOEM!$E$60:$E$378,C89)-SUM(SUMIFS(Merged_JOEM!$Z$60:$Z$378,Merged_JOEM!$D$60:$D$378,D96,Merged_JOEM!$AA$60:$AA$378,{"Ongoing","N/A",""},Merged_JOEM!$E$60:$E$378,C89)))</f>
        <v>0</v>
      </c>
      <c r="I96" s="127" t="str">
        <f>IFERROR(F96/E96,"N/A")</f>
        <v>N/A</v>
      </c>
      <c r="J96" s="3">
        <f>COUNTIFS(Merged_JOEM!$AL$60:$AL$378,J95,Merged_JOEM!$D$60:$D$378,D96,Merged_JOEM!$E$60:$E$378,C89)</f>
        <v>0</v>
      </c>
      <c r="K96" s="3">
        <f>COUNTIFS(Merged_JOEM!$AL$60:$AL$378,K95,Merged_JOEM!$D$60:$D$378,D96,Merged_JOEM!$E$60:$E$378,C89)</f>
        <v>0</v>
      </c>
    </row>
    <row r="97" spans="1:11" x14ac:dyDescent="0.25">
      <c r="C97" s="31">
        <v>2</v>
      </c>
      <c r="D97" s="29" t="str">
        <f>Table!$C$3</f>
        <v>ASW</v>
      </c>
      <c r="E97" s="29">
        <f>SUMIFS(Merged_JOEM!$W$60:$W$378,Merged_JOEM!$D$60:$D$378,D97, Merged_JOEM!$E$60:$E$378,C89)</f>
        <v>73.125</v>
      </c>
      <c r="F97" s="29">
        <f>SUMIFS(Merged_JOEM!$X$60:$X$378,Merged_JOEM!$D$60:$D$378,D97, Merged_JOEM!$E$60:$E$378,C89)-SUM(SUMIFS(Merged_JOEM!$X$60:$X$378,Merged_JOEM!$D$60:$D$378,D97,Merged_JOEM!$AA$60:$AA$378,{"Ongoing","N/A",""},Merged_JOEM!$E$60:$E$378,C89))</f>
        <v>73.125</v>
      </c>
      <c r="G97" s="29">
        <f>1/8*(SUMIFS(Merged_JOEM!$Y$60:$Y$378,Merged_JOEM!$D$60:$D$378,D97,Merged_JOEM!$E$60:$E$378,C89))</f>
        <v>0.5625</v>
      </c>
      <c r="H97" s="29">
        <f>1/8*(SUMIFS(Merged_JOEM!$Z$60:$Z$378,Merged_JOEM!$D$60:$D$378,D97,Merged_JOEM!$E$60:$E$378,C89)-SUM(SUMIFS(Merged_JOEM!$Z$60:$Z$378,Merged_JOEM!$D$60:$D$378,D97,Merged_JOEM!$AA$60:$AA$378,{"Ongoing","N/A",""},Merged_JOEM!$E$60:$E$378,C89)))</f>
        <v>0.3125</v>
      </c>
      <c r="I97" s="127">
        <f>IFERROR(F97/E97,"N/A")</f>
        <v>1</v>
      </c>
      <c r="J97" s="3">
        <f>COUNTIFS(Merged_JOEM!$AL$60:$AL$378,J95,Merged_JOEM!$D$60:$D$378,D97,Merged_JOEM!$E$60:$E$378,C89)</f>
        <v>0</v>
      </c>
      <c r="K97" s="3">
        <f>COUNTIFS(Merged_JOEM!$AL$60:$AL$378,K95,Merged_JOEM!$D$60:$D$378,D97,Merged_JOEM!$E$60:$E$378,C89)</f>
        <v>0</v>
      </c>
    </row>
    <row r="99" spans="1:11" x14ac:dyDescent="0.25">
      <c r="C99" t="s">
        <v>96</v>
      </c>
    </row>
    <row r="101" spans="1:11" x14ac:dyDescent="0.25">
      <c r="A101">
        <v>9</v>
      </c>
      <c r="B101" s="1" t="s">
        <v>53</v>
      </c>
      <c r="C101" s="1" t="s">
        <v>652</v>
      </c>
    </row>
    <row r="102" spans="1:11" x14ac:dyDescent="0.25">
      <c r="B102" s="1" t="s">
        <v>90</v>
      </c>
      <c r="C102">
        <f>SUM(G108:G109)</f>
        <v>1.9999999999999996</v>
      </c>
      <c r="D102" t="s">
        <v>91</v>
      </c>
    </row>
    <row r="103" spans="1:11" x14ac:dyDescent="0.25">
      <c r="B103" s="1" t="s">
        <v>97</v>
      </c>
      <c r="C103">
        <f>SUM(INT((WEEKDAY(F103-{2,3,4,5,6})+H103-F103)/7))</f>
        <v>4</v>
      </c>
      <c r="D103" t="s">
        <v>91</v>
      </c>
      <c r="E103" t="s">
        <v>118</v>
      </c>
      <c r="F103" s="6">
        <v>44127</v>
      </c>
      <c r="G103" s="6" t="s">
        <v>89</v>
      </c>
      <c r="H103" s="6">
        <v>44132</v>
      </c>
    </row>
    <row r="104" spans="1:11" x14ac:dyDescent="0.25">
      <c r="B104" s="1" t="s">
        <v>98</v>
      </c>
      <c r="C104">
        <f>SUM(INT((WEEKDAY(F104-{2,3,4,5,6})+H104-F104)/7))</f>
        <v>4</v>
      </c>
      <c r="D104" t="s">
        <v>91</v>
      </c>
      <c r="E104" t="s">
        <v>173</v>
      </c>
      <c r="F104" s="6">
        <v>44127</v>
      </c>
      <c r="G104" s="6" t="s">
        <v>89</v>
      </c>
      <c r="H104" s="6">
        <v>44132</v>
      </c>
    </row>
    <row r="105" spans="1:11" x14ac:dyDescent="0.25">
      <c r="B105" s="1" t="s">
        <v>17</v>
      </c>
      <c r="C105" t="str">
        <f>IF(AND(F108=E108,F109=E109),IF(SUM(H108:H109)&gt;SUM(G108:G109),"Delayed",IF(SUM(H108:H109)&lt;SUM(G108:G109),"InAdvanced","Ontime")),"N/A")</f>
        <v>Ontime</v>
      </c>
      <c r="F105" s="6"/>
      <c r="G105" s="6"/>
      <c r="H105" s="6"/>
    </row>
    <row r="107" spans="1:11" ht="75" x14ac:dyDescent="0.25">
      <c r="C107" s="39" t="s">
        <v>25</v>
      </c>
      <c r="D107" s="39" t="s">
        <v>26</v>
      </c>
      <c r="E107" s="8" t="s">
        <v>92</v>
      </c>
      <c r="F107" s="8" t="s">
        <v>93</v>
      </c>
      <c r="G107" s="8" t="s">
        <v>94</v>
      </c>
      <c r="H107" s="8" t="s">
        <v>95</v>
      </c>
      <c r="I107" s="8" t="s">
        <v>29</v>
      </c>
      <c r="J107" s="8" t="str">
        <f>Table!$C$37</f>
        <v>OPL</v>
      </c>
      <c r="K107" s="8" t="str">
        <f>Table!$C$38</f>
        <v>Defect</v>
      </c>
    </row>
    <row r="108" spans="1:11" x14ac:dyDescent="0.25">
      <c r="C108" s="31">
        <v>1</v>
      </c>
      <c r="D108" s="29" t="str">
        <f>Table!$D$3</f>
        <v>PSW</v>
      </c>
      <c r="E108" s="29">
        <f>SUMIFS(Merged_JOEM!$W$60:$W$378,Merged_JOEM!$D$60:$D$378,D108, Merged_JOEM!$E$60:$E$378,C101)</f>
        <v>67.5</v>
      </c>
      <c r="F108" s="29">
        <f>SUMIFS(Merged_JOEM!$X$60:$X$378,Merged_JOEM!$D$60:$D$378,D108, Merged_JOEM!$E$60:$E$378,C101)-SUM(SUMIFS(Merged_JOEM!$X$60:$X$378,Merged_JOEM!$D$60:$D$378,D108,Merged_JOEM!$AA$60:$AA$378,{"Ongoing","N/A",""},Merged_JOEM!$E$60:$E$378,C101))</f>
        <v>67.5</v>
      </c>
      <c r="G108" s="29">
        <f>1/8*(SUMIFS(Merged_JOEM!$Y$60:$Y$378,Merged_JOEM!$D$60:$D$378,D108, Merged_JOEM!$E$60:$E$378,C101))</f>
        <v>0.15</v>
      </c>
      <c r="H108" s="29">
        <f>1/8*(SUMIFS(Merged_JOEM!$Z$60:$Z$378,Merged_JOEM!$D$60:$D$378,D108, Merged_JOEM!$E$60:$E$378,C101)-SUM(SUMIFS(Merged_JOEM!$Z$60:$Z$378,Merged_JOEM!$D$60:$D$378,D108,Merged_JOEM!$AA$60:$AA$378,{"Ongoing","N/A",""},Merged_JOEM!$E$60:$E$378,C101)))</f>
        <v>0.15</v>
      </c>
      <c r="I108" s="127">
        <f>IFERROR(F108/E108,"N/A")</f>
        <v>1</v>
      </c>
      <c r="J108" s="3">
        <f>COUNTIFS(Merged_JOEM!$AL$60:$AL$378,J107,Merged_JOEM!$D$60:$D$378,D108,Merged_JOEM!$E$60:$E$378,C101)</f>
        <v>0</v>
      </c>
      <c r="K108" s="3">
        <f>COUNTIFS(Merged_JOEM!$AL$60:$AL$378,K107,Merged_JOEM!$D$60:$D$378,D108,Merged_JOEM!$E$60:$E$378,C101)</f>
        <v>0</v>
      </c>
    </row>
    <row r="109" spans="1:11" x14ac:dyDescent="0.25">
      <c r="C109" s="31">
        <v>2</v>
      </c>
      <c r="D109" s="29" t="str">
        <f>Table!$C$3</f>
        <v>ASW</v>
      </c>
      <c r="E109" s="29">
        <f>SUMIFS(Merged_JOEM!$W$60:$W$378,Merged_JOEM!$D$60:$D$378,D109, Merged_JOEM!$E$60:$E$378,C101)</f>
        <v>240.5</v>
      </c>
      <c r="F109" s="29">
        <f>SUMIFS(Merged_JOEM!$X$60:$X$378,Merged_JOEM!$D$60:$D$378,D109, Merged_JOEM!$E$60:$E$378,C101)-SUM(SUMIFS(Merged_JOEM!$X$60:$X$378,Merged_JOEM!$D$60:$D$378,D109,Merged_JOEM!$AA$60:$AA$378,{"Ongoing","N/A",""},Merged_JOEM!$E$60:$E$378,C101))</f>
        <v>240.5</v>
      </c>
      <c r="G109" s="29">
        <f>1/8*(SUMIFS(Merged_JOEM!$Y$60:$Y$378,Merged_JOEM!$D$60:$D$378,D109,Merged_JOEM!$E$60:$E$378,C101))</f>
        <v>1.8499999999999996</v>
      </c>
      <c r="H109" s="29">
        <f>1/8*(SUMIFS(Merged_JOEM!$Z$60:$Z$378,Merged_JOEM!$D$60:$D$378,D109,Merged_JOEM!$E$60:$E$378,C101)-SUM(SUMIFS(Merged_JOEM!$Z$60:$Z$378,Merged_JOEM!$D$60:$D$378,D109,Merged_JOEM!$AA$60:$AA$378,{"Ongoing","N/A",""},Merged_JOEM!$E$60:$E$378,C101)))</f>
        <v>1.8499999999999996</v>
      </c>
      <c r="I109" s="127">
        <f>IFERROR(F109/E109,"N/A")</f>
        <v>1</v>
      </c>
      <c r="J109" s="3">
        <f>COUNTIFS(Merged_JOEM!$AL$60:$AL$378,J107,Merged_JOEM!$D$60:$D$378,D109,Merged_JOEM!$E$60:$E$378,C101)</f>
        <v>0</v>
      </c>
      <c r="K109" s="3">
        <f>COUNTIFS(Merged_JOEM!$AL$60:$AL$378,K107,Merged_JOEM!$D$60:$D$378,D109,Merged_JOEM!$E$60:$E$378,C101)</f>
        <v>0</v>
      </c>
    </row>
    <row r="111" spans="1:11" x14ac:dyDescent="0.25">
      <c r="C111" t="s">
        <v>96</v>
      </c>
    </row>
    <row r="113" spans="1:11" x14ac:dyDescent="0.25">
      <c r="A113">
        <v>10</v>
      </c>
      <c r="B113" s="1" t="s">
        <v>53</v>
      </c>
      <c r="C113" s="1" t="s">
        <v>721</v>
      </c>
    </row>
    <row r="114" spans="1:11" x14ac:dyDescent="0.25">
      <c r="B114" s="1" t="s">
        <v>90</v>
      </c>
      <c r="C114">
        <f>SUM(G120:G121)</f>
        <v>3.7000000000000006</v>
      </c>
      <c r="D114" t="s">
        <v>91</v>
      </c>
    </row>
    <row r="115" spans="1:11" x14ac:dyDescent="0.25">
      <c r="B115" s="1" t="s">
        <v>97</v>
      </c>
      <c r="C115">
        <f>SUM(INT((WEEKDAY(F115-{2,3,4,5,6})+H115-F115)/7))</f>
        <v>3</v>
      </c>
      <c r="D115" t="s">
        <v>91</v>
      </c>
      <c r="E115" t="s">
        <v>118</v>
      </c>
      <c r="F115" s="6">
        <v>44130</v>
      </c>
      <c r="G115" s="6" t="s">
        <v>89</v>
      </c>
      <c r="H115" s="6">
        <v>44132</v>
      </c>
    </row>
    <row r="116" spans="1:11" x14ac:dyDescent="0.25">
      <c r="B116" s="1" t="s">
        <v>98</v>
      </c>
      <c r="C116">
        <f>SUM(INT((WEEKDAY(F116-{2,3,4,5,6})+H116-F116)/7))</f>
        <v>3</v>
      </c>
      <c r="D116" t="s">
        <v>91</v>
      </c>
      <c r="E116" t="s">
        <v>173</v>
      </c>
      <c r="F116" s="6">
        <v>44130</v>
      </c>
      <c r="G116" s="6" t="s">
        <v>89</v>
      </c>
      <c r="H116" s="6">
        <v>44132</v>
      </c>
    </row>
    <row r="117" spans="1:11" x14ac:dyDescent="0.25">
      <c r="B117" s="1" t="s">
        <v>17</v>
      </c>
      <c r="C117" t="str">
        <f>IF(AND(F120=E120,F121=E121),IF(SUM(H120:H121)&gt;SUM(G120:G121),"Delayed",IF(SUM(H120:H121)&lt;SUM(G120:G121),"InAdvanced","Ontime")),"N/A")</f>
        <v>InAdvanced</v>
      </c>
      <c r="F117" s="6"/>
      <c r="G117" s="6"/>
      <c r="H117" s="6"/>
    </row>
    <row r="119" spans="1:11" ht="75" x14ac:dyDescent="0.25">
      <c r="C119" s="39" t="s">
        <v>25</v>
      </c>
      <c r="D119" s="39" t="s">
        <v>26</v>
      </c>
      <c r="E119" s="8" t="s">
        <v>92</v>
      </c>
      <c r="F119" s="8" t="s">
        <v>93</v>
      </c>
      <c r="G119" s="8" t="s">
        <v>94</v>
      </c>
      <c r="H119" s="8" t="s">
        <v>95</v>
      </c>
      <c r="I119" s="8" t="s">
        <v>29</v>
      </c>
      <c r="J119" s="8" t="str">
        <f>Table!$C$37</f>
        <v>OPL</v>
      </c>
      <c r="K119" s="8" t="str">
        <f>Table!$C$38</f>
        <v>Defect</v>
      </c>
    </row>
    <row r="120" spans="1:11" x14ac:dyDescent="0.25">
      <c r="C120" s="31">
        <v>1</v>
      </c>
      <c r="D120" s="29" t="str">
        <f>Table!$D$3</f>
        <v>PSW</v>
      </c>
      <c r="E120" s="29">
        <f>SUMIFS(Merged_JOEM!$W$60:$W$378,Merged_JOEM!$D$60:$D$378,D120, Merged_JOEM!$E$60:$E$378,C113)</f>
        <v>1147.5</v>
      </c>
      <c r="F120" s="29">
        <f>SUMIFS(Merged_JOEM!$X$60:$X$378,Merged_JOEM!$D$60:$D$378,D120, Merged_JOEM!$E$60:$E$378,C113)-SUM(SUMIFS(Merged_JOEM!$X$60:$X$378,Merged_JOEM!$D$60:$D$378,D120,Merged_JOEM!$AA$60:$AA$378,{"Ongoing","N/A",""},Merged_JOEM!$E$60:$E$378,C113))</f>
        <v>1147.5</v>
      </c>
      <c r="G120" s="29">
        <f>1/8*(SUMIFS(Merged_JOEM!$Y$60:$Y$378,Merged_JOEM!$D$60:$D$378,D120, Merged_JOEM!$E$60:$E$378,C113))</f>
        <v>2.5500000000000007</v>
      </c>
      <c r="H120" s="29">
        <f>1/8*(SUMIFS(Merged_JOEM!$Z$60:$Z$378,Merged_JOEM!$D$60:$D$378,D120, Merged_JOEM!$E$60:$E$378,C113)-SUM(SUMIFS(Merged_JOEM!$Z$60:$Z$378,Merged_JOEM!$D$60:$D$378,D120,Merged_JOEM!$AA$60:$AA$378,{"Ongoing","N/A",""},Merged_JOEM!$E$60:$E$378,C113)))</f>
        <v>2.6400000000000006</v>
      </c>
      <c r="I120" s="127">
        <f>IFERROR(F120/E120,"N/A")</f>
        <v>1</v>
      </c>
      <c r="J120" s="3">
        <f>COUNTIFS(Merged_JOEM!$AL$60:$AL$378,J119,Merged_JOEM!$D$60:$D$378,D120,Merged_JOEM!$E$60:$E$378,C113)</f>
        <v>0</v>
      </c>
      <c r="K120" s="3">
        <f>COUNTIFS(Merged_JOEM!$AL$60:$AL$378,K119,Merged_JOEM!$D$60:$D$378,D120,Merged_JOEM!$E$60:$E$378,C113)</f>
        <v>0</v>
      </c>
    </row>
    <row r="121" spans="1:11" x14ac:dyDescent="0.25">
      <c r="C121" s="31">
        <v>2</v>
      </c>
      <c r="D121" s="29" t="str">
        <f>Table!$C$3</f>
        <v>ASW</v>
      </c>
      <c r="E121" s="29">
        <f>SUMIFS(Merged_JOEM!$W$60:$W$378,Merged_JOEM!$D$60:$D$378,D121, Merged_JOEM!$E$60:$E$378,C113)</f>
        <v>149.5</v>
      </c>
      <c r="F121" s="29">
        <f>SUMIFS(Merged_JOEM!$X$60:$X$378,Merged_JOEM!$D$60:$D$378,D121, Merged_JOEM!$E$60:$E$378,C113)-SUM(SUMIFS(Merged_JOEM!$X$60:$X$378,Merged_JOEM!$D$60:$D$378,D121,Merged_JOEM!$AA$60:$AA$378,{"Ongoing","N/A",""},Merged_JOEM!$E$60:$E$378,C113))</f>
        <v>149.5</v>
      </c>
      <c r="G121" s="29">
        <f>1/8*(SUMIFS(Merged_JOEM!$Y$60:$Y$378,Merged_JOEM!$D$60:$D$378,D121,Merged_JOEM!$E$60:$E$378,C113))</f>
        <v>1.1499999999999999</v>
      </c>
      <c r="H121" s="29">
        <f>1/8*(SUMIFS(Merged_JOEM!$Z$60:$Z$378,Merged_JOEM!$D$60:$D$378,D121,Merged_JOEM!$E$60:$E$378,C113)-SUM(SUMIFS(Merged_JOEM!$Z$60:$Z$378,Merged_JOEM!$D$60:$D$378,D121,Merged_JOEM!$AA$60:$AA$378,{"Ongoing","N/A",""},Merged_JOEM!$E$60:$E$378,C113)))</f>
        <v>0.9</v>
      </c>
      <c r="I121" s="127">
        <f>IFERROR(F121/E121,"N/A")</f>
        <v>1</v>
      </c>
      <c r="J121" s="3">
        <f>COUNTIFS(Merged_JOEM!$AL$60:$AL$378,J119,Merged_JOEM!$D$60:$D$378,D121,Merged_JOEM!$E$60:$E$378,C113)</f>
        <v>0</v>
      </c>
      <c r="K121" s="3">
        <f>COUNTIFS(Merged_JOEM!$AL$60:$AL$378,K119,Merged_JOEM!$D$60:$D$378,D121,Merged_JOEM!$E$60:$E$378,C113)</f>
        <v>0</v>
      </c>
    </row>
    <row r="123" spans="1:11" x14ac:dyDescent="0.25">
      <c r="C123" t="s">
        <v>96</v>
      </c>
    </row>
    <row r="125" spans="1:11" x14ac:dyDescent="0.25">
      <c r="A125">
        <v>11</v>
      </c>
      <c r="B125" s="1" t="s">
        <v>53</v>
      </c>
      <c r="C125" s="1" t="s">
        <v>832</v>
      </c>
    </row>
    <row r="126" spans="1:11" x14ac:dyDescent="0.25">
      <c r="B126" s="1" t="s">
        <v>90</v>
      </c>
      <c r="C126">
        <f>SUM(G132:G133)</f>
        <v>38.867999999999995</v>
      </c>
      <c r="D126" t="s">
        <v>91</v>
      </c>
    </row>
    <row r="127" spans="1:11" x14ac:dyDescent="0.25">
      <c r="B127" s="1" t="s">
        <v>97</v>
      </c>
      <c r="C127">
        <f>SUM(INT((WEEKDAY(F127-{2,3,4,5,6})+H127-F127)/7))</f>
        <v>4</v>
      </c>
      <c r="D127" t="s">
        <v>91</v>
      </c>
      <c r="E127" t="s">
        <v>118</v>
      </c>
      <c r="F127" s="6">
        <v>44132</v>
      </c>
      <c r="G127" s="6" t="s">
        <v>89</v>
      </c>
      <c r="H127" s="6">
        <v>44137</v>
      </c>
    </row>
    <row r="128" spans="1:11" x14ac:dyDescent="0.25">
      <c r="B128" s="1" t="s">
        <v>98</v>
      </c>
      <c r="C128">
        <f>SUM(INT((WEEKDAY(F128-{2,3,4,5,6})+H128-F128)/7))</f>
        <v>4</v>
      </c>
      <c r="D128" t="s">
        <v>91</v>
      </c>
      <c r="E128" t="s">
        <v>173</v>
      </c>
      <c r="F128" s="6">
        <v>44132</v>
      </c>
      <c r="G128" s="6" t="s">
        <v>89</v>
      </c>
      <c r="H128" s="6">
        <v>44137</v>
      </c>
    </row>
    <row r="129" spans="1:11" x14ac:dyDescent="0.25">
      <c r="B129" s="1" t="s">
        <v>17</v>
      </c>
      <c r="C129" t="str">
        <f>IF(AND(F132=E132,F133=E133),IF(SUM(H132:H133)&gt;SUM(G132:G133),"Delayed",IF(SUM(H132:H133)&lt;SUM(G132:G133),"InAdvanced","Ontime")),"N/A")</f>
        <v>InAdvanced</v>
      </c>
      <c r="F129" s="6"/>
      <c r="G129" s="6"/>
      <c r="H129" s="6"/>
    </row>
    <row r="131" spans="1:11" ht="75" x14ac:dyDescent="0.25">
      <c r="C131" s="39" t="s">
        <v>25</v>
      </c>
      <c r="D131" s="39" t="s">
        <v>26</v>
      </c>
      <c r="E131" s="8" t="s">
        <v>92</v>
      </c>
      <c r="F131" s="8" t="s">
        <v>93</v>
      </c>
      <c r="G131" s="8" t="s">
        <v>94</v>
      </c>
      <c r="H131" s="8" t="s">
        <v>95</v>
      </c>
      <c r="I131" s="8" t="s">
        <v>29</v>
      </c>
      <c r="J131" s="8" t="str">
        <f>Table!$C$37</f>
        <v>OPL</v>
      </c>
      <c r="K131" s="8" t="str">
        <f>Table!$C$38</f>
        <v>Defect</v>
      </c>
    </row>
    <row r="132" spans="1:11" x14ac:dyDescent="0.25">
      <c r="C132" s="31">
        <v>1</v>
      </c>
      <c r="D132" s="29" t="str">
        <f>Table!$D$3</f>
        <v>PSW</v>
      </c>
      <c r="E132" s="29">
        <f>SUMIFS(Merged_JOEM!$W$60:$W$378,Merged_JOEM!$D$60:$D$378,D132, Merged_JOEM!$E$60:$E$378,C125)</f>
        <v>4522.5</v>
      </c>
      <c r="F132" s="29">
        <f>SUMIFS(Merged_JOEM!$X$60:$X$378,Merged_JOEM!$D$60:$D$378,D132, Merged_JOEM!$E$60:$E$378,C125)-SUM(SUMIFS(Merged_JOEM!$X$60:$X$378,Merged_JOEM!$D$60:$D$378,D132,Merged_JOEM!$AA$60:$AA$378,{"Ongoing","N/A",""},Merged_JOEM!$E$60:$E$378,C125))</f>
        <v>4522.5</v>
      </c>
      <c r="G132" s="29">
        <f>1/8*(SUMIFS(Merged_JOEM!$Y$60:$Y$378,Merged_JOEM!$D$60:$D$378,D132, Merged_JOEM!$E$60:$E$378,C125))</f>
        <v>10.049999999999997</v>
      </c>
      <c r="H132" s="29">
        <f>1/8*(SUMIFS(Merged_JOEM!$Z$60:$Z$378,Merged_JOEM!$D$60:$D$378,D132, Merged_JOEM!$E$60:$E$378,C125)-SUM(SUMIFS(Merged_JOEM!$Z$60:$Z$378,Merged_JOEM!$D$60:$D$378,D132,Merged_JOEM!$AA$60:$AA$378,{"Ongoing","N/A",""},Merged_JOEM!$E$60:$E$378,C125)))</f>
        <v>10.049999999999997</v>
      </c>
      <c r="I132" s="127">
        <f>IFERROR(F132/E132,"N/A")</f>
        <v>1</v>
      </c>
      <c r="J132" s="3">
        <f>COUNTIFS(Merged_JOEM!$AL$60:$AL$378,J131,Merged_JOEM!$D$60:$D$378,D132,Merged_JOEM!$E$60:$E$378,C125)</f>
        <v>0</v>
      </c>
      <c r="K132" s="3">
        <f>COUNTIFS(Merged_JOEM!$AL$60:$AL$378,K131,Merged_JOEM!$D$60:$D$378,D132,Merged_JOEM!$E$60:$E$378,C125)</f>
        <v>1</v>
      </c>
    </row>
    <row r="133" spans="1:11" x14ac:dyDescent="0.25">
      <c r="C133" s="31">
        <v>2</v>
      </c>
      <c r="D133" s="29" t="str">
        <f>Table!$C$3</f>
        <v>ASW</v>
      </c>
      <c r="E133" s="29">
        <f>SUMIFS(Merged_JOEM!$W$60:$W$378,Merged_JOEM!$D$60:$D$378,D133, Merged_JOEM!$E$60:$E$378,C125)</f>
        <v>3746.3400000000006</v>
      </c>
      <c r="F133" s="29">
        <f>SUMIFS(Merged_JOEM!$X$60:$X$378,Merged_JOEM!$D$60:$D$378,D133, Merged_JOEM!$E$60:$E$378,C125)-SUM(SUMIFS(Merged_JOEM!$X$60:$X$378,Merged_JOEM!$D$60:$D$378,D133,Merged_JOEM!$AA$60:$AA$378,{"Ongoing","N/A",""},Merged_JOEM!$E$60:$E$378,C125))</f>
        <v>3746.3400000000006</v>
      </c>
      <c r="G133" s="29">
        <f>1/8*(SUMIFS(Merged_JOEM!$Y$60:$Y$378,Merged_JOEM!$D$60:$D$378,D133,Merged_JOEM!$E$60:$E$378,C125))</f>
        <v>28.817999999999994</v>
      </c>
      <c r="H133" s="29">
        <f>1/8*(SUMIFS(Merged_JOEM!$Z$60:$Z$378,Merged_JOEM!$D$60:$D$378,D133,Merged_JOEM!$E$60:$E$378,C125)-SUM(SUMIFS(Merged_JOEM!$Z$60:$Z$378,Merged_JOEM!$D$60:$D$378,D133,Merged_JOEM!$AA$60:$AA$378,{"Ongoing","N/A",""},Merged_JOEM!$E$60:$E$378,C125)))</f>
        <v>22.738000000000003</v>
      </c>
      <c r="I133" s="127">
        <f>IFERROR(F133/E133,"N/A")</f>
        <v>1</v>
      </c>
      <c r="J133" s="3">
        <f>COUNTIFS(Merged_JOEM!$AL$60:$AL$378,J131,Merged_JOEM!$D$60:$D$378,D133,Merged_JOEM!$E$60:$E$378,C125)</f>
        <v>3</v>
      </c>
      <c r="K133" s="3">
        <f>COUNTIFS(Merged_JOEM!$AL$60:$AL$378,K131,Merged_JOEM!$D$60:$D$378,D133,Merged_JOEM!$E$60:$E$378,C125)</f>
        <v>3</v>
      </c>
    </row>
    <row r="135" spans="1:11" x14ac:dyDescent="0.25">
      <c r="C135" t="s">
        <v>96</v>
      </c>
    </row>
    <row r="137" spans="1:11" x14ac:dyDescent="0.25">
      <c r="A137">
        <v>12</v>
      </c>
      <c r="B137" s="1" t="s">
        <v>53</v>
      </c>
      <c r="C137" s="1" t="s">
        <v>880</v>
      </c>
    </row>
    <row r="138" spans="1:11" x14ac:dyDescent="0.25">
      <c r="B138" s="1" t="s">
        <v>90</v>
      </c>
      <c r="C138">
        <f>SUM(G144:G145)</f>
        <v>0.6875</v>
      </c>
      <c r="D138" t="s">
        <v>91</v>
      </c>
    </row>
    <row r="139" spans="1:11" x14ac:dyDescent="0.25">
      <c r="B139" s="1" t="s">
        <v>97</v>
      </c>
      <c r="C139">
        <f>SUM(INT((WEEKDAY(F139-{2,3,4,5,6})+H139-F139)/7))</f>
        <v>1</v>
      </c>
      <c r="D139" t="s">
        <v>91</v>
      </c>
      <c r="E139" t="s">
        <v>118</v>
      </c>
      <c r="F139" s="6">
        <v>44132</v>
      </c>
      <c r="G139" s="6" t="s">
        <v>89</v>
      </c>
      <c r="H139" s="6">
        <v>44132</v>
      </c>
    </row>
    <row r="140" spans="1:11" x14ac:dyDescent="0.25">
      <c r="B140" s="1" t="s">
        <v>98</v>
      </c>
      <c r="C140">
        <f>SUM(INT((WEEKDAY(F140-{2,3,4,5,6})+H140-F140)/7))</f>
        <v>1</v>
      </c>
      <c r="D140" t="s">
        <v>91</v>
      </c>
      <c r="E140" t="s">
        <v>173</v>
      </c>
      <c r="F140" s="6">
        <v>44132</v>
      </c>
      <c r="G140" s="6" t="s">
        <v>89</v>
      </c>
      <c r="H140" s="6">
        <v>44132</v>
      </c>
    </row>
    <row r="141" spans="1:11" x14ac:dyDescent="0.25">
      <c r="B141" s="1" t="s">
        <v>17</v>
      </c>
      <c r="C141" t="str">
        <f>IF(AND(F144=E144,F145=E145),IF(SUM(H144:H145)&gt;SUM(G144:G145),"Delayed",IF(SUM(H144:H145)&lt;SUM(G144:G145),"InAdvanced","Ontime")),"N/A")</f>
        <v>InAdvanced</v>
      </c>
      <c r="F141" s="6"/>
      <c r="G141" s="6"/>
      <c r="H141" s="6"/>
    </row>
    <row r="143" spans="1:11" ht="75" x14ac:dyDescent="0.25">
      <c r="C143" s="39" t="s">
        <v>25</v>
      </c>
      <c r="D143" s="39" t="s">
        <v>26</v>
      </c>
      <c r="E143" s="8" t="s">
        <v>92</v>
      </c>
      <c r="F143" s="8" t="s">
        <v>93</v>
      </c>
      <c r="G143" s="8" t="s">
        <v>94</v>
      </c>
      <c r="H143" s="8" t="s">
        <v>95</v>
      </c>
      <c r="I143" s="8" t="s">
        <v>29</v>
      </c>
      <c r="J143" s="8" t="str">
        <f>Table!$C$37</f>
        <v>OPL</v>
      </c>
      <c r="K143" s="8" t="str">
        <f>Table!$C$38</f>
        <v>Defect</v>
      </c>
    </row>
    <row r="144" spans="1:11" x14ac:dyDescent="0.25">
      <c r="C144" s="31">
        <v>1</v>
      </c>
      <c r="D144" s="29" t="str">
        <f>Table!$D$3</f>
        <v>PSW</v>
      </c>
      <c r="E144" s="29">
        <f>SUMIFS(Merged_JOEM!$W$60:$W$378,Merged_JOEM!$D$60:$D$378,D144, Merged_JOEM!$E$60:$E$378,C137)</f>
        <v>0</v>
      </c>
      <c r="F144" s="29">
        <f>SUMIFS(Merged_JOEM!$X$60:$X$378,Merged_JOEM!$D$60:$D$378,D144, Merged_JOEM!$E$60:$E$378,C137)-SUM(SUMIFS(Merged_JOEM!$X$60:$X$378,Merged_JOEM!$D$60:$D$378,D144,Merged_JOEM!$AA$60:$AA$378,{"Ongoing","N/A",""},Merged_JOEM!$E$60:$E$378,C137))</f>
        <v>0</v>
      </c>
      <c r="G144" s="29">
        <f>1/8*(SUMIFS(Merged_JOEM!$Y$60:$Y$378,Merged_JOEM!$D$60:$D$378,D144, Merged_JOEM!$E$60:$E$378,C137))</f>
        <v>0</v>
      </c>
      <c r="H144" s="29">
        <f>1/8*(SUMIFS(Merged_JOEM!$Z$60:$Z$378,Merged_JOEM!$D$60:$D$378,D144, Merged_JOEM!$E$60:$E$378,C137)-SUM(SUMIFS(Merged_JOEM!$Z$60:$Z$378,Merged_JOEM!$D$60:$D$378,D144,Merged_JOEM!$AA$60:$AA$378,{"Ongoing","N/A",""},Merged_JOEM!$E$60:$E$378,C137)))</f>
        <v>0</v>
      </c>
      <c r="I144" s="127" t="str">
        <f>IFERROR(F144/E144,"N/A")</f>
        <v>N/A</v>
      </c>
      <c r="J144" s="3">
        <f>COUNTIFS(Merged_JOEM!$AL$60:$AL$378,J143,Merged_JOEM!$D$60:$D$378,D144,Merged_JOEM!$E$60:$E$378,C137)</f>
        <v>0</v>
      </c>
      <c r="K144" s="3">
        <f>COUNTIFS(Merged_JOEM!$AL$60:$AL$378,K143,Merged_JOEM!$D$60:$D$378,D144,Merged_JOEM!$E$60:$E$378,C137)</f>
        <v>0</v>
      </c>
    </row>
    <row r="145" spans="1:11" x14ac:dyDescent="0.25">
      <c r="C145" s="31">
        <v>2</v>
      </c>
      <c r="D145" s="29" t="str">
        <f>Table!$C$3</f>
        <v>ASW</v>
      </c>
      <c r="E145" s="29">
        <f>SUMIFS(Merged_JOEM!$W$60:$W$378,Merged_JOEM!$D$60:$D$378,D145, Merged_JOEM!$E$60:$E$378,C137)</f>
        <v>89.375</v>
      </c>
      <c r="F145" s="29">
        <f>SUMIFS(Merged_JOEM!$X$60:$X$378,Merged_JOEM!$D$60:$D$378,D145, Merged_JOEM!$E$60:$E$378,C137)-SUM(SUMIFS(Merged_JOEM!$X$60:$X$378,Merged_JOEM!$D$60:$D$378,D145,Merged_JOEM!$AA$60:$AA$378,{"Ongoing","N/A",""},Merged_JOEM!$E$60:$E$378,C137))</f>
        <v>89.375</v>
      </c>
      <c r="G145" s="29">
        <f>1/8*(SUMIFS(Merged_JOEM!$Y$60:$Y$378,Merged_JOEM!$D$60:$D$378,D145,Merged_JOEM!$E$60:$E$378,C137))</f>
        <v>0.6875</v>
      </c>
      <c r="H145" s="29">
        <f>1/8*(SUMIFS(Merged_JOEM!$Z$60:$Z$378,Merged_JOEM!$D$60:$D$378,D145,Merged_JOEM!$E$60:$E$378,C137)-SUM(SUMIFS(Merged_JOEM!$Z$60:$Z$378,Merged_JOEM!$D$60:$D$378,D145,Merged_JOEM!$AA$60:$AA$378,{"Ongoing","N/A",""},Merged_JOEM!$E$60:$E$378,C137)))</f>
        <v>0</v>
      </c>
      <c r="I145" s="127">
        <f>IFERROR(F145/E145,"N/A")</f>
        <v>1</v>
      </c>
      <c r="J145" s="3">
        <f>COUNTIFS(Merged_JOEM!$AL$60:$AL$378,J143,Merged_JOEM!$D$60:$D$378,D145,Merged_JOEM!$E$60:$E$378,C137)</f>
        <v>0</v>
      </c>
      <c r="K145" s="3">
        <f>COUNTIFS(Merged_JOEM!$AL$60:$AL$378,K143,Merged_JOEM!$D$60:$D$378,D145,Merged_JOEM!$E$60:$E$378,C137)</f>
        <v>0</v>
      </c>
    </row>
    <row r="147" spans="1:11" x14ac:dyDescent="0.25">
      <c r="C147" t="s">
        <v>96</v>
      </c>
    </row>
    <row r="149" spans="1:11" x14ac:dyDescent="0.25">
      <c r="A149">
        <v>13</v>
      </c>
      <c r="B149" s="1" t="s">
        <v>53</v>
      </c>
      <c r="C149" s="1" t="s">
        <v>881</v>
      </c>
    </row>
    <row r="150" spans="1:11" x14ac:dyDescent="0.25">
      <c r="B150" s="1" t="s">
        <v>90</v>
      </c>
      <c r="C150">
        <f>SUM(G156:G157)</f>
        <v>1.5</v>
      </c>
      <c r="D150" t="s">
        <v>91</v>
      </c>
    </row>
    <row r="151" spans="1:11" x14ac:dyDescent="0.25">
      <c r="B151" s="1" t="s">
        <v>97</v>
      </c>
      <c r="C151">
        <f>SUM(INT((WEEKDAY(F151-{2,3,4,5,6})+H151-F151)/7))</f>
        <v>3</v>
      </c>
      <c r="D151" t="s">
        <v>91</v>
      </c>
      <c r="E151" t="s">
        <v>118</v>
      </c>
      <c r="F151" s="6">
        <v>44132</v>
      </c>
      <c r="G151" s="6" t="s">
        <v>89</v>
      </c>
      <c r="H151" s="6">
        <v>44134</v>
      </c>
    </row>
    <row r="152" spans="1:11" x14ac:dyDescent="0.25">
      <c r="B152" s="1" t="s">
        <v>98</v>
      </c>
      <c r="C152">
        <f>SUM(INT((WEEKDAY(F152-{2,3,4,5,6})+H152-F152)/7))</f>
        <v>3</v>
      </c>
      <c r="D152" t="s">
        <v>91</v>
      </c>
      <c r="E152" t="s">
        <v>173</v>
      </c>
      <c r="F152" s="6">
        <v>44132</v>
      </c>
      <c r="G152" s="6" t="s">
        <v>89</v>
      </c>
      <c r="H152" s="6">
        <v>44134</v>
      </c>
    </row>
    <row r="153" spans="1:11" x14ac:dyDescent="0.25">
      <c r="B153" s="1" t="s">
        <v>17</v>
      </c>
      <c r="C153" t="str">
        <f>IF(AND(F156=E156,F157=E157),IF(SUM(H156:H157)&gt;SUM(G156:G157),"Delayed",IF(SUM(H156:H157)&lt;SUM(G156:G157),"InAdvanced","Ontime")),"N/A")</f>
        <v>Ontime</v>
      </c>
      <c r="F153" s="6"/>
      <c r="G153" s="6"/>
      <c r="H153" s="6"/>
    </row>
    <row r="155" spans="1:11" ht="75" x14ac:dyDescent="0.25">
      <c r="C155" s="39" t="s">
        <v>25</v>
      </c>
      <c r="D155" s="39" t="s">
        <v>26</v>
      </c>
      <c r="E155" s="8" t="s">
        <v>92</v>
      </c>
      <c r="F155" s="8" t="s">
        <v>93</v>
      </c>
      <c r="G155" s="8" t="s">
        <v>94</v>
      </c>
      <c r="H155" s="8" t="s">
        <v>95</v>
      </c>
      <c r="I155" s="8" t="s">
        <v>29</v>
      </c>
      <c r="J155" s="8" t="str">
        <f>Table!$C$37</f>
        <v>OPL</v>
      </c>
      <c r="K155" s="8" t="str">
        <f>Table!$C$38</f>
        <v>Defect</v>
      </c>
    </row>
    <row r="156" spans="1:11" x14ac:dyDescent="0.25">
      <c r="C156" s="31">
        <v>1</v>
      </c>
      <c r="D156" s="29" t="str">
        <f>Table!$D$3</f>
        <v>PSW</v>
      </c>
      <c r="E156" s="29">
        <f>SUMIFS(Merged_JOEM!$W$60:$W$378,Merged_JOEM!$D$60:$D$378,D156, Merged_JOEM!$E$60:$E$378,C149)</f>
        <v>0</v>
      </c>
      <c r="F156" s="29">
        <f>SUMIFS(Merged_JOEM!$X$60:$X$378,Merged_JOEM!$D$60:$D$378,D156, Merged_JOEM!$E$60:$E$378,C149)-SUM(SUMIFS(Merged_JOEM!$X$60:$X$378,Merged_JOEM!$D$60:$D$378,D156,Merged_JOEM!$AA$60:$AA$378,{"Ongoing","N/A",""},Merged_JOEM!$E$60:$E$378,C149))</f>
        <v>0</v>
      </c>
      <c r="G156" s="29">
        <f>1/8*(SUMIFS(Merged_JOEM!$Y$60:$Y$378,Merged_JOEM!$D$60:$D$378,D156, Merged_JOEM!$E$60:$E$378,C149))</f>
        <v>0</v>
      </c>
      <c r="H156" s="29">
        <f>1/8*(SUMIFS(Merged_JOEM!$Z$60:$Z$378,Merged_JOEM!$D$60:$D$378,D156, Merged_JOEM!$E$60:$E$378,C149)-SUM(SUMIFS(Merged_JOEM!$Z$60:$Z$378,Merged_JOEM!$D$60:$D$378,D156,Merged_JOEM!$AA$60:$AA$378,{"Ongoing","N/A",""},Merged_JOEM!$E$60:$E$378,C149)))</f>
        <v>0</v>
      </c>
      <c r="I156" s="127" t="str">
        <f>IFERROR(F156/E156,"N/A")</f>
        <v>N/A</v>
      </c>
      <c r="J156" s="3">
        <f>COUNTIFS(Merged_JOEM!$AL$60:$AL$378,J155,Merged_JOEM!$D$60:$D$378,D156,Merged_JOEM!$E$60:$E$378,C149)</f>
        <v>0</v>
      </c>
      <c r="K156" s="3">
        <f>COUNTIFS(Merged_JOEM!$AL$60:$AL$378,K155,Merged_JOEM!$D$60:$D$378,D156,Merged_JOEM!$E$60:$E$378,C149)</f>
        <v>0</v>
      </c>
    </row>
    <row r="157" spans="1:11" x14ac:dyDescent="0.25">
      <c r="C157" s="31">
        <v>2</v>
      </c>
      <c r="D157" s="29" t="str">
        <f>Table!$C$3</f>
        <v>ASW</v>
      </c>
      <c r="E157" s="29">
        <f>SUMIFS(Merged_JOEM!$W$60:$W$378,Merged_JOEM!$D$60:$D$378,D157, Merged_JOEM!$E$60:$E$378,C149)</f>
        <v>195</v>
      </c>
      <c r="F157" s="29">
        <f>SUMIFS(Merged_JOEM!$X$60:$X$378,Merged_JOEM!$D$60:$D$378,D157, Merged_JOEM!$E$60:$E$378,C149)-SUM(SUMIFS(Merged_JOEM!$X$60:$X$378,Merged_JOEM!$D$60:$D$378,D157,Merged_JOEM!$AA$60:$AA$378,{"Ongoing","N/A",""},Merged_JOEM!$E$60:$E$378,C149))</f>
        <v>195</v>
      </c>
      <c r="G157" s="29">
        <f>1/8*(SUMIFS(Merged_JOEM!$Y$60:$Y$378,Merged_JOEM!$D$60:$D$378,D157,Merged_JOEM!$E$60:$E$378,C149))</f>
        <v>1.5</v>
      </c>
      <c r="H157" s="29">
        <f>1/8*(SUMIFS(Merged_JOEM!$Z$60:$Z$378,Merged_JOEM!$D$60:$D$378,D157,Merged_JOEM!$E$60:$E$378,C149)-SUM(SUMIFS(Merged_JOEM!$Z$60:$Z$378,Merged_JOEM!$D$60:$D$378,D157,Merged_JOEM!$AA$60:$AA$378,{"Ongoing","N/A",""},Merged_JOEM!$E$60:$E$378,C149)))</f>
        <v>1.5</v>
      </c>
      <c r="I157" s="127">
        <f>IFERROR(F157/E157,"N/A")</f>
        <v>1</v>
      </c>
      <c r="J157" s="3">
        <f>COUNTIFS(Merged_JOEM!$AL$60:$AL$378,J155,Merged_JOEM!$D$60:$D$378,D157,Merged_JOEM!$E$60:$E$378,C149)</f>
        <v>0</v>
      </c>
      <c r="K157" s="3">
        <f>COUNTIFS(Merged_JOEM!$AL$60:$AL$378,K155,Merged_JOEM!$D$60:$D$378,D157,Merged_JOEM!$E$60:$E$378,C149)</f>
        <v>0</v>
      </c>
    </row>
    <row r="159" spans="1:11" x14ac:dyDescent="0.25">
      <c r="C159" t="s">
        <v>96</v>
      </c>
    </row>
    <row r="161" spans="1:11" x14ac:dyDescent="0.25">
      <c r="A161">
        <v>14</v>
      </c>
      <c r="B161" s="1" t="s">
        <v>53</v>
      </c>
      <c r="C161" s="1" t="s">
        <v>943</v>
      </c>
    </row>
    <row r="162" spans="1:11" x14ac:dyDescent="0.25">
      <c r="B162" s="1" t="s">
        <v>90</v>
      </c>
      <c r="C162">
        <f>SUM(G168:G169)</f>
        <v>4.0999999999999996</v>
      </c>
      <c r="D162" t="s">
        <v>91</v>
      </c>
    </row>
    <row r="163" spans="1:11" x14ac:dyDescent="0.25">
      <c r="B163" s="1" t="s">
        <v>97</v>
      </c>
      <c r="C163">
        <f>SUM(INT((WEEKDAY(F163-{2,3,4,5,6})+H163-F163)/7))</f>
        <v>2</v>
      </c>
      <c r="D163" t="s">
        <v>91</v>
      </c>
      <c r="E163" t="s">
        <v>118</v>
      </c>
      <c r="F163" s="6">
        <v>44133</v>
      </c>
      <c r="G163" s="6" t="s">
        <v>89</v>
      </c>
      <c r="H163" s="6">
        <v>44134</v>
      </c>
    </row>
    <row r="164" spans="1:11" x14ac:dyDescent="0.25">
      <c r="B164" s="1" t="s">
        <v>98</v>
      </c>
      <c r="C164">
        <f>SUM(INT((WEEKDAY(F164-{2,3,4,5,6})+H164-F164)/7))</f>
        <v>2</v>
      </c>
      <c r="D164" t="s">
        <v>91</v>
      </c>
      <c r="E164" t="s">
        <v>173</v>
      </c>
      <c r="F164" s="6">
        <v>44133</v>
      </c>
      <c r="G164" s="6" t="s">
        <v>89</v>
      </c>
      <c r="H164" s="6">
        <v>44134</v>
      </c>
    </row>
    <row r="165" spans="1:11" x14ac:dyDescent="0.25">
      <c r="B165" s="1" t="s">
        <v>17</v>
      </c>
      <c r="C165" t="str">
        <f>IF(AND(F168=E168,F169=E169),IF(SUM(H168:H169)&gt;SUM(G168:G169),"Delayed",IF(SUM(H168:H169)&lt;SUM(G168:G169),"InAdvanced","Ontime")),"N/A")</f>
        <v>Ontime</v>
      </c>
      <c r="F165" s="6"/>
      <c r="G165" s="6"/>
      <c r="H165" s="6"/>
    </row>
    <row r="167" spans="1:11" ht="75" x14ac:dyDescent="0.25">
      <c r="C167" s="39" t="s">
        <v>25</v>
      </c>
      <c r="D167" s="39" t="s">
        <v>26</v>
      </c>
      <c r="E167" s="8" t="s">
        <v>92</v>
      </c>
      <c r="F167" s="8" t="s">
        <v>93</v>
      </c>
      <c r="G167" s="8" t="s">
        <v>94</v>
      </c>
      <c r="H167" s="8" t="s">
        <v>95</v>
      </c>
      <c r="I167" s="8" t="s">
        <v>29</v>
      </c>
      <c r="J167" s="8" t="str">
        <f>Table!$C$37</f>
        <v>OPL</v>
      </c>
      <c r="K167" s="8" t="str">
        <f>Table!$C$38</f>
        <v>Defect</v>
      </c>
    </row>
    <row r="168" spans="1:11" x14ac:dyDescent="0.25">
      <c r="C168" s="31">
        <v>1</v>
      </c>
      <c r="D168" s="29" t="str">
        <f>Table!$D$3</f>
        <v>PSW</v>
      </c>
      <c r="E168" s="29">
        <f>SUMIFS(Merged_JOEM!$W$60:$W$378,Merged_JOEM!$D$60:$D$378,D168, Merged_JOEM!$E$60:$E$378,C161)</f>
        <v>112.5</v>
      </c>
      <c r="F168" s="29">
        <f>SUMIFS(Merged_JOEM!$X$60:$X$378,Merged_JOEM!$D$60:$D$378,D168, Merged_JOEM!$E$60:$E$378,C161)-SUM(SUMIFS(Merged_JOEM!$X$60:$X$378,Merged_JOEM!$D$60:$D$378,D168,Merged_JOEM!$AA$60:$AA$378,{"Ongoing","N/A",""},Merged_JOEM!$E$60:$E$378,C161))</f>
        <v>112.5</v>
      </c>
      <c r="G168" s="29">
        <f>1/8*(SUMIFS(Merged_JOEM!$Y$60:$Y$378,Merged_JOEM!$D$60:$D$378,D168, Merged_JOEM!$E$60:$E$378,C161))</f>
        <v>0.25</v>
      </c>
      <c r="H168" s="29">
        <f>1/8*(SUMIFS(Merged_JOEM!$Z$60:$Z$378,Merged_JOEM!$D$60:$D$378,D168, Merged_JOEM!$E$60:$E$378,C161)-SUM(SUMIFS(Merged_JOEM!$Z$60:$Z$378,Merged_JOEM!$D$60:$D$378,D168,Merged_JOEM!$AA$60:$AA$378,{"Ongoing","N/A",""},Merged_JOEM!$E$60:$E$378,C161)))</f>
        <v>0.25</v>
      </c>
      <c r="I168" s="127">
        <f>IFERROR(F168/E168,"N/A")</f>
        <v>1</v>
      </c>
      <c r="J168" s="3">
        <f>COUNTIFS(Merged_JOEM!$AL$60:$AL$378,J167,Merged_JOEM!$D$60:$D$378,D168,Merged_JOEM!$E$60:$E$378,C161)</f>
        <v>0</v>
      </c>
      <c r="K168" s="3">
        <f>COUNTIFS(Merged_JOEM!$AL$60:$AL$378,K167,Merged_JOEM!$D$60:$D$378,D168,Merged_JOEM!$E$60:$E$378,C161)</f>
        <v>0</v>
      </c>
    </row>
    <row r="169" spans="1:11" x14ac:dyDescent="0.25">
      <c r="C169" s="31">
        <v>2</v>
      </c>
      <c r="D169" s="29" t="str">
        <f>Table!$C$3</f>
        <v>ASW</v>
      </c>
      <c r="E169" s="29">
        <f>SUMIFS(Merged_JOEM!$W$60:$W$378,Merged_JOEM!$D$60:$D$378,D169, Merged_JOEM!$E$60:$E$378,C161)</f>
        <v>500.5</v>
      </c>
      <c r="F169" s="29">
        <f>SUMIFS(Merged_JOEM!$X$60:$X$378,Merged_JOEM!$D$60:$D$378,D169, Merged_JOEM!$E$60:$E$378,C161)-SUM(SUMIFS(Merged_JOEM!$X$60:$X$378,Merged_JOEM!$D$60:$D$378,D169,Merged_JOEM!$AA$60:$AA$378,{"Ongoing","N/A",""},Merged_JOEM!$E$60:$E$378,C161))</f>
        <v>500.5</v>
      </c>
      <c r="G169" s="29">
        <f>1/8*(SUMIFS(Merged_JOEM!$Y$60:$Y$378,Merged_JOEM!$D$60:$D$378,D169,Merged_JOEM!$E$60:$E$378,C161))</f>
        <v>3.8499999999999996</v>
      </c>
      <c r="H169" s="29">
        <f>1/8*(SUMIFS(Merged_JOEM!$Z$60:$Z$378,Merged_JOEM!$D$60:$D$378,D169,Merged_JOEM!$E$60:$E$378,C161)-SUM(SUMIFS(Merged_JOEM!$Z$60:$Z$378,Merged_JOEM!$D$60:$D$378,D169,Merged_JOEM!$AA$60:$AA$378,{"Ongoing","N/A",""},Merged_JOEM!$E$60:$E$378,C161)))</f>
        <v>3.8499999999999996</v>
      </c>
      <c r="I169" s="127">
        <f>IFERROR(F169/E169,"N/A")</f>
        <v>1</v>
      </c>
      <c r="J169" s="3">
        <f>COUNTIFS(Merged_JOEM!$AL$60:$AL$378,J167,Merged_JOEM!$D$60:$D$378,D169,Merged_JOEM!$E$60:$E$378,C161)</f>
        <v>0</v>
      </c>
      <c r="K169" s="3">
        <f>COUNTIFS(Merged_JOEM!$AL$60:$AL$378,K167,Merged_JOEM!$D$60:$D$378,D169,Merged_JOEM!$E$60:$E$378,C161)</f>
        <v>0</v>
      </c>
    </row>
    <row r="171" spans="1:11" x14ac:dyDescent="0.25">
      <c r="C171" t="s">
        <v>96</v>
      </c>
    </row>
    <row r="173" spans="1:11" x14ac:dyDescent="0.25">
      <c r="A173">
        <v>15</v>
      </c>
      <c r="B173" s="1" t="s">
        <v>53</v>
      </c>
      <c r="C173" s="1" t="s">
        <v>1231</v>
      </c>
    </row>
    <row r="174" spans="1:11" x14ac:dyDescent="0.25">
      <c r="B174" s="1" t="s">
        <v>90</v>
      </c>
      <c r="C174">
        <f>SUM(G180:G181)</f>
        <v>3.5299999999999976</v>
      </c>
      <c r="D174" t="s">
        <v>91</v>
      </c>
    </row>
    <row r="175" spans="1:11" x14ac:dyDescent="0.25">
      <c r="B175" s="1" t="s">
        <v>97</v>
      </c>
      <c r="C175">
        <f>SUM(INT((WEEKDAY(F175-{2,3,4,5,6})+H175-F175)/7))</f>
        <v>4</v>
      </c>
      <c r="D175" t="s">
        <v>91</v>
      </c>
      <c r="E175" t="s">
        <v>118</v>
      </c>
      <c r="F175" s="6">
        <v>44140</v>
      </c>
      <c r="G175" s="6" t="s">
        <v>89</v>
      </c>
      <c r="H175" s="6">
        <v>44145</v>
      </c>
    </row>
    <row r="176" spans="1:11" x14ac:dyDescent="0.25">
      <c r="B176" s="1" t="s">
        <v>98</v>
      </c>
      <c r="C176">
        <f>SUM(INT((WEEKDAY(F176-{2,3,4,5,6})+H176-F176)/7))</f>
        <v>4</v>
      </c>
      <c r="D176" t="s">
        <v>91</v>
      </c>
      <c r="E176" t="s">
        <v>173</v>
      </c>
      <c r="F176" s="6">
        <v>44140</v>
      </c>
      <c r="G176" s="6" t="s">
        <v>89</v>
      </c>
      <c r="H176" s="6">
        <v>44145</v>
      </c>
    </row>
    <row r="177" spans="1:11" x14ac:dyDescent="0.25">
      <c r="B177" s="1" t="s">
        <v>17</v>
      </c>
      <c r="C177" t="str">
        <f>IF(AND(F180=E180,F181=E181),IF(SUM(H180:H181)&gt;SUM(G180:G181),"Delayed",IF(SUM(H180:H181)&lt;SUM(G180:G181),"InAdvanced","Ontime")),"N/A")</f>
        <v>InAdvanced</v>
      </c>
      <c r="F177" s="6"/>
      <c r="G177" s="6"/>
      <c r="H177" s="6"/>
    </row>
    <row r="179" spans="1:11" ht="75" x14ac:dyDescent="0.25">
      <c r="C179" s="39" t="s">
        <v>25</v>
      </c>
      <c r="D179" s="39" t="s">
        <v>26</v>
      </c>
      <c r="E179" s="8" t="s">
        <v>92</v>
      </c>
      <c r="F179" s="8" t="s">
        <v>93</v>
      </c>
      <c r="G179" s="8" t="s">
        <v>94</v>
      </c>
      <c r="H179" s="8" t="s">
        <v>95</v>
      </c>
      <c r="I179" s="8" t="s">
        <v>29</v>
      </c>
      <c r="J179" s="8" t="str">
        <f>Table!$C$37</f>
        <v>OPL</v>
      </c>
      <c r="K179" s="8" t="str">
        <f>Table!$C$38</f>
        <v>Defect</v>
      </c>
    </row>
    <row r="180" spans="1:11" x14ac:dyDescent="0.25">
      <c r="C180" s="31">
        <v>1</v>
      </c>
      <c r="D180" s="29" t="str">
        <f>Table!$D$3</f>
        <v>PSW</v>
      </c>
      <c r="E180" s="29">
        <f>SUMIFS(Merged_JOEM!$W$60:$W$378,Merged_JOEM!$D$60:$D$378,D180, Merged_JOEM!$E$60:$E$378,C173)</f>
        <v>1588.5</v>
      </c>
      <c r="F180" s="29">
        <f>SUMIFS(Merged_JOEM!$X$60:$X$378,Merged_JOEM!$D$60:$D$378,D180, Merged_JOEM!$E$60:$E$378,C173)-SUM(SUMIFS(Merged_JOEM!$X$60:$X$378,Merged_JOEM!$D$60:$D$378,D180,Merged_JOEM!$AA$60:$AA$378,{"Ongoing","N/A",""},Merged_JOEM!$E$60:$E$378,C173))</f>
        <v>1588.5</v>
      </c>
      <c r="G180" s="29">
        <f>1/8*(SUMIFS(Merged_JOEM!$Y$60:$Y$378,Merged_JOEM!$D$60:$D$378,D180, Merged_JOEM!$E$60:$E$378,C173))</f>
        <v>3.5299999999999976</v>
      </c>
      <c r="H180" s="29">
        <f>1/8*(SUMIFS(Merged_JOEM!$Z$60:$Z$378,Merged_JOEM!$D$60:$D$378,D180, Merged_JOEM!$E$60:$E$378,C173)-SUM(SUMIFS(Merged_JOEM!$Z$60:$Z$378,Merged_JOEM!$D$60:$D$378,D180,Merged_JOEM!$AA$60:$AA$378,{"Ongoing","N/A",""},Merged_JOEM!$E$60:$E$378,C173)))</f>
        <v>1.5500000000000005</v>
      </c>
      <c r="I180" s="127">
        <f>IFERROR(F180/E180,"N/A")</f>
        <v>1</v>
      </c>
      <c r="J180" s="3">
        <f>COUNTIFS(Merged_JOEM!$AL$60:$AL$378,J179,Merged_JOEM!$D$60:$D$378,D180,Merged_JOEM!$E$60:$E$378,C173)</f>
        <v>1</v>
      </c>
      <c r="K180" s="3">
        <f>COUNTIFS(Merged_JOEM!$AL$60:$AL$378,K179,Merged_JOEM!$D$60:$D$378,D180,Merged_JOEM!$E$60:$E$378,C173)</f>
        <v>0</v>
      </c>
    </row>
    <row r="181" spans="1:11" x14ac:dyDescent="0.25">
      <c r="C181" s="31">
        <v>2</v>
      </c>
      <c r="D181" s="29" t="str">
        <f>Table!$C$3</f>
        <v>ASW</v>
      </c>
      <c r="E181" s="29">
        <f>SUMIFS(Merged_JOEM!$W$60:$W$378,Merged_JOEM!$D$60:$D$378,D181, Merged_JOEM!$E$60:$E$378,C173)</f>
        <v>0</v>
      </c>
      <c r="F181" s="29">
        <f>SUMIFS(Merged_JOEM!$X$60:$X$378,Merged_JOEM!$D$60:$D$378,D181, Merged_JOEM!$E$60:$E$378,C173)-SUM(SUMIFS(Merged_JOEM!$X$60:$X$378,Merged_JOEM!$D$60:$D$378,D181,Merged_JOEM!$AA$60:$AA$378,{"Ongoing","N/A",""},Merged_JOEM!$E$60:$E$378,C173))</f>
        <v>0</v>
      </c>
      <c r="G181" s="29">
        <f>1/8*(SUMIFS(Merged_JOEM!$Y$60:$Y$378,Merged_JOEM!$D$60:$D$378,D181,Merged_JOEM!$E$60:$E$378,C173))</f>
        <v>0</v>
      </c>
      <c r="H181" s="29">
        <f>1/8*(SUMIFS(Merged_JOEM!$Z$60:$Z$378,Merged_JOEM!$D$60:$D$378,D181,Merged_JOEM!$E$60:$E$378,C173)-SUM(SUMIFS(Merged_JOEM!$Z$60:$Z$378,Merged_JOEM!$D$60:$D$378,D181,Merged_JOEM!$AA$60:$AA$378,{"Ongoing","N/A",""},Merged_JOEM!$E$60:$E$378,C173)))</f>
        <v>0</v>
      </c>
      <c r="I181" s="127" t="str">
        <f>IFERROR(F181/E181,"N/A")</f>
        <v>N/A</v>
      </c>
      <c r="J181" s="3">
        <f>COUNTIFS(Merged_JOEM!$AL$60:$AL$378,J179,Merged_JOEM!$D$60:$D$378,D181,Merged_JOEM!$E$60:$E$378,C173)</f>
        <v>0</v>
      </c>
      <c r="K181" s="3">
        <f>COUNTIFS(Merged_JOEM!$AL$60:$AL$378,K179,Merged_JOEM!$D$60:$D$378,D181,Merged_JOEM!$E$60:$E$378,C173)</f>
        <v>0</v>
      </c>
    </row>
    <row r="183" spans="1:11" x14ac:dyDescent="0.25">
      <c r="C183" t="s">
        <v>96</v>
      </c>
    </row>
    <row r="185" spans="1:11" x14ac:dyDescent="0.25">
      <c r="A185">
        <v>16</v>
      </c>
      <c r="B185" s="1" t="s">
        <v>53</v>
      </c>
      <c r="C185" s="1" t="s">
        <v>1242</v>
      </c>
    </row>
    <row r="186" spans="1:11" x14ac:dyDescent="0.25">
      <c r="B186" s="1" t="s">
        <v>90</v>
      </c>
      <c r="C186">
        <f>SUM(G192:G193)</f>
        <v>1.625</v>
      </c>
      <c r="D186" t="s">
        <v>91</v>
      </c>
    </row>
    <row r="187" spans="1:11" x14ac:dyDescent="0.25">
      <c r="B187" s="1" t="s">
        <v>97</v>
      </c>
      <c r="C187">
        <f>SUM(INT((WEEKDAY(F187-{2,3,4,5,6})+H187-F187)/7))</f>
        <v>4</v>
      </c>
      <c r="D187" t="s">
        <v>91</v>
      </c>
      <c r="E187" t="s">
        <v>118</v>
      </c>
      <c r="F187" s="6">
        <v>44140</v>
      </c>
      <c r="G187" s="6" t="s">
        <v>89</v>
      </c>
      <c r="H187" s="6">
        <v>44145</v>
      </c>
    </row>
    <row r="188" spans="1:11" x14ac:dyDescent="0.25">
      <c r="B188" s="1" t="s">
        <v>98</v>
      </c>
      <c r="C188">
        <f>SUM(INT((WEEKDAY(F188-{2,3,4,5,6})+H188-F188)/7))</f>
        <v>4</v>
      </c>
      <c r="D188" t="s">
        <v>91</v>
      </c>
      <c r="E188" t="s">
        <v>173</v>
      </c>
      <c r="F188" s="6">
        <v>44140</v>
      </c>
      <c r="G188" s="6" t="s">
        <v>89</v>
      </c>
      <c r="H188" s="6">
        <v>44145</v>
      </c>
    </row>
    <row r="189" spans="1:11" x14ac:dyDescent="0.25">
      <c r="B189" s="1" t="s">
        <v>17</v>
      </c>
      <c r="C189" t="str">
        <f>IF(AND(F192=E192,F193=E193),IF(SUM(H192:H193)&gt;SUM(G192:G193),"Delayed",IF(SUM(H192:H193)&lt;SUM(G192:G193),"InAdvanced","Ontime")),"N/A")</f>
        <v>InAdvanced</v>
      </c>
      <c r="F189" s="6"/>
      <c r="G189" s="6"/>
      <c r="H189" s="6"/>
    </row>
    <row r="191" spans="1:11" ht="75" x14ac:dyDescent="0.25">
      <c r="C191" s="39" t="s">
        <v>25</v>
      </c>
      <c r="D191" s="39" t="s">
        <v>26</v>
      </c>
      <c r="E191" s="8" t="s">
        <v>92</v>
      </c>
      <c r="F191" s="8" t="s">
        <v>93</v>
      </c>
      <c r="G191" s="8" t="s">
        <v>94</v>
      </c>
      <c r="H191" s="8" t="s">
        <v>95</v>
      </c>
      <c r="I191" s="8" t="s">
        <v>29</v>
      </c>
      <c r="J191" s="8" t="str">
        <f>Table!$C$37</f>
        <v>OPL</v>
      </c>
      <c r="K191" s="8" t="str">
        <f>Table!$C$38</f>
        <v>Defect</v>
      </c>
    </row>
    <row r="192" spans="1:11" x14ac:dyDescent="0.25">
      <c r="C192" s="31">
        <v>1</v>
      </c>
      <c r="D192" s="29" t="str">
        <f>Table!$D$3</f>
        <v>PSW</v>
      </c>
      <c r="E192" s="29">
        <f>SUMIFS(Merged_JOEM!$W$60:$W$378,Merged_JOEM!$D$60:$D$378,D192, Merged_JOEM!$E$60:$E$378,C185)</f>
        <v>0</v>
      </c>
      <c r="F192" s="29">
        <f>SUMIFS(Merged_JOEM!$X$60:$X$378,Merged_JOEM!$D$60:$D$378,D192, Merged_JOEM!$E$60:$E$378,C185)-SUM(SUMIFS(Merged_JOEM!$X$60:$X$378,Merged_JOEM!$D$60:$D$378,D192,Merged_JOEM!$AA$60:$AA$378,{"Ongoing","N/A",""},Merged_JOEM!$E$60:$E$378,C185))</f>
        <v>0</v>
      </c>
      <c r="G192" s="29">
        <f>1/8*(SUMIFS(Merged_JOEM!$Y$60:$Y$378,Merged_JOEM!$D$60:$D$378,D192, Merged_JOEM!$E$60:$E$378,C185))</f>
        <v>0</v>
      </c>
      <c r="H192" s="29">
        <f>1/8*(SUMIFS(Merged_JOEM!$Z$60:$Z$378,Merged_JOEM!$D$60:$D$378,D192, Merged_JOEM!$E$60:$E$378,C185)-SUM(SUMIFS(Merged_JOEM!$Z$60:$Z$378,Merged_JOEM!$D$60:$D$378,D192,Merged_JOEM!$AA$60:$AA$378,{"Ongoing","N/A",""},Merged_JOEM!$E$60:$E$378,C185)))</f>
        <v>0</v>
      </c>
      <c r="I192" s="127" t="str">
        <f>IFERROR(F192/E192,"N/A")</f>
        <v>N/A</v>
      </c>
      <c r="J192" s="3">
        <f>COUNTIFS(Merged_JOEM!$AL$60:$AL$378,J191,Merged_JOEM!$D$60:$D$378,D192,Merged_JOEM!$E$60:$E$378,C185)</f>
        <v>0</v>
      </c>
      <c r="K192" s="3">
        <f>COUNTIFS(Merged_JOEM!$AL$60:$AL$378,K191,Merged_JOEM!$D$60:$D$378,D192,Merged_JOEM!$E$60:$E$378,C185)</f>
        <v>0</v>
      </c>
    </row>
    <row r="193" spans="1:11" x14ac:dyDescent="0.25">
      <c r="C193" s="31">
        <v>2</v>
      </c>
      <c r="D193" s="29" t="str">
        <f>Table!$C$3</f>
        <v>ASW</v>
      </c>
      <c r="E193" s="29">
        <f>SUMIFS(Merged_JOEM!$W$60:$W$378,Merged_JOEM!$D$60:$D$378,D193, Merged_JOEM!$E$60:$E$378,C185)</f>
        <v>211.25</v>
      </c>
      <c r="F193" s="29">
        <f>SUMIFS(Merged_JOEM!$X$60:$X$378,Merged_JOEM!$D$60:$D$378,D193, Merged_JOEM!$E$60:$E$378,C185)-SUM(SUMIFS(Merged_JOEM!$X$60:$X$378,Merged_JOEM!$D$60:$D$378,D193,Merged_JOEM!$AA$60:$AA$378,{"Ongoing","N/A",""},Merged_JOEM!$E$60:$E$378,C185))</f>
        <v>211.25</v>
      </c>
      <c r="G193" s="29">
        <f>1/8*(SUMIFS(Merged_JOEM!$Y$60:$Y$378,Merged_JOEM!$D$60:$D$378,D193,Merged_JOEM!$E$60:$E$378,C185))</f>
        <v>1.625</v>
      </c>
      <c r="H193" s="29">
        <f>1/8*(SUMIFS(Merged_JOEM!$Z$60:$Z$378,Merged_JOEM!$D$60:$D$378,D193,Merged_JOEM!$E$60:$E$378,C185)-SUM(SUMIFS(Merged_JOEM!$Z$60:$Z$378,Merged_JOEM!$D$60:$D$378,D193,Merged_JOEM!$AA$60:$AA$378,{"Ongoing","N/A",""},Merged_JOEM!$E$60:$E$378,C185)))</f>
        <v>0</v>
      </c>
      <c r="I193" s="127">
        <f>IFERROR(F193/E193,"N/A")</f>
        <v>1</v>
      </c>
      <c r="J193" s="3">
        <f>COUNTIFS(Merged_JOEM!$AL$60:$AL$378,J191,Merged_JOEM!$D$60:$D$378,D193,Merged_JOEM!$E$60:$E$378,C185)</f>
        <v>0</v>
      </c>
      <c r="K193" s="3">
        <f>COUNTIFS(Merged_JOEM!$AL$60:$AL$378,K191,Merged_JOEM!$D$60:$D$378,D193,Merged_JOEM!$E$60:$E$378,C185)</f>
        <v>0</v>
      </c>
    </row>
    <row r="195" spans="1:11" x14ac:dyDescent="0.25">
      <c r="C195" t="s">
        <v>96</v>
      </c>
    </row>
    <row r="197" spans="1:11" x14ac:dyDescent="0.25">
      <c r="A197">
        <v>17</v>
      </c>
      <c r="B197" s="1" t="s">
        <v>53</v>
      </c>
      <c r="C197" s="1" t="s">
        <v>1349</v>
      </c>
    </row>
    <row r="198" spans="1:11" x14ac:dyDescent="0.25">
      <c r="B198" s="1" t="s">
        <v>90</v>
      </c>
      <c r="C198">
        <f>SUM(G204:G205)</f>
        <v>19.999999999999996</v>
      </c>
      <c r="D198" t="s">
        <v>91</v>
      </c>
    </row>
    <row r="199" spans="1:11" x14ac:dyDescent="0.25">
      <c r="B199" s="1" t="s">
        <v>97</v>
      </c>
      <c r="C199">
        <f>SUM(INT((WEEKDAY(F199-{2,3,4,5,6})+H199-F199)/7))</f>
        <v>6</v>
      </c>
      <c r="D199" t="s">
        <v>91</v>
      </c>
      <c r="E199" t="s">
        <v>118</v>
      </c>
      <c r="F199" s="6">
        <v>44144</v>
      </c>
      <c r="G199" s="6" t="s">
        <v>89</v>
      </c>
      <c r="H199" s="6">
        <v>44151</v>
      </c>
    </row>
    <row r="200" spans="1:11" x14ac:dyDescent="0.25">
      <c r="B200" s="1" t="s">
        <v>98</v>
      </c>
      <c r="C200">
        <f>SUM(INT((WEEKDAY(F200-{2,3,4,5,6})+H200-F200)/7))</f>
        <v>6</v>
      </c>
      <c r="D200" t="s">
        <v>91</v>
      </c>
      <c r="E200" t="s">
        <v>173</v>
      </c>
      <c r="F200" s="6">
        <v>44144</v>
      </c>
      <c r="G200" s="6" t="s">
        <v>89</v>
      </c>
      <c r="H200" s="6">
        <v>44151</v>
      </c>
    </row>
    <row r="201" spans="1:11" x14ac:dyDescent="0.25">
      <c r="B201" s="1" t="s">
        <v>17</v>
      </c>
      <c r="C201" t="str">
        <f>IF(AND(F204=E204,F205=E205),IF(SUM(H204:H205)&gt;SUM(G204:G205),"Delayed",IF(SUM(H204:H205)&lt;SUM(G204:G205),"InAdvanced","Ontime")),"N/A")</f>
        <v>InAdvanced</v>
      </c>
      <c r="F201" s="6"/>
      <c r="G201" s="6"/>
      <c r="H201" s="6"/>
    </row>
    <row r="203" spans="1:11" ht="75" x14ac:dyDescent="0.25">
      <c r="C203" s="39" t="s">
        <v>25</v>
      </c>
      <c r="D203" s="39" t="s">
        <v>26</v>
      </c>
      <c r="E203" s="8" t="s">
        <v>92</v>
      </c>
      <c r="F203" s="8" t="s">
        <v>93</v>
      </c>
      <c r="G203" s="8" t="s">
        <v>94</v>
      </c>
      <c r="H203" s="8" t="s">
        <v>95</v>
      </c>
      <c r="I203" s="8" t="s">
        <v>29</v>
      </c>
      <c r="J203" s="8" t="str">
        <f>Table!$C$37</f>
        <v>OPL</v>
      </c>
      <c r="K203" s="8" t="str">
        <f>Table!$C$38</f>
        <v>Defect</v>
      </c>
    </row>
    <row r="204" spans="1:11" x14ac:dyDescent="0.25">
      <c r="C204" s="31">
        <v>1</v>
      </c>
      <c r="D204" s="29" t="str">
        <f>Table!$D$3</f>
        <v>PSW</v>
      </c>
      <c r="E204" s="29">
        <f>SUMIFS(Merged_JOEM!$W$60:$W$378,Merged_JOEM!$D$60:$D$378,D204, Merged_JOEM!$E$60:$E$378,C197)</f>
        <v>0</v>
      </c>
      <c r="F204" s="29">
        <f>SUMIFS(Merged_JOEM!$X$60:$X$378,Merged_JOEM!$D$60:$D$378,D204, Merged_JOEM!$E$60:$E$378,C197)-SUM(SUMIFS(Merged_JOEM!$X$60:$X$378,Merged_JOEM!$D$60:$D$378,D204,Merged_JOEM!$AA$60:$AA$378,{"Ongoing","N/A",""},Merged_JOEM!$E$60:$E$378,C197))</f>
        <v>0</v>
      </c>
      <c r="G204" s="29">
        <f>1/8*(SUMIFS(Merged_JOEM!$Y$60:$Y$378,Merged_JOEM!$D$60:$D$378,D204, Merged_JOEM!$E$60:$E$378,C197))</f>
        <v>0</v>
      </c>
      <c r="H204" s="29">
        <f>1/8*(SUMIFS(Merged_JOEM!$Z$60:$Z$378,Merged_JOEM!$D$60:$D$378,D204, Merged_JOEM!$E$60:$E$378,C197)-SUM(SUMIFS(Merged_JOEM!$Z$60:$Z$378,Merged_JOEM!$D$60:$D$378,D204,Merged_JOEM!$AA$60:$AA$378,{"Ongoing","N/A",""},Merged_JOEM!$E$60:$E$378,C197)))</f>
        <v>0</v>
      </c>
      <c r="I204" s="127" t="str">
        <f>IFERROR(F204/E204,"N/A")</f>
        <v>N/A</v>
      </c>
      <c r="J204" s="3">
        <f>COUNTIFS(Merged_JOEM!$AL$60:$AL$378,J203,Merged_JOEM!$D$60:$D$378,D204,Merged_JOEM!$E$60:$E$378,C197)</f>
        <v>0</v>
      </c>
      <c r="K204" s="3">
        <f>COUNTIFS(Merged_JOEM!$AL$60:$AL$378,K203,Merged_JOEM!$D$60:$D$378,D204,Merged_JOEM!$E$60:$E$378,C197)</f>
        <v>0</v>
      </c>
    </row>
    <row r="205" spans="1:11" x14ac:dyDescent="0.25">
      <c r="C205" s="31">
        <v>2</v>
      </c>
      <c r="D205" s="29" t="str">
        <f>Table!$C$3</f>
        <v>ASW</v>
      </c>
      <c r="E205" s="29">
        <f>SUMIFS(Merged_JOEM!$W$60:$W$378,Merged_JOEM!$D$60:$D$378,D205, Merged_JOEM!$E$60:$E$378,C197)</f>
        <v>2600</v>
      </c>
      <c r="F205" s="29">
        <f>SUMIFS(Merged_JOEM!$X$60:$X$378,Merged_JOEM!$D$60:$D$378,D205, Merged_JOEM!$E$60:$E$378,C197)-SUM(SUMIFS(Merged_JOEM!$X$60:$X$378,Merged_JOEM!$D$60:$D$378,D205,Merged_JOEM!$AA$60:$AA$378,{"Ongoing","N/A",""},Merged_JOEM!$E$60:$E$378,C197))</f>
        <v>2600</v>
      </c>
      <c r="G205" s="29">
        <f>1/8*(SUMIFS(Merged_JOEM!$Y$60:$Y$378,Merged_JOEM!$D$60:$D$378,D205,Merged_JOEM!$E$60:$E$378,C197))</f>
        <v>19.999999999999996</v>
      </c>
      <c r="H205" s="29">
        <f>1/8*(SUMIFS(Merged_JOEM!$Z$60:$Z$378,Merged_JOEM!$D$60:$D$378,D205,Merged_JOEM!$E$60:$E$378,C197)-SUM(SUMIFS(Merged_JOEM!$Z$60:$Z$378,Merged_JOEM!$D$60:$D$378,D205,Merged_JOEM!$AA$60:$AA$378,{"Ongoing","N/A",""},Merged_JOEM!$E$60:$E$378,C197)))</f>
        <v>16.779999999999998</v>
      </c>
      <c r="I205" s="127">
        <f>IFERROR(F205/E205,"N/A")</f>
        <v>1</v>
      </c>
      <c r="J205" s="3">
        <f>COUNTIFS(Merged_JOEM!$AL$60:$AL$378,J203,Merged_JOEM!$D$60:$D$378,D205,Merged_JOEM!$E$60:$E$378,C197)</f>
        <v>2</v>
      </c>
      <c r="K205" s="3">
        <f>COUNTIFS(Merged_JOEM!$AL$60:$AL$378,K203,Merged_JOEM!$D$60:$D$378,D205,Merged_JOEM!$E$60:$E$378,C197)</f>
        <v>2</v>
      </c>
    </row>
    <row r="207" spans="1:11" x14ac:dyDescent="0.25">
      <c r="C207" t="s">
        <v>96</v>
      </c>
    </row>
    <row r="208" spans="1:11" x14ac:dyDescent="0.25">
      <c r="A208">
        <v>18</v>
      </c>
      <c r="B208" s="1" t="s">
        <v>53</v>
      </c>
      <c r="C208" s="1" t="s">
        <v>1454</v>
      </c>
    </row>
    <row r="209" spans="1:11" x14ac:dyDescent="0.25">
      <c r="B209" s="1" t="s">
        <v>90</v>
      </c>
      <c r="C209">
        <f>SUM(G215:G216)</f>
        <v>1.125</v>
      </c>
      <c r="D209" t="s">
        <v>91</v>
      </c>
    </row>
    <row r="210" spans="1:11" x14ac:dyDescent="0.25">
      <c r="B210" s="1" t="s">
        <v>97</v>
      </c>
      <c r="C210">
        <f>SUM(INT((WEEKDAY(F210-{2,3,4,5,6})+H210-F210)/7))</f>
        <v>2</v>
      </c>
      <c r="D210" t="s">
        <v>91</v>
      </c>
      <c r="E210" t="s">
        <v>118</v>
      </c>
      <c r="F210" s="6">
        <v>44145</v>
      </c>
      <c r="G210" s="6" t="s">
        <v>89</v>
      </c>
      <c r="H210" s="6">
        <v>44146</v>
      </c>
    </row>
    <row r="211" spans="1:11" x14ac:dyDescent="0.25">
      <c r="B211" s="1"/>
      <c r="F211" s="6"/>
      <c r="G211" s="6"/>
      <c r="H211" s="6"/>
    </row>
    <row r="212" spans="1:11" x14ac:dyDescent="0.25">
      <c r="B212" s="1" t="s">
        <v>17</v>
      </c>
      <c r="C212" t="str">
        <f>IF(AND(F215=E215,F216=E216),IF(SUM(H215:H216)&gt;SUM(G215:G216),"Delayed",IF(SUM(H215:H216)&lt;SUM(G215:G216),"InAdvanced","Ontime")),"N/A")</f>
        <v>Ontime</v>
      </c>
      <c r="F212" s="6"/>
      <c r="G212" s="6"/>
      <c r="H212" s="6"/>
    </row>
    <row r="214" spans="1:11" ht="75" x14ac:dyDescent="0.25">
      <c r="C214" s="39" t="s">
        <v>25</v>
      </c>
      <c r="D214" s="39" t="s">
        <v>26</v>
      </c>
      <c r="E214" s="8" t="s">
        <v>92</v>
      </c>
      <c r="F214" s="8" t="s">
        <v>93</v>
      </c>
      <c r="G214" s="8" t="s">
        <v>94</v>
      </c>
      <c r="H214" s="8" t="s">
        <v>95</v>
      </c>
      <c r="I214" s="8" t="s">
        <v>29</v>
      </c>
      <c r="J214" s="8" t="str">
        <f>Table!$C$37</f>
        <v>OPL</v>
      </c>
      <c r="K214" s="8" t="str">
        <f>Table!$C$38</f>
        <v>Defect</v>
      </c>
    </row>
    <row r="215" spans="1:11" x14ac:dyDescent="0.25">
      <c r="C215" s="31">
        <v>1</v>
      </c>
      <c r="D215" s="29" t="str">
        <f>Table!$D$3</f>
        <v>PSW</v>
      </c>
      <c r="E215" s="29">
        <f>SUMIFS(Merged_JOEM!$W$60:$W$378,Merged_JOEM!$D$60:$D$378,D215, Merged_JOEM!$E$60:$E$378,C208)</f>
        <v>0</v>
      </c>
      <c r="F215" s="29">
        <f>SUMIFS(Merged_JOEM!$X$60:$X$378,Merged_JOEM!$D$60:$D$378,D215, Merged_JOEM!$E$60:$E$378,C208)-SUM(SUMIFS(Merged_JOEM!$X$60:$X$378,Merged_JOEM!$D$60:$D$378,D215,Merged_JOEM!$AA$60:$AA$378,{"Ongoing","N/A",""},Merged_JOEM!$E$60:$E$378,C208))</f>
        <v>0</v>
      </c>
      <c r="G215" s="29">
        <f>1/8*(SUMIFS(Merged_JOEM!$Y$60:$Y$378,Merged_JOEM!$D$60:$D$378,D215, Merged_JOEM!$E$60:$E$378,C208))</f>
        <v>0</v>
      </c>
      <c r="H215" s="29">
        <f>1/8*(SUMIFS(Merged_JOEM!$Z$60:$Z$378,Merged_JOEM!$D$60:$D$378,D215, Merged_JOEM!$E$60:$E$378,C208)-SUM(SUMIFS(Merged_JOEM!$Z$60:$Z$378,Merged_JOEM!$D$60:$D$378,D215,Merged_JOEM!$AA$60:$AA$378,{"Ongoing","N/A",""},Merged_JOEM!$E$60:$E$378,C208)))</f>
        <v>0</v>
      </c>
      <c r="I215" s="127" t="str">
        <f>IFERROR(F215/E215,"N/A")</f>
        <v>N/A</v>
      </c>
      <c r="J215" s="3">
        <f>COUNTIFS(Merged_JOEM!$AL$60:$AL$378,J214,Merged_JOEM!$D$60:$D$378,D215,Merged_JOEM!$E$60:$E$378,C208)</f>
        <v>0</v>
      </c>
      <c r="K215" s="3">
        <f>COUNTIFS(Merged_JOEM!$AL$60:$AL$378,K214,Merged_JOEM!$D$60:$D$378,D215,Merged_JOEM!$E$60:$E$378,C208)</f>
        <v>0</v>
      </c>
    </row>
    <row r="216" spans="1:11" x14ac:dyDescent="0.25">
      <c r="C216" s="31">
        <v>2</v>
      </c>
      <c r="D216" s="29" t="str">
        <f>Table!$C$3</f>
        <v>ASW</v>
      </c>
      <c r="E216" s="29">
        <f>SUMIFS(Merged_JOEM!$W$60:$W$378,Merged_JOEM!$D$60:$D$378,D216, Merged_JOEM!$E$60:$E$378,C208)</f>
        <v>146.25</v>
      </c>
      <c r="F216" s="29">
        <f>SUMIFS(Merged_JOEM!$X$60:$X$378,Merged_JOEM!$D$60:$D$378,D216, Merged_JOEM!$E$60:$E$378,C208)-SUM(SUMIFS(Merged_JOEM!$X$60:$X$378,Merged_JOEM!$D$60:$D$378,D216,Merged_JOEM!$AA$60:$AA$378,{"Ongoing","N/A",""},Merged_JOEM!$E$60:$E$378,C208))</f>
        <v>146.25</v>
      </c>
      <c r="G216" s="29">
        <f>1/8*(SUMIFS(Merged_JOEM!$Y$60:$Y$378,Merged_JOEM!$D$60:$D$378,D216,Merged_JOEM!$E$60:$E$378,C208))</f>
        <v>1.125</v>
      </c>
      <c r="H216" s="29">
        <f>1/8*(SUMIFS(Merged_JOEM!$Z$60:$Z$378,Merged_JOEM!$D$60:$D$378,D216,Merged_JOEM!$E$60:$E$378,C208)-SUM(SUMIFS(Merged_JOEM!$Z$60:$Z$378,Merged_JOEM!$D$60:$D$378,D216,Merged_JOEM!$AA$60:$AA$378,{"Ongoing","N/A",""},Merged_JOEM!$E$60:$E$378,C208)))</f>
        <v>1.125</v>
      </c>
      <c r="I216" s="127">
        <f>IFERROR(F216/E216,"N/A")</f>
        <v>1</v>
      </c>
      <c r="J216" s="3">
        <f>COUNTIFS(Merged_JOEM!$AL$60:$AL$378,J214,Merged_JOEM!$D$60:$D$378,D216,Merged_JOEM!$E$60:$E$378,C208)</f>
        <v>0</v>
      </c>
      <c r="K216" s="3">
        <f>COUNTIFS(Merged_JOEM!$AL$60:$AL$378,K214,Merged_JOEM!$D$60:$D$378,D216,Merged_JOEM!$E$60:$E$378,C208)</f>
        <v>0</v>
      </c>
    </row>
    <row r="218" spans="1:11" x14ac:dyDescent="0.25">
      <c r="C218" t="s">
        <v>96</v>
      </c>
    </row>
    <row r="220" spans="1:11" x14ac:dyDescent="0.25">
      <c r="A220">
        <v>19</v>
      </c>
      <c r="B220" s="1" t="s">
        <v>53</v>
      </c>
      <c r="C220" s="1" t="s">
        <v>1567</v>
      </c>
    </row>
    <row r="221" spans="1:11" x14ac:dyDescent="0.25">
      <c r="B221" s="1" t="s">
        <v>90</v>
      </c>
      <c r="C221">
        <f>SUM(G227:G228)</f>
        <v>0.5</v>
      </c>
      <c r="D221" t="s">
        <v>91</v>
      </c>
    </row>
    <row r="222" spans="1:11" x14ac:dyDescent="0.25">
      <c r="B222" s="1" t="s">
        <v>97</v>
      </c>
      <c r="C222">
        <f>SUM(INT((WEEKDAY(F222-{2,3,4,5,6})+H222-F222)/7))</f>
        <v>1</v>
      </c>
      <c r="D222" t="s">
        <v>91</v>
      </c>
      <c r="E222" t="s">
        <v>118</v>
      </c>
      <c r="F222" s="6">
        <v>44148</v>
      </c>
      <c r="G222" s="6" t="s">
        <v>89</v>
      </c>
      <c r="H222" s="6">
        <v>44148</v>
      </c>
    </row>
    <row r="223" spans="1:11" x14ac:dyDescent="0.25">
      <c r="B223" s="1"/>
      <c r="F223" s="6"/>
      <c r="G223" s="6"/>
      <c r="H223" s="6"/>
    </row>
    <row r="224" spans="1:11" x14ac:dyDescent="0.25">
      <c r="B224" s="1" t="s">
        <v>17</v>
      </c>
      <c r="C224" t="str">
        <f>IF(AND(F227=E227,F228=E228),IF(SUM(H227:H228)&gt;SUM(G227:G228),"Delayed",IF(SUM(H227:H228)&lt;SUM(G227:G228),"InAdvanced","Ontime")),"N/A")</f>
        <v>Ontime</v>
      </c>
      <c r="F224" s="6"/>
      <c r="G224" s="6"/>
      <c r="H224" s="6"/>
    </row>
    <row r="226" spans="1:11" ht="75" x14ac:dyDescent="0.25">
      <c r="C226" s="39" t="s">
        <v>25</v>
      </c>
      <c r="D226" s="39" t="s">
        <v>26</v>
      </c>
      <c r="E226" s="8" t="s">
        <v>92</v>
      </c>
      <c r="F226" s="8" t="s">
        <v>93</v>
      </c>
      <c r="G226" s="8" t="s">
        <v>94</v>
      </c>
      <c r="H226" s="8" t="s">
        <v>95</v>
      </c>
      <c r="I226" s="8" t="s">
        <v>29</v>
      </c>
      <c r="J226" s="8" t="str">
        <f>Table!$C$37</f>
        <v>OPL</v>
      </c>
      <c r="K226" s="8" t="str">
        <f>Table!$C$38</f>
        <v>Defect</v>
      </c>
    </row>
    <row r="227" spans="1:11" x14ac:dyDescent="0.25">
      <c r="C227" s="31">
        <v>1</v>
      </c>
      <c r="D227" s="29" t="str">
        <f>Table!$D$3</f>
        <v>PSW</v>
      </c>
      <c r="E227" s="29">
        <f>SUMIFS(Merged_JOEM!$W$60:$W$378,Merged_JOEM!$D$60:$D$378,D227, Merged_JOEM!$E$60:$E$378,C220)</f>
        <v>0</v>
      </c>
      <c r="F227" s="29">
        <f>SUMIFS(Merged_JOEM!$X$60:$X$378,Merged_JOEM!$D$60:$D$378,D227, Merged_JOEM!$E$60:$E$378,C220)-SUM(SUMIFS(Merged_JOEM!$X$60:$X$378,Merged_JOEM!$D$60:$D$378,D227,Merged_JOEM!$AA$60:$AA$378,{"Ongoing","N/A",""},Merged_JOEM!$E$60:$E$378,C220))</f>
        <v>0</v>
      </c>
      <c r="G227" s="29">
        <f>1/8*(SUMIFS(Merged_JOEM!$Y$60:$Y$378,Merged_JOEM!$D$60:$D$378,D227, Merged_JOEM!$E$60:$E$378,C220))</f>
        <v>0</v>
      </c>
      <c r="H227" s="29">
        <f>1/8*(SUMIFS(Merged_JOEM!$Z$60:$Z$378,Merged_JOEM!$D$60:$D$378,D227, Merged_JOEM!$E$60:$E$378,C220)-SUM(SUMIFS(Merged_JOEM!$Z$60:$Z$378,Merged_JOEM!$D$60:$D$378,D227,Merged_JOEM!$AA$60:$AA$378,{"Ongoing","N/A",""},Merged_JOEM!$E$60:$E$378,C220)))</f>
        <v>0</v>
      </c>
      <c r="I227" s="127" t="str">
        <f>IFERROR(F227/E227,"N/A")</f>
        <v>N/A</v>
      </c>
      <c r="J227" s="3">
        <f>COUNTIFS(Merged_JOEM!$AL$60:$AL$378,J226,Merged_JOEM!$D$60:$D$378,D227,Merged_JOEM!$E$60:$E$378,C220)</f>
        <v>0</v>
      </c>
      <c r="K227" s="3">
        <f>COUNTIFS(Merged_JOEM!$AL$60:$AL$378,K226,Merged_JOEM!$D$60:$D$378,D227,Merged_JOEM!$E$60:$E$378,C220)</f>
        <v>0</v>
      </c>
    </row>
    <row r="228" spans="1:11" x14ac:dyDescent="0.25">
      <c r="C228" s="31">
        <v>2</v>
      </c>
      <c r="D228" s="29" t="str">
        <f>Table!$C$3</f>
        <v>ASW</v>
      </c>
      <c r="E228" s="29">
        <f>SUMIFS(Merged_JOEM!$W$60:$W$378,Merged_JOEM!$D$60:$D$378,D228, Merged_JOEM!$E$60:$E$378,C220)</f>
        <v>65</v>
      </c>
      <c r="F228" s="29">
        <f>SUMIFS(Merged_JOEM!$X$60:$X$378,Merged_JOEM!$D$60:$D$378,D228, Merged_JOEM!$E$60:$E$378,C220)-SUM(SUMIFS(Merged_JOEM!$X$60:$X$378,Merged_JOEM!$D$60:$D$378,D228,Merged_JOEM!$AA$60:$AA$378,{"Ongoing","N/A",""},Merged_JOEM!$E$60:$E$378,C220))</f>
        <v>65</v>
      </c>
      <c r="G228" s="29">
        <f>1/8*(SUMIFS(Merged_JOEM!$Y$60:$Y$378,Merged_JOEM!$D$60:$D$378,D228,Merged_JOEM!$E$60:$E$378,C220))</f>
        <v>0.5</v>
      </c>
      <c r="H228" s="29">
        <f>1/8*(SUMIFS(Merged_JOEM!$Z$60:$Z$378,Merged_JOEM!$D$60:$D$378,D228,Merged_JOEM!$E$60:$E$378,C220)-SUM(SUMIFS(Merged_JOEM!$Z$60:$Z$378,Merged_JOEM!$D$60:$D$378,D228,Merged_JOEM!$AA$60:$AA$378,{"Ongoing","N/A",""},Merged_JOEM!$E$60:$E$378,C220)))</f>
        <v>0.5</v>
      </c>
      <c r="I228" s="127">
        <f>IFERROR(F228/E228,"N/A")</f>
        <v>1</v>
      </c>
      <c r="J228" s="3">
        <f>COUNTIFS(Merged_JOEM!$AL$60:$AL$378,J226,Merged_JOEM!$D$60:$D$378,D228,Merged_JOEM!$E$60:$E$378,C220)</f>
        <v>0</v>
      </c>
      <c r="K228" s="3">
        <f>COUNTIFS(Merged_JOEM!$AL$60:$AL$378,K226,Merged_JOEM!$D$60:$D$378,D228,Merged_JOEM!$E$60:$E$378,C220)</f>
        <v>0</v>
      </c>
    </row>
    <row r="230" spans="1:11" x14ac:dyDescent="0.25">
      <c r="C230" t="s">
        <v>96</v>
      </c>
    </row>
    <row r="232" spans="1:11" x14ac:dyDescent="0.25">
      <c r="A232">
        <v>20</v>
      </c>
      <c r="B232" s="1" t="s">
        <v>53</v>
      </c>
      <c r="C232" s="1" t="s">
        <v>1592</v>
      </c>
    </row>
    <row r="233" spans="1:11" x14ac:dyDescent="0.25">
      <c r="B233" s="1" t="s">
        <v>90</v>
      </c>
      <c r="C233">
        <f>SUM(G239:G240)</f>
        <v>0.375</v>
      </c>
      <c r="D233" t="s">
        <v>91</v>
      </c>
    </row>
    <row r="234" spans="1:11" x14ac:dyDescent="0.25">
      <c r="B234" s="1" t="s">
        <v>97</v>
      </c>
      <c r="C234">
        <f>SUM(INT((WEEKDAY(F234-{2,3,4,5,6})+H234-F234)/7))</f>
        <v>1</v>
      </c>
      <c r="D234" t="s">
        <v>91</v>
      </c>
      <c r="E234" t="s">
        <v>118</v>
      </c>
      <c r="F234" s="6">
        <v>44151</v>
      </c>
      <c r="G234" s="6" t="s">
        <v>89</v>
      </c>
      <c r="H234" s="6">
        <v>44151</v>
      </c>
    </row>
    <row r="235" spans="1:11" x14ac:dyDescent="0.25">
      <c r="B235" s="1"/>
      <c r="F235" s="6"/>
      <c r="G235" s="6"/>
      <c r="H235" s="6"/>
    </row>
    <row r="236" spans="1:11" x14ac:dyDescent="0.25">
      <c r="B236" s="1" t="s">
        <v>17</v>
      </c>
      <c r="C236" t="str">
        <f>IF(AND(F239=E239,F240=E240),IF(SUM(H239:H240)&gt;SUM(G239:G240),"Delayed",IF(SUM(H239:H240)&lt;SUM(G239:G240),"InAdvanced","Ontime")),"N/A")</f>
        <v>Ontime</v>
      </c>
      <c r="F236" s="6"/>
      <c r="G236" s="6"/>
      <c r="H236" s="6"/>
    </row>
    <row r="238" spans="1:11" ht="75" x14ac:dyDescent="0.25">
      <c r="C238" s="39" t="s">
        <v>25</v>
      </c>
      <c r="D238" s="39" t="s">
        <v>26</v>
      </c>
      <c r="E238" s="8" t="s">
        <v>92</v>
      </c>
      <c r="F238" s="8" t="s">
        <v>93</v>
      </c>
      <c r="G238" s="8" t="s">
        <v>94</v>
      </c>
      <c r="H238" s="8" t="s">
        <v>95</v>
      </c>
      <c r="I238" s="8" t="s">
        <v>29</v>
      </c>
      <c r="J238" s="8" t="str">
        <f>Table!$C$37</f>
        <v>OPL</v>
      </c>
      <c r="K238" s="8" t="str">
        <f>Table!$C$38</f>
        <v>Defect</v>
      </c>
    </row>
    <row r="239" spans="1:11" x14ac:dyDescent="0.25">
      <c r="C239" s="31">
        <v>1</v>
      </c>
      <c r="D239" s="29" t="str">
        <f>Table!$D$3</f>
        <v>PSW</v>
      </c>
      <c r="E239" s="29">
        <f>SUMIFS(Merged_JOEM!$W$60:$W$378,Merged_JOEM!$D$60:$D$378,D239, Merged_JOEM!$E$60:$E$378,C232)</f>
        <v>0</v>
      </c>
      <c r="F239" s="29">
        <f>SUMIFS(Merged_JOEM!$X$60:$X$378,Merged_JOEM!$D$60:$D$378,D239, Merged_JOEM!$E$60:$E$378,C232)-SUM(SUMIFS(Merged_JOEM!$X$60:$X$378,Merged_JOEM!$D$60:$D$378,D239,Merged_JOEM!$AA$60:$AA$378,{"Ongoing","N/A",""},Merged_JOEM!$E$60:$E$378,C232))</f>
        <v>0</v>
      </c>
      <c r="G239" s="29">
        <f>1/8*(SUMIFS(Merged_JOEM!$Y$60:$Y$378,Merged_JOEM!$D$60:$D$378,D239, Merged_JOEM!$E$60:$E$378,C232))</f>
        <v>0</v>
      </c>
      <c r="H239" s="29">
        <f>1/8*(SUMIFS(Merged_JOEM!$Z$60:$Z$378,Merged_JOEM!$D$60:$D$378,D239, Merged_JOEM!$E$60:$E$378,C232)-SUM(SUMIFS(Merged_JOEM!$Z$60:$Z$378,Merged_JOEM!$D$60:$D$378,D239,Merged_JOEM!$AA$60:$AA$378,{"Ongoing","N/A",""},Merged_JOEM!$E$60:$E$378,C232)))</f>
        <v>0</v>
      </c>
      <c r="I239" s="127" t="str">
        <f>IFERROR(F239/E239,"N/A")</f>
        <v>N/A</v>
      </c>
      <c r="J239" s="3">
        <f>COUNTIFS(Merged_JOEM!$AL$60:$AL$378,J238,Merged_JOEM!$D$60:$D$378,D239,Merged_JOEM!$E$60:$E$378,C232)</f>
        <v>0</v>
      </c>
      <c r="K239" s="3">
        <f>COUNTIFS(Merged_JOEM!$AL$60:$AL$378,K238,Merged_JOEM!$D$60:$D$378,D239,Merged_JOEM!$E$60:$E$378,C232)</f>
        <v>0</v>
      </c>
    </row>
    <row r="240" spans="1:11" x14ac:dyDescent="0.25">
      <c r="C240" s="31">
        <v>2</v>
      </c>
      <c r="D240" s="29" t="str">
        <f>Table!$C$3</f>
        <v>ASW</v>
      </c>
      <c r="E240" s="29">
        <f>SUMIFS(Merged_JOEM!$W$60:$W$378,Merged_JOEM!$D$60:$D$378,D240, Merged_JOEM!$E$60:$E$378,C232)</f>
        <v>48.75</v>
      </c>
      <c r="F240" s="29">
        <f>SUMIFS(Merged_JOEM!$X$60:$X$378,Merged_JOEM!$D$60:$D$378,D240, Merged_JOEM!$E$60:$E$378,C232)-SUM(SUMIFS(Merged_JOEM!$X$60:$X$378,Merged_JOEM!$D$60:$D$378,D240,Merged_JOEM!$AA$60:$AA$378,{"Ongoing","N/A",""},Merged_JOEM!$E$60:$E$378,C232))</f>
        <v>48.75</v>
      </c>
      <c r="G240" s="29">
        <f>1/8*(SUMIFS(Merged_JOEM!$Y$60:$Y$378,Merged_JOEM!$D$60:$D$378,D240,Merged_JOEM!$E$60:$E$378,C232))</f>
        <v>0.375</v>
      </c>
      <c r="H240" s="29">
        <f>1/8*(SUMIFS(Merged_JOEM!$Z$60:$Z$378,Merged_JOEM!$D$60:$D$378,D240,Merged_JOEM!$E$60:$E$378,C232)-SUM(SUMIFS(Merged_JOEM!$Z$60:$Z$378,Merged_JOEM!$D$60:$D$378,D240,Merged_JOEM!$AA$60:$AA$378,{"Ongoing","N/A",""},Merged_JOEM!$E$60:$E$378,C232)))</f>
        <v>0.375</v>
      </c>
      <c r="I240" s="127">
        <f>IFERROR(F240/E240,"N/A")</f>
        <v>1</v>
      </c>
      <c r="J240" s="3">
        <f>COUNTIFS(Merged_JOEM!$AL$60:$AL$378,J238,Merged_JOEM!$D$60:$D$378,D240,Merged_JOEM!$E$60:$E$378,C232)</f>
        <v>0</v>
      </c>
      <c r="K240" s="3">
        <f>COUNTIFS(Merged_JOEM!$AL$60:$AL$378,K238,Merged_JOEM!$D$60:$D$378,D240,Merged_JOEM!$E$60:$E$378,C232)</f>
        <v>0</v>
      </c>
    </row>
    <row r="242" spans="3:3" x14ac:dyDescent="0.25">
      <c r="C242" t="s">
        <v>96</v>
      </c>
    </row>
  </sheetData>
  <customSheetViews>
    <customSheetView guid="{7E0EA425-A420-4443-B9E0-CDF0AA9E5D09}" topLeftCell="A178">
      <selection activeCell="P17" sqref="P17"/>
      <pageMargins left="0.7" right="0.7" top="0.75" bottom="0.75" header="0.3" footer="0.3"/>
    </customSheetView>
    <customSheetView guid="{C94451EF-7A3E-4D72-B5A4-3D1B193192CC}" showPageBreaks="1">
      <selection activeCell="A186" sqref="A186:XFD186"/>
      <pageMargins left="0.7" right="0.7" top="0.75" bottom="0.75" header="0.3" footer="0.3"/>
      <pageSetup paperSize="9" orientation="portrait" r:id="rId1"/>
    </customSheetView>
    <customSheetView guid="{7ECC2B8E-6A82-42F5-8AB0-4A51C54EA5EC}" showPageBreaks="1" topLeftCell="A220">
      <selection activeCell="I234" sqref="I234"/>
      <pageMargins left="0.7" right="0.7" top="0.75" bottom="0.75" header="0.3" footer="0.3"/>
      <pageSetup orientation="portrait" horizontalDpi="300" r:id="rId2"/>
    </customSheetView>
    <customSheetView guid="{4E06BDBF-2CED-473B-850B-2A6C7311FF41}" showPageBreaks="1">
      <selection activeCell="A43" sqref="A43:XFD43"/>
      <pageMargins left="0.7" right="0.7" top="0.75" bottom="0.75" header="0.3" footer="0.3"/>
      <pageSetup paperSize="9" orientation="portrait" r:id="rId3"/>
    </customSheetView>
    <customSheetView guid="{970EE037-F5E5-47AF-896A-0F6222879EBC}">
      <selection activeCell="D2" sqref="D2"/>
      <pageMargins left="0.7" right="0.7" top="0.75" bottom="0.75" header="0.3" footer="0.3"/>
      <pageSetup paperSize="9" orientation="portrait" r:id="rId4"/>
    </customSheetView>
    <customSheetView guid="{F96FC7D9-4F89-4FE0-8D00-C0083DEB0472}">
      <selection activeCell="C2" sqref="C2"/>
      <pageMargins left="0.7" right="0.7" top="0.75" bottom="0.75" header="0.3" footer="0.3"/>
    </customSheetView>
    <customSheetView guid="{A2C66332-A809-458E-971B-FDB6D62C74C3}" topLeftCell="A10">
      <selection activeCell="A43" sqref="A43:XFD43"/>
      <pageMargins left="0.7" right="0.7" top="0.75" bottom="0.75" header="0.3" footer="0.3"/>
    </customSheetView>
    <customSheetView guid="{3B3E6719-EACB-4D2C-89C1-05FFAB6020FD}" topLeftCell="A22">
      <selection activeCell="A3" sqref="A3:XFD3"/>
      <pageMargins left="0.7" right="0.7" top="0.75" bottom="0.75" header="0.3" footer="0.3"/>
    </customSheetView>
    <customSheetView guid="{D33AC7AF-C8AB-4CE9-94C7-9237011A5FC3}" topLeftCell="A271">
      <selection activeCell="H294" sqref="H294"/>
      <pageMargins left="0.7" right="0.7" top="0.75" bottom="0.75" header="0.3" footer="0.3"/>
      <pageSetup orientation="portrait" horizontalDpi="300" r:id="rId5"/>
    </customSheetView>
    <customSheetView guid="{60D2C030-4E31-4E07-8E1C-44D2EE84B177}" topLeftCell="A271">
      <selection activeCell="A17" sqref="A17:XFD17"/>
      <pageMargins left="0.7" right="0.7" top="0.75" bottom="0.75" header="0.3" footer="0.3"/>
      <pageSetup orientation="portrait" horizontalDpi="300" r:id="rId6"/>
    </customSheetView>
    <customSheetView guid="{A2E8CE38-D15E-4374-89B2-69D9421C4465}" showPageBreaks="1" topLeftCell="A271">
      <selection activeCell="A17" sqref="A17:XFD17"/>
      <pageMargins left="0.7" right="0.7" top="0.75" bottom="0.75" header="0.3" footer="0.3"/>
      <pageSetup orientation="portrait" horizontalDpi="300" r:id="rId7"/>
    </customSheetView>
    <customSheetView guid="{336B6883-2145-4B58-921E-CEC7185A847E}" topLeftCell="A271">
      <selection activeCell="H294" sqref="H294"/>
      <pageMargins left="0.7" right="0.7" top="0.75" bottom="0.75" header="0.3" footer="0.3"/>
      <pageSetup orientation="portrait" horizontalDpi="300" r:id="rId8"/>
    </customSheetView>
    <customSheetView guid="{89C03E1E-B6A8-49A1-B29C-5DC4FAB2FBC6}" topLeftCell="A271">
      <selection activeCell="A17" sqref="A17:XFD17"/>
      <pageMargins left="0.7" right="0.7" top="0.75" bottom="0.75" header="0.3" footer="0.3"/>
      <pageSetup orientation="portrait" horizontalDpi="300" r:id="rId9"/>
    </customSheetView>
    <customSheetView guid="{FECB4C41-27E8-4A22-AFB3-4F54CDD4960E}" topLeftCell="A271">
      <selection activeCell="A17" sqref="A17:XFD17"/>
      <pageMargins left="0.7" right="0.7" top="0.75" bottom="0.75" header="0.3" footer="0.3"/>
      <pageSetup orientation="portrait" horizontalDpi="300" r:id="rId10"/>
    </customSheetView>
    <customSheetView guid="{99BC1C51-34DC-4BF2-906C-1E31B6171D71}" topLeftCell="A271">
      <selection activeCell="H294" sqref="H294"/>
      <pageMargins left="0.7" right="0.7" top="0.75" bottom="0.75" header="0.3" footer="0.3"/>
      <pageSetup orientation="portrait" horizontalDpi="300" r:id="rId11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21"/>
  <sheetViews>
    <sheetView tabSelected="1" zoomScale="85" zoomScaleNormal="85" workbookViewId="0">
      <selection activeCell="G17" sqref="G17"/>
    </sheetView>
  </sheetViews>
  <sheetFormatPr defaultRowHeight="15" x14ac:dyDescent="0.25"/>
  <cols>
    <col min="1" max="1" width="10" customWidth="1"/>
    <col min="2" max="2" width="12.42578125" customWidth="1"/>
    <col min="3" max="3" width="34.7109375" bestFit="1" customWidth="1"/>
    <col min="4" max="4" width="23.28515625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8.140625" customWidth="1"/>
    <col min="13" max="13" width="8.7109375" customWidth="1"/>
    <col min="14" max="14" width="27.85546875" bestFit="1" customWidth="1"/>
    <col min="15" max="15" width="14.85546875" bestFit="1" customWidth="1"/>
    <col min="16" max="16" width="21.42578125" bestFit="1" customWidth="1"/>
    <col min="17" max="17" width="33" bestFit="1" customWidth="1"/>
    <col min="18" max="18" width="20.5703125" customWidth="1"/>
  </cols>
  <sheetData>
    <row r="2" spans="1:20" x14ac:dyDescent="0.25">
      <c r="B2" s="53" t="s">
        <v>156</v>
      </c>
      <c r="Q2" s="1" t="s">
        <v>83</v>
      </c>
    </row>
    <row r="3" spans="1:20" x14ac:dyDescent="0.25">
      <c r="B3" s="46" t="s">
        <v>0</v>
      </c>
      <c r="C3" s="46" t="s">
        <v>8</v>
      </c>
      <c r="D3" s="46" t="s">
        <v>148</v>
      </c>
      <c r="E3" s="46" t="s">
        <v>50</v>
      </c>
      <c r="F3" s="46" t="s">
        <v>81</v>
      </c>
      <c r="G3" s="46" t="s">
        <v>22</v>
      </c>
      <c r="H3" s="47" t="s">
        <v>24</v>
      </c>
      <c r="I3" s="47" t="s">
        <v>107</v>
      </c>
      <c r="J3" s="47" t="s">
        <v>116</v>
      </c>
      <c r="K3" s="81"/>
      <c r="L3" s="82"/>
      <c r="Q3" s="2" t="s">
        <v>157</v>
      </c>
      <c r="R3" s="2" t="s">
        <v>22</v>
      </c>
      <c r="S3" s="2" t="s">
        <v>150</v>
      </c>
      <c r="T3" s="2" t="s">
        <v>151</v>
      </c>
    </row>
    <row r="4" spans="1:20" x14ac:dyDescent="0.25">
      <c r="B4" s="48">
        <v>1</v>
      </c>
      <c r="C4" s="61" t="s">
        <v>61</v>
      </c>
      <c r="D4" s="50">
        <f>SUM(Merged_COEM!D43,Merged_JOEM!D43)</f>
        <v>9435.375</v>
      </c>
      <c r="E4" s="50">
        <f>SUM(Merged_COEM!E43,Merged_JOEM!E43)</f>
        <v>9435.375</v>
      </c>
      <c r="F4" s="50">
        <f t="shared" ref="F4:F13" ca="1" si="0">$B$22</f>
        <v>22</v>
      </c>
      <c r="G4" s="50">
        <f t="shared" ref="G4:G13" ca="1" si="1">IF(ISERROR(E4/(F4)),"N/A",E4/F4)</f>
        <v>428.88068181818181</v>
      </c>
      <c r="H4" s="51">
        <f t="shared" ref="H4:H13" si="2">IF(ISERROR(E4/D4),"N/A",E4/D4)</f>
        <v>1</v>
      </c>
      <c r="I4" s="3">
        <f>SUM(Merged_COEM!L43,Merged_JOEM!L43)</f>
        <v>4</v>
      </c>
      <c r="J4" s="3">
        <f>SUM(Merged_COEM!M43,Merged_JOEM!M43)</f>
        <v>3</v>
      </c>
      <c r="P4" t="str">
        <f t="shared" ref="P4:P13" si="3">C4</f>
        <v>hau.nguyen-tai</v>
      </c>
      <c r="Q4" s="3">
        <f>SUM(Merged_COEM!J43,Merged_JOEM!J43)</f>
        <v>9435.375</v>
      </c>
      <c r="R4" s="50">
        <f t="shared" ref="R4:R13" ca="1" si="4">Q4/F4</f>
        <v>428.88068181818181</v>
      </c>
      <c r="S4" s="3">
        <f t="shared" ref="S4:S13" si="5">RANK(Q4,$Q$4:$Q$13)</f>
        <v>8</v>
      </c>
      <c r="T4" s="3">
        <f t="shared" ref="T4:T13" ca="1" si="6">RANK(R4,$R$4:$R$13)</f>
        <v>8</v>
      </c>
    </row>
    <row r="5" spans="1:20" x14ac:dyDescent="0.25">
      <c r="B5" s="48">
        <v>2</v>
      </c>
      <c r="C5" s="61" t="s">
        <v>63</v>
      </c>
      <c r="D5" s="50">
        <f>SUM(Merged_COEM!D45,Merged_JOEM!D45)</f>
        <v>9526.5</v>
      </c>
      <c r="E5" s="50">
        <f>SUM(Merged_COEM!E45,Merged_JOEM!E45)</f>
        <v>9526.5</v>
      </c>
      <c r="F5" s="50">
        <f t="shared" ca="1" si="0"/>
        <v>22</v>
      </c>
      <c r="G5" s="50">
        <f t="shared" ca="1" si="1"/>
        <v>433.02272727272725</v>
      </c>
      <c r="H5" s="51">
        <f t="shared" si="2"/>
        <v>1</v>
      </c>
      <c r="I5" s="3">
        <f>SUM(Merged_COEM!L45,Merged_JOEM!L45)</f>
        <v>0</v>
      </c>
      <c r="J5" s="3">
        <f>SUM(Merged_COEM!M45,Merged_JOEM!M45)</f>
        <v>1</v>
      </c>
      <c r="P5" t="str">
        <f t="shared" si="3"/>
        <v>dac.luu-cong</v>
      </c>
      <c r="Q5" s="3">
        <f>SUM(Merged_COEM!J45,Merged_JOEM!J45)</f>
        <v>9526.5</v>
      </c>
      <c r="R5" s="50">
        <f t="shared" ca="1" si="4"/>
        <v>433.02272727272725</v>
      </c>
      <c r="S5" s="3">
        <f t="shared" si="5"/>
        <v>7</v>
      </c>
      <c r="T5" s="3">
        <f t="shared" ca="1" si="6"/>
        <v>7</v>
      </c>
    </row>
    <row r="6" spans="1:20" x14ac:dyDescent="0.25">
      <c r="B6" s="48">
        <v>3</v>
      </c>
      <c r="C6" s="61" t="s">
        <v>152</v>
      </c>
      <c r="D6" s="50">
        <f>SUM(Merged_COEM!D46,Merged_JOEM!D46)</f>
        <v>10198.923076923078</v>
      </c>
      <c r="E6" s="50">
        <f>SUM(Merged_COEM!E46,Merged_JOEM!E46)</f>
        <v>10198.923076923078</v>
      </c>
      <c r="F6" s="50">
        <f t="shared" ca="1" si="0"/>
        <v>22</v>
      </c>
      <c r="G6" s="50">
        <f t="shared" ca="1" si="1"/>
        <v>463.58741258741264</v>
      </c>
      <c r="H6" s="51">
        <f t="shared" si="2"/>
        <v>1</v>
      </c>
      <c r="I6" s="3">
        <f>SUM(Merged_COEM!L46,Merged_JOEM!L46)</f>
        <v>4</v>
      </c>
      <c r="J6" s="3">
        <f>SUM(Merged_COEM!M46,Merged_JOEM!M46)</f>
        <v>3</v>
      </c>
      <c r="P6" t="str">
        <f t="shared" si="3"/>
        <v>duong.nguyen-tuan</v>
      </c>
      <c r="Q6" s="3">
        <f>SUM(Merged_COEM!J46,Merged_JOEM!J46)</f>
        <v>10143.923076923078</v>
      </c>
      <c r="R6" s="50">
        <f t="shared" ca="1" si="4"/>
        <v>461.08741258741264</v>
      </c>
      <c r="S6" s="3">
        <f t="shared" si="5"/>
        <v>5</v>
      </c>
      <c r="T6" s="3">
        <f t="shared" ca="1" si="6"/>
        <v>5</v>
      </c>
    </row>
    <row r="7" spans="1:20" x14ac:dyDescent="0.25">
      <c r="B7" s="48">
        <v>4</v>
      </c>
      <c r="C7" s="61" t="s">
        <v>64</v>
      </c>
      <c r="D7" s="50">
        <f>SUM(Merged_COEM!D47,Merged_JOEM!D47)</f>
        <v>13061.307692307691</v>
      </c>
      <c r="E7" s="50">
        <f>SUM(Merged_COEM!E47,Merged_JOEM!E47)</f>
        <v>13061.307692307691</v>
      </c>
      <c r="F7" s="50">
        <f t="shared" ca="1" si="0"/>
        <v>22</v>
      </c>
      <c r="G7" s="50">
        <f t="shared" ca="1" si="1"/>
        <v>593.69580419580416</v>
      </c>
      <c r="H7" s="51">
        <f t="shared" si="2"/>
        <v>1</v>
      </c>
      <c r="I7" s="3">
        <f>SUM(Merged_COEM!L47,Merged_JOEM!L47)</f>
        <v>4</v>
      </c>
      <c r="J7" s="3">
        <f>SUM(Merged_COEM!M47,Merged_JOEM!M47)</f>
        <v>3</v>
      </c>
      <c r="P7" t="str">
        <f t="shared" si="3"/>
        <v>loc.do-phu</v>
      </c>
      <c r="Q7" s="3">
        <f>SUM(Merged_COEM!J47,Merged_JOEM!J47)</f>
        <v>10727.307692307691</v>
      </c>
      <c r="R7" s="50">
        <f t="shared" ca="1" si="4"/>
        <v>487.60489510489509</v>
      </c>
      <c r="S7" s="3">
        <f t="shared" si="5"/>
        <v>1</v>
      </c>
      <c r="T7" s="3">
        <f t="shared" ca="1" si="6"/>
        <v>1</v>
      </c>
    </row>
    <row r="8" spans="1:20" x14ac:dyDescent="0.25">
      <c r="B8" s="48">
        <v>5</v>
      </c>
      <c r="C8" s="61" t="s">
        <v>66</v>
      </c>
      <c r="D8" s="50">
        <f>SUM(Merged_COEM!D49,Merged_JOEM!D49)</f>
        <v>10449.000000000002</v>
      </c>
      <c r="E8" s="50">
        <f>SUM(Merged_COEM!E49,Merged_JOEM!E49)</f>
        <v>10449.000000000002</v>
      </c>
      <c r="F8" s="50">
        <f t="shared" ca="1" si="0"/>
        <v>22</v>
      </c>
      <c r="G8" s="50">
        <f t="shared" ca="1" si="1"/>
        <v>474.95454545454555</v>
      </c>
      <c r="H8" s="51">
        <f t="shared" si="2"/>
        <v>1</v>
      </c>
      <c r="I8" s="3">
        <f>SUM(Merged_COEM!L49,Merged_JOEM!L49)</f>
        <v>3</v>
      </c>
      <c r="J8" s="3">
        <f>SUM(Merged_COEM!M49,Merged_JOEM!M49)</f>
        <v>3</v>
      </c>
      <c r="P8" t="str">
        <f t="shared" si="3"/>
        <v>chung.ly</v>
      </c>
      <c r="Q8" s="3">
        <f>SUM(Merged_COEM!J49,Merged_JOEM!J49)</f>
        <v>10449.000000000002</v>
      </c>
      <c r="R8" s="50">
        <f t="shared" ca="1" si="4"/>
        <v>474.95454545454555</v>
      </c>
      <c r="S8" s="3">
        <f t="shared" si="5"/>
        <v>2</v>
      </c>
      <c r="T8" s="3">
        <f t="shared" ca="1" si="6"/>
        <v>2</v>
      </c>
    </row>
    <row r="9" spans="1:20" x14ac:dyDescent="0.25">
      <c r="B9" s="48">
        <v>6</v>
      </c>
      <c r="C9" s="61" t="s">
        <v>109</v>
      </c>
      <c r="D9" s="50">
        <f>SUM(Merged_COEM!D50,Merged_JOEM!D50)</f>
        <v>9671.85</v>
      </c>
      <c r="E9" s="50">
        <f>SUM(Merged_COEM!E50,Merged_JOEM!E50)</f>
        <v>9671.85</v>
      </c>
      <c r="F9" s="50">
        <f t="shared" ca="1" si="0"/>
        <v>22</v>
      </c>
      <c r="G9" s="50">
        <f t="shared" ca="1" si="1"/>
        <v>439.62954545454545</v>
      </c>
      <c r="H9" s="51">
        <f t="shared" si="2"/>
        <v>1</v>
      </c>
      <c r="I9" s="3">
        <f>SUM(Merged_COEM!L50,Merged_JOEM!L50)</f>
        <v>2</v>
      </c>
      <c r="J9" s="3">
        <f>SUM(Merged_COEM!M50,Merged_JOEM!M50)</f>
        <v>1</v>
      </c>
      <c r="P9" t="str">
        <f t="shared" si="3"/>
        <v>huy.do-anh</v>
      </c>
      <c r="Q9" s="3">
        <f>SUM(Merged_COEM!J50,Merged_JOEM!J50)</f>
        <v>9671.85</v>
      </c>
      <c r="R9" s="50">
        <f t="shared" ca="1" si="4"/>
        <v>439.62954545454545</v>
      </c>
      <c r="S9" s="3">
        <f t="shared" si="5"/>
        <v>6</v>
      </c>
      <c r="T9" s="3">
        <f t="shared" ca="1" si="6"/>
        <v>6</v>
      </c>
    </row>
    <row r="10" spans="1:20" x14ac:dyDescent="0.25">
      <c r="B10" s="48">
        <v>7</v>
      </c>
      <c r="C10" s="61" t="s">
        <v>147</v>
      </c>
      <c r="D10" s="50">
        <f>SUM(Merged_COEM!D52,Merged_JOEM!D52)</f>
        <v>8742.6000000000022</v>
      </c>
      <c r="E10" s="50">
        <f>SUM(Merged_COEM!E52,Merged_JOEM!E52)</f>
        <v>8742.6000000000022</v>
      </c>
      <c r="F10" s="50">
        <f t="shared" ca="1" si="0"/>
        <v>22</v>
      </c>
      <c r="G10" s="50">
        <f t="shared" ca="1" si="1"/>
        <v>397.39090909090919</v>
      </c>
      <c r="H10" s="51">
        <f t="shared" si="2"/>
        <v>1</v>
      </c>
      <c r="I10" s="3">
        <f>SUM(Merged_COEM!L52,Merged_JOEM!L52)</f>
        <v>1</v>
      </c>
      <c r="J10" s="3">
        <f>SUM(Merged_COEM!M52,Merged_JOEM!M52)</f>
        <v>0</v>
      </c>
      <c r="P10" t="str">
        <f t="shared" si="3"/>
        <v>khang.duong-chi</v>
      </c>
      <c r="Q10" s="3">
        <f>SUM(Merged_COEM!J52,Merged_JOEM!J52)</f>
        <v>8742.6000000000022</v>
      </c>
      <c r="R10" s="50">
        <f t="shared" ca="1" si="4"/>
        <v>397.39090909090919</v>
      </c>
      <c r="S10" s="3">
        <f t="shared" si="5"/>
        <v>9</v>
      </c>
      <c r="T10" s="3">
        <f t="shared" ca="1" si="6"/>
        <v>9</v>
      </c>
    </row>
    <row r="11" spans="1:20" x14ac:dyDescent="0.25">
      <c r="B11" s="48">
        <v>8</v>
      </c>
      <c r="C11" s="61" t="s">
        <v>141</v>
      </c>
      <c r="D11" s="50">
        <f>SUM(Merged_COEM!D53,Merged_JOEM!D53)</f>
        <v>10441.23076923077</v>
      </c>
      <c r="E11" s="50">
        <f>SUM(Merged_COEM!E53,Merged_JOEM!E53)</f>
        <v>10441.23076923077</v>
      </c>
      <c r="F11" s="50">
        <f t="shared" ca="1" si="0"/>
        <v>22</v>
      </c>
      <c r="G11" s="50">
        <f t="shared" ca="1" si="1"/>
        <v>474.60139860139861</v>
      </c>
      <c r="H11" s="51">
        <f t="shared" si="2"/>
        <v>1</v>
      </c>
      <c r="I11" s="3">
        <f>SUM(Merged_COEM!L53,Merged_JOEM!L53)</f>
        <v>5</v>
      </c>
      <c r="J11" s="3">
        <f>SUM(Merged_COEM!M53,Merged_JOEM!M53)</f>
        <v>0</v>
      </c>
      <c r="M11" s="72"/>
      <c r="P11" t="str">
        <f t="shared" si="3"/>
        <v>chuong.nguyen-minh</v>
      </c>
      <c r="Q11" s="3">
        <f>SUM(Merged_COEM!J53,Merged_JOEM!J53)</f>
        <v>10441.23076923077</v>
      </c>
      <c r="R11" s="50">
        <f t="shared" ca="1" si="4"/>
        <v>474.60139860139861</v>
      </c>
      <c r="S11" s="3">
        <f t="shared" si="5"/>
        <v>3</v>
      </c>
      <c r="T11" s="3">
        <f t="shared" ca="1" si="6"/>
        <v>3</v>
      </c>
    </row>
    <row r="12" spans="1:20" x14ac:dyDescent="0.25">
      <c r="B12" s="48">
        <v>9</v>
      </c>
      <c r="C12" s="61" t="s">
        <v>142</v>
      </c>
      <c r="D12" s="50">
        <f>SUM(Merged_COEM!D54,Merged_JOEM!D54)</f>
        <v>8481.461538461539</v>
      </c>
      <c r="E12" s="50">
        <f>SUM(Merged_COEM!E54,Merged_JOEM!E54)</f>
        <v>8481.461538461539</v>
      </c>
      <c r="F12" s="50">
        <f t="shared" ca="1" si="0"/>
        <v>22</v>
      </c>
      <c r="G12" s="50">
        <f t="shared" ca="1" si="1"/>
        <v>385.52097902097904</v>
      </c>
      <c r="H12" s="51">
        <f t="shared" si="2"/>
        <v>1</v>
      </c>
      <c r="I12" s="3">
        <f>SUM(Merged_COEM!L54,Merged_JOEM!L54)</f>
        <v>4</v>
      </c>
      <c r="J12" s="3">
        <f>SUM(Merged_COEM!M54,Merged_JOEM!M54)</f>
        <v>1</v>
      </c>
      <c r="M12" s="72"/>
      <c r="P12" t="str">
        <f t="shared" si="3"/>
        <v>nam.phan-the</v>
      </c>
      <c r="Q12" s="3">
        <f>SUM(Merged_COEM!J54,Merged_JOEM!J54)</f>
        <v>8481.461538461539</v>
      </c>
      <c r="R12" s="50">
        <f t="shared" ca="1" si="4"/>
        <v>385.52097902097904</v>
      </c>
      <c r="S12" s="3">
        <f t="shared" si="5"/>
        <v>10</v>
      </c>
      <c r="T12" s="3">
        <f t="shared" ca="1" si="6"/>
        <v>10</v>
      </c>
    </row>
    <row r="13" spans="1:20" x14ac:dyDescent="0.25">
      <c r="B13" s="48">
        <v>10</v>
      </c>
      <c r="C13" s="61" t="s">
        <v>143</v>
      </c>
      <c r="D13" s="50">
        <f>SUM(Merged_COEM!D55,Merged_JOEM!D55)</f>
        <v>10355.653846153846</v>
      </c>
      <c r="E13" s="50">
        <f>SUM(Merged_COEM!E55,Merged_JOEM!E55)</f>
        <v>10355.653846153846</v>
      </c>
      <c r="F13" s="50">
        <f t="shared" ca="1" si="0"/>
        <v>22</v>
      </c>
      <c r="G13" s="50">
        <f t="shared" ca="1" si="1"/>
        <v>470.71153846153845</v>
      </c>
      <c r="H13" s="51">
        <f t="shared" si="2"/>
        <v>1</v>
      </c>
      <c r="I13" s="3">
        <f>SUM(Merged_COEM!L55,Merged_JOEM!L55)</f>
        <v>8</v>
      </c>
      <c r="J13" s="3">
        <f>SUM(Merged_COEM!M55,Merged_JOEM!M55)</f>
        <v>0</v>
      </c>
      <c r="L13" s="1" t="s">
        <v>158</v>
      </c>
      <c r="M13" s="72"/>
      <c r="N13" s="1" t="s">
        <v>159</v>
      </c>
      <c r="P13" t="str">
        <f t="shared" si="3"/>
        <v>huy.nguyen-hoang</v>
      </c>
      <c r="Q13" s="3">
        <f>SUM(Merged_COEM!J55,Merged_JOEM!J55)</f>
        <v>10355.653846153846</v>
      </c>
      <c r="R13" s="50">
        <f t="shared" ca="1" si="4"/>
        <v>470.71153846153845</v>
      </c>
      <c r="S13" s="3">
        <f t="shared" si="5"/>
        <v>4</v>
      </c>
      <c r="T13" s="3">
        <f t="shared" ca="1" si="6"/>
        <v>4</v>
      </c>
    </row>
    <row r="14" spans="1:20" x14ac:dyDescent="0.25">
      <c r="A14" s="72"/>
      <c r="B14" s="46" t="s">
        <v>82</v>
      </c>
      <c r="C14" s="52"/>
      <c r="D14" s="50">
        <f>SUM(D4:D13)</f>
        <v>100363.90192307692</v>
      </c>
      <c r="E14" s="50">
        <f>SUM(E4:E13)</f>
        <v>100363.90192307692</v>
      </c>
      <c r="F14" s="50">
        <f ca="1">SUM(F4:F13)</f>
        <v>220</v>
      </c>
      <c r="G14" s="50">
        <f ca="1">IF(ISERROR(E14/(F14)),"N/A",E14/F14)</f>
        <v>456.19955419580418</v>
      </c>
      <c r="H14" s="51">
        <f t="shared" ref="H14" si="7">IF(ISERROR(E14/D14),"N/A",E14/D14)</f>
        <v>1</v>
      </c>
      <c r="I14" s="3">
        <f>SUM(I4:I13)</f>
        <v>35</v>
      </c>
      <c r="J14" s="3">
        <f>SUM(J4:J13)</f>
        <v>15</v>
      </c>
      <c r="K14">
        <f ca="1">F14*Table!$D$4</f>
        <v>99000</v>
      </c>
      <c r="L14" s="68">
        <f ca="1">E14-K14</f>
        <v>1363.901923076919</v>
      </c>
      <c r="M14" s="7">
        <f>(COUNTA($C$4:$C$13))*Table!$D$4</f>
        <v>4500</v>
      </c>
      <c r="N14">
        <f ca="1">L14/Table!$D$4</f>
        <v>3.0308931623931534</v>
      </c>
      <c r="P14" s="1" t="s">
        <v>82</v>
      </c>
      <c r="Q14" s="50">
        <f>SUM(Q4:Q13)</f>
        <v>97974.901923076919</v>
      </c>
      <c r="R14" s="50">
        <f ca="1">AVERAGE(R4:R13)</f>
        <v>445.34046328671332</v>
      </c>
    </row>
    <row r="15" spans="1:20" x14ac:dyDescent="0.25">
      <c r="F15" t="s">
        <v>993</v>
      </c>
      <c r="G15" s="51">
        <f ca="1">G14/450</f>
        <v>1.0137767871017871</v>
      </c>
      <c r="I15" s="102"/>
    </row>
    <row r="16" spans="1:20" x14ac:dyDescent="0.25">
      <c r="G16" s="102"/>
    </row>
    <row r="17" spans="1:18" x14ac:dyDescent="0.25">
      <c r="A17" s="59" t="s">
        <v>132</v>
      </c>
      <c r="B17" s="59" t="s">
        <v>122</v>
      </c>
      <c r="J17" s="60"/>
      <c r="K17" s="59" t="s">
        <v>132</v>
      </c>
      <c r="L17" s="59" t="s">
        <v>121</v>
      </c>
    </row>
    <row r="18" spans="1:18" x14ac:dyDescent="0.25">
      <c r="J18" s="60"/>
    </row>
    <row r="19" spans="1:18" x14ac:dyDescent="0.25">
      <c r="A19" s="1" t="s">
        <v>38</v>
      </c>
      <c r="B19" s="28">
        <v>44120</v>
      </c>
      <c r="D19" s="28">
        <v>44151</v>
      </c>
      <c r="E19" s="28"/>
      <c r="F19" s="7"/>
      <c r="J19" s="60"/>
      <c r="K19" s="1" t="s">
        <v>38</v>
      </c>
      <c r="L19" s="28">
        <f>B19</f>
        <v>44120</v>
      </c>
      <c r="N19" s="28">
        <f>D19</f>
        <v>44151</v>
      </c>
      <c r="P19" s="6"/>
    </row>
    <row r="20" spans="1:18" x14ac:dyDescent="0.25">
      <c r="A20" s="1" t="s">
        <v>30</v>
      </c>
      <c r="B20" s="7">
        <f>SUM(INT((WEEKDAY(B19-{2,3,4,5,6}) +D19-B19)/7))</f>
        <v>22</v>
      </c>
      <c r="J20" s="60"/>
      <c r="K20" s="1" t="s">
        <v>30</v>
      </c>
      <c r="L20" s="7">
        <f>B20</f>
        <v>22</v>
      </c>
    </row>
    <row r="21" spans="1:18" x14ac:dyDescent="0.25">
      <c r="A21" s="1" t="s">
        <v>104</v>
      </c>
      <c r="B21" s="115"/>
      <c r="C21" s="116"/>
      <c r="J21" s="60"/>
      <c r="K21" s="1" t="s">
        <v>104</v>
      </c>
      <c r="L21" s="7">
        <f>B21</f>
        <v>0</v>
      </c>
    </row>
    <row r="22" spans="1:18" x14ac:dyDescent="0.25">
      <c r="A22" s="1" t="s">
        <v>84</v>
      </c>
      <c r="B22">
        <f ca="1">IF(TODAY()&lt;D19,SUM(INT((WEEKDAY(B19-{2,3,4,5,6})+TODAY()-B19)/7)),SUM(INT((WEEKDAY(B19-{2,3,4,5,6})+D19-B19)/7)))-B21</f>
        <v>22</v>
      </c>
      <c r="J22" s="60"/>
      <c r="K22" s="1" t="s">
        <v>84</v>
      </c>
      <c r="L22">
        <f ca="1">B22</f>
        <v>22</v>
      </c>
    </row>
    <row r="23" spans="1:18" x14ac:dyDescent="0.25">
      <c r="A23" s="1"/>
      <c r="J23" s="60"/>
      <c r="K23" s="1"/>
    </row>
    <row r="24" spans="1:18" x14ac:dyDescent="0.25">
      <c r="B24" s="1" t="s">
        <v>133</v>
      </c>
      <c r="J24" s="60"/>
      <c r="L24" s="1" t="s">
        <v>133</v>
      </c>
    </row>
    <row r="25" spans="1:18" ht="45" x14ac:dyDescent="0.25">
      <c r="C25" s="32" t="s">
        <v>25</v>
      </c>
      <c r="D25" s="32" t="s">
        <v>26</v>
      </c>
      <c r="E25" s="32" t="s">
        <v>27</v>
      </c>
      <c r="F25" s="32" t="s">
        <v>28</v>
      </c>
      <c r="G25" s="8" t="s">
        <v>81</v>
      </c>
      <c r="H25" s="8" t="s">
        <v>29</v>
      </c>
      <c r="J25" s="60"/>
      <c r="M25" s="39" t="s">
        <v>25</v>
      </c>
      <c r="N25" s="39" t="s">
        <v>26</v>
      </c>
      <c r="O25" s="39" t="s">
        <v>27</v>
      </c>
      <c r="P25" s="39" t="s">
        <v>28</v>
      </c>
      <c r="Q25" s="8" t="s">
        <v>81</v>
      </c>
      <c r="R25" s="8" t="s">
        <v>29</v>
      </c>
    </row>
    <row r="26" spans="1:18" x14ac:dyDescent="0.25">
      <c r="C26" s="33">
        <v>1</v>
      </c>
      <c r="D26" s="33" t="s">
        <v>3</v>
      </c>
      <c r="E26" s="33">
        <f>SUM(Merged_COEM!D18)</f>
        <v>40144</v>
      </c>
      <c r="F26" s="33">
        <f>SUM(Merged_COEM!E18)</f>
        <v>40144</v>
      </c>
      <c r="G26" s="33">
        <f>E26/Table!$D$4</f>
        <v>89.208888888888893</v>
      </c>
      <c r="H26" s="30">
        <f>IFERROR(F26/E26,"N/A")</f>
        <v>1</v>
      </c>
      <c r="J26" s="60"/>
      <c r="M26" s="44">
        <v>1</v>
      </c>
      <c r="N26" s="44" t="s">
        <v>3</v>
      </c>
      <c r="O26" s="44">
        <f>SUM(Merged_JOEM!D18)</f>
        <v>14084.1</v>
      </c>
      <c r="P26" s="44">
        <f>SUM(Merged_JOEM!E18)</f>
        <v>14084.1</v>
      </c>
      <c r="Q26" s="44">
        <f>O26/Table!$D$4</f>
        <v>31.298000000000002</v>
      </c>
      <c r="R26" s="30">
        <f>IFERROR(P26/O26,"N/A")</f>
        <v>1</v>
      </c>
    </row>
    <row r="27" spans="1:18" x14ac:dyDescent="0.25">
      <c r="C27" s="33">
        <v>2</v>
      </c>
      <c r="D27" s="33" t="s">
        <v>2</v>
      </c>
      <c r="E27" s="40">
        <f>SUM(Merged_COEM!D37)</f>
        <v>2715</v>
      </c>
      <c r="F27" s="44">
        <f>SUM(Merged_COEM!E37)</f>
        <v>2715</v>
      </c>
      <c r="G27" s="33">
        <f>E27/Table!$C$4</f>
        <v>20.884615384615383</v>
      </c>
      <c r="H27" s="30">
        <f>IFERROR(F27/E27,"N/A")</f>
        <v>1</v>
      </c>
      <c r="J27" s="60"/>
      <c r="M27" s="44">
        <v>2</v>
      </c>
      <c r="N27" s="44" t="s">
        <v>2</v>
      </c>
      <c r="O27" s="44">
        <f>SUM(Merged_JOEM!D37)</f>
        <v>9922.9650000000001</v>
      </c>
      <c r="P27" s="44">
        <f>SUM(Merged_JOEM!E37)</f>
        <v>9922.9650000000001</v>
      </c>
      <c r="Q27" s="44">
        <f>O27/Table!$C$4</f>
        <v>76.330500000000001</v>
      </c>
      <c r="R27" s="30">
        <f>IFERROR(P27/O27,"N/A")</f>
        <v>1</v>
      </c>
    </row>
    <row r="28" spans="1:18" x14ac:dyDescent="0.25">
      <c r="C28" s="26"/>
      <c r="D28" s="24"/>
      <c r="E28" s="24"/>
      <c r="F28" s="24"/>
      <c r="G28" s="27"/>
      <c r="J28" s="60"/>
      <c r="M28" s="26"/>
      <c r="N28" s="24"/>
      <c r="O28" s="24"/>
      <c r="P28" s="24"/>
      <c r="Q28" s="27"/>
    </row>
    <row r="29" spans="1:18" x14ac:dyDescent="0.25">
      <c r="B29" s="1" t="s">
        <v>134</v>
      </c>
      <c r="J29" s="60"/>
      <c r="L29" s="1" t="s">
        <v>134</v>
      </c>
    </row>
    <row r="30" spans="1:18" ht="30" x14ac:dyDescent="0.25">
      <c r="C30" s="32" t="s">
        <v>25</v>
      </c>
      <c r="D30" s="32" t="s">
        <v>31</v>
      </c>
      <c r="E30" s="8" t="s">
        <v>32</v>
      </c>
      <c r="F30" s="8" t="s">
        <v>33</v>
      </c>
      <c r="G30" s="8" t="s">
        <v>102</v>
      </c>
      <c r="H30" s="8" t="s">
        <v>103</v>
      </c>
      <c r="J30" s="60"/>
      <c r="M30" s="39" t="s">
        <v>25</v>
      </c>
      <c r="N30" s="39" t="s">
        <v>31</v>
      </c>
      <c r="O30" s="8" t="s">
        <v>32</v>
      </c>
      <c r="P30" s="8" t="s">
        <v>33</v>
      </c>
      <c r="Q30" s="8" t="s">
        <v>102</v>
      </c>
      <c r="R30" s="8" t="s">
        <v>103</v>
      </c>
    </row>
    <row r="31" spans="1:18" x14ac:dyDescent="0.25">
      <c r="C31" s="33">
        <v>1</v>
      </c>
      <c r="D31" s="22" t="s">
        <v>87</v>
      </c>
      <c r="E31" s="44">
        <f>VLOOKUP(SUBSTITUTE(SUBSTITUTE(SUBSTITUTE(SUBSTITUTE(SUBSTITUTE(SUBSTITUTE(SUBSTITUTE(SUBSTITUTE(SUBSTITUTE(SUBSTITUTE(SUBSTITUTE(SUBSTITUTE(SUBSTITUTE(SUBSTITUTE(D31,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1" s="44">
        <f>VLOOKUP(SUBSTITUTE(SUBSTITUTE(SUBSTITUTE(SUBSTITUTE(SUBSTITUTE(SUBSTITUTE(SUBSTITUTE(SUBSTITUTE(SUBSTITUTE(SUBSTITUTE(SUBSTITUTE(SUBSTITUTE(SUBSTITUTE(SUBSTITUTE(D31,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1" s="44">
        <f>E31/Table!$D$4</f>
        <v>0</v>
      </c>
      <c r="H31" s="44">
        <f>F31/Table!$C$4</f>
        <v>0</v>
      </c>
      <c r="J31" s="60"/>
      <c r="M31" s="44">
        <v>1</v>
      </c>
      <c r="N31" s="22" t="s">
        <v>87</v>
      </c>
      <c r="O31" s="44">
        <f>VLOOKUP(SUBSTITUTE(SUBSTITUTE(SUBSTITUTE(SUBSTITUTE(SUBSTITUTE(SUBSTITUTE(SUBSTITUTE(SUBSTITUTE(SUBSTITUTE(SUBSTITUTE(SUBSTITUTE(SUBSTITUTE(SUBSTITUTE(SUBSTITUTE(N31,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2376</v>
      </c>
      <c r="P31" s="44">
        <f>VLOOKUP(SUBSTITUTE(SUBSTITUTE(SUBSTITUTE(SUBSTITUTE(SUBSTITUTE(SUBSTITUTE(SUBSTITUTE(SUBSTITUTE(SUBSTITUTE(SUBSTITUTE(SUBSTITUTE(SUBSTITUTE(SUBSTITUTE(SUBSTITUTE(N31,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2039.3750000000002</v>
      </c>
      <c r="Q31" s="44">
        <f>O31/Table!$D$4</f>
        <v>5.28</v>
      </c>
      <c r="R31" s="44">
        <f>P31/Table!$C$4</f>
        <v>15.687500000000002</v>
      </c>
    </row>
    <row r="32" spans="1:18" x14ac:dyDescent="0.25">
      <c r="C32" s="44">
        <v>2</v>
      </c>
      <c r="D32" s="22" t="s">
        <v>88</v>
      </c>
      <c r="E32" s="44">
        <f>VLOOKUP(SUBSTITUTE(SUBSTITUTE(SUBSTITUTE(SUBSTITUTE(SUBSTITUTE(SUBSTITUTE(SUBSTITUTE(SUBSTITUTE(SUBSTITUTE(SUBSTITUTE(SUBSTITUTE(SUBSTITUTE(SUBSTITUTE(SUBSTITUTE(D32,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2" s="44">
        <f>VLOOKUP(SUBSTITUTE(SUBSTITUTE(SUBSTITUTE(SUBSTITUTE(SUBSTITUTE(SUBSTITUTE(SUBSTITUTE(SUBSTITUTE(SUBSTITUTE(SUBSTITUTE(SUBSTITUTE(SUBSTITUTE(SUBSTITUTE(SUBSTITUTE(D32,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2" s="44">
        <f>E32/Table!$D$4</f>
        <v>0</v>
      </c>
      <c r="H32" s="44">
        <f>F32/Table!$C$4</f>
        <v>0</v>
      </c>
      <c r="J32" s="60"/>
      <c r="M32" s="44">
        <v>2</v>
      </c>
      <c r="N32" s="22" t="s">
        <v>88</v>
      </c>
      <c r="O32" s="44">
        <f>VLOOKUP(SUBSTITUTE(SUBSTITUTE(SUBSTITUTE(SUBSTITUTE(SUBSTITUTE(SUBSTITUTE(SUBSTITUTE(SUBSTITUTE(SUBSTITUTE(SUBSTITUTE(SUBSTITUTE(SUBSTITUTE(SUBSTITUTE(SUBSTITUTE(N32,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2376</v>
      </c>
      <c r="P32" s="44">
        <f>VLOOKUP(SUBSTITUTE(SUBSTITUTE(SUBSTITUTE(SUBSTITUTE(SUBSTITUTE(SUBSTITUTE(SUBSTITUTE(SUBSTITUTE(SUBSTITUTE(SUBSTITUTE(SUBSTITUTE(SUBSTITUTE(SUBSTITUTE(SUBSTITUTE(N32,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2065.7000000000003</v>
      </c>
      <c r="Q32" s="44">
        <f>O32/Table!$D$4</f>
        <v>5.28</v>
      </c>
      <c r="R32" s="44">
        <f>P32/Table!$C$4</f>
        <v>15.890000000000002</v>
      </c>
    </row>
    <row r="33" spans="2:18" x14ac:dyDescent="0.25">
      <c r="C33" s="44">
        <v>3</v>
      </c>
      <c r="D33" s="22" t="s">
        <v>126</v>
      </c>
      <c r="E33" s="44">
        <f>VLOOKUP(SUBSTITUTE(SUBSTITUTE(SUBSTITUTE(SUBSTITUTE(SUBSTITUTE(SUBSTITUTE(SUBSTITUTE(SUBSTITUTE(SUBSTITUTE(SUBSTITUTE(SUBSTITUTE(SUBSTITUTE(SUBSTITUTE(SUBSTITUTE(D33,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7482</v>
      </c>
      <c r="F33" s="44">
        <f>VLOOKUP(SUBSTITUTE(SUBSTITUTE(SUBSTITUTE(SUBSTITUTE(SUBSTITUTE(SUBSTITUTE(SUBSTITUTE(SUBSTITUTE(SUBSTITUTE(SUBSTITUTE(SUBSTITUTE(SUBSTITUTE(SUBSTITUTE(SUBSTITUTE(D33,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769</v>
      </c>
      <c r="G33" s="44">
        <f>E33/Table!$D$4</f>
        <v>16.626666666666665</v>
      </c>
      <c r="H33" s="44">
        <f>F33/Table!$C$4</f>
        <v>5.9153846153846157</v>
      </c>
      <c r="J33" s="60"/>
      <c r="M33" s="44">
        <v>3</v>
      </c>
      <c r="N33" s="22" t="s">
        <v>126</v>
      </c>
      <c r="O33" s="44">
        <f>VLOOKUP(SUBSTITUTE(SUBSTITUTE(SUBSTITUTE(SUBSTITUTE(SUBSTITUTE(SUBSTITUTE(SUBSTITUTE(SUBSTITUTE(SUBSTITUTE(SUBSTITUTE(SUBSTITUTE(SUBSTITUTE(SUBSTITUTE(SUBSTITUTE(N33,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3" s="44">
        <f>VLOOKUP(SUBSTITUTE(SUBSTITUTE(SUBSTITUTE(SUBSTITUTE(SUBSTITUTE(SUBSTITUTE(SUBSTITUTE(SUBSTITUTE(SUBSTITUTE(SUBSTITUTE(SUBSTITUTE(SUBSTITUTE(SUBSTITUTE(SUBSTITUTE(N33,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3" s="44">
        <f>O33/Table!$D$4</f>
        <v>0</v>
      </c>
      <c r="R33" s="44">
        <f>P33/Table!$C$4</f>
        <v>0</v>
      </c>
    </row>
    <row r="34" spans="2:18" x14ac:dyDescent="0.25">
      <c r="C34" s="44">
        <v>4</v>
      </c>
      <c r="D34" s="22" t="s">
        <v>127</v>
      </c>
      <c r="E34" s="44">
        <f>VLOOKUP(SUBSTITUTE(SUBSTITUTE(SUBSTITUTE(SUBSTITUTE(SUBSTITUTE(SUBSTITUTE(SUBSTITUTE(SUBSTITUTE(SUBSTITUTE(SUBSTITUTE(SUBSTITUTE(SUBSTITUTE(SUBSTITUTE(SUBSTITUTE(D34,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8460</v>
      </c>
      <c r="F34" s="44">
        <f>VLOOKUP(SUBSTITUTE(SUBSTITUTE(SUBSTITUTE(SUBSTITUTE(SUBSTITUTE(SUBSTITUTE(SUBSTITUTE(SUBSTITUTE(SUBSTITUTE(SUBSTITUTE(SUBSTITUTE(SUBSTITUTE(SUBSTITUTE(SUBSTITUTE(D34,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655</v>
      </c>
      <c r="G34" s="44">
        <f>E34/Table!$D$4</f>
        <v>18.8</v>
      </c>
      <c r="H34" s="44">
        <f>F34/Table!$C$4</f>
        <v>5.0384615384615383</v>
      </c>
      <c r="J34" s="60"/>
      <c r="M34" s="44">
        <v>4</v>
      </c>
      <c r="N34" s="22" t="s">
        <v>127</v>
      </c>
      <c r="O34" s="44">
        <f>VLOOKUP(SUBSTITUTE(SUBSTITUTE(SUBSTITUTE(SUBSTITUTE(SUBSTITUTE(SUBSTITUTE(SUBSTITUTE(SUBSTITUTE(SUBSTITUTE(SUBSTITUTE(SUBSTITUTE(SUBSTITUTE(SUBSTITUTE(SUBSTITUTE(N34,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4" s="44">
        <f>VLOOKUP(SUBSTITUTE(SUBSTITUTE(SUBSTITUTE(SUBSTITUTE(SUBSTITUTE(SUBSTITUTE(SUBSTITUTE(SUBSTITUTE(SUBSTITUTE(SUBSTITUTE(SUBSTITUTE(SUBSTITUTE(SUBSTITUTE(SUBSTITUTE(N34,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4" s="44">
        <f>O34/Table!$D$4</f>
        <v>0</v>
      </c>
      <c r="R34" s="44">
        <f>P34/Table!$C$4</f>
        <v>0</v>
      </c>
    </row>
    <row r="35" spans="2:18" x14ac:dyDescent="0.25">
      <c r="C35" s="44">
        <v>5</v>
      </c>
      <c r="D35" s="22" t="s">
        <v>128</v>
      </c>
      <c r="E35" s="4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5" s="4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5" s="44">
        <f>E35/Table!$D$4</f>
        <v>0</v>
      </c>
      <c r="H35" s="44">
        <f>F35/Table!$C$4</f>
        <v>0</v>
      </c>
      <c r="J35" s="60"/>
      <c r="M35" s="44">
        <v>5</v>
      </c>
      <c r="N35" s="22" t="s">
        <v>128</v>
      </c>
      <c r="O35" s="44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2358</v>
      </c>
      <c r="P35" s="44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2337.4000000000005</v>
      </c>
      <c r="Q35" s="44">
        <f>O35/Table!$D$4</f>
        <v>5.24</v>
      </c>
      <c r="R35" s="44">
        <f>P35/Table!$C$4</f>
        <v>17.980000000000004</v>
      </c>
    </row>
    <row r="36" spans="2:18" x14ac:dyDescent="0.25">
      <c r="C36" s="44">
        <v>6</v>
      </c>
      <c r="D36" s="22" t="s">
        <v>119</v>
      </c>
      <c r="E36" s="4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6" s="4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6" s="44">
        <f>E36/Table!$D$4</f>
        <v>0</v>
      </c>
      <c r="H36" s="44">
        <f>F36/Table!$C$4</f>
        <v>0</v>
      </c>
      <c r="J36" s="60"/>
      <c r="M36" s="44">
        <v>6</v>
      </c>
      <c r="N36" s="22" t="s">
        <v>119</v>
      </c>
      <c r="O36" s="44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5142.6000000000004</v>
      </c>
      <c r="P36" s="44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1308.45</v>
      </c>
      <c r="Q36" s="44">
        <f>O36/Table!$D$4</f>
        <v>11.428000000000001</v>
      </c>
      <c r="R36" s="44">
        <f>P36/Table!$C$4</f>
        <v>10.065</v>
      </c>
    </row>
    <row r="37" spans="2:18" x14ac:dyDescent="0.25">
      <c r="C37" s="44">
        <v>7</v>
      </c>
      <c r="D37" s="22" t="s">
        <v>145</v>
      </c>
      <c r="E37" s="4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7" s="4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7" s="44">
        <f>E37/Table!$D$4</f>
        <v>0</v>
      </c>
      <c r="H37" s="44">
        <f>F37/Table!$C$4</f>
        <v>0</v>
      </c>
      <c r="J37" s="60"/>
      <c r="M37" s="44">
        <v>7</v>
      </c>
      <c r="N37" s="22" t="s">
        <v>145</v>
      </c>
      <c r="O37" s="44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1674</v>
      </c>
      <c r="P37" s="44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2042.0400000000002</v>
      </c>
      <c r="Q37" s="44">
        <f>O37/Table!$D$4</f>
        <v>3.72</v>
      </c>
      <c r="R37" s="44">
        <f>P37/Table!$C$4</f>
        <v>15.708000000000002</v>
      </c>
    </row>
    <row r="38" spans="2:18" x14ac:dyDescent="0.25">
      <c r="C38" s="44">
        <v>8</v>
      </c>
      <c r="D38" s="22" t="s">
        <v>140</v>
      </c>
      <c r="E38" s="4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9742</v>
      </c>
      <c r="F38" s="4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202</v>
      </c>
      <c r="G38" s="44">
        <f>E38/Table!$D$4</f>
        <v>21.648888888888887</v>
      </c>
      <c r="H38" s="44">
        <f>F38/Table!$C$4</f>
        <v>1.5538461538461539</v>
      </c>
      <c r="J38" s="60"/>
      <c r="M38" s="44">
        <v>8</v>
      </c>
      <c r="N38" s="22" t="s">
        <v>140</v>
      </c>
      <c r="O38" s="44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8" s="44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8" s="44">
        <f>O38/Table!$D$4</f>
        <v>0</v>
      </c>
      <c r="R38" s="44">
        <f>P38/Table!$C$4</f>
        <v>0</v>
      </c>
    </row>
    <row r="39" spans="2:18" x14ac:dyDescent="0.25">
      <c r="C39" s="44">
        <v>9</v>
      </c>
      <c r="D39" s="22" t="s">
        <v>138</v>
      </c>
      <c r="E39" s="4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5778</v>
      </c>
      <c r="F39" s="4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781</v>
      </c>
      <c r="G39" s="44">
        <f>E39/Table!$D$4</f>
        <v>12.84</v>
      </c>
      <c r="H39" s="44">
        <f>F39/Table!$C$4</f>
        <v>6.0076923076923077</v>
      </c>
      <c r="J39" s="60"/>
      <c r="M39" s="44">
        <v>9</v>
      </c>
      <c r="N39" s="22" t="s">
        <v>138</v>
      </c>
      <c r="O39" s="44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9" s="44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9" s="44">
        <f>O39/Table!$D$4</f>
        <v>0</v>
      </c>
      <c r="R39" s="44">
        <f>P39/Table!$C$4</f>
        <v>0</v>
      </c>
    </row>
    <row r="40" spans="2:18" x14ac:dyDescent="0.25">
      <c r="C40" s="44">
        <v>10</v>
      </c>
      <c r="D40" s="22" t="s">
        <v>139</v>
      </c>
      <c r="E40" s="4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8682</v>
      </c>
      <c r="F40" s="4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308</v>
      </c>
      <c r="G40" s="44">
        <f>E40/Table!$D$4</f>
        <v>19.293333333333333</v>
      </c>
      <c r="H40" s="44">
        <f>F40/Table!$C$4</f>
        <v>2.3692307692307693</v>
      </c>
      <c r="J40" s="60"/>
      <c r="M40" s="44">
        <v>10</v>
      </c>
      <c r="N40" s="22" t="s">
        <v>139</v>
      </c>
      <c r="O40" s="44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157.5</v>
      </c>
      <c r="P40" s="44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130</v>
      </c>
      <c r="Q40" s="44">
        <f>O40/Table!$D$4</f>
        <v>0.35</v>
      </c>
      <c r="R40" s="44">
        <f>P40/Table!$C$4</f>
        <v>1</v>
      </c>
    </row>
    <row r="41" spans="2:18" x14ac:dyDescent="0.25">
      <c r="C41" s="24"/>
      <c r="D41" s="23"/>
      <c r="E41" s="24"/>
      <c r="F41" s="24"/>
      <c r="G41" s="24"/>
      <c r="H41" s="24"/>
      <c r="J41" s="60"/>
      <c r="M41" s="24"/>
      <c r="N41" s="23"/>
      <c r="O41" s="24"/>
      <c r="P41" s="24"/>
      <c r="Q41" s="24"/>
      <c r="R41" s="24"/>
    </row>
    <row r="42" spans="2:18" x14ac:dyDescent="0.25">
      <c r="B42" s="1" t="s">
        <v>155</v>
      </c>
      <c r="C42" s="24"/>
      <c r="D42" s="23"/>
      <c r="E42" s="24"/>
      <c r="F42" s="24"/>
      <c r="G42" s="24"/>
      <c r="H42" s="24"/>
      <c r="J42" s="60"/>
      <c r="L42" s="1" t="s">
        <v>155</v>
      </c>
      <c r="M42" s="24"/>
      <c r="N42" s="23"/>
      <c r="O42" s="24"/>
      <c r="P42" s="24"/>
      <c r="Q42" s="24"/>
      <c r="R42" s="24"/>
    </row>
    <row r="43" spans="2:18" x14ac:dyDescent="0.25">
      <c r="C43" s="24"/>
      <c r="D43" s="23"/>
      <c r="E43" s="24"/>
      <c r="F43" s="24"/>
      <c r="G43" s="24"/>
      <c r="H43" s="24"/>
      <c r="J43" s="60"/>
      <c r="M43" s="24"/>
      <c r="N43" s="23"/>
      <c r="O43" s="24"/>
      <c r="P43" s="24"/>
      <c r="Q43" s="24"/>
      <c r="R43" s="24"/>
    </row>
    <row r="44" spans="2:18" ht="30" x14ac:dyDescent="0.25">
      <c r="C44" s="39" t="s">
        <v>25</v>
      </c>
      <c r="D44" s="39" t="s">
        <v>31</v>
      </c>
      <c r="E44" s="8" t="s">
        <v>32</v>
      </c>
      <c r="F44" s="8" t="s">
        <v>33</v>
      </c>
      <c r="G44" s="8" t="s">
        <v>102</v>
      </c>
      <c r="H44" s="8" t="s">
        <v>103</v>
      </c>
      <c r="J44" s="60"/>
      <c r="M44" s="39" t="s">
        <v>25</v>
      </c>
      <c r="N44" s="39" t="s">
        <v>31</v>
      </c>
      <c r="O44" s="8" t="s">
        <v>32</v>
      </c>
      <c r="P44" s="8" t="s">
        <v>33</v>
      </c>
      <c r="Q44" s="8" t="s">
        <v>102</v>
      </c>
      <c r="R44" s="8" t="s">
        <v>103</v>
      </c>
    </row>
    <row r="45" spans="2:18" x14ac:dyDescent="0.25">
      <c r="C45" s="44">
        <v>1</v>
      </c>
      <c r="D45" s="22" t="s">
        <v>87</v>
      </c>
      <c r="E45" s="4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45" s="4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45" s="44">
        <f>E45/Table!$D$4</f>
        <v>0</v>
      </c>
      <c r="H45" s="44">
        <f>F45/Table!$C$4</f>
        <v>0</v>
      </c>
      <c r="J45" s="60"/>
      <c r="M45" s="44">
        <v>1</v>
      </c>
      <c r="N45" s="22" t="s">
        <v>87</v>
      </c>
      <c r="O45" s="44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45" s="44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45" s="44">
        <f>O45/Table!$D$4</f>
        <v>0</v>
      </c>
      <c r="R45" s="44">
        <f>P45/Table!$C$4</f>
        <v>0</v>
      </c>
    </row>
    <row r="46" spans="2:18" x14ac:dyDescent="0.25">
      <c r="C46" s="44">
        <v>2</v>
      </c>
      <c r="D46" s="22" t="s">
        <v>88</v>
      </c>
      <c r="E46" s="44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46" s="44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46" s="44">
        <f>E46/Table!$D$4</f>
        <v>0</v>
      </c>
      <c r="H46" s="44">
        <f>F46/Table!$C$4</f>
        <v>0</v>
      </c>
      <c r="J46" s="60"/>
      <c r="M46" s="44">
        <v>2</v>
      </c>
      <c r="N46" s="22" t="s">
        <v>88</v>
      </c>
      <c r="O46" s="44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46" s="44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46" s="44">
        <f>O46/Table!$D$4</f>
        <v>0</v>
      </c>
      <c r="R46" s="44">
        <f>P46/Table!$C$4</f>
        <v>0</v>
      </c>
    </row>
    <row r="47" spans="2:18" x14ac:dyDescent="0.25">
      <c r="C47" s="44">
        <v>3</v>
      </c>
      <c r="D47" s="22" t="s">
        <v>126</v>
      </c>
      <c r="E47" s="44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47" s="44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47" s="44">
        <f>E47/Table!$D$4</f>
        <v>0</v>
      </c>
      <c r="H47" s="44">
        <f>F47/Table!$C$4</f>
        <v>0</v>
      </c>
      <c r="J47" s="60"/>
      <c r="M47" s="44">
        <v>3</v>
      </c>
      <c r="N47" s="22" t="s">
        <v>126</v>
      </c>
      <c r="O47" s="44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47" s="44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47" s="44">
        <f>O47/Table!$D$4</f>
        <v>0</v>
      </c>
      <c r="R47" s="44">
        <f>P47/Table!$C$4</f>
        <v>0</v>
      </c>
    </row>
    <row r="48" spans="2:18" x14ac:dyDescent="0.25">
      <c r="C48" s="44">
        <v>4</v>
      </c>
      <c r="D48" s="22" t="s">
        <v>127</v>
      </c>
      <c r="E48" s="4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48" s="4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48" s="44">
        <f>E48/Table!$D$4</f>
        <v>0</v>
      </c>
      <c r="H48" s="44">
        <f>F48/Table!$C$4</f>
        <v>0</v>
      </c>
      <c r="J48" s="60"/>
      <c r="M48" s="44">
        <v>4</v>
      </c>
      <c r="N48" s="22" t="s">
        <v>127</v>
      </c>
      <c r="O48" s="44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48" s="44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48" s="44">
        <f>O48/Table!$D$4</f>
        <v>0</v>
      </c>
      <c r="R48" s="44">
        <f>P48/Table!$C$4</f>
        <v>0</v>
      </c>
    </row>
    <row r="49" spans="2:18" x14ac:dyDescent="0.25">
      <c r="C49" s="44">
        <v>5</v>
      </c>
      <c r="D49" s="22" t="s">
        <v>128</v>
      </c>
      <c r="E49" s="44">
        <f>VLOOKUP(SUBSTITUTE(SUBSTITUTE(SUBSTITUTE(SUBSTITUTE(SUBSTITUTE(SUBSTITUTE(SUBSTITUTE(SUBSTITUTE(SUBSTITUTE(SUBSTITUTE(SUBSTITUTE(SUBSTITUTE(SUBSTITUTE(SUBSTITUTE(D49,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49" s="44">
        <f>VLOOKUP(SUBSTITUTE(SUBSTITUTE(SUBSTITUTE(SUBSTITUTE(SUBSTITUTE(SUBSTITUTE(SUBSTITUTE(SUBSTITUTE(SUBSTITUTE(SUBSTITUTE(SUBSTITUTE(SUBSTITUTE(SUBSTITUTE(SUBSTITUTE(D49,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49" s="44">
        <f>E49/Table!$D$4</f>
        <v>0</v>
      </c>
      <c r="H49" s="44">
        <f>F49/Table!$C$4</f>
        <v>0</v>
      </c>
      <c r="J49" s="60"/>
      <c r="M49" s="44">
        <v>5</v>
      </c>
      <c r="N49" s="22" t="s">
        <v>128</v>
      </c>
      <c r="O49" s="44">
        <f>VLOOKUP(SUBSTITUTE(SUBSTITUTE(SUBSTITUTE(SUBSTITUTE(SUBSTITUTE(SUBSTITUTE(SUBSTITUTE(SUBSTITUTE(SUBSTITUTE(SUBSTITUTE(SUBSTITUTE(SUBSTITUTE(SUBSTITUTE(SUBSTITUTE(N49,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49" s="44">
        <f>VLOOKUP(SUBSTITUTE(SUBSTITUTE(SUBSTITUTE(SUBSTITUTE(SUBSTITUTE(SUBSTITUTE(SUBSTITUTE(SUBSTITUTE(SUBSTITUTE(SUBSTITUTE(SUBSTITUTE(SUBSTITUTE(SUBSTITUTE(SUBSTITUTE(N49,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49" s="44">
        <f>O49/Table!$D$4</f>
        <v>0</v>
      </c>
      <c r="R49" s="44">
        <f>P49/Table!$C$4</f>
        <v>0</v>
      </c>
    </row>
    <row r="50" spans="2:18" x14ac:dyDescent="0.25">
      <c r="C50" s="44">
        <v>6</v>
      </c>
      <c r="D50" s="22" t="s">
        <v>119</v>
      </c>
      <c r="E50" s="44">
        <f>VLOOKUP(SUBSTITUTE(SUBSTITUTE(SUBSTITUTE(SUBSTITUTE(SUBSTITUTE(SUBSTITUTE(SUBSTITUTE(SUBSTITUTE(SUBSTITUTE(SUBSTITUTE(SUBSTITUTE(SUBSTITUTE(SUBSTITUTE(SUBSTITUTE(D50,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0" s="44">
        <f>VLOOKUP(SUBSTITUTE(SUBSTITUTE(SUBSTITUTE(SUBSTITUTE(SUBSTITUTE(SUBSTITUTE(SUBSTITUTE(SUBSTITUTE(SUBSTITUTE(SUBSTITUTE(SUBSTITUTE(SUBSTITUTE(SUBSTITUTE(SUBSTITUTE(D50,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0" s="44">
        <f>E50/Table!$D$4</f>
        <v>0</v>
      </c>
      <c r="H50" s="44">
        <f>F50/Table!$C$4</f>
        <v>0</v>
      </c>
      <c r="J50" s="60"/>
      <c r="M50" s="44">
        <v>6</v>
      </c>
      <c r="N50" s="22" t="s">
        <v>119</v>
      </c>
      <c r="O50" s="44">
        <f>VLOOKUP(SUBSTITUTE(SUBSTITUTE(SUBSTITUTE(SUBSTITUTE(SUBSTITUTE(SUBSTITUTE(SUBSTITUTE(SUBSTITUTE(SUBSTITUTE(SUBSTITUTE(SUBSTITUTE(SUBSTITUTE(SUBSTITUTE(SUBSTITUTE(N50,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0" s="44">
        <f>VLOOKUP(SUBSTITUTE(SUBSTITUTE(SUBSTITUTE(SUBSTITUTE(SUBSTITUTE(SUBSTITUTE(SUBSTITUTE(SUBSTITUTE(SUBSTITUTE(SUBSTITUTE(SUBSTITUTE(SUBSTITUTE(SUBSTITUTE(SUBSTITUTE(N50,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0" s="44">
        <f>O50/Table!$D$4</f>
        <v>0</v>
      </c>
      <c r="R50" s="44">
        <f>P50/Table!$C$4</f>
        <v>0</v>
      </c>
    </row>
    <row r="51" spans="2:18" x14ac:dyDescent="0.25">
      <c r="C51" s="44">
        <v>7</v>
      </c>
      <c r="D51" s="22" t="s">
        <v>145</v>
      </c>
      <c r="E51" s="44">
        <f>VLOOKUP(SUBSTITUTE(SUBSTITUTE(SUBSTITUTE(SUBSTITUTE(SUBSTITUTE(SUBSTITUTE(SUBSTITUTE(SUBSTITUTE(SUBSTITUTE(SUBSTITUTE(SUBSTITUTE(SUBSTITUTE(SUBSTITUTE(SUBSTITUTE(D51,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1" s="44">
        <f>VLOOKUP(SUBSTITUTE(SUBSTITUTE(SUBSTITUTE(SUBSTITUTE(SUBSTITUTE(SUBSTITUTE(SUBSTITUTE(SUBSTITUTE(SUBSTITUTE(SUBSTITUTE(SUBSTITUTE(SUBSTITUTE(SUBSTITUTE(SUBSTITUTE(D51,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1" s="44">
        <f>E51/Table!$D$4</f>
        <v>0</v>
      </c>
      <c r="H51" s="44">
        <f>F51/Table!$C$4</f>
        <v>0</v>
      </c>
      <c r="J51" s="60"/>
      <c r="M51" s="44">
        <v>7</v>
      </c>
      <c r="N51" s="22" t="s">
        <v>145</v>
      </c>
      <c r="O51" s="44">
        <f>VLOOKUP(SUBSTITUTE(SUBSTITUTE(SUBSTITUTE(SUBSTITUTE(SUBSTITUTE(SUBSTITUTE(SUBSTITUTE(SUBSTITUTE(SUBSTITUTE(SUBSTITUTE(SUBSTITUTE(SUBSTITUTE(SUBSTITUTE(SUBSTITUTE(N51,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1" s="44">
        <f>VLOOKUP(SUBSTITUTE(SUBSTITUTE(SUBSTITUTE(SUBSTITUTE(SUBSTITUTE(SUBSTITUTE(SUBSTITUTE(SUBSTITUTE(SUBSTITUTE(SUBSTITUTE(SUBSTITUTE(SUBSTITUTE(SUBSTITUTE(SUBSTITUTE(N51,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1" s="44">
        <f>O51/Table!$D$4</f>
        <v>0</v>
      </c>
      <c r="R51" s="44">
        <f>P51/Table!$C$4</f>
        <v>0</v>
      </c>
    </row>
    <row r="52" spans="2:18" x14ac:dyDescent="0.25">
      <c r="C52" s="44">
        <v>8</v>
      </c>
      <c r="D52" s="22" t="s">
        <v>140</v>
      </c>
      <c r="E52" s="44">
        <f>VLOOKUP(SUBSTITUTE(SUBSTITUTE(SUBSTITUTE(SUBSTITUTE(SUBSTITUTE(SUBSTITUTE(SUBSTITUTE(SUBSTITUTE(SUBSTITUTE(SUBSTITUTE(SUBSTITUTE(SUBSTITUTE(SUBSTITUTE(SUBSTITUTE(D52,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2" s="44">
        <f>VLOOKUP(SUBSTITUTE(SUBSTITUTE(SUBSTITUTE(SUBSTITUTE(SUBSTITUTE(SUBSTITUTE(SUBSTITUTE(SUBSTITUTE(SUBSTITUTE(SUBSTITUTE(SUBSTITUTE(SUBSTITUTE(SUBSTITUTE(SUBSTITUTE(D52,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2" s="44">
        <f>E52/Table!$D$4</f>
        <v>0</v>
      </c>
      <c r="H52" s="44">
        <f>F52/Table!$C$4</f>
        <v>0</v>
      </c>
      <c r="J52" s="60"/>
      <c r="M52" s="44">
        <v>8</v>
      </c>
      <c r="N52" s="22" t="s">
        <v>140</v>
      </c>
      <c r="O52" s="44">
        <f>VLOOKUP(SUBSTITUTE(SUBSTITUTE(SUBSTITUTE(SUBSTITUTE(SUBSTITUTE(SUBSTITUTE(SUBSTITUTE(SUBSTITUTE(SUBSTITUTE(SUBSTITUTE(SUBSTITUTE(SUBSTITUTE(SUBSTITUTE(SUBSTITUTE(N52,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2" s="44">
        <f>VLOOKUP(SUBSTITUTE(SUBSTITUTE(SUBSTITUTE(SUBSTITUTE(SUBSTITUTE(SUBSTITUTE(SUBSTITUTE(SUBSTITUTE(SUBSTITUTE(SUBSTITUTE(SUBSTITUTE(SUBSTITUTE(SUBSTITUTE(SUBSTITUTE(N52,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2" s="44">
        <f>O52/Table!$D$4</f>
        <v>0</v>
      </c>
      <c r="R52" s="44">
        <f>P52/Table!$C$4</f>
        <v>0</v>
      </c>
    </row>
    <row r="53" spans="2:18" x14ac:dyDescent="0.25">
      <c r="C53" s="44">
        <v>9</v>
      </c>
      <c r="D53" s="22" t="s">
        <v>138</v>
      </c>
      <c r="E53" s="44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3" s="44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3" s="44">
        <f>E53/Table!$D$4</f>
        <v>0</v>
      </c>
      <c r="H53" s="44">
        <f>F53/Table!$C$4</f>
        <v>0</v>
      </c>
      <c r="J53" s="60"/>
      <c r="M53" s="44">
        <v>9</v>
      </c>
      <c r="N53" s="22" t="s">
        <v>138</v>
      </c>
      <c r="O53" s="44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3" s="44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3" s="44">
        <f>O53/Table!$D$4</f>
        <v>0</v>
      </c>
      <c r="R53" s="44">
        <f>P53/Table!$C$4</f>
        <v>0</v>
      </c>
    </row>
    <row r="54" spans="2:18" x14ac:dyDescent="0.25">
      <c r="C54" s="44">
        <v>10</v>
      </c>
      <c r="D54" s="22" t="s">
        <v>139</v>
      </c>
      <c r="E54" s="44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4" s="44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4" s="44">
        <f>E54/Table!$D$4</f>
        <v>0</v>
      </c>
      <c r="H54" s="44">
        <f>F54/Table!$C$4</f>
        <v>0</v>
      </c>
      <c r="J54" s="60"/>
      <c r="M54" s="44">
        <v>10</v>
      </c>
      <c r="N54" s="22" t="s">
        <v>139</v>
      </c>
      <c r="O54" s="44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4" s="44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4" s="44">
        <f>O54/Table!$D$4</f>
        <v>0</v>
      </c>
      <c r="R54" s="44">
        <f>P54/Table!$C$4</f>
        <v>0</v>
      </c>
    </row>
    <row r="55" spans="2:18" x14ac:dyDescent="0.25">
      <c r="C55" s="24"/>
      <c r="D55" s="23"/>
      <c r="E55" s="24"/>
      <c r="F55" s="24"/>
      <c r="G55" s="24"/>
      <c r="H55" s="24"/>
      <c r="J55" s="60"/>
      <c r="M55" s="24"/>
      <c r="N55" s="23"/>
      <c r="O55" s="24"/>
      <c r="P55" s="24"/>
      <c r="Q55" s="24"/>
      <c r="R55" s="24"/>
    </row>
    <row r="56" spans="2:18" x14ac:dyDescent="0.25">
      <c r="C56" s="24"/>
      <c r="D56" s="23"/>
      <c r="E56" s="24"/>
      <c r="F56" s="24"/>
      <c r="G56" s="24"/>
      <c r="H56" s="24"/>
      <c r="J56" s="60"/>
      <c r="M56" s="24"/>
      <c r="N56" s="23"/>
      <c r="O56" s="24"/>
      <c r="P56" s="24"/>
      <c r="Q56" s="24"/>
      <c r="R56" s="24"/>
    </row>
    <row r="57" spans="2:18" x14ac:dyDescent="0.25">
      <c r="B57" s="1" t="s">
        <v>34</v>
      </c>
      <c r="J57" s="60"/>
      <c r="L57" s="1" t="s">
        <v>34</v>
      </c>
    </row>
    <row r="58" spans="2:18" x14ac:dyDescent="0.25">
      <c r="C58" s="39" t="s">
        <v>25</v>
      </c>
      <c r="D58" s="34" t="s">
        <v>35</v>
      </c>
      <c r="E58" s="35"/>
      <c r="F58" s="36"/>
      <c r="J58" s="60"/>
      <c r="M58" s="39" t="s">
        <v>25</v>
      </c>
      <c r="N58" s="34" t="s">
        <v>35</v>
      </c>
      <c r="O58" s="35"/>
      <c r="P58" s="36"/>
    </row>
    <row r="59" spans="2:18" x14ac:dyDescent="0.25">
      <c r="C59" s="44">
        <v>1</v>
      </c>
      <c r="D59" s="230" t="s">
        <v>58</v>
      </c>
      <c r="E59" s="231"/>
      <c r="F59" s="232"/>
      <c r="J59" s="60"/>
      <c r="M59" s="44">
        <v>1</v>
      </c>
      <c r="N59" s="230"/>
      <c r="O59" s="231"/>
      <c r="P59" s="232"/>
    </row>
    <row r="60" spans="2:18" x14ac:dyDescent="0.25">
      <c r="C60" s="44">
        <v>2</v>
      </c>
      <c r="D60" s="230" t="s">
        <v>58</v>
      </c>
      <c r="E60" s="231"/>
      <c r="F60" s="232"/>
      <c r="J60" s="60"/>
      <c r="M60" s="44">
        <v>2</v>
      </c>
      <c r="N60" s="230" t="s">
        <v>58</v>
      </c>
      <c r="O60" s="231"/>
      <c r="P60" s="232"/>
    </row>
    <row r="61" spans="2:18" x14ac:dyDescent="0.25">
      <c r="C61" s="44">
        <v>3</v>
      </c>
      <c r="D61" s="230" t="s">
        <v>58</v>
      </c>
      <c r="E61" s="231"/>
      <c r="F61" s="232"/>
      <c r="J61" s="60"/>
      <c r="M61" s="44">
        <v>3</v>
      </c>
      <c r="N61" s="230" t="s">
        <v>58</v>
      </c>
      <c r="O61" s="231"/>
      <c r="P61" s="232"/>
    </row>
    <row r="62" spans="2:18" x14ac:dyDescent="0.25">
      <c r="C62" s="44">
        <v>4</v>
      </c>
      <c r="D62" s="230" t="s">
        <v>58</v>
      </c>
      <c r="E62" s="231"/>
      <c r="F62" s="232"/>
      <c r="J62" s="60"/>
      <c r="M62" s="44">
        <v>4</v>
      </c>
      <c r="N62" s="230" t="s">
        <v>58</v>
      </c>
      <c r="O62" s="231"/>
      <c r="P62" s="232"/>
    </row>
    <row r="63" spans="2:18" x14ac:dyDescent="0.25">
      <c r="J63" s="60"/>
    </row>
    <row r="64" spans="2:18" x14ac:dyDescent="0.25">
      <c r="B64" s="1" t="s">
        <v>135</v>
      </c>
      <c r="J64" s="60"/>
      <c r="L64" s="1" t="s">
        <v>135</v>
      </c>
    </row>
    <row r="65" spans="2:16" x14ac:dyDescent="0.25">
      <c r="C65" s="32" t="s">
        <v>25</v>
      </c>
      <c r="D65" s="32" t="s">
        <v>31</v>
      </c>
      <c r="E65" s="8" t="s">
        <v>100</v>
      </c>
      <c r="F65" s="8" t="s">
        <v>101</v>
      </c>
      <c r="J65" s="60"/>
      <c r="M65" s="39" t="s">
        <v>25</v>
      </c>
      <c r="N65" s="39" t="s">
        <v>31</v>
      </c>
      <c r="O65" s="8" t="s">
        <v>100</v>
      </c>
      <c r="P65" s="8" t="s">
        <v>101</v>
      </c>
    </row>
    <row r="66" spans="2:16" x14ac:dyDescent="0.25">
      <c r="C66" s="44">
        <v>1</v>
      </c>
      <c r="D66" s="22" t="s">
        <v>87</v>
      </c>
      <c r="E66" s="43">
        <f>VLOOKUP(SUBSTITUTE(SUBSTITUTE(SUBSTITUTE(SUBSTITUTE(SUBSTITUTE(SUBSTITUTE(SUBSTITUTE(SUBSTITUTE(SUBSTITUTE(SUBSTITUTE(SUBSTITUTE(SUBSTITUTE(SUBSTITUTE(SUBSTITUTE(D31,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66" s="44">
        <f>VLOOKUP(SUBSTITUTE(SUBSTITUTE(SUBSTITUTE(SUBSTITUTE(SUBSTITUTE(SUBSTITUTE(SUBSTITUTE(SUBSTITUTE(SUBSTITUTE(SUBSTITUTE(SUBSTITUTE(SUBSTITUTE(SUBSTITUTE(SUBSTITUTE(D31,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66" s="60"/>
      <c r="M66" s="44">
        <v>1</v>
      </c>
      <c r="N66" s="121" t="s">
        <v>87</v>
      </c>
      <c r="O66" s="43">
        <f>VLOOKUP(SUBSTITUTE(SUBSTITUTE(SUBSTITUTE(SUBSTITUTE(SUBSTITUTE(SUBSTITUTE(SUBSTITUTE(SUBSTITUTE(SUBSTITUTE(SUBSTITUTE(SUBSTITUTE(SUBSTITUTE(SUBSTITUTE(SUBSTITUTE(D31,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4</v>
      </c>
      <c r="P66" s="44">
        <f>VLOOKUP(SUBSTITUTE(SUBSTITUTE(SUBSTITUTE(SUBSTITUTE(SUBSTITUTE(SUBSTITUTE(SUBSTITUTE(SUBSTITUTE(SUBSTITUTE(SUBSTITUTE(SUBSTITUTE(SUBSTITUTE(SUBSTITUTE(SUBSTITUTE(D31,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3</v>
      </c>
    </row>
    <row r="67" spans="2:16" x14ac:dyDescent="0.25">
      <c r="C67" s="44">
        <v>2</v>
      </c>
      <c r="D67" s="22" t="s">
        <v>88</v>
      </c>
      <c r="E67" s="43">
        <f>VLOOKUP(SUBSTITUTE(SUBSTITUTE(SUBSTITUTE(SUBSTITUTE(SUBSTITUTE(SUBSTITUTE(SUBSTITUTE(SUBSTITUTE(SUBSTITUTE(SUBSTITUTE(SUBSTITUTE(SUBSTITUTE(SUBSTITUTE(SUBSTITUTE(D32,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67" s="44">
        <f>VLOOKUP(SUBSTITUTE(SUBSTITUTE(SUBSTITUTE(SUBSTITUTE(SUBSTITUTE(SUBSTITUTE(SUBSTITUTE(SUBSTITUTE(SUBSTITUTE(SUBSTITUTE(SUBSTITUTE(SUBSTITUTE(SUBSTITUTE(SUBSTITUTE(D32,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67" s="60"/>
      <c r="M67" s="44">
        <v>2</v>
      </c>
      <c r="N67" s="121" t="s">
        <v>88</v>
      </c>
      <c r="O67" s="43">
        <f>VLOOKUP(SUBSTITUTE(SUBSTITUTE(SUBSTITUTE(SUBSTITUTE(SUBSTITUTE(SUBSTITUTE(SUBSTITUTE(SUBSTITUTE(SUBSTITUTE(SUBSTITUTE(SUBSTITUTE(SUBSTITUTE(SUBSTITUTE(SUBSTITUTE(D32,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67" s="44">
        <f>VLOOKUP(SUBSTITUTE(SUBSTITUTE(SUBSTITUTE(SUBSTITUTE(SUBSTITUTE(SUBSTITUTE(SUBSTITUTE(SUBSTITUTE(SUBSTITUTE(SUBSTITUTE(SUBSTITUTE(SUBSTITUTE(SUBSTITUTE(SUBSTITUTE(D32,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1</v>
      </c>
    </row>
    <row r="68" spans="2:16" x14ac:dyDescent="0.25">
      <c r="C68" s="44">
        <v>3</v>
      </c>
      <c r="D68" s="22" t="s">
        <v>126</v>
      </c>
      <c r="E68" s="43">
        <f>VLOOKUP(SUBSTITUTE(SUBSTITUTE(SUBSTITUTE(SUBSTITUTE(SUBSTITUTE(SUBSTITUTE(SUBSTITUTE(SUBSTITUTE(SUBSTITUTE(SUBSTITUTE(SUBSTITUTE(SUBSTITUTE(SUBSTITUTE(SUBSTITUTE(D33,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68" s="44">
        <f>VLOOKUP(SUBSTITUTE(SUBSTITUTE(SUBSTITUTE(SUBSTITUTE(SUBSTITUTE(SUBSTITUTE(SUBSTITUTE(SUBSTITUTE(SUBSTITUTE(SUBSTITUTE(SUBSTITUTE(SUBSTITUTE(SUBSTITUTE(SUBSTITUTE(D33,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3</v>
      </c>
      <c r="J68" s="60"/>
      <c r="M68" s="44">
        <v>3</v>
      </c>
      <c r="N68" s="121" t="s">
        <v>126</v>
      </c>
      <c r="O68" s="43">
        <f>VLOOKUP(SUBSTITUTE(SUBSTITUTE(SUBSTITUTE(SUBSTITUTE(SUBSTITUTE(SUBSTITUTE(SUBSTITUTE(SUBSTITUTE(SUBSTITUTE(SUBSTITUTE(SUBSTITUTE(SUBSTITUTE(SUBSTITUTE(SUBSTITUTE(D33,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68" s="44">
        <f>VLOOKUP(SUBSTITUTE(SUBSTITUTE(SUBSTITUTE(SUBSTITUTE(SUBSTITUTE(SUBSTITUTE(SUBSTITUTE(SUBSTITUTE(SUBSTITUTE(SUBSTITUTE(SUBSTITUTE(SUBSTITUTE(SUBSTITUTE(SUBSTITUTE(D33,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69" spans="2:16" x14ac:dyDescent="0.25">
      <c r="C69" s="44">
        <v>4</v>
      </c>
      <c r="D69" s="22" t="s">
        <v>127</v>
      </c>
      <c r="E69" s="43">
        <f>VLOOKUP(SUBSTITUTE(SUBSTITUTE(SUBSTITUTE(SUBSTITUTE(SUBSTITUTE(SUBSTITUTE(SUBSTITUTE(SUBSTITUTE(SUBSTITUTE(SUBSTITUTE(SUBSTITUTE(SUBSTITUTE(SUBSTITUTE(SUBSTITUTE(D34,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69" s="44">
        <f>VLOOKUP(SUBSTITUTE(SUBSTITUTE(SUBSTITUTE(SUBSTITUTE(SUBSTITUTE(SUBSTITUTE(SUBSTITUTE(SUBSTITUTE(SUBSTITUTE(SUBSTITUTE(SUBSTITUTE(SUBSTITUTE(SUBSTITUTE(SUBSTITUTE(D34,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3</v>
      </c>
      <c r="J69" s="60"/>
      <c r="M69" s="44">
        <v>4</v>
      </c>
      <c r="N69" s="121" t="s">
        <v>127</v>
      </c>
      <c r="O69" s="43">
        <f>VLOOKUP(SUBSTITUTE(SUBSTITUTE(SUBSTITUTE(SUBSTITUTE(SUBSTITUTE(SUBSTITUTE(SUBSTITUTE(SUBSTITUTE(SUBSTITUTE(SUBSTITUTE(SUBSTITUTE(SUBSTITUTE(SUBSTITUTE(SUBSTITUTE(D34,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69" s="44">
        <f>VLOOKUP(SUBSTITUTE(SUBSTITUTE(SUBSTITUTE(SUBSTITUTE(SUBSTITUTE(SUBSTITUTE(SUBSTITUTE(SUBSTITUTE(SUBSTITUTE(SUBSTITUTE(SUBSTITUTE(SUBSTITUTE(SUBSTITUTE(SUBSTITUTE(D34,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0" spans="2:16" x14ac:dyDescent="0.25">
      <c r="C70" s="44">
        <v>5</v>
      </c>
      <c r="D70" s="22" t="s">
        <v>128</v>
      </c>
      <c r="E70" s="43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0" s="4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0" s="60"/>
      <c r="M70" s="44">
        <v>5</v>
      </c>
      <c r="N70" s="22" t="s">
        <v>128</v>
      </c>
      <c r="O70" s="43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3</v>
      </c>
      <c r="P70" s="44">
        <v>2</v>
      </c>
    </row>
    <row r="71" spans="2:16" x14ac:dyDescent="0.25">
      <c r="C71" s="44">
        <v>6</v>
      </c>
      <c r="D71" s="22" t="s">
        <v>119</v>
      </c>
      <c r="E71" s="43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1" s="4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1" s="60"/>
      <c r="M71" s="44">
        <v>6</v>
      </c>
      <c r="N71" s="22" t="s">
        <v>119</v>
      </c>
      <c r="O71" s="43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2</v>
      </c>
      <c r="P71" s="4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1</v>
      </c>
    </row>
    <row r="72" spans="2:16" x14ac:dyDescent="0.25">
      <c r="C72" s="44">
        <v>7</v>
      </c>
      <c r="D72" s="22" t="s">
        <v>145</v>
      </c>
      <c r="E72" s="43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2" s="4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2" s="60"/>
      <c r="M72" s="44">
        <v>7</v>
      </c>
      <c r="N72" s="22" t="s">
        <v>145</v>
      </c>
      <c r="O72" s="43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72" s="4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3" spans="2:16" x14ac:dyDescent="0.25">
      <c r="C73" s="44">
        <v>8</v>
      </c>
      <c r="D73" s="22" t="s">
        <v>140</v>
      </c>
      <c r="E73" s="43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5</v>
      </c>
      <c r="F73" s="4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3" s="60"/>
      <c r="M73" s="44">
        <v>8</v>
      </c>
      <c r="N73" s="22" t="s">
        <v>140</v>
      </c>
      <c r="O73" s="43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3" s="4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4" spans="2:16" x14ac:dyDescent="0.25">
      <c r="C74" s="44">
        <v>9</v>
      </c>
      <c r="D74" s="22" t="s">
        <v>138</v>
      </c>
      <c r="E74" s="43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74" s="4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1</v>
      </c>
      <c r="J74" s="60"/>
      <c r="M74" s="44">
        <v>9</v>
      </c>
      <c r="N74" s="22" t="s">
        <v>138</v>
      </c>
      <c r="O74" s="43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4" s="4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5" spans="2:16" x14ac:dyDescent="0.25">
      <c r="C75" s="44">
        <v>10</v>
      </c>
      <c r="D75" s="22" t="s">
        <v>139</v>
      </c>
      <c r="E75" s="43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8</v>
      </c>
      <c r="F75" s="4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5" s="60"/>
      <c r="M75" s="44">
        <v>10</v>
      </c>
      <c r="N75" s="22" t="s">
        <v>139</v>
      </c>
      <c r="O75" s="43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5" s="4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6" spans="2:16" x14ac:dyDescent="0.25">
      <c r="C76" s="24"/>
      <c r="D76" s="23"/>
      <c r="E76" s="45"/>
      <c r="F76" s="24"/>
      <c r="J76" s="60"/>
      <c r="M76" s="24"/>
      <c r="N76" s="23"/>
      <c r="O76" s="45"/>
      <c r="P76" s="24"/>
    </row>
    <row r="77" spans="2:16" x14ac:dyDescent="0.25">
      <c r="B77" s="1" t="s">
        <v>136</v>
      </c>
      <c r="J77" s="60"/>
      <c r="L77" s="1" t="s">
        <v>136</v>
      </c>
    </row>
    <row r="78" spans="2:16" x14ac:dyDescent="0.25">
      <c r="C78" s="32" t="s">
        <v>25</v>
      </c>
      <c r="D78" s="32" t="s">
        <v>31</v>
      </c>
      <c r="E78" s="8" t="s">
        <v>36</v>
      </c>
      <c r="F78" s="8" t="s">
        <v>37</v>
      </c>
      <c r="J78" s="60"/>
      <c r="M78" s="39" t="s">
        <v>25</v>
      </c>
      <c r="N78" s="39" t="s">
        <v>31</v>
      </c>
      <c r="O78" s="8" t="s">
        <v>36</v>
      </c>
      <c r="P78" s="8" t="s">
        <v>37</v>
      </c>
    </row>
    <row r="79" spans="2:16" x14ac:dyDescent="0.25">
      <c r="C79" s="44">
        <v>1</v>
      </c>
      <c r="D79" s="121" t="s">
        <v>87</v>
      </c>
      <c r="E79" s="43" t="s">
        <v>58</v>
      </c>
      <c r="F79" s="77" t="s">
        <v>58</v>
      </c>
      <c r="J79" s="60"/>
      <c r="M79" s="44">
        <v>1</v>
      </c>
      <c r="N79" s="22" t="s">
        <v>87</v>
      </c>
      <c r="O79" s="43" t="s">
        <v>58</v>
      </c>
      <c r="P79" s="77" t="s">
        <v>58</v>
      </c>
    </row>
    <row r="80" spans="2:16" x14ac:dyDescent="0.25">
      <c r="C80" s="44">
        <v>2</v>
      </c>
      <c r="D80" s="121" t="s">
        <v>88</v>
      </c>
      <c r="E80" s="43" t="s">
        <v>58</v>
      </c>
      <c r="F80" s="77" t="s">
        <v>58</v>
      </c>
      <c r="J80" s="60"/>
      <c r="M80" s="44">
        <v>2</v>
      </c>
      <c r="N80" s="22" t="s">
        <v>88</v>
      </c>
      <c r="O80" s="43" t="s">
        <v>58</v>
      </c>
      <c r="P80" s="77" t="s">
        <v>58</v>
      </c>
    </row>
    <row r="81" spans="2:16" x14ac:dyDescent="0.25">
      <c r="C81" s="44">
        <v>3</v>
      </c>
      <c r="D81" s="121" t="s">
        <v>126</v>
      </c>
      <c r="E81" s="43" t="s">
        <v>58</v>
      </c>
      <c r="F81" s="77" t="s">
        <v>58</v>
      </c>
      <c r="J81" s="60"/>
      <c r="M81" s="44">
        <v>3</v>
      </c>
      <c r="N81" s="22" t="s">
        <v>126</v>
      </c>
      <c r="O81" s="43" t="s">
        <v>58</v>
      </c>
      <c r="P81" s="43" t="s">
        <v>58</v>
      </c>
    </row>
    <row r="82" spans="2:16" x14ac:dyDescent="0.25">
      <c r="C82" s="44">
        <v>4</v>
      </c>
      <c r="D82" s="121" t="s">
        <v>127</v>
      </c>
      <c r="E82" s="43" t="s">
        <v>58</v>
      </c>
      <c r="F82" s="77" t="s">
        <v>58</v>
      </c>
      <c r="J82" s="60"/>
      <c r="M82" s="44">
        <v>4</v>
      </c>
      <c r="N82" s="22" t="s">
        <v>127</v>
      </c>
      <c r="O82" s="43" t="s">
        <v>58</v>
      </c>
      <c r="P82" s="43" t="s">
        <v>58</v>
      </c>
    </row>
    <row r="83" spans="2:16" x14ac:dyDescent="0.25">
      <c r="C83" s="44">
        <v>5</v>
      </c>
      <c r="D83" s="22" t="s">
        <v>128</v>
      </c>
      <c r="E83" s="43" t="s">
        <v>58</v>
      </c>
      <c r="F83" s="77" t="s">
        <v>58</v>
      </c>
      <c r="J83" s="60"/>
      <c r="M83" s="44">
        <v>5</v>
      </c>
      <c r="N83" s="22" t="s">
        <v>128</v>
      </c>
      <c r="O83" s="43" t="s">
        <v>58</v>
      </c>
      <c r="P83" s="77" t="s">
        <v>58</v>
      </c>
    </row>
    <row r="84" spans="2:16" x14ac:dyDescent="0.25">
      <c r="C84" s="44">
        <v>6</v>
      </c>
      <c r="D84" s="22" t="s">
        <v>119</v>
      </c>
      <c r="E84" s="43" t="s">
        <v>58</v>
      </c>
      <c r="F84" s="77" t="s">
        <v>58</v>
      </c>
      <c r="J84" s="60"/>
      <c r="M84" s="44">
        <v>6</v>
      </c>
      <c r="N84" s="22" t="s">
        <v>119</v>
      </c>
      <c r="O84" s="43" t="s">
        <v>58</v>
      </c>
      <c r="P84" s="43" t="s">
        <v>58</v>
      </c>
    </row>
    <row r="85" spans="2:16" x14ac:dyDescent="0.25">
      <c r="C85" s="44">
        <v>7</v>
      </c>
      <c r="D85" s="22" t="s">
        <v>145</v>
      </c>
      <c r="E85" s="43" t="s">
        <v>58</v>
      </c>
      <c r="F85" s="77" t="s">
        <v>58</v>
      </c>
      <c r="J85" s="60"/>
      <c r="M85" s="44">
        <v>7</v>
      </c>
      <c r="N85" s="22" t="s">
        <v>145</v>
      </c>
      <c r="O85" s="43" t="s">
        <v>58</v>
      </c>
      <c r="P85" s="43" t="s">
        <v>58</v>
      </c>
    </row>
    <row r="86" spans="2:16" x14ac:dyDescent="0.25">
      <c r="C86" s="44">
        <v>8</v>
      </c>
      <c r="D86" s="22" t="s">
        <v>140</v>
      </c>
      <c r="E86" s="43" t="s">
        <v>58</v>
      </c>
      <c r="F86" s="77" t="s">
        <v>58</v>
      </c>
      <c r="J86" s="60"/>
      <c r="M86" s="44">
        <v>8</v>
      </c>
      <c r="N86" s="22" t="s">
        <v>140</v>
      </c>
      <c r="O86" s="43" t="s">
        <v>58</v>
      </c>
      <c r="P86" s="43" t="s">
        <v>58</v>
      </c>
    </row>
    <row r="87" spans="2:16" x14ac:dyDescent="0.25">
      <c r="C87" s="44">
        <v>9</v>
      </c>
      <c r="D87" s="22" t="s">
        <v>138</v>
      </c>
      <c r="E87" s="43" t="s">
        <v>58</v>
      </c>
      <c r="F87" s="77" t="s">
        <v>58</v>
      </c>
      <c r="J87" s="60"/>
      <c r="M87" s="44">
        <v>9</v>
      </c>
      <c r="N87" s="22" t="s">
        <v>138</v>
      </c>
      <c r="O87" s="43" t="s">
        <v>58</v>
      </c>
      <c r="P87" s="43" t="s">
        <v>58</v>
      </c>
    </row>
    <row r="88" spans="2:16" x14ac:dyDescent="0.25">
      <c r="C88" s="44">
        <v>10</v>
      </c>
      <c r="D88" s="22" t="s">
        <v>139</v>
      </c>
      <c r="E88" s="43" t="s">
        <v>58</v>
      </c>
      <c r="F88" s="77" t="s">
        <v>58</v>
      </c>
      <c r="J88" s="60"/>
      <c r="M88" s="44">
        <v>10</v>
      </c>
      <c r="N88" s="22" t="s">
        <v>139</v>
      </c>
      <c r="O88" s="43" t="s">
        <v>58</v>
      </c>
      <c r="P88" s="43" t="s">
        <v>58</v>
      </c>
    </row>
    <row r="89" spans="2:16" x14ac:dyDescent="0.25">
      <c r="C89" s="24"/>
      <c r="D89" s="23"/>
      <c r="E89" s="45"/>
      <c r="F89" s="45"/>
      <c r="J89" s="60"/>
      <c r="M89" s="24"/>
      <c r="N89" s="23"/>
      <c r="O89" s="45"/>
      <c r="P89" s="45"/>
    </row>
    <row r="90" spans="2:16" x14ac:dyDescent="0.25">
      <c r="C90" s="24"/>
      <c r="D90" s="23"/>
      <c r="E90" s="45"/>
      <c r="F90" s="45"/>
      <c r="J90" s="60"/>
      <c r="M90" s="24"/>
      <c r="N90" s="23"/>
      <c r="O90" s="45"/>
      <c r="P90" s="45"/>
    </row>
    <row r="91" spans="2:16" x14ac:dyDescent="0.25">
      <c r="B91" s="1" t="s">
        <v>39</v>
      </c>
      <c r="J91" s="60"/>
      <c r="L91" s="1" t="s">
        <v>39</v>
      </c>
    </row>
    <row r="92" spans="2:16" x14ac:dyDescent="0.25">
      <c r="C92" s="1" t="s">
        <v>41</v>
      </c>
      <c r="J92" s="60"/>
      <c r="M92" s="1" t="s">
        <v>41</v>
      </c>
    </row>
    <row r="93" spans="2:16" x14ac:dyDescent="0.25">
      <c r="D93" t="s">
        <v>40</v>
      </c>
      <c r="J93" s="60"/>
      <c r="N93" t="s">
        <v>40</v>
      </c>
    </row>
    <row r="94" spans="2:16" x14ac:dyDescent="0.25">
      <c r="D94" t="s">
        <v>80</v>
      </c>
      <c r="J94" s="60"/>
      <c r="N94" t="s">
        <v>80</v>
      </c>
    </row>
    <row r="95" spans="2:16" x14ac:dyDescent="0.25">
      <c r="C95" s="1" t="s">
        <v>123</v>
      </c>
      <c r="J95" s="60"/>
      <c r="M95" s="1" t="s">
        <v>123</v>
      </c>
    </row>
    <row r="96" spans="2:16" x14ac:dyDescent="0.25">
      <c r="D96" t="s">
        <v>124</v>
      </c>
      <c r="J96" s="60"/>
      <c r="N96" t="s">
        <v>124</v>
      </c>
    </row>
    <row r="97" spans="2:14" x14ac:dyDescent="0.25">
      <c r="D97" t="s">
        <v>125</v>
      </c>
      <c r="J97" s="60"/>
      <c r="N97" t="s">
        <v>125</v>
      </c>
    </row>
    <row r="98" spans="2:14" x14ac:dyDescent="0.25">
      <c r="J98" s="60"/>
    </row>
    <row r="99" spans="2:14" x14ac:dyDescent="0.25">
      <c r="J99" s="60"/>
    </row>
    <row r="100" spans="2:14" x14ac:dyDescent="0.25">
      <c r="B100" t="s">
        <v>129</v>
      </c>
      <c r="C100" t="s">
        <v>122</v>
      </c>
      <c r="J100" s="60"/>
      <c r="K100" t="s">
        <v>121</v>
      </c>
    </row>
    <row r="101" spans="2:14" x14ac:dyDescent="0.25">
      <c r="D101" s="22" t="s">
        <v>126</v>
      </c>
      <c r="J101" s="60"/>
      <c r="L101" s="80" t="s">
        <v>87</v>
      </c>
    </row>
    <row r="102" spans="2:14" x14ac:dyDescent="0.25">
      <c r="D102" s="22" t="s">
        <v>127</v>
      </c>
      <c r="J102" s="60"/>
      <c r="L102" s="22" t="s">
        <v>88</v>
      </c>
    </row>
    <row r="103" spans="2:14" x14ac:dyDescent="0.25">
      <c r="D103" s="22" t="s">
        <v>140</v>
      </c>
      <c r="J103" s="60"/>
      <c r="L103" s="22" t="s">
        <v>119</v>
      </c>
      <c r="M103" s="28"/>
    </row>
    <row r="104" spans="2:14" x14ac:dyDescent="0.25">
      <c r="D104" s="22" t="s">
        <v>139</v>
      </c>
      <c r="J104" s="60"/>
      <c r="L104" s="22" t="s">
        <v>145</v>
      </c>
    </row>
    <row r="105" spans="2:14" x14ac:dyDescent="0.25">
      <c r="D105" s="90" t="s">
        <v>138</v>
      </c>
      <c r="J105" s="60"/>
      <c r="L105" s="22" t="s">
        <v>128</v>
      </c>
    </row>
    <row r="106" spans="2:14" x14ac:dyDescent="0.25">
      <c r="J106" s="60"/>
    </row>
    <row r="107" spans="2:14" x14ac:dyDescent="0.25">
      <c r="J107" s="60"/>
      <c r="L107" s="75"/>
    </row>
    <row r="108" spans="2:14" x14ac:dyDescent="0.25">
      <c r="J108" s="60"/>
    </row>
    <row r="109" spans="2:14" x14ac:dyDescent="0.25">
      <c r="J109" s="60"/>
    </row>
    <row r="110" spans="2:14" x14ac:dyDescent="0.25">
      <c r="D110" s="23"/>
      <c r="J110" s="60"/>
    </row>
    <row r="111" spans="2:14" x14ac:dyDescent="0.25">
      <c r="D111" s="23"/>
      <c r="E111" s="86" t="s">
        <v>122</v>
      </c>
      <c r="G111" s="85" t="s">
        <v>121</v>
      </c>
    </row>
    <row r="112" spans="2:14" x14ac:dyDescent="0.25">
      <c r="D112" s="119" t="s">
        <v>87</v>
      </c>
      <c r="E112" s="21" t="s">
        <v>117</v>
      </c>
      <c r="F112" s="21"/>
      <c r="G112" s="107">
        <v>44120</v>
      </c>
      <c r="H112" s="21" t="s">
        <v>146</v>
      </c>
    </row>
    <row r="113" spans="4:8" x14ac:dyDescent="0.25">
      <c r="D113" s="119" t="s">
        <v>88</v>
      </c>
      <c r="E113" s="21" t="s">
        <v>117</v>
      </c>
      <c r="F113" s="21"/>
      <c r="G113" s="107">
        <v>44120</v>
      </c>
      <c r="H113" s="21" t="s">
        <v>146</v>
      </c>
    </row>
    <row r="114" spans="4:8" x14ac:dyDescent="0.25">
      <c r="D114" s="120" t="s">
        <v>126</v>
      </c>
      <c r="E114" s="107">
        <v>44120</v>
      </c>
      <c r="F114" s="56" t="s">
        <v>146</v>
      </c>
      <c r="G114" s="21" t="s">
        <v>117</v>
      </c>
      <c r="H114" s="21"/>
    </row>
    <row r="115" spans="4:8" x14ac:dyDescent="0.25">
      <c r="D115" s="120" t="s">
        <v>127</v>
      </c>
      <c r="E115" s="107">
        <v>44120</v>
      </c>
      <c r="F115" s="21" t="s">
        <v>146</v>
      </c>
      <c r="G115" s="21" t="s">
        <v>117</v>
      </c>
      <c r="H115" s="21"/>
    </row>
    <row r="116" spans="4:8" x14ac:dyDescent="0.25">
      <c r="D116" s="119" t="s">
        <v>128</v>
      </c>
      <c r="E116" s="21" t="s">
        <v>117</v>
      </c>
      <c r="F116" s="21"/>
      <c r="G116" s="107">
        <v>44120</v>
      </c>
      <c r="H116" s="21" t="s">
        <v>146</v>
      </c>
    </row>
    <row r="117" spans="4:8" x14ac:dyDescent="0.25">
      <c r="D117" s="119" t="s">
        <v>119</v>
      </c>
      <c r="E117" s="21" t="s">
        <v>117</v>
      </c>
      <c r="F117" s="21"/>
      <c r="G117" s="107">
        <v>44120</v>
      </c>
      <c r="H117" s="21" t="s">
        <v>146</v>
      </c>
    </row>
    <row r="118" spans="4:8" x14ac:dyDescent="0.25">
      <c r="D118" s="119" t="s">
        <v>145</v>
      </c>
      <c r="E118" s="21" t="s">
        <v>117</v>
      </c>
      <c r="F118" s="21"/>
      <c r="G118" s="107">
        <v>44120</v>
      </c>
      <c r="H118" s="21" t="s">
        <v>146</v>
      </c>
    </row>
    <row r="119" spans="4:8" x14ac:dyDescent="0.25">
      <c r="D119" s="120" t="s">
        <v>140</v>
      </c>
      <c r="E119" s="107">
        <v>44120</v>
      </c>
      <c r="F119" s="21" t="s">
        <v>146</v>
      </c>
      <c r="G119" s="21" t="s">
        <v>117</v>
      </c>
      <c r="H119" s="21"/>
    </row>
    <row r="120" spans="4:8" x14ac:dyDescent="0.25">
      <c r="D120" s="120" t="s">
        <v>138</v>
      </c>
      <c r="E120" s="107">
        <v>44120</v>
      </c>
      <c r="F120" s="21" t="s">
        <v>146</v>
      </c>
      <c r="G120" s="21" t="s">
        <v>117</v>
      </c>
      <c r="H120" s="21"/>
    </row>
    <row r="121" spans="4:8" x14ac:dyDescent="0.25">
      <c r="D121" s="120" t="s">
        <v>139</v>
      </c>
      <c r="E121" s="107">
        <v>44120</v>
      </c>
      <c r="F121" s="21" t="s">
        <v>146</v>
      </c>
      <c r="G121" s="21" t="s">
        <v>117</v>
      </c>
      <c r="H121" s="21"/>
    </row>
  </sheetData>
  <customSheetViews>
    <customSheetView guid="{7E0EA425-A420-4443-B9E0-CDF0AA9E5D09}" scale="85">
      <selection activeCell="D59" sqref="D59:F59"/>
      <pageMargins left="0.7" right="0.7" top="0.75" bottom="0.75" header="0.3" footer="0.3"/>
      <pageSetup orientation="portrait" horizontalDpi="300" r:id="rId1"/>
    </customSheetView>
    <customSheetView guid="{C94451EF-7A3E-4D72-B5A4-3D1B193192CC}" scale="85" showPageBreaks="1">
      <selection activeCell="F18" sqref="F18"/>
      <pageMargins left="0.7" right="0.7" top="0.75" bottom="0.75" header="0.3" footer="0.3"/>
      <pageSetup orientation="portrait" horizontalDpi="300" r:id="rId2"/>
    </customSheetView>
    <customSheetView guid="{7ECC2B8E-6A82-42F5-8AB0-4A51C54EA5EC}" scale="85" showPageBreaks="1" topLeftCell="D1">
      <selection activeCell="U23" sqref="U23"/>
      <pageMargins left="0.7" right="0.7" top="0.75" bottom="0.75" header="0.3" footer="0.3"/>
      <pageSetup orientation="portrait" horizontalDpi="300" r:id="rId3"/>
    </customSheetView>
    <customSheetView guid="{4E06BDBF-2CED-473B-850B-2A6C7311FF41}" scale="85" showPageBreaks="1" topLeftCell="A40">
      <selection activeCell="A96" sqref="A96:XFD96"/>
      <pageMargins left="0.7" right="0.7" top="0.75" bottom="0.75" header="0.3" footer="0.3"/>
      <pageSetup orientation="portrait" horizontalDpi="300" r:id="rId4"/>
    </customSheetView>
    <customSheetView guid="{970EE037-F5E5-47AF-896A-0F6222879EBC}" scale="85">
      <selection activeCell="K9" sqref="K9"/>
      <pageMargins left="0.7" right="0.7" top="0.75" bottom="0.75" header="0.3" footer="0.3"/>
      <pageSetup orientation="portrait" horizontalDpi="300" r:id="rId5"/>
    </customSheetView>
    <customSheetView guid="{F96FC7D9-4F89-4FE0-8D00-C0083DEB0472}" scale="85">
      <selection activeCell="G8" sqref="G8"/>
      <pageMargins left="0.7" right="0.7" top="0.75" bottom="0.75" header="0.3" footer="0.3"/>
      <pageSetup orientation="portrait" horizontalDpi="300" verticalDpi="0" r:id="rId6"/>
    </customSheetView>
    <customSheetView guid="{A2C66332-A809-458E-971B-FDB6D62C74C3}" scale="85" topLeftCell="A34">
      <selection activeCell="K9" sqref="K9"/>
      <pageMargins left="0.7" right="0.7" top="0.75" bottom="0.75" header="0.3" footer="0.3"/>
      <pageSetup orientation="portrait" horizontalDpi="300" verticalDpi="0" r:id="rId7"/>
    </customSheetView>
    <customSheetView guid="{3B3E6719-EACB-4D2C-89C1-05FFAB6020FD}" scale="85" topLeftCell="A10">
      <selection activeCell="A148" sqref="A148:XFD148"/>
      <pageMargins left="0.7" right="0.7" top="0.75" bottom="0.75" header="0.3" footer="0.3"/>
      <pageSetup orientation="portrait" horizontalDpi="300" verticalDpi="0" r:id="rId8"/>
    </customSheetView>
    <customSheetView guid="{D33AC7AF-C8AB-4CE9-94C7-9237011A5FC3}" scale="85" topLeftCell="D1">
      <selection activeCell="Q108" sqref="Q108"/>
      <pageMargins left="0.7" right="0.7" top="0.75" bottom="0.75" header="0.3" footer="0.3"/>
      <pageSetup orientation="portrait" horizontalDpi="300" r:id="rId9"/>
    </customSheetView>
    <customSheetView guid="{60D2C030-4E31-4E07-8E1C-44D2EE84B177}" scale="85" topLeftCell="D1">
      <selection activeCell="D11" sqref="A11:XFD11"/>
      <pageMargins left="0.7" right="0.7" top="0.75" bottom="0.75" header="0.3" footer="0.3"/>
      <pageSetup orientation="portrait" horizontalDpi="300" r:id="rId10"/>
    </customSheetView>
    <customSheetView guid="{A2E8CE38-D15E-4374-89B2-69D9421C4465}" scale="85" showPageBreaks="1" topLeftCell="D1">
      <selection activeCell="Q108" sqref="Q108"/>
      <pageMargins left="0.7" right="0.7" top="0.75" bottom="0.75" header="0.3" footer="0.3"/>
      <pageSetup orientation="portrait" horizontalDpi="300" r:id="rId11"/>
    </customSheetView>
    <customSheetView guid="{336B6883-2145-4B58-921E-CEC7185A847E}" scale="85" topLeftCell="D1">
      <selection activeCell="Q108" sqref="Q108"/>
      <pageMargins left="0.7" right="0.7" top="0.75" bottom="0.75" header="0.3" footer="0.3"/>
      <pageSetup orientation="portrait" horizontalDpi="300" r:id="rId12"/>
    </customSheetView>
    <customSheetView guid="{89C03E1E-B6A8-49A1-B29C-5DC4FAB2FBC6}" scale="85" topLeftCell="D1">
      <selection activeCell="Q108" sqref="Q108"/>
      <pageMargins left="0.7" right="0.7" top="0.75" bottom="0.75" header="0.3" footer="0.3"/>
      <pageSetup orientation="portrait" horizontalDpi="300" r:id="rId13"/>
    </customSheetView>
    <customSheetView guid="{FECB4C41-27E8-4A22-AFB3-4F54CDD4960E}" scale="85" topLeftCell="D1">
      <selection activeCell="Q11" sqref="Q11"/>
      <pageMargins left="0.7" right="0.7" top="0.75" bottom="0.75" header="0.3" footer="0.3"/>
      <pageSetup orientation="portrait" horizontalDpi="300" r:id="rId14"/>
    </customSheetView>
    <customSheetView guid="{99BC1C51-34DC-4BF2-906C-1E31B6171D71}" scale="85" topLeftCell="D1">
      <selection activeCell="Q108" sqref="Q108"/>
      <pageMargins left="0.7" right="0.7" top="0.75" bottom="0.75" header="0.3" footer="0.3"/>
      <pageSetup orientation="portrait" horizontalDpi="300" r:id="rId15"/>
    </customSheetView>
  </customSheetViews>
  <mergeCells count="8">
    <mergeCell ref="D59:F59"/>
    <mergeCell ref="D60:F60"/>
    <mergeCell ref="D61:F61"/>
    <mergeCell ref="D62:F62"/>
    <mergeCell ref="N59:P59"/>
    <mergeCell ref="N60:P60"/>
    <mergeCell ref="N61:P61"/>
    <mergeCell ref="N62:P62"/>
  </mergeCells>
  <conditionalFormatting sqref="H26:H27 H4:H13">
    <cfRule type="cellIs" dxfId="7" priority="33" operator="equal">
      <formula>1</formula>
    </cfRule>
    <cfRule type="cellIs" dxfId="6" priority="34" operator="lessThan">
      <formula>1</formula>
    </cfRule>
  </conditionalFormatting>
  <conditionalFormatting sqref="R26:R27">
    <cfRule type="cellIs" dxfId="5" priority="23" operator="equal">
      <formula>1</formula>
    </cfRule>
    <cfRule type="cellIs" dxfId="4" priority="24" operator="lessThan">
      <formula>1</formula>
    </cfRule>
  </conditionalFormatting>
  <conditionalFormatting sqref="H14">
    <cfRule type="cellIs" dxfId="3" priority="11" operator="equal">
      <formula>1</formula>
    </cfRule>
    <cfRule type="cellIs" dxfId="2" priority="12" operator="lessThan">
      <formula>1</formula>
    </cfRule>
  </conditionalFormatting>
  <pageMargins left="0.7" right="0.7" top="0.75" bottom="0.75" header="0.3" footer="0.3"/>
  <pageSetup orientation="portrait" horizontalDpi="300" r:id="rId1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1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2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G4:G14 R4:R14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148"/>
  <sheetViews>
    <sheetView topLeftCell="A19" workbookViewId="0">
      <selection activeCell="D22" sqref="D22"/>
    </sheetView>
  </sheetViews>
  <sheetFormatPr defaultRowHeight="15" x14ac:dyDescent="0.25"/>
  <cols>
    <col min="2" max="2" width="11.7109375" bestFit="1" customWidth="1"/>
    <col min="3" max="3" width="24.85546875" bestFit="1" customWidth="1"/>
    <col min="4" max="4" width="20.140625" customWidth="1"/>
    <col min="5" max="5" width="33.85546875" customWidth="1"/>
    <col min="7" max="7" width="31.42578125" customWidth="1"/>
    <col min="8" max="8" width="54.7109375" customWidth="1"/>
    <col min="11" max="15" width="9.140625" customWidth="1"/>
  </cols>
  <sheetData>
    <row r="2" spans="2:5" x14ac:dyDescent="0.25">
      <c r="B2" s="9" t="s">
        <v>11</v>
      </c>
    </row>
    <row r="3" spans="2:5" x14ac:dyDescent="0.25">
      <c r="B3" s="2" t="s">
        <v>4</v>
      </c>
      <c r="C3" s="10" t="s">
        <v>2</v>
      </c>
      <c r="D3" s="10" t="s">
        <v>3</v>
      </c>
    </row>
    <row r="4" spans="2:5" x14ac:dyDescent="0.25">
      <c r="B4" s="10">
        <v>1</v>
      </c>
      <c r="C4" s="11">
        <v>130</v>
      </c>
      <c r="D4" s="11">
        <v>450</v>
      </c>
    </row>
    <row r="6" spans="2:5" x14ac:dyDescent="0.25">
      <c r="B6" s="1" t="s">
        <v>42</v>
      </c>
    </row>
    <row r="7" spans="2:5" x14ac:dyDescent="0.25">
      <c r="B7" s="2" t="s">
        <v>0</v>
      </c>
      <c r="C7" s="2" t="s">
        <v>1</v>
      </c>
      <c r="D7" s="2" t="s">
        <v>47</v>
      </c>
      <c r="E7" s="4" t="s">
        <v>44</v>
      </c>
    </row>
    <row r="8" spans="2:5" ht="60" x14ac:dyDescent="0.25">
      <c r="B8" s="12">
        <v>1</v>
      </c>
      <c r="C8" s="12" t="s">
        <v>2</v>
      </c>
      <c r="D8" s="12" t="s">
        <v>45</v>
      </c>
      <c r="E8" s="13" t="s">
        <v>9</v>
      </c>
    </row>
    <row r="9" spans="2:5" ht="75" x14ac:dyDescent="0.25">
      <c r="B9" s="12">
        <v>2</v>
      </c>
      <c r="C9" s="12" t="s">
        <v>3</v>
      </c>
      <c r="D9" s="12" t="s">
        <v>46</v>
      </c>
      <c r="E9" s="13" t="s">
        <v>10</v>
      </c>
    </row>
    <row r="11" spans="2:5" x14ac:dyDescent="0.25">
      <c r="B11" s="1" t="s">
        <v>43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61</v>
      </c>
    </row>
    <row r="14" spans="2:5" x14ac:dyDescent="0.25">
      <c r="B14" s="3">
        <v>2</v>
      </c>
      <c r="C14" s="3" t="s">
        <v>63</v>
      </c>
    </row>
    <row r="15" spans="2:5" x14ac:dyDescent="0.25">
      <c r="B15" s="3">
        <v>3</v>
      </c>
      <c r="C15" s="3" t="s">
        <v>152</v>
      </c>
    </row>
    <row r="16" spans="2:5" x14ac:dyDescent="0.25">
      <c r="B16" s="3">
        <v>4</v>
      </c>
      <c r="C16" s="3" t="s">
        <v>64</v>
      </c>
    </row>
    <row r="17" spans="2:5" x14ac:dyDescent="0.25">
      <c r="B17" s="3">
        <v>5</v>
      </c>
      <c r="C17" s="3" t="s">
        <v>66</v>
      </c>
    </row>
    <row r="18" spans="2:5" x14ac:dyDescent="0.25">
      <c r="B18" s="3">
        <v>6</v>
      </c>
      <c r="C18" s="3" t="s">
        <v>109</v>
      </c>
    </row>
    <row r="19" spans="2:5" x14ac:dyDescent="0.25">
      <c r="B19" s="3">
        <v>7</v>
      </c>
      <c r="C19" s="3" t="s">
        <v>147</v>
      </c>
    </row>
    <row r="20" spans="2:5" x14ac:dyDescent="0.25">
      <c r="B20" s="3">
        <v>8</v>
      </c>
      <c r="C20" s="3" t="s">
        <v>141</v>
      </c>
    </row>
    <row r="21" spans="2:5" x14ac:dyDescent="0.25">
      <c r="B21" s="3">
        <v>9</v>
      </c>
      <c r="C21" s="3" t="s">
        <v>142</v>
      </c>
    </row>
    <row r="22" spans="2:5" x14ac:dyDescent="0.25">
      <c r="B22" s="3">
        <v>10</v>
      </c>
      <c r="C22" s="3" t="s">
        <v>143</v>
      </c>
    </row>
    <row r="23" spans="2:5" x14ac:dyDescent="0.25">
      <c r="B23" s="3">
        <v>11</v>
      </c>
      <c r="C23" s="3"/>
    </row>
    <row r="25" spans="2:5" x14ac:dyDescent="0.25">
      <c r="B25" s="9" t="s">
        <v>19</v>
      </c>
    </row>
    <row r="26" spans="2:5" x14ac:dyDescent="0.25">
      <c r="B26" s="2" t="s">
        <v>0</v>
      </c>
      <c r="C26" s="2" t="s">
        <v>17</v>
      </c>
    </row>
    <row r="27" spans="2:5" x14ac:dyDescent="0.25">
      <c r="B27" s="2">
        <v>1</v>
      </c>
      <c r="C27" s="3" t="s">
        <v>20</v>
      </c>
      <c r="E27" s="21"/>
    </row>
    <row r="28" spans="2:5" x14ac:dyDescent="0.25">
      <c r="B28" s="2">
        <v>2</v>
      </c>
      <c r="C28" s="3" t="s">
        <v>23</v>
      </c>
    </row>
    <row r="29" spans="2:5" x14ac:dyDescent="0.25">
      <c r="B29" s="2">
        <v>3</v>
      </c>
      <c r="C29" s="3" t="s">
        <v>18</v>
      </c>
    </row>
    <row r="30" spans="2:5" x14ac:dyDescent="0.25">
      <c r="B30" s="2">
        <v>4</v>
      </c>
      <c r="C30" s="3" t="s">
        <v>69</v>
      </c>
    </row>
    <row r="31" spans="2:5" x14ac:dyDescent="0.25">
      <c r="B31" s="2">
        <v>5</v>
      </c>
      <c r="C31" s="3" t="s">
        <v>21</v>
      </c>
    </row>
    <row r="32" spans="2:5" x14ac:dyDescent="0.25">
      <c r="B32" s="2">
        <v>6</v>
      </c>
      <c r="C32" s="3" t="s">
        <v>79</v>
      </c>
    </row>
    <row r="33" spans="2:4" x14ac:dyDescent="0.25">
      <c r="B33" s="2">
        <v>7</v>
      </c>
      <c r="C33" s="3" t="s">
        <v>70</v>
      </c>
    </row>
    <row r="35" spans="2:4" x14ac:dyDescent="0.25">
      <c r="B35" s="9" t="s">
        <v>115</v>
      </c>
    </row>
    <row r="36" spans="2:4" x14ac:dyDescent="0.25">
      <c r="B36" s="2" t="s">
        <v>0</v>
      </c>
      <c r="C36" s="2" t="s">
        <v>17</v>
      </c>
    </row>
    <row r="37" spans="2:4" x14ac:dyDescent="0.25">
      <c r="B37" s="2">
        <v>1</v>
      </c>
      <c r="C37" s="3" t="s">
        <v>107</v>
      </c>
    </row>
    <row r="38" spans="2:4" x14ac:dyDescent="0.25">
      <c r="B38" s="2">
        <v>2</v>
      </c>
      <c r="C38" s="3" t="s">
        <v>116</v>
      </c>
    </row>
    <row r="39" spans="2:4" x14ac:dyDescent="0.25">
      <c r="B39" s="2">
        <v>3</v>
      </c>
      <c r="C39" s="3" t="s">
        <v>117</v>
      </c>
    </row>
    <row r="41" spans="2:4" x14ac:dyDescent="0.25">
      <c r="B41" s="1" t="s">
        <v>73</v>
      </c>
    </row>
    <row r="42" spans="2:4" x14ac:dyDescent="0.25">
      <c r="B42" s="2" t="s">
        <v>0</v>
      </c>
      <c r="C42" s="2" t="s">
        <v>17</v>
      </c>
    </row>
    <row r="43" spans="2:4" x14ac:dyDescent="0.25">
      <c r="B43" s="2">
        <v>1</v>
      </c>
      <c r="C43" s="3" t="s">
        <v>130</v>
      </c>
    </row>
    <row r="44" spans="2:4" x14ac:dyDescent="0.25">
      <c r="B44" s="2">
        <v>2</v>
      </c>
      <c r="C44" s="3" t="s">
        <v>131</v>
      </c>
    </row>
    <row r="46" spans="2:4" x14ac:dyDescent="0.25">
      <c r="B46" s="1" t="s">
        <v>112</v>
      </c>
    </row>
    <row r="47" spans="2:4" x14ac:dyDescent="0.25">
      <c r="B47" s="2" t="s">
        <v>0</v>
      </c>
      <c r="C47" s="2" t="s">
        <v>17</v>
      </c>
    </row>
    <row r="48" spans="2:4" x14ac:dyDescent="0.25">
      <c r="B48" s="2">
        <v>1</v>
      </c>
      <c r="C48" s="3" t="s">
        <v>164</v>
      </c>
      <c r="D48" t="s">
        <v>160</v>
      </c>
    </row>
    <row r="49" spans="2:11" x14ac:dyDescent="0.25">
      <c r="B49" s="2">
        <v>2</v>
      </c>
      <c r="C49" s="3" t="s">
        <v>165</v>
      </c>
      <c r="D49" t="s">
        <v>161</v>
      </c>
    </row>
    <row r="50" spans="2:11" x14ac:dyDescent="0.25">
      <c r="B50" s="2">
        <v>3</v>
      </c>
      <c r="C50" s="3" t="s">
        <v>166</v>
      </c>
      <c r="D50" t="s">
        <v>162</v>
      </c>
    </row>
    <row r="51" spans="2:11" x14ac:dyDescent="0.25">
      <c r="B51" s="2">
        <v>4</v>
      </c>
      <c r="C51" s="3" t="s">
        <v>167</v>
      </c>
      <c r="D51" t="s">
        <v>163</v>
      </c>
    </row>
    <row r="57" spans="2:11" x14ac:dyDescent="0.25">
      <c r="G57" s="158" t="s">
        <v>53</v>
      </c>
      <c r="H57" s="158" t="s">
        <v>8</v>
      </c>
      <c r="I57" s="158" t="s">
        <v>874</v>
      </c>
      <c r="J57" s="158" t="s">
        <v>81</v>
      </c>
      <c r="K57" s="158" t="s">
        <v>875</v>
      </c>
    </row>
    <row r="58" spans="2:11" x14ac:dyDescent="0.25">
      <c r="G58" s="159" t="s">
        <v>1349</v>
      </c>
      <c r="H58" s="3" t="s">
        <v>878</v>
      </c>
      <c r="I58" s="3" t="s">
        <v>168</v>
      </c>
      <c r="J58" s="160">
        <f>SUMIFS(Merged_JOEM!$Y$60:$Y$491,Merged_JOEM!$E$60:$E$491,$G$58,Merged_JOEM!$R$60:$R$491,I58)/8</f>
        <v>4.1000000000000005</v>
      </c>
      <c r="K58" s="3" t="s">
        <v>873</v>
      </c>
    </row>
    <row r="59" spans="2:11" x14ac:dyDescent="0.25">
      <c r="G59" s="161"/>
      <c r="H59" s="3" t="s">
        <v>920</v>
      </c>
      <c r="I59" s="3" t="s">
        <v>169</v>
      </c>
      <c r="J59" s="160">
        <f>SUMIFS(Merged_JOEM!$Y$60:$Y$491,Merged_JOEM!$E$60:$E$491,$G$58,Merged_JOEM!$R$60:$R$491,I59)/8</f>
        <v>3.2199999999999993</v>
      </c>
      <c r="K59" s="3" t="s">
        <v>873</v>
      </c>
    </row>
    <row r="60" spans="2:11" x14ac:dyDescent="0.25">
      <c r="G60" s="161"/>
      <c r="H60" s="3" t="s">
        <v>876</v>
      </c>
      <c r="I60" s="3" t="s">
        <v>170</v>
      </c>
      <c r="J60" s="160">
        <f>SUMIFS(Merged_JOEM!$Y$60:$Y$491,Merged_JOEM!$E$60:$E$491,$G$58,Merged_JOEM!$R$60:$R$491,I60)/8</f>
        <v>4.16</v>
      </c>
      <c r="K60" s="3" t="s">
        <v>873</v>
      </c>
    </row>
    <row r="61" spans="2:11" x14ac:dyDescent="0.25">
      <c r="G61" s="161"/>
      <c r="H61" s="3" t="s">
        <v>921</v>
      </c>
      <c r="I61" s="3" t="s">
        <v>171</v>
      </c>
      <c r="J61" s="160">
        <f>SUMIFS(Merged_JOEM!$Y$60:$Y$491,Merged_JOEM!$E$60:$E$491,$G$58,Merged_JOEM!$R$60:$R$491,I61)/8</f>
        <v>4.2399999999999993</v>
      </c>
      <c r="K61" s="3" t="s">
        <v>873</v>
      </c>
    </row>
    <row r="62" spans="2:11" x14ac:dyDescent="0.25">
      <c r="G62" s="164"/>
      <c r="H62" s="3" t="s">
        <v>877</v>
      </c>
      <c r="I62" s="3" t="s">
        <v>172</v>
      </c>
      <c r="J62" s="160">
        <f>SUMIFS(Merged_JOEM!$Y$60:$Y$491,Merged_JOEM!$E$60:$E$491,$G$58,Merged_JOEM!$R$60:$R$491,I62)/8</f>
        <v>4.28</v>
      </c>
      <c r="K62" s="3" t="s">
        <v>873</v>
      </c>
    </row>
    <row r="63" spans="2:11" x14ac:dyDescent="0.25">
      <c r="G63" s="162"/>
      <c r="H63" s="3"/>
      <c r="I63" s="3" t="s">
        <v>1604</v>
      </c>
      <c r="J63" s="160">
        <f>SUMIFS(Merged_JOEM!$Y$60:$Y$491,Merged_JOEM!$E$60:$E$491,$G$58,Merged_JOEM!$R$60:$R$491,I63)/8</f>
        <v>0</v>
      </c>
      <c r="K63" s="3" t="s">
        <v>873</v>
      </c>
    </row>
    <row r="64" spans="2:11" x14ac:dyDescent="0.25">
      <c r="G64" s="163"/>
      <c r="H64" s="3"/>
      <c r="I64" s="3" t="s">
        <v>1245</v>
      </c>
      <c r="J64" s="160">
        <f>SUMIFS(Merged_JOEM!$Y$60:$Y$491,Merged_JOEM!$E$60:$E$491,$G$58,Merged_JOEM!$R$60:$R$491,I64)/8</f>
        <v>0</v>
      </c>
      <c r="K64" s="3" t="s">
        <v>873</v>
      </c>
    </row>
    <row r="71" spans="7:11" x14ac:dyDescent="0.25">
      <c r="H71" s="3" t="s">
        <v>920</v>
      </c>
    </row>
    <row r="72" spans="7:11" x14ac:dyDescent="0.25">
      <c r="H72" s="3" t="s">
        <v>876</v>
      </c>
    </row>
    <row r="73" spans="7:11" x14ac:dyDescent="0.25">
      <c r="H73" s="3" t="s">
        <v>878</v>
      </c>
    </row>
    <row r="74" spans="7:11" x14ac:dyDescent="0.25">
      <c r="H74" s="3" t="s">
        <v>877</v>
      </c>
    </row>
    <row r="75" spans="7:11" x14ac:dyDescent="0.25">
      <c r="H75" s="3" t="s">
        <v>921</v>
      </c>
    </row>
    <row r="79" spans="7:11" x14ac:dyDescent="0.25">
      <c r="G79" s="158" t="s">
        <v>53</v>
      </c>
      <c r="H79" s="158" t="s">
        <v>8</v>
      </c>
      <c r="I79" s="158" t="s">
        <v>874</v>
      </c>
      <c r="J79" s="158" t="s">
        <v>81</v>
      </c>
      <c r="K79" s="158" t="s">
        <v>875</v>
      </c>
    </row>
    <row r="80" spans="7:11" x14ac:dyDescent="0.25">
      <c r="G80" s="159" t="s">
        <v>832</v>
      </c>
      <c r="H80" s="3" t="s">
        <v>921</v>
      </c>
      <c r="I80" s="3" t="s">
        <v>168</v>
      </c>
      <c r="J80" s="160">
        <v>3.7399999999999998</v>
      </c>
      <c r="K80" s="3" t="s">
        <v>873</v>
      </c>
    </row>
    <row r="81" spans="7:11" x14ac:dyDescent="0.25">
      <c r="G81" s="161"/>
      <c r="H81" s="3" t="s">
        <v>877</v>
      </c>
      <c r="I81" s="3" t="s">
        <v>169</v>
      </c>
      <c r="J81" s="160">
        <v>3.44</v>
      </c>
      <c r="K81" s="3" t="s">
        <v>873</v>
      </c>
    </row>
    <row r="82" spans="7:11" x14ac:dyDescent="0.25">
      <c r="G82" s="161"/>
      <c r="H82" s="3" t="s">
        <v>878</v>
      </c>
      <c r="I82" s="3" t="s">
        <v>170</v>
      </c>
      <c r="J82" s="160">
        <v>3.6900000000000004</v>
      </c>
      <c r="K82" s="3" t="s">
        <v>873</v>
      </c>
    </row>
    <row r="83" spans="7:11" x14ac:dyDescent="0.25">
      <c r="G83" s="161"/>
      <c r="H83" s="3" t="s">
        <v>920</v>
      </c>
      <c r="I83" s="3" t="s">
        <v>171</v>
      </c>
      <c r="J83" s="160">
        <v>3.3600000000000008</v>
      </c>
      <c r="K83" s="3" t="s">
        <v>873</v>
      </c>
    </row>
    <row r="84" spans="7:11" x14ac:dyDescent="0.25">
      <c r="G84" s="164"/>
      <c r="H84" s="3" t="s">
        <v>876</v>
      </c>
      <c r="I84" s="3" t="s">
        <v>172</v>
      </c>
      <c r="J84" s="160">
        <v>3.8080000000000007</v>
      </c>
      <c r="K84" s="3" t="s">
        <v>873</v>
      </c>
    </row>
    <row r="114" spans="7:7" x14ac:dyDescent="0.25">
      <c r="G114" s="89"/>
    </row>
    <row r="144" spans="5:9" x14ac:dyDescent="0.25">
      <c r="E144" t="s">
        <v>1177</v>
      </c>
      <c r="F144" t="s">
        <v>1182</v>
      </c>
      <c r="G144" t="s">
        <v>1183</v>
      </c>
      <c r="H144" t="s">
        <v>1188</v>
      </c>
      <c r="I144" t="str">
        <f>E144&amp;F144&amp;G144&amp;H144</f>
        <v>ls_WauUzLinePrevious_b =local_ls_WauUzLinePrevious_b ;</v>
      </c>
    </row>
    <row r="145" spans="5:9" x14ac:dyDescent="0.25">
      <c r="E145" t="s">
        <v>1178</v>
      </c>
      <c r="F145" t="s">
        <v>1182</v>
      </c>
      <c r="G145" t="s">
        <v>1184</v>
      </c>
      <c r="H145" t="s">
        <v>1188</v>
      </c>
      <c r="I145" t="str">
        <f>E145&amp;F145&amp;G145&amp;H145</f>
        <v>ls_IGPStatusPrev_b =local_ls_IGPStatusPrev_b ;</v>
      </c>
    </row>
    <row r="146" spans="5:9" x14ac:dyDescent="0.25">
      <c r="E146" t="s">
        <v>1179</v>
      </c>
      <c r="F146" t="s">
        <v>1182</v>
      </c>
      <c r="G146" t="s">
        <v>1185</v>
      </c>
      <c r="H146" t="s">
        <v>1188</v>
      </c>
      <c r="I146" t="str">
        <f>E146&amp;F146&amp;G146&amp;H146</f>
        <v>ls_IsInitSetIGR_b  =local_ls_IsInitSetIGR_b  ;</v>
      </c>
    </row>
    <row r="147" spans="5:9" x14ac:dyDescent="0.25">
      <c r="E147" t="s">
        <v>1180</v>
      </c>
      <c r="F147" t="s">
        <v>1182</v>
      </c>
      <c r="G147" t="s">
        <v>1186</v>
      </c>
      <c r="H147" t="s">
        <v>1188</v>
      </c>
      <c r="I147" t="str">
        <f>E147&amp;F147&amp;G147&amp;H147</f>
        <v>ls_IsInitSetIGP_b  =local_ls_IsInitSetIGP_b  ;</v>
      </c>
    </row>
    <row r="148" spans="5:9" x14ac:dyDescent="0.25">
      <c r="E148" t="s">
        <v>1181</v>
      </c>
      <c r="F148" t="s">
        <v>1182</v>
      </c>
      <c r="G148" t="s">
        <v>1187</v>
      </c>
      <c r="H148" t="s">
        <v>1188</v>
      </c>
      <c r="I148" t="str">
        <f>E148&amp;F148&amp;G148&amp;H148</f>
        <v>ls_IsInitSetECU_b  =local_ls_IsInitSetECU_b  ;</v>
      </c>
    </row>
  </sheetData>
  <customSheetViews>
    <customSheetView guid="{7E0EA425-A420-4443-B9E0-CDF0AA9E5D09}" topLeftCell="A19">
      <selection activeCell="D22" sqref="D22"/>
      <pageMargins left="0.7" right="0.7" top="0.75" bottom="0.75" header="0.3" footer="0.3"/>
      <pageSetup orientation="portrait" horizontalDpi="300" verticalDpi="0" r:id="rId1"/>
    </customSheetView>
    <customSheetView guid="{C94451EF-7A3E-4D72-B5A4-3D1B193192CC}" showPageBreaks="1" topLeftCell="A28">
      <selection activeCell="A27" sqref="A27:XFD27"/>
      <pageMargins left="0.7" right="0.7" top="0.75" bottom="0.75" header="0.3" footer="0.3"/>
      <pageSetup paperSize="9" orientation="portrait" r:id="rId2"/>
    </customSheetView>
    <customSheetView guid="{7ECC2B8E-6A82-42F5-8AB0-4A51C54EA5EC}" showPageBreaks="1" topLeftCell="A46">
      <selection activeCell="E70" sqref="E70"/>
      <pageMargins left="0.7" right="0.7" top="0.75" bottom="0.75" header="0.3" footer="0.3"/>
      <pageSetup paperSize="9" orientation="portrait" r:id="rId3"/>
    </customSheetView>
    <customSheetView guid="{4E06BDBF-2CED-473B-850B-2A6C7311FF41}" showPageBreaks="1">
      <selection activeCell="C13" sqref="C13:C22"/>
      <pageMargins left="0.7" right="0.7" top="0.75" bottom="0.75" header="0.3" footer="0.3"/>
      <pageSetup orientation="portrait" horizontalDpi="300" r:id="rId4"/>
    </customSheetView>
    <customSheetView guid="{970EE037-F5E5-47AF-896A-0F6222879EBC}">
      <selection activeCell="C26" sqref="C26"/>
      <pageMargins left="0.7" right="0.7" top="0.75" bottom="0.75" header="0.3" footer="0.3"/>
      <pageSetup orientation="portrait" horizontalDpi="300" verticalDpi="0" r:id="rId5"/>
    </customSheetView>
    <customSheetView guid="{F96FC7D9-4F89-4FE0-8D00-C0083DEB0472}">
      <selection activeCell="D4" sqref="D4"/>
      <pageMargins left="0.7" right="0.7" top="0.75" bottom="0.75" header="0.3" footer="0.3"/>
      <pageSetup orientation="portrait" horizontalDpi="300" verticalDpi="0" r:id="rId6"/>
    </customSheetView>
    <customSheetView guid="{A2C66332-A809-458E-971B-FDB6D62C74C3}">
      <selection activeCell="D4" sqref="D4"/>
      <pageMargins left="0.7" right="0.7" top="0.75" bottom="0.75" header="0.3" footer="0.3"/>
      <pageSetup orientation="portrait" horizontalDpi="300" verticalDpi="0" r:id="rId7"/>
    </customSheetView>
    <customSheetView guid="{3B3E6719-EACB-4D2C-89C1-05FFAB6020FD}">
      <selection activeCell="D4" sqref="D4"/>
      <pageMargins left="0.7" right="0.7" top="0.75" bottom="0.75" header="0.3" footer="0.3"/>
      <pageSetup orientation="portrait" horizontalDpi="300" verticalDpi="0" r:id="rId8"/>
    </customSheetView>
    <customSheetView guid="{D33AC7AF-C8AB-4CE9-94C7-9237011A5FC3}" topLeftCell="A31">
      <selection activeCell="C65" sqref="C65"/>
      <pageMargins left="0.7" right="0.7" top="0.75" bottom="0.75" header="0.3" footer="0.3"/>
      <pageSetup paperSize="9" orientation="portrait" r:id="rId9"/>
    </customSheetView>
    <customSheetView guid="{60D2C030-4E31-4E07-8E1C-44D2EE84B177}" topLeftCell="A127">
      <selection activeCell="H158" sqref="H158"/>
      <pageMargins left="0.7" right="0.7" top="0.75" bottom="0.75" header="0.3" footer="0.3"/>
      <pageSetup paperSize="9" orientation="portrait" r:id="rId10"/>
    </customSheetView>
    <customSheetView guid="{A2E8CE38-D15E-4374-89B2-69D9421C4465}" showPageBreaks="1" topLeftCell="A31">
      <selection activeCell="C65" sqref="C65"/>
      <pageMargins left="0.7" right="0.7" top="0.75" bottom="0.75" header="0.3" footer="0.3"/>
      <pageSetup paperSize="9" orientation="portrait" r:id="rId11"/>
    </customSheetView>
    <customSheetView guid="{336B6883-2145-4B58-921E-CEC7185A847E}" topLeftCell="A31">
      <selection activeCell="C65" sqref="C65"/>
      <pageMargins left="0.7" right="0.7" top="0.75" bottom="0.75" header="0.3" footer="0.3"/>
      <pageSetup paperSize="9" orientation="portrait" r:id="rId12"/>
    </customSheetView>
    <customSheetView guid="{89C03E1E-B6A8-49A1-B29C-5DC4FAB2FBC6}" topLeftCell="A31">
      <selection activeCell="C65" sqref="C65"/>
      <pageMargins left="0.7" right="0.7" top="0.75" bottom="0.75" header="0.3" footer="0.3"/>
      <pageSetup paperSize="9" orientation="portrait" r:id="rId13"/>
    </customSheetView>
    <customSheetView guid="{FECB4C41-27E8-4A22-AFB3-4F54CDD4960E}" topLeftCell="A31">
      <selection activeCell="C65" sqref="C65"/>
      <pageMargins left="0.7" right="0.7" top="0.75" bottom="0.75" header="0.3" footer="0.3"/>
      <pageSetup paperSize="9" orientation="portrait" r:id="rId14"/>
    </customSheetView>
    <customSheetView guid="{99BC1C51-34DC-4BF2-906C-1E31B6171D71}" topLeftCell="A31">
      <selection activeCell="C65" sqref="C65"/>
      <pageMargins left="0.7" right="0.7" top="0.75" bottom="0.75" header="0.3" footer="0.3"/>
      <pageSetup paperSize="9" orientation="portrait" r:id="rId15"/>
    </customSheetView>
  </customSheetViews>
  <pageMargins left="0.7" right="0.7" top="0.75" bottom="0.75" header="0.3" footer="0.3"/>
  <pageSetup orientation="portrait" horizontalDpi="300" verticalDpi="0" r:id="rId1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7E0EA425-A420-4443-B9E0-CDF0AA9E5D09}">
      <selection activeCell="P30" sqref="P30"/>
      <pageMargins left="0.7" right="0.7" top="0.75" bottom="0.75" header="0.3" footer="0.3"/>
    </customSheetView>
    <customSheetView guid="{C94451EF-7A3E-4D72-B5A4-3D1B193192CC}" showPageBreaks="1">
      <selection activeCell="P30" sqref="P30"/>
      <pageMargins left="0.7" right="0.7" top="0.75" bottom="0.75" header="0.3" footer="0.3"/>
      <pageSetup paperSize="9" orientation="portrait" r:id="rId1"/>
    </customSheetView>
    <customSheetView guid="{7ECC2B8E-6A82-42F5-8AB0-4A51C54EA5EC}" showPageBreaks="1">
      <selection activeCell="P30" sqref="P30"/>
      <pageMargins left="0.7" right="0.7" top="0.75" bottom="0.75" header="0.3" footer="0.3"/>
      <pageSetup paperSize="9" orientation="portrait" r:id="rId2"/>
    </customSheetView>
    <customSheetView guid="{4E06BDBF-2CED-473B-850B-2A6C7311FF41}" showPageBreaks="1">
      <selection activeCell="P30" sqref="P30"/>
      <pageMargins left="0.7" right="0.7" top="0.75" bottom="0.75" header="0.3" footer="0.3"/>
      <pageSetup paperSize="9" orientation="portrait" r:id="rId3"/>
    </customSheetView>
    <customSheetView guid="{970EE037-F5E5-47AF-896A-0F6222879EBC}">
      <selection activeCell="P30" sqref="P30"/>
      <pageMargins left="0.7" right="0.7" top="0.75" bottom="0.75" header="0.3" footer="0.3"/>
    </customSheetView>
    <customSheetView guid="{F96FC7D9-4F89-4FE0-8D00-C0083DEB0472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3B3E6719-EACB-4D2C-89C1-05FFAB6020FD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  <pageSetup paperSize="9" orientation="portrait" r:id="rId4"/>
    </customSheetView>
    <customSheetView guid="{60D2C030-4E31-4E07-8E1C-44D2EE84B177}">
      <selection activeCell="P30" sqref="P30"/>
      <pageMargins left="0.7" right="0.7" top="0.75" bottom="0.75" header="0.3" footer="0.3"/>
      <pageSetup paperSize="9" orientation="portrait" r:id="rId5"/>
    </customSheetView>
    <customSheetView guid="{A2E8CE38-D15E-4374-89B2-69D9421C4465}" showPageBreaks="1">
      <selection activeCell="P30" sqref="P30"/>
      <pageMargins left="0.7" right="0.7" top="0.75" bottom="0.75" header="0.3" footer="0.3"/>
      <pageSetup paperSize="9" orientation="portrait" r:id="rId6"/>
    </customSheetView>
    <customSheetView guid="{336B6883-2145-4B58-921E-CEC7185A847E}">
      <selection activeCell="P30" sqref="P30"/>
      <pageMargins left="0.7" right="0.7" top="0.75" bottom="0.75" header="0.3" footer="0.3"/>
      <pageSetup paperSize="9" orientation="portrait" r:id="rId7"/>
    </customSheetView>
    <customSheetView guid="{89C03E1E-B6A8-49A1-B29C-5DC4FAB2FBC6}">
      <selection activeCell="P30" sqref="P30"/>
      <pageMargins left="0.7" right="0.7" top="0.75" bottom="0.75" header="0.3" footer="0.3"/>
      <pageSetup paperSize="9" orientation="portrait" r:id="rId8"/>
    </customSheetView>
    <customSheetView guid="{FECB4C41-27E8-4A22-AFB3-4F54CDD4960E}">
      <selection activeCell="P30" sqref="P30"/>
      <pageMargins left="0.7" right="0.7" top="0.75" bottom="0.75" header="0.3" footer="0.3"/>
      <pageSetup paperSize="9" orientation="portrait" r:id="rId9"/>
    </customSheetView>
    <customSheetView guid="{99BC1C51-34DC-4BF2-906C-1E31B6171D71}">
      <selection activeCell="P30" sqref="P30"/>
      <pageMargins left="0.7" right="0.7" top="0.75" bottom="0.75" header="0.3" footer="0.3"/>
      <pageSetup paperSize="9" orientation="portrait" r:id="rId10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R25"/>
  <sheetViews>
    <sheetView workbookViewId="0">
      <selection activeCell="A26" sqref="A26:XFD26"/>
    </sheetView>
  </sheetViews>
  <sheetFormatPr defaultRowHeight="15" x14ac:dyDescent="0.25"/>
  <cols>
    <col min="4" max="4" width="6.85546875" customWidth="1"/>
    <col min="5" max="5" width="19.28515625" customWidth="1"/>
  </cols>
  <sheetData>
    <row r="3" spans="3:18" x14ac:dyDescent="0.25">
      <c r="C3" s="233" t="s">
        <v>887</v>
      </c>
      <c r="D3" s="233" t="s">
        <v>888</v>
      </c>
      <c r="E3" s="233" t="s">
        <v>889</v>
      </c>
      <c r="F3" s="233" t="s">
        <v>890</v>
      </c>
      <c r="G3" s="233" t="s">
        <v>891</v>
      </c>
      <c r="H3" s="233" t="s">
        <v>892</v>
      </c>
      <c r="I3" s="233" t="s">
        <v>1</v>
      </c>
      <c r="J3" s="233" t="s">
        <v>893</v>
      </c>
      <c r="K3" s="233" t="s">
        <v>894</v>
      </c>
      <c r="L3" s="233" t="s">
        <v>895</v>
      </c>
      <c r="M3" s="233" t="s">
        <v>902</v>
      </c>
      <c r="N3" s="233"/>
      <c r="O3" s="233"/>
      <c r="P3" s="233" t="s">
        <v>903</v>
      </c>
      <c r="Q3" s="233"/>
      <c r="R3" s="233" t="s">
        <v>904</v>
      </c>
    </row>
    <row r="4" spans="3:18" ht="25.5" x14ac:dyDescent="0.25"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167" t="s">
        <v>905</v>
      </c>
      <c r="N4" s="167" t="s">
        <v>906</v>
      </c>
      <c r="O4" s="171" t="s">
        <v>907</v>
      </c>
      <c r="P4" s="167" t="s">
        <v>908</v>
      </c>
      <c r="Q4" s="172" t="s">
        <v>909</v>
      </c>
      <c r="R4" s="233"/>
    </row>
    <row r="5" spans="3:18" x14ac:dyDescent="0.25">
      <c r="C5" s="168" t="s">
        <v>896</v>
      </c>
      <c r="D5" s="168">
        <v>2</v>
      </c>
      <c r="E5" s="169" t="s">
        <v>521</v>
      </c>
      <c r="F5" s="168">
        <v>1.4</v>
      </c>
      <c r="G5" s="168">
        <v>1.1000000000000001</v>
      </c>
      <c r="H5" s="168" t="s">
        <v>897</v>
      </c>
      <c r="I5" s="168" t="s">
        <v>174</v>
      </c>
      <c r="J5" s="168">
        <v>70</v>
      </c>
      <c r="K5" s="170">
        <v>2.5</v>
      </c>
      <c r="L5" s="169" t="s">
        <v>898</v>
      </c>
      <c r="M5" s="3"/>
      <c r="N5" s="3"/>
      <c r="O5" s="3"/>
      <c r="P5" s="3"/>
      <c r="Q5" s="3"/>
      <c r="R5" s="3"/>
    </row>
    <row r="6" spans="3:18" x14ac:dyDescent="0.25">
      <c r="C6" s="168" t="s">
        <v>896</v>
      </c>
      <c r="D6" s="168">
        <v>3</v>
      </c>
      <c r="E6" s="169" t="s">
        <v>522</v>
      </c>
      <c r="F6" s="168">
        <v>1.3</v>
      </c>
      <c r="G6" s="168">
        <v>1.1000000000000001</v>
      </c>
      <c r="H6" s="168" t="s">
        <v>897</v>
      </c>
      <c r="I6" s="168" t="s">
        <v>174</v>
      </c>
      <c r="J6" s="168">
        <v>30</v>
      </c>
      <c r="K6" s="170">
        <v>1.5</v>
      </c>
      <c r="L6" s="169" t="s">
        <v>899</v>
      </c>
      <c r="M6" s="3"/>
      <c r="N6" s="3"/>
      <c r="O6" s="3"/>
      <c r="P6" s="3"/>
      <c r="Q6" s="3"/>
      <c r="R6" s="3"/>
    </row>
    <row r="7" spans="3:18" x14ac:dyDescent="0.25">
      <c r="C7" s="168" t="s">
        <v>896</v>
      </c>
      <c r="D7" s="168">
        <v>5</v>
      </c>
      <c r="E7" s="169" t="s">
        <v>879</v>
      </c>
      <c r="F7" s="168">
        <v>1.3</v>
      </c>
      <c r="G7" s="168">
        <v>1.2</v>
      </c>
      <c r="H7" s="168" t="s">
        <v>897</v>
      </c>
      <c r="I7" s="168" t="s">
        <v>174</v>
      </c>
      <c r="J7" s="168">
        <v>35</v>
      </c>
      <c r="K7" s="170">
        <v>1.5</v>
      </c>
      <c r="L7" s="169" t="s">
        <v>900</v>
      </c>
      <c r="M7" s="3"/>
      <c r="N7" s="3"/>
      <c r="O7" s="3"/>
      <c r="P7" s="3"/>
      <c r="Q7" s="3"/>
      <c r="R7" s="3"/>
    </row>
    <row r="12" spans="3:18" x14ac:dyDescent="0.25">
      <c r="C12" s="233" t="s">
        <v>887</v>
      </c>
      <c r="D12" s="233" t="s">
        <v>888</v>
      </c>
      <c r="E12" s="233" t="s">
        <v>889</v>
      </c>
      <c r="F12" s="233" t="s">
        <v>890</v>
      </c>
      <c r="G12" s="233" t="s">
        <v>891</v>
      </c>
      <c r="H12" s="233" t="s">
        <v>892</v>
      </c>
      <c r="I12" s="233" t="s">
        <v>1</v>
      </c>
      <c r="J12" s="233" t="s">
        <v>893</v>
      </c>
      <c r="K12" s="233" t="s">
        <v>894</v>
      </c>
      <c r="L12" s="233" t="s">
        <v>895</v>
      </c>
      <c r="M12" s="233" t="s">
        <v>902</v>
      </c>
      <c r="N12" s="233"/>
      <c r="O12" s="233"/>
      <c r="P12" s="233" t="s">
        <v>903</v>
      </c>
      <c r="Q12" s="233"/>
      <c r="R12" s="233" t="s">
        <v>904</v>
      </c>
    </row>
    <row r="13" spans="3:18" ht="25.5" x14ac:dyDescent="0.25"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167" t="s">
        <v>905</v>
      </c>
      <c r="N13" s="167" t="s">
        <v>906</v>
      </c>
      <c r="O13" s="171" t="s">
        <v>907</v>
      </c>
      <c r="P13" s="167" t="s">
        <v>908</v>
      </c>
      <c r="Q13" s="172" t="s">
        <v>909</v>
      </c>
      <c r="R13" s="233"/>
    </row>
    <row r="14" spans="3:18" x14ac:dyDescent="0.25">
      <c r="C14" s="168" t="s">
        <v>901</v>
      </c>
      <c r="D14" s="168">
        <v>1</v>
      </c>
      <c r="E14" s="169" t="s">
        <v>882</v>
      </c>
      <c r="F14" s="168">
        <v>1.3</v>
      </c>
      <c r="G14" s="168">
        <v>1.2</v>
      </c>
      <c r="H14" s="168" t="s">
        <v>897</v>
      </c>
      <c r="I14" s="168" t="s">
        <v>174</v>
      </c>
      <c r="J14" s="168">
        <v>15</v>
      </c>
      <c r="K14" s="170">
        <v>1.5</v>
      </c>
      <c r="L14" s="169"/>
      <c r="M14" s="3">
        <v>100</v>
      </c>
      <c r="N14" s="3">
        <v>100</v>
      </c>
      <c r="O14" s="3"/>
      <c r="P14" s="3" t="s">
        <v>213</v>
      </c>
      <c r="Q14" s="3"/>
      <c r="R14" s="48" t="s">
        <v>994</v>
      </c>
    </row>
    <row r="15" spans="3:18" x14ac:dyDescent="0.25">
      <c r="C15" s="168" t="s">
        <v>901</v>
      </c>
      <c r="D15" s="168">
        <v>2</v>
      </c>
      <c r="E15" s="169" t="s">
        <v>883</v>
      </c>
      <c r="F15" s="168">
        <v>1.2</v>
      </c>
      <c r="G15" s="168">
        <v>1.1000000000000001</v>
      </c>
      <c r="H15" s="168" t="s">
        <v>897</v>
      </c>
      <c r="I15" s="168" t="s">
        <v>174</v>
      </c>
      <c r="J15" s="168">
        <v>20</v>
      </c>
      <c r="K15" s="170">
        <v>1.5</v>
      </c>
      <c r="L15" s="169"/>
      <c r="M15" s="3">
        <v>100</v>
      </c>
      <c r="N15" s="3">
        <v>100</v>
      </c>
      <c r="O15" s="3"/>
      <c r="P15" s="3" t="s">
        <v>213</v>
      </c>
      <c r="Q15" s="3"/>
      <c r="R15" s="48" t="s">
        <v>995</v>
      </c>
    </row>
    <row r="16" spans="3:18" x14ac:dyDescent="0.25">
      <c r="C16" s="168" t="s">
        <v>901</v>
      </c>
      <c r="D16" s="168">
        <v>6</v>
      </c>
      <c r="E16" s="169" t="s">
        <v>884</v>
      </c>
      <c r="F16" s="168">
        <v>1.6</v>
      </c>
      <c r="G16" s="168">
        <v>1.4</v>
      </c>
      <c r="H16" s="168" t="s">
        <v>897</v>
      </c>
      <c r="I16" s="168" t="s">
        <v>174</v>
      </c>
      <c r="J16" s="168">
        <v>60</v>
      </c>
      <c r="K16" s="170">
        <v>2.5</v>
      </c>
      <c r="L16" s="169"/>
      <c r="M16" s="3">
        <v>100</v>
      </c>
      <c r="N16" s="3">
        <v>100</v>
      </c>
      <c r="O16" s="3"/>
      <c r="P16" s="3">
        <v>100</v>
      </c>
      <c r="Q16" s="3"/>
      <c r="R16" s="48" t="s">
        <v>996</v>
      </c>
    </row>
    <row r="17" spans="3:18" x14ac:dyDescent="0.25">
      <c r="C17" s="168" t="s">
        <v>901</v>
      </c>
      <c r="D17" s="168">
        <v>7</v>
      </c>
      <c r="E17" s="169" t="s">
        <v>885</v>
      </c>
      <c r="F17" s="168">
        <v>1.2</v>
      </c>
      <c r="G17" s="168">
        <v>1.1000000000000001</v>
      </c>
      <c r="H17" s="168" t="s">
        <v>897</v>
      </c>
      <c r="I17" s="168" t="s">
        <v>174</v>
      </c>
      <c r="J17" s="168">
        <v>20</v>
      </c>
      <c r="K17" s="170">
        <v>1.5</v>
      </c>
      <c r="L17" s="169"/>
      <c r="M17" s="3">
        <v>100</v>
      </c>
      <c r="N17" s="3">
        <v>100</v>
      </c>
      <c r="O17" s="3"/>
      <c r="P17" s="3" t="s">
        <v>213</v>
      </c>
      <c r="Q17" s="3"/>
      <c r="R17" s="48" t="s">
        <v>998</v>
      </c>
    </row>
    <row r="18" spans="3:18" x14ac:dyDescent="0.25">
      <c r="C18" s="168" t="s">
        <v>901</v>
      </c>
      <c r="D18" s="168">
        <v>10</v>
      </c>
      <c r="E18" s="169" t="s">
        <v>886</v>
      </c>
      <c r="F18" s="168">
        <v>1.8</v>
      </c>
      <c r="G18" s="168">
        <v>1.6</v>
      </c>
      <c r="H18" s="168" t="s">
        <v>897</v>
      </c>
      <c r="I18" s="168" t="s">
        <v>174</v>
      </c>
      <c r="J18" s="168">
        <v>160</v>
      </c>
      <c r="K18" s="170">
        <v>5</v>
      </c>
      <c r="L18" s="169"/>
      <c r="M18" s="3">
        <v>95</v>
      </c>
      <c r="N18" s="3">
        <v>95</v>
      </c>
      <c r="O18" s="14" t="s">
        <v>916</v>
      </c>
      <c r="P18" s="3">
        <v>100</v>
      </c>
      <c r="Q18" s="3"/>
      <c r="R18" s="48" t="s">
        <v>1009</v>
      </c>
    </row>
    <row r="22" spans="3:18" ht="38.25" x14ac:dyDescent="0.25">
      <c r="C22" s="208" t="s">
        <v>887</v>
      </c>
      <c r="D22" s="208" t="s">
        <v>888</v>
      </c>
      <c r="E22" s="208" t="s">
        <v>889</v>
      </c>
      <c r="F22" s="208" t="s">
        <v>890</v>
      </c>
      <c r="G22" s="208" t="s">
        <v>891</v>
      </c>
      <c r="H22" s="208" t="s">
        <v>892</v>
      </c>
      <c r="I22" s="208" t="s">
        <v>1</v>
      </c>
      <c r="J22" s="208" t="s">
        <v>893</v>
      </c>
      <c r="K22" s="208" t="s">
        <v>894</v>
      </c>
      <c r="L22" s="208" t="s">
        <v>895</v>
      </c>
      <c r="M22" s="208" t="s">
        <v>902</v>
      </c>
      <c r="N22" s="208"/>
      <c r="O22" s="208"/>
      <c r="P22" s="208" t="s">
        <v>903</v>
      </c>
      <c r="Q22" s="208"/>
      <c r="R22" s="208" t="s">
        <v>904</v>
      </c>
    </row>
    <row r="23" spans="3:18" ht="25.5" x14ac:dyDescent="0.25"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 t="s">
        <v>905</v>
      </c>
      <c r="N23" s="208" t="s">
        <v>906</v>
      </c>
      <c r="O23" s="209" t="s">
        <v>907</v>
      </c>
      <c r="P23" s="208" t="s">
        <v>908</v>
      </c>
      <c r="Q23" s="210" t="s">
        <v>909</v>
      </c>
      <c r="R23" s="208"/>
    </row>
    <row r="24" spans="3:18" x14ac:dyDescent="0.25">
      <c r="C24" s="211" t="s">
        <v>901</v>
      </c>
      <c r="D24" s="211">
        <v>1</v>
      </c>
      <c r="E24" s="212" t="s">
        <v>1389</v>
      </c>
      <c r="F24" s="213">
        <v>1.4</v>
      </c>
      <c r="G24" s="211">
        <v>1.3</v>
      </c>
      <c r="H24" s="211" t="s">
        <v>897</v>
      </c>
      <c r="I24" s="211" t="s">
        <v>174</v>
      </c>
      <c r="J24" s="213">
        <v>25</v>
      </c>
      <c r="K24" s="214">
        <v>2</v>
      </c>
      <c r="L24" s="212" t="s">
        <v>1390</v>
      </c>
      <c r="M24" s="3">
        <v>100</v>
      </c>
      <c r="N24" s="3">
        <v>100</v>
      </c>
      <c r="O24" s="3"/>
      <c r="P24" s="3" t="s">
        <v>213</v>
      </c>
      <c r="Q24" s="3"/>
      <c r="R24" s="48" t="s">
        <v>1443</v>
      </c>
    </row>
    <row r="25" spans="3:18" x14ac:dyDescent="0.25">
      <c r="C25" s="211" t="s">
        <v>901</v>
      </c>
      <c r="D25" s="211">
        <v>2</v>
      </c>
      <c r="E25" s="212" t="s">
        <v>1391</v>
      </c>
      <c r="F25" s="215">
        <v>1</v>
      </c>
      <c r="G25" s="213" t="s">
        <v>1392</v>
      </c>
      <c r="H25" s="213" t="s">
        <v>1392</v>
      </c>
      <c r="I25" s="213" t="s">
        <v>188</v>
      </c>
      <c r="J25" s="213">
        <v>50</v>
      </c>
      <c r="K25" s="214">
        <v>7</v>
      </c>
      <c r="L25" s="212" t="s">
        <v>1393</v>
      </c>
      <c r="M25" s="3">
        <v>89.5</v>
      </c>
      <c r="N25" s="3">
        <v>90.3</v>
      </c>
      <c r="O25" s="218" t="s">
        <v>1427</v>
      </c>
      <c r="P25" s="3" t="s">
        <v>213</v>
      </c>
      <c r="Q25" s="3"/>
      <c r="R25" s="48" t="s">
        <v>1444</v>
      </c>
    </row>
  </sheetData>
  <protectedRanges>
    <protectedRange password="C49F" sqref="M3:O4" name="Range1_1_2_2"/>
    <protectedRange password="C49F" sqref="R3:R4 P3:P4" name="Range1_2_2_2"/>
    <protectedRange password="C49F" sqref="M12:O13" name="Range1_1_2_3"/>
    <protectedRange password="C49F" sqref="R12:R13 P12:P13" name="Range1_2_2_3"/>
  </protectedRanges>
  <customSheetViews>
    <customSheetView guid="{7E0EA425-A420-4443-B9E0-CDF0AA9E5D09}">
      <selection activeCell="A26" sqref="A26:XFD26"/>
      <pageMargins left="0.7" right="0.7" top="0.75" bottom="0.75" header="0.3" footer="0.3"/>
    </customSheetView>
    <customSheetView guid="{C94451EF-7A3E-4D72-B5A4-3D1B193192CC}" showPageBreaks="1">
      <selection activeCell="A26" sqref="A26:XFD26"/>
      <pageMargins left="0.7" right="0.7" top="0.75" bottom="0.75" header="0.3" footer="0.3"/>
      <pageSetup paperSize="9" orientation="portrait" r:id="rId1"/>
    </customSheetView>
    <customSheetView guid="{7ECC2B8E-6A82-42F5-8AB0-4A51C54EA5EC}" topLeftCell="A7">
      <selection activeCell="P24" sqref="P24:P25"/>
      <pageMargins left="0.7" right="0.7" top="0.75" bottom="0.75" header="0.3" footer="0.3"/>
    </customSheetView>
    <customSheetView guid="{D33AC7AF-C8AB-4CE9-94C7-9237011A5FC3}" topLeftCell="A18">
      <selection activeCell="C22" sqref="C22:R25"/>
      <pageMargins left="0.7" right="0.7" top="0.75" bottom="0.75" header="0.3" footer="0.3"/>
      <pageSetup orientation="portrait" horizontalDpi="300" verticalDpi="0" r:id="rId2"/>
    </customSheetView>
    <customSheetView guid="{60D2C030-4E31-4E07-8E1C-44D2EE84B177}">
      <selection activeCell="A26" sqref="A26:XFD26"/>
      <pageMargins left="0.7" right="0.7" top="0.75" bottom="0.75" header="0.3" footer="0.3"/>
    </customSheetView>
    <customSheetView guid="{A2E8CE38-D15E-4374-89B2-69D9421C4465}" showPageBreaks="1">
      <selection activeCell="D23" sqref="D23"/>
      <pageMargins left="0.7" right="0.7" top="0.75" bottom="0.75" header="0.3" footer="0.3"/>
      <pageSetup paperSize="9" orientation="portrait" r:id="rId3"/>
    </customSheetView>
    <customSheetView guid="{336B6883-2145-4B58-921E-CEC7185A847E}">
      <selection activeCell="A26" sqref="A26:XFD26"/>
      <pageMargins left="0.7" right="0.7" top="0.75" bottom="0.75" header="0.3" footer="0.3"/>
    </customSheetView>
    <customSheetView guid="{89C03E1E-B6A8-49A1-B29C-5DC4FAB2FBC6}">
      <selection activeCell="A26" sqref="A26:XFD26"/>
      <pageMargins left="0.7" right="0.7" top="0.75" bottom="0.75" header="0.3" footer="0.3"/>
    </customSheetView>
    <customSheetView guid="{FECB4C41-27E8-4A22-AFB3-4F54CDD4960E}">
      <selection activeCell="A26" sqref="A26:XFD26"/>
      <pageMargins left="0.7" right="0.7" top="0.75" bottom="0.75" header="0.3" footer="0.3"/>
    </customSheetView>
    <customSheetView guid="{99BC1C51-34DC-4BF2-906C-1E31B6171D71}">
      <selection activeCell="A26" sqref="A26:XFD26"/>
      <pageMargins left="0.7" right="0.7" top="0.75" bottom="0.75" header="0.3" footer="0.3"/>
    </customSheetView>
  </customSheetViews>
  <mergeCells count="26">
    <mergeCell ref="I12:I13"/>
    <mergeCell ref="J12:J13"/>
    <mergeCell ref="C3:C4"/>
    <mergeCell ref="D3:D4"/>
    <mergeCell ref="E3:E4"/>
    <mergeCell ref="F3:F4"/>
    <mergeCell ref="G3:G4"/>
    <mergeCell ref="H3:H4"/>
    <mergeCell ref="I3:I4"/>
    <mergeCell ref="J3:J4"/>
    <mergeCell ref="C12:C13"/>
    <mergeCell ref="D12:D13"/>
    <mergeCell ref="E12:E13"/>
    <mergeCell ref="F12:F13"/>
    <mergeCell ref="G12:G13"/>
    <mergeCell ref="H12:H13"/>
    <mergeCell ref="K12:K13"/>
    <mergeCell ref="L12:L13"/>
    <mergeCell ref="M12:O12"/>
    <mergeCell ref="P12:Q12"/>
    <mergeCell ref="R12:R13"/>
    <mergeCell ref="K3:K4"/>
    <mergeCell ref="L3:L4"/>
    <mergeCell ref="M3:O3"/>
    <mergeCell ref="P3:Q3"/>
    <mergeCell ref="R3:R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|--&gt;</vt:lpstr>
      <vt:lpstr>PLT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EXTERNAL Nguyen Tuan Duong (Ban Vien, RBVH/EPS45)</cp:lastModifiedBy>
  <dcterms:created xsi:type="dcterms:W3CDTF">2006-09-16T00:00:00Z</dcterms:created>
  <dcterms:modified xsi:type="dcterms:W3CDTF">2020-11-18T03:37:52Z</dcterms:modified>
</cp:coreProperties>
</file>