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uongnguyen\0000_Project\001_Prj\02_JOEM\99_BK\"/>
    </mc:Choice>
  </mc:AlternateContent>
  <bookViews>
    <workbookView xWindow="-120" yWindow="0" windowWidth="2280" windowHeight="0" activeTab="5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720" sheetId="10" r:id="rId10"/>
  </sheets>
  <externalReferences>
    <externalReference r:id="rId11"/>
  </externalReferences>
  <definedNames>
    <definedName name="_xlnm._FilterDatabase" localSheetId="0" hidden="1">Merged_COEM!$B$59:$AN$412</definedName>
    <definedName name="_xlnm._FilterDatabase" localSheetId="1" hidden="1">Merged_JOEM!$B$59:$AN$329</definedName>
    <definedName name="Z_004AE50D_49C9_4A96_B731_3C42CAA0B01D_.wvu.FilterData" localSheetId="0" hidden="1">Merged_COEM!$B$59:$AN$59</definedName>
    <definedName name="Z_006FEADE_C1C8_4623_94EF_0C71C28F2B02_.wvu.FilterData" localSheetId="0" hidden="1">Merged_COEM!$A$59:$AN$368</definedName>
    <definedName name="Z_006FEADE_C1C8_4623_94EF_0C71C28F2B02_.wvu.FilterData" localSheetId="1" hidden="1">Merged_JOEM!$B$59:$AN$352</definedName>
    <definedName name="Z_0115AFB4_4C4E_4468_B6CC_4FCA3D2F432C_.wvu.FilterData" localSheetId="0" hidden="1">Merged_COEM!$A$59:$AN$368</definedName>
    <definedName name="Z_01DDD800_722F_415D_AA66_9ADBFD04888B_.wvu.FilterData" localSheetId="1" hidden="1">Merged_JOEM!$B$59:$AN$59</definedName>
    <definedName name="Z_01E511D8_96F0_4FC8_9F7C_EFD3A637D0BF_.wvu.FilterData" localSheetId="0" hidden="1">Merged_COEM!$A$59:$AN$368</definedName>
    <definedName name="Z_01F48ED4_6F4C_49BB_A369_E61277689C61_.wvu.FilterData" localSheetId="0" hidden="1">Merged_COEM!$B$59:$AN$412</definedName>
    <definedName name="Z_027DC486_5FD8_4F20_9789_42783C7EA75D_.wvu.FilterData" localSheetId="0" hidden="1">Merged_COEM!$A$59:$AN$368</definedName>
    <definedName name="Z_0378E615_9C31_439D_B9FC_E8A57636AF11_.wvu.FilterData" localSheetId="0" hidden="1">Merged_COEM!$P$59:$P$368</definedName>
    <definedName name="Z_0378E615_9C31_439D_B9FC_E8A57636AF11_.wvu.FilterData" localSheetId="1" hidden="1">Merged_JOEM!$B$59:$AN$329</definedName>
    <definedName name="Z_040E8B46_CA61_4A56_9419_C22F6B3F774B_.wvu.FilterData" localSheetId="0" hidden="1">Merged_COEM!$B$59:$AN$412</definedName>
    <definedName name="Z_05361591_7A29_421F_B4E3_2E109EC18103_.wvu.FilterData" localSheetId="0" hidden="1">Merged_COEM!$B$59:$AN$412</definedName>
    <definedName name="Z_055B52FC_2B7B_42BC_9AD2_87565E082A86_.wvu.FilterData" localSheetId="0" hidden="1">Merged_COEM!$B$59:$AN$412</definedName>
    <definedName name="Z_0600F77B_03E6_457E_8094_42AB3F458D08_.wvu.FilterData" localSheetId="0" hidden="1">Merged_COEM!$B$59:$AN$412</definedName>
    <definedName name="Z_0600F77B_03E6_457E_8094_42AB3F458D08_.wvu.FilterData" localSheetId="1" hidden="1">Merged_JOEM!$B$59:$AN$352</definedName>
    <definedName name="Z_069C8E6F_B807_4CFF_804F_569E084B63E0_.wvu.FilterData" localSheetId="0" hidden="1">Merged_COEM!$B$59:$AN$59</definedName>
    <definedName name="Z_069C8E6F_B807_4CFF_804F_569E084B63E0_.wvu.FilterData" localSheetId="1" hidden="1">Merged_JOEM!$B$59:$AN$59</definedName>
    <definedName name="Z_06C5506A_3DDA_460A_A1F3_660A444F2C69_.wvu.FilterData" localSheetId="1" hidden="1">Merged_JOEM!$B$59:$AN$329</definedName>
    <definedName name="Z_06C7A52C_D0C4_4DA2_9863_62727E2D844E_.wvu.FilterData" localSheetId="1" hidden="1">Merged_JOEM!$B$59:$AN$352</definedName>
    <definedName name="Z_06F3585B_DEF9_4D3E_A982_B08A4935ED38_.wvu.FilterData" localSheetId="0" hidden="1">Merged_COEM!$B$59:$AN$59</definedName>
    <definedName name="Z_06F3585B_DEF9_4D3E_A982_B08A4935ED38_.wvu.FilterData" localSheetId="1" hidden="1">Merged_JOEM!$B$59:$AN$59</definedName>
    <definedName name="Z_072A26A6_BE55_4F2D_A81B_3D32EF017B86_.wvu.FilterData" localSheetId="0" hidden="1">Merged_COEM!$B$59:$AN$359</definedName>
    <definedName name="Z_072A26A6_BE55_4F2D_A81B_3D32EF017B86_.wvu.FilterData" localSheetId="1" hidden="1">Merged_JOEM!$B$59:$AN$329</definedName>
    <definedName name="Z_08D9EC9E_19A1_44EF_88CC_A93BDAE68A62_.wvu.FilterData" localSheetId="0" hidden="1">Merged_COEM!$B$59:$AN$412</definedName>
    <definedName name="Z_098A3A6D_BE9F_45E5_9A31_50E901908195_.wvu.FilterData" localSheetId="1" hidden="1">Merged_JOEM!$B$59:$AN$352</definedName>
    <definedName name="Z_09D9796A_BBD2_4AF7_BA95_A36C481CA4B7_.wvu.FilterData" localSheetId="0" hidden="1">Merged_COEM!$B$59:$AN$412</definedName>
    <definedName name="Z_0A69D571_3018_4FA4_8C32_E2DFB0614496_.wvu.FilterData" localSheetId="0" hidden="1">Merged_COEM!$A$59:$AN$368</definedName>
    <definedName name="Z_0A6D8CFE_6EB2_43B1_B145_8F368E64B301_.wvu.FilterData" localSheetId="0" hidden="1">Merged_COEM!$A$59:$AN$368</definedName>
    <definedName name="Z_0A6D8CFE_6EB2_43B1_B145_8F368E64B301_.wvu.FilterData" localSheetId="1" hidden="1">Merged_JOEM!$B$59:$AN$352</definedName>
    <definedName name="Z_0B484F93_8218_48C7_A465_CFF3723D2DDF_.wvu.FilterData" localSheetId="0" hidden="1">Merged_COEM!$A$59:$AN$368</definedName>
    <definedName name="Z_0C6BE164_6BA3_446D_942F_966AE5EA2F00_.wvu.FilterData" localSheetId="0" hidden="1">Merged_COEM!$A$59:$AN$368</definedName>
    <definedName name="Z_0D0A6154_7CBF_4A37_BEA2_AB537B4B2A67_.wvu.FilterData" localSheetId="0" hidden="1">Merged_COEM!$A$59:$AN$368</definedName>
    <definedName name="Z_0D0A6154_7CBF_4A37_BEA2_AB537B4B2A67_.wvu.FilterData" localSheetId="1" hidden="1">Merged_JOEM!$B$59:$AN$352</definedName>
    <definedName name="Z_0D1BA331_ECC5_4B76_BF88_3D8E1D7061B4_.wvu.FilterData" localSheetId="0" hidden="1">Merged_COEM!$B$59:$AN$59</definedName>
    <definedName name="Z_0D1BA331_ECC5_4B76_BF88_3D8E1D7061B4_.wvu.FilterData" localSheetId="1" hidden="1">Merged_JOEM!$B$59:$AN$59</definedName>
    <definedName name="Z_0E0A1A84_274E_4C87_84D6_9771A179FB59_.wvu.FilterData" localSheetId="0" hidden="1">Merged_COEM!$B$59:$AN$412</definedName>
    <definedName name="Z_0E177208_F531_4668_B683_013CB8491591_.wvu.FilterData" localSheetId="1" hidden="1">Merged_JOEM!$B$59:$AN$352</definedName>
    <definedName name="Z_0EEA61C8_BDF6_4697_A64F_14220225F3CA_.wvu.FilterData" localSheetId="1" hidden="1">Merged_JOEM!$B$59:$AN$352</definedName>
    <definedName name="Z_0EF03E06_FF78_44D3_8575_221339472074_.wvu.FilterData" localSheetId="0" hidden="1">Merged_COEM!$B$59:$AN$59</definedName>
    <definedName name="Z_0F6BA88F_F1C4_4C06_A527_0FB545F1DFFA_.wvu.FilterData" localSheetId="0" hidden="1">Merged_COEM!$B$59:$AN$412</definedName>
    <definedName name="Z_0F860EF4_5649_4931_8506_A849C414452A_.wvu.FilterData" localSheetId="0" hidden="1">Merged_COEM!$B$59:$AN$59</definedName>
    <definedName name="Z_1041A54E_BA3B_4139_9F70_A0421929FFA9_.wvu.FilterData" localSheetId="0" hidden="1">Merged_COEM!$B$59:$AN$412</definedName>
    <definedName name="Z_1041A54E_BA3B_4139_9F70_A0421929FFA9_.wvu.FilterData" localSheetId="1" hidden="1">Merged_JOEM!$B$59:$AN$149</definedName>
    <definedName name="Z_104AE5AC_8222_46F3_AF76_9492CA93E999_.wvu.FilterData" localSheetId="1" hidden="1">Merged_JOEM!$B$59:$AN$158</definedName>
    <definedName name="Z_106E01A2_3463_4675_BE98_7276F6DD7ABE_.wvu.FilterData" localSheetId="0" hidden="1">Merged_COEM!$B$59:$AN$412</definedName>
    <definedName name="Z_10AEEA8C_92E9_4868_801E_16751B8F1C9F_.wvu.FilterData" localSheetId="0" hidden="1">Merged_COEM!$A$59:$AN$368</definedName>
    <definedName name="Z_10AEEA8C_92E9_4868_801E_16751B8F1C9F_.wvu.FilterData" localSheetId="1" hidden="1">Merged_JOEM!$B$59:$AN$352</definedName>
    <definedName name="Z_10B5054A_878E_4E14_88A5_58B709AC46BE_.wvu.FilterData" localSheetId="0" hidden="1">Merged_COEM!$A$59:$AN$368</definedName>
    <definedName name="Z_10B5054A_878E_4E14_88A5_58B709AC46BE_.wvu.FilterData" localSheetId="1" hidden="1">Merged_JOEM!$B$59:$AN$352</definedName>
    <definedName name="Z_11339B11_1F4C_454D_B7AC_2AE6663A7C4F_.wvu.FilterData" localSheetId="1" hidden="1">Merged_JOEM!$B$59:$AN$352</definedName>
    <definedName name="Z_11367D4E_C5EB_41D2_9AC8_81DB66FC75D0_.wvu.FilterData" localSheetId="0" hidden="1">Merged_COEM!$A$59:$AN$368</definedName>
    <definedName name="Z_11367D4E_C5EB_41D2_9AC8_81DB66FC75D0_.wvu.FilterData" localSheetId="1" hidden="1">Merged_JOEM!$B$59:$AN$352</definedName>
    <definedName name="Z_116C406F_56EF_4929_AB69_7B88A04CBA56_.wvu.FilterData" localSheetId="0" hidden="1">Merged_COEM!$B$59:$AN$59</definedName>
    <definedName name="Z_11B267B4_CCB5_4FD4_A4ED_6557FC3F3694_.wvu.FilterData" localSheetId="0" hidden="1">Merged_COEM!$A$59:$AN$368</definedName>
    <definedName name="Z_120A6944_24D5_4B4D_A680_95B4E8DC27D1_.wvu.FilterData" localSheetId="0" hidden="1">Merged_COEM!$A$59:$AN$368</definedName>
    <definedName name="Z_120A6944_24D5_4B4D_A680_95B4E8DC27D1_.wvu.FilterData" localSheetId="1" hidden="1">Merged_JOEM!$B$59:$AN$352</definedName>
    <definedName name="Z_125E42F3_18DE_4272_A548_D075330F5284_.wvu.FilterData" localSheetId="0" hidden="1">Merged_COEM!$A$59:$AN$368</definedName>
    <definedName name="Z_125E42F3_18DE_4272_A548_D075330F5284_.wvu.FilterData" localSheetId="1" hidden="1">Merged_JOEM!$B$59:$AN$352</definedName>
    <definedName name="Z_1316A344_8526_4A5A_91CB_0B6860CD7B09_.wvu.FilterData" localSheetId="0" hidden="1">Merged_COEM!$A$59:$AN$368</definedName>
    <definedName name="Z_132C6898_7BD8_4053_9284_49B13D9C8D59_.wvu.FilterData" localSheetId="0" hidden="1">Merged_COEM!$B$59:$AN$412</definedName>
    <definedName name="Z_132C6898_7BD8_4053_9284_49B13D9C8D59_.wvu.FilterData" localSheetId="1" hidden="1">Merged_JOEM!$B$59:$AN$59</definedName>
    <definedName name="Z_13421632_55CA_4586_B03E_1FC519AC043B_.wvu.FilterData" localSheetId="0" hidden="1">Merged_COEM!$A$59:$AN$368</definedName>
    <definedName name="Z_13421632_55CA_4586_B03E_1FC519AC043B_.wvu.FilterData" localSheetId="1" hidden="1">Merged_JOEM!$B$59:$AN$352</definedName>
    <definedName name="Z_1423035C_B8AF_4653_8B0C_9092ECDBF18B_.wvu.FilterData" localSheetId="0" hidden="1">Merged_COEM!$A$59:$AN$368</definedName>
    <definedName name="Z_1423035C_B8AF_4653_8B0C_9092ECDBF18B_.wvu.FilterData" localSheetId="1" hidden="1">Merged_JOEM!$B$59:$AN$352</definedName>
    <definedName name="Z_1594703F_52BA_4A64_97E2_52459A1FCA6A_.wvu.FilterData" localSheetId="0" hidden="1">Merged_COEM!$A$59:$AN$368</definedName>
    <definedName name="Z_16059B22_ECA7_4CF0_A34D_CD415168CA09_.wvu.FilterData" localSheetId="0" hidden="1">Merged_COEM!$A$59:$AN$368</definedName>
    <definedName name="Z_16059B22_ECA7_4CF0_A34D_CD415168CA09_.wvu.FilterData" localSheetId="1" hidden="1">Merged_JOEM!$B$59:$AN$352</definedName>
    <definedName name="Z_16B45F7C_0861_42E7_9410_12BF8F37DCD7_.wvu.FilterData" localSheetId="0" hidden="1">Merged_COEM!$B$59:$AN$412</definedName>
    <definedName name="Z_16F63D1D_5D08_4984_94E5_2BF0D97B7171_.wvu.FilterData" localSheetId="0" hidden="1">Merged_COEM!$B$59:$AN$412</definedName>
    <definedName name="Z_174A6792_5EF5_42CE_9B3B_86F53BE71447_.wvu.FilterData" localSheetId="0" hidden="1">Merged_COEM!$B$59:$AN$412</definedName>
    <definedName name="Z_17A5DA2D_485D_40DC_A1E4_8633668BB65B_.wvu.FilterData" localSheetId="0" hidden="1">Merged_COEM!$B$59:$AN$412</definedName>
    <definedName name="Z_17A5DA2D_485D_40DC_A1E4_8633668BB65B_.wvu.FilterData" localSheetId="1" hidden="1">Merged_JOEM!$B$59:$AN$247</definedName>
    <definedName name="Z_1838E38E_0617_4284_B70D_EE93F3730ED0_.wvu.FilterData" localSheetId="0" hidden="1">Merged_COEM!$B$59:$AN$412</definedName>
    <definedName name="Z_19CD5048_EBFC_47E8_9FD0_E73DC58D3596_.wvu.FilterData" localSheetId="0" hidden="1">Merged_COEM!$A$59:$AN$368</definedName>
    <definedName name="Z_1A40DE1E_71BB_4C99_BB8D_F9966378505E_.wvu.FilterData" localSheetId="0" hidden="1">Merged_COEM!$B$59:$AN$59</definedName>
    <definedName name="Z_1B4D24DE_B85A_4A3A_8CD0_1A40E6C2EC53_.wvu.FilterData" localSheetId="0" hidden="1">Merged_COEM!$B$59:$AN$412</definedName>
    <definedName name="Z_1B5A17C9_3A39_47DF_8140_88DA3B3AFAA5_.wvu.FilterData" localSheetId="0" hidden="1">Merged_COEM!$A$59:$AN$368</definedName>
    <definedName name="Z_1B7B88DD_0F8D_4BC2_AA4B_D8D802FE1AA4_.wvu.FilterData" localSheetId="0" hidden="1">Merged_COEM!$A$59:$AN$368</definedName>
    <definedName name="Z_1B7B88DD_0F8D_4BC2_AA4B_D8D802FE1AA4_.wvu.FilterData" localSheetId="1" hidden="1">Merged_JOEM!$B$59:$AN$329</definedName>
    <definedName name="Z_1BFCAE6D_00EB_4CA0_9800_157E5C060610_.wvu.FilterData" localSheetId="0" hidden="1">Merged_COEM!$B$59:$AN$59</definedName>
    <definedName name="Z_1CB84568_0C36_49EF_BD1E_29708DF91946_.wvu.FilterData" localSheetId="0" hidden="1">Merged_COEM!$B$59:$AN$412</definedName>
    <definedName name="Z_1CD0C90D_3C15_42F4_94D5_461C5C27C2C1_.wvu.FilterData" localSheetId="0" hidden="1">Merged_COEM!$P$59:$P$368</definedName>
    <definedName name="Z_1CD1B0AD_724D_4F54_AF9A_84E1CFD23A6B_.wvu.FilterData" localSheetId="0" hidden="1">Merged_COEM!$A$59:$AN$368</definedName>
    <definedName name="Z_1CD1B0AD_724D_4F54_AF9A_84E1CFD23A6B_.wvu.FilterData" localSheetId="1" hidden="1">Merged_JOEM!$B$59:$AN$352</definedName>
    <definedName name="Z_1DF1AE50_72FB_42B0_A9FE_2F7F55E5FC3D_.wvu.FilterData" localSheetId="0" hidden="1">Merged_COEM!$B$59:$AN$359</definedName>
    <definedName name="Z_1DF1AE50_72FB_42B0_A9FE_2F7F55E5FC3D_.wvu.FilterData" localSheetId="1" hidden="1">Merged_JOEM!$B$59:$AN$329</definedName>
    <definedName name="Z_1E307FCD_934B_4070_BDAA_8F2B33379F52_.wvu.FilterData" localSheetId="0" hidden="1">Merged_COEM!$A$59:$AN$368</definedName>
    <definedName name="Z_1E307FCD_934B_4070_BDAA_8F2B33379F52_.wvu.FilterData" localSheetId="1" hidden="1">Merged_JOEM!$B$59:$AN$352</definedName>
    <definedName name="Z_1F96DBC8_93B4_4D2A_9E79_36D8B29E1FEF_.wvu.FilterData" localSheetId="0" hidden="1">Merged_COEM!$B$59:$AN$412</definedName>
    <definedName name="Z_200B8BBC_3261_4338_B3CF_1D7E97745833_.wvu.FilterData" localSheetId="0" hidden="1">Merged_COEM!$B$59:$AN$412</definedName>
    <definedName name="Z_20D828CF_D8F7_480A_A8C6_95288479E98C_.wvu.FilterData" localSheetId="0" hidden="1">Merged_COEM!$A$59:$AN$368</definedName>
    <definedName name="Z_20D828CF_D8F7_480A_A8C6_95288479E98C_.wvu.FilterData" localSheetId="1" hidden="1">Merged_JOEM!$B$59:$AN$329</definedName>
    <definedName name="Z_2145B3D5_48CB_4714_A789_B89CA5325EF4_.wvu.FilterData" localSheetId="0" hidden="1">Merged_COEM!$B$59:$AN$359</definedName>
    <definedName name="Z_21BB3E48_D422_446E_8AB6_8B38771A9F18_.wvu.FilterData" localSheetId="0" hidden="1">Merged_COEM!$B$59:$AN$412</definedName>
    <definedName name="Z_21DFCA27_D299_4221_887B_C75003D16FAE_.wvu.FilterData" localSheetId="0" hidden="1">Merged_COEM!$A$59:$AN$368</definedName>
    <definedName name="Z_22065CC9_37AB_47EC_BC97_06D6658ADC1B_.wvu.FilterData" localSheetId="1" hidden="1">Merged_JOEM!$B$59:$AN$247</definedName>
    <definedName name="Z_230AE275_002A_4985_92AF_B9C07BA0C56D_.wvu.FilterData" localSheetId="0" hidden="1">Merged_COEM!$A$59:$AN$368</definedName>
    <definedName name="Z_230AE275_002A_4985_92AF_B9C07BA0C56D_.wvu.FilterData" localSheetId="1" hidden="1">Merged_JOEM!$B$59:$AN$352</definedName>
    <definedName name="Z_237F83C6_2F54_4671_B72D_439DC986FA43_.wvu.FilterData" localSheetId="0" hidden="1">Merged_COEM!$A$59:$AN$368</definedName>
    <definedName name="Z_237F83C6_2F54_4671_B72D_439DC986FA43_.wvu.FilterData" localSheetId="1" hidden="1">Merged_JOEM!$B$59:$AN$329</definedName>
    <definedName name="Z_243D98C0_AF41_4E98_98EA_8605BD375B77_.wvu.FilterData" localSheetId="0" hidden="1">Merged_COEM!$B$59:$AN$412</definedName>
    <definedName name="Z_248003BD_EA5C_44B1_A093_224389DDBE20_.wvu.FilterData" localSheetId="0" hidden="1">Merged_COEM!$B$59:$AN$412</definedName>
    <definedName name="Z_24F938AF_0FF7_4211_AC75_7C89293FE5CE_.wvu.FilterData" localSheetId="0" hidden="1">Merged_COEM!$B$59:$AN$412</definedName>
    <definedName name="Z_2501AD2B_A07A_49BF_BF9A_AD98671EC307_.wvu.FilterData" localSheetId="0" hidden="1">Merged_COEM!$B$59:$AN$412</definedName>
    <definedName name="Z_250915DF_0B97_45D7_B29D_7EED4C89C1C1_.wvu.FilterData" localSheetId="0" hidden="1">Merged_COEM!$B$59:$AN$412</definedName>
    <definedName name="Z_250915DF_0B97_45D7_B29D_7EED4C89C1C1_.wvu.FilterData" localSheetId="1" hidden="1">Merged_JOEM!$B$59:$AN$59</definedName>
    <definedName name="Z_2524EDF4_CFD1_4CF6_8C84_E557B12D463E_.wvu.FilterData" localSheetId="0" hidden="1">Merged_COEM!$B$59:$AN$412</definedName>
    <definedName name="Z_25FBC392_575A_46D5_8F77_708EBF5D79D6_.wvu.FilterData" localSheetId="0" hidden="1">Merged_COEM!$B$59:$AN$412</definedName>
    <definedName name="Z_25FBC392_575A_46D5_8F77_708EBF5D79D6_.wvu.FilterData" localSheetId="1" hidden="1">Merged_JOEM!$B$59:$AN$59</definedName>
    <definedName name="Z_26D1F5A5_96D6_4E71_B7C1_A23D5D0DBEB6_.wvu.FilterData" localSheetId="0" hidden="1">Merged_COEM!$B$59:$AN$412</definedName>
    <definedName name="Z_278C5F8A_6BC0_4A01_A343_CB5ED23E686C_.wvu.FilterData" localSheetId="0" hidden="1">Merged_COEM!$B$59:$AN$412</definedName>
    <definedName name="Z_28129A8E_4F11_454E_8B08_01465DFCCE16_.wvu.FilterData" localSheetId="0" hidden="1">Merged_COEM!$B$59:$AN$59</definedName>
    <definedName name="Z_28129A8E_4F11_454E_8B08_01465DFCCE16_.wvu.FilterData" localSheetId="1" hidden="1">Merged_JOEM!$B$59:$AN$59</definedName>
    <definedName name="Z_283D4045_5188_4FA2_AA4A_D83AF43FEE1E_.wvu.FilterData" localSheetId="0" hidden="1">Merged_COEM!$A$59:$AN$368</definedName>
    <definedName name="Z_285DD5EF_1CB5_4C35_A533_25F2740DEC08_.wvu.FilterData" localSheetId="0" hidden="1">Merged_COEM!$B$59:$AN$59</definedName>
    <definedName name="Z_29839EDF_F2F9_4AC5_A497_0424D917FB56_.wvu.FilterData" localSheetId="0" hidden="1">Merged_COEM!$B$59:$AN$59</definedName>
    <definedName name="Z_2A7AD122_F9C8_4A2C_A59F_C6EA38D19623_.wvu.FilterData" localSheetId="0" hidden="1">Merged_COEM!$A$59:$AN$368</definedName>
    <definedName name="Z_2A9975D9_7C20_4632_A4AA_EE470CC19EE0_.wvu.FilterData" localSheetId="0" hidden="1">Merged_COEM!$B$59:$AN$412</definedName>
    <definedName name="Z_2AB2D19C_A4BA_4574_8CD8_E01DB9CEF44C_.wvu.FilterData" localSheetId="0" hidden="1">Merged_COEM!$A$59:$AN$368</definedName>
    <definedName name="Z_2AB2D19C_A4BA_4574_8CD8_E01DB9CEF44C_.wvu.FilterData" localSheetId="1" hidden="1">Merged_JOEM!$B$59:$AN$352</definedName>
    <definedName name="Z_2BB144EC_5E5F_4D44_AD8D_03EF7D4BC90D_.wvu.FilterData" localSheetId="0" hidden="1">Merged_COEM!$A$59:$AN$368</definedName>
    <definedName name="Z_2BC2A590_9684_4447_B38C_65C6FB0CEC4B_.wvu.FilterData" localSheetId="0" hidden="1">Merged_COEM!$A$59:$AN$368</definedName>
    <definedName name="Z_2BC2A590_9684_4447_B38C_65C6FB0CEC4B_.wvu.FilterData" localSheetId="1" hidden="1">Merged_JOEM!$B$59:$AN$352</definedName>
    <definedName name="Z_2C16F201_7F88_4F6B_A036_7E2F987161C5_.wvu.FilterData" localSheetId="0" hidden="1">Merged_COEM!$B$59:$AN$359</definedName>
    <definedName name="Z_2C16F201_7F88_4F6B_A036_7E2F987161C5_.wvu.FilterData" localSheetId="1" hidden="1">Merged_JOEM!$B$59:$AN$329</definedName>
    <definedName name="Z_2C1EB19B_B948_4109_9D26_12E6653E5E5A_.wvu.FilterData" localSheetId="0" hidden="1">Merged_COEM!$A$59:$AN$368</definedName>
    <definedName name="Z_2C1EB19B_B948_4109_9D26_12E6653E5E5A_.wvu.FilterData" localSheetId="1" hidden="1">Merged_JOEM!$B$59:$AN$329</definedName>
    <definedName name="Z_2C3435F1_E81D_47F6_BD8B_DF1F8AAB8E69_.wvu.FilterData" localSheetId="1" hidden="1">Merged_JOEM!$B$59:$AN$59</definedName>
    <definedName name="Z_2D9C8AE5_DCBC_444F_972E_A405F428F9A1_.wvu.FilterData" localSheetId="0" hidden="1">Merged_COEM!$A$59:$AN$368</definedName>
    <definedName name="Z_2D9C8AE5_DCBC_444F_972E_A405F428F9A1_.wvu.FilterData" localSheetId="1" hidden="1">Merged_JOEM!$B$59:$AN$352</definedName>
    <definedName name="Z_2E090A56_2888_4935_9988_615F66B95039_.wvu.FilterData" localSheetId="0" hidden="1">Merged_COEM!$B$59:$AN$412</definedName>
    <definedName name="Z_2E090A56_2888_4935_9988_615F66B95039_.wvu.FilterData" localSheetId="1" hidden="1">Merged_JOEM!$B$59:$AN$247</definedName>
    <definedName name="Z_2E32B38E_8332_4B76_9525_4C9E4A492B76_.wvu.FilterData" localSheetId="0" hidden="1">Merged_COEM!$A$59:$AN$368</definedName>
    <definedName name="Z_2E32B38E_8332_4B76_9525_4C9E4A492B76_.wvu.FilterData" localSheetId="1" hidden="1">Merged_JOEM!$B$59:$AN$352</definedName>
    <definedName name="Z_2E715778_0FD5_4002_A3DD_663BBC9D2879_.wvu.FilterData" localSheetId="0" hidden="1">Merged_COEM!$B$59:$AN$59</definedName>
    <definedName name="Z_2ED147D5_AABB_4A3E_B802_49D3E62243FC_.wvu.FilterData" localSheetId="0" hidden="1">Merged_COEM!$P$59:$P$368</definedName>
    <definedName name="Z_2ED147D5_AABB_4A3E_B802_49D3E62243FC_.wvu.FilterData" localSheetId="1" hidden="1">Merged_JOEM!$B$59:$AN$329</definedName>
    <definedName name="Z_2EE4D9DF_B5D6_4F80_B201_455C7DF6B90A_.wvu.FilterData" localSheetId="0" hidden="1">Merged_COEM!$A$59:$AN$368</definedName>
    <definedName name="Z_2FD7C8F0_78E3_4394_A20B_82E7EACF1033_.wvu.FilterData" localSheetId="1" hidden="1">Merged_JOEM!$B$59:$AN$247</definedName>
    <definedName name="Z_308F0676_A9B9_4C93_A293_C6BBBCA54ABC_.wvu.FilterData" localSheetId="0" hidden="1">Merged_COEM!$A$59:$AN$368</definedName>
    <definedName name="Z_30F91928_68DC_482E_AABC_DF89AB048D73_.wvu.FilterData" localSheetId="0" hidden="1">Merged_COEM!$A$59:$AN$368</definedName>
    <definedName name="Z_30F91928_68DC_482E_AABC_DF89AB048D73_.wvu.FilterData" localSheetId="1" hidden="1">Merged_JOEM!$B$59:$AN$352</definedName>
    <definedName name="Z_31148D3F_D233_4B5E_92DE_30A4208F1672_.wvu.FilterData" localSheetId="0" hidden="1">Merged_COEM!$A$59:$AN$368</definedName>
    <definedName name="Z_3130D014_973F_4DF5_B95F_39633D93F2F2_.wvu.FilterData" localSheetId="0" hidden="1">Merged_COEM!$A$59:$AN$368</definedName>
    <definedName name="Z_336B6883_2145_4B58_921E_CEC7185A847E_.wvu.FilterData" localSheetId="0" hidden="1">Merged_COEM!$P$59:$P$368</definedName>
    <definedName name="Z_336B6883_2145_4B58_921E_CEC7185A847E_.wvu.FilterData" localSheetId="1" hidden="1">Merged_JOEM!$B$59:$AN$329</definedName>
    <definedName name="Z_35056E6E_D60B_468D_9B77_E32CA6AEE68F_.wvu.FilterData" localSheetId="0" hidden="1">Merged_COEM!$B$59:$AN$359</definedName>
    <definedName name="Z_35056E6E_D60B_468D_9B77_E32CA6AEE68F_.wvu.FilterData" localSheetId="1" hidden="1">Merged_JOEM!$B$59:$AN$247</definedName>
    <definedName name="Z_36540C60_265F_4498_B23A_15E0886B2552_.wvu.FilterData" localSheetId="0" hidden="1">Merged_COEM!$A$59:$AN$368</definedName>
    <definedName name="Z_36B89FCF_06F8_420B_B5B7_D30030E7DBE9_.wvu.FilterData" localSheetId="0" hidden="1">Merged_COEM!$B$59:$AN$412</definedName>
    <definedName name="Z_389C76C2_C502_4EAE_BD4B_6D7DAF4A1938_.wvu.FilterData" localSheetId="0" hidden="1">Merged_COEM!$A$59:$AN$368</definedName>
    <definedName name="Z_3B3E6719_EACB_4D2C_89C1_05FFAB6020FD_.wvu.FilterData" localSheetId="0" hidden="1">Merged_COEM!$B$59:$AN$412</definedName>
    <definedName name="Z_3B3E6719_EACB_4D2C_89C1_05FFAB6020FD_.wvu.FilterData" localSheetId="1" hidden="1">Merged_JOEM!$B$59:$AN$329</definedName>
    <definedName name="Z_3D91D09F_6D0C_4255_BA2B_6BD947E2FF0E_.wvu.FilterData" localSheetId="0" hidden="1">Merged_COEM!$B$59:$AN$412</definedName>
    <definedName name="Z_3DA6A480_37AA_4361_B359_67BDC8170173_.wvu.FilterData" localSheetId="0" hidden="1">Merged_COEM!$B$59:$AN$412</definedName>
    <definedName name="Z_3DE9B179_E2E6_467A_9DD7_0F3E3A90D04B_.wvu.FilterData" localSheetId="0" hidden="1">Merged_COEM!$A$59:$AN$368</definedName>
    <definedName name="Z_3E996AB7_9F11_4FF7_8D4A_AB69CCF7F453_.wvu.FilterData" localSheetId="0" hidden="1">Merged_COEM!$B$59:$AN$359</definedName>
    <definedName name="Z_3E996AB7_9F11_4FF7_8D4A_AB69CCF7F453_.wvu.FilterData" localSheetId="1" hidden="1">Merged_JOEM!$B$59:$AN$329</definedName>
    <definedName name="Z_3F3C2FF1_7DE3_44CF_ADEA_69A591BC0518_.wvu.FilterData" localSheetId="0" hidden="1">Merged_COEM!$A$59:$AN$368</definedName>
    <definedName name="Z_3F7EF641_556C_46DE_86B1_8FD08FA7AADD_.wvu.FilterData" localSheetId="1" hidden="1">Merged_JOEM!$B$59:$AN$59</definedName>
    <definedName name="Z_401E0DCE_A68E_49A9_8102_9884577193E5_.wvu.FilterData" localSheetId="1" hidden="1">Merged_JOEM!$B$59:$AN$352</definedName>
    <definedName name="Z_410A5739_65A6_4083_AD75_810DFD50385D_.wvu.FilterData" localSheetId="0" hidden="1">Merged_COEM!$B$59:$AN$412</definedName>
    <definedName name="Z_410A5739_65A6_4083_AD75_810DFD50385D_.wvu.FilterData" localSheetId="1" hidden="1">Merged_JOEM!$B$59:$AN$247</definedName>
    <definedName name="Z_4113A7E6_6C3F_4D64_B0E0_3D21B9E2D7FB_.wvu.FilterData" localSheetId="0" hidden="1">Merged_COEM!$A$59:$AN$368</definedName>
    <definedName name="Z_4113A7E6_6C3F_4D64_B0E0_3D21B9E2D7FB_.wvu.FilterData" localSheetId="1" hidden="1">Merged_JOEM!$B$59:$AN$352</definedName>
    <definedName name="Z_418FE5D8_ED33_487E_935B_D5A73A0239F7_.wvu.FilterData" localSheetId="0" hidden="1">Merged_COEM!$B$59:$AN$412</definedName>
    <definedName name="Z_41B7224C_354F_4B88_9B98_43627917A540_.wvu.FilterData" localSheetId="0" hidden="1">Merged_COEM!$A$59:$AN$368</definedName>
    <definedName name="Z_41DCA6EC_5692_4454_B626_EEE78EA80FBF_.wvu.FilterData" localSheetId="1" hidden="1">Merged_JOEM!$B$59:$AN$352</definedName>
    <definedName name="Z_41E28B46_16FD_473E_AED2_27DFD35D1D37_.wvu.FilterData" localSheetId="0" hidden="1">Merged_COEM!$B$59:$AN$412</definedName>
    <definedName name="Z_41E28B46_16FD_473E_AED2_27DFD35D1D37_.wvu.FilterData" localSheetId="1" hidden="1">Merged_JOEM!$B$59:$AN$352</definedName>
    <definedName name="Z_42AC1B0D_F791_4C63_92EF_E01CFF03908D_.wvu.FilterData" localSheetId="0" hidden="1">Merged_COEM!$B$59:$AN$412</definedName>
    <definedName name="Z_42AC1B0D_F791_4C63_92EF_E01CFF03908D_.wvu.FilterData" localSheetId="1" hidden="1">Merged_JOEM!$B$59:$AN$352</definedName>
    <definedName name="Z_42AD34C9_C124_4891_A108_88C3C0237529_.wvu.FilterData" localSheetId="0" hidden="1">Merged_COEM!$B$59:$AN$412</definedName>
    <definedName name="Z_42B4B22B_3661_4B4F_B6F8_C22BE5CABCC0_.wvu.FilterData" localSheetId="0" hidden="1">Merged_COEM!$A$59:$AN$368</definedName>
    <definedName name="Z_42E40103_7615_46A1_B31B_E7FFA4654119_.wvu.FilterData" localSheetId="1" hidden="1">Merged_JOEM!$S$60:$S$352</definedName>
    <definedName name="Z_43349B58_238D_424F_9B38_B9A02D36598B_.wvu.FilterData" localSheetId="0" hidden="1">Merged_COEM!$B$59:$AN$412</definedName>
    <definedName name="Z_43B967EC_0D7C_46DF_9BEA_C0266BCF49B2_.wvu.FilterData" localSheetId="0" hidden="1">Merged_COEM!$B$59:$AN$412</definedName>
    <definedName name="Z_45376FFC_9D48_4BF3_8A6A_30CD587F744C_.wvu.FilterData" localSheetId="0" hidden="1">Merged_COEM!$B$59:$AN$412</definedName>
    <definedName name="Z_45558626_06A1_4016_90E1_EC693EB777BB_.wvu.FilterData" localSheetId="0" hidden="1">Merged_COEM!$B$59:$AN$359</definedName>
    <definedName name="Z_4631CDC9_3CB0_46A0_A411_DA030B1C25C6_.wvu.FilterData" localSheetId="0" hidden="1">Merged_COEM!$B$59:$AN$412</definedName>
    <definedName name="Z_4631CDC9_3CB0_46A0_A411_DA030B1C25C6_.wvu.FilterData" localSheetId="1" hidden="1">Merged_JOEM!$B$59:$AN$59</definedName>
    <definedName name="Z_471F4494_0449_4884_B80A_27DCFF4E79A7_.wvu.FilterData" localSheetId="0" hidden="1">Merged_COEM!$P$59:$P$368</definedName>
    <definedName name="Z_48EBC9BD_BBD3_4C6E_B628_D0EABB67588C_.wvu.FilterData" localSheetId="0" hidden="1">Merged_COEM!$B$59:$AN$412</definedName>
    <definedName name="Z_49C41633_B7C8_4854_8F3B_012C131B8151_.wvu.FilterData" localSheetId="0" hidden="1">Merged_COEM!$B$59:$AN$412</definedName>
    <definedName name="Z_4AC7CF20_9D78_47F0_AF1F_29F122739E1A_.wvu.FilterData" localSheetId="0" hidden="1">Merged_COEM!$A$59:$AN$368</definedName>
    <definedName name="Z_4AC7CF20_9D78_47F0_AF1F_29F122739E1A_.wvu.FilterData" localSheetId="1" hidden="1">Merged_JOEM!$B$59:$AN$352</definedName>
    <definedName name="Z_4D18CEA0_D888_4F4D_AE86_1305F839E5A9_.wvu.FilterData" localSheetId="0" hidden="1">Merged_COEM!$B$59:$AN$412</definedName>
    <definedName name="Z_4D74C45C_721C_468D_B7CA_077CBC33B37C_.wvu.FilterData" localSheetId="0" hidden="1">Merged_COEM!$A$59:$AN$368</definedName>
    <definedName name="Z_4DB9989C_4464_43E8_8078_E808BE505BAA_.wvu.FilterData" localSheetId="0" hidden="1">Merged_COEM!$A$59:$AN$368</definedName>
    <definedName name="Z_4DB9989C_4464_43E8_8078_E808BE505BAA_.wvu.FilterData" localSheetId="1" hidden="1">Merged_JOEM!$B$59:$AN$352</definedName>
    <definedName name="Z_4DC21B34_0602_481E_94FE_0BD7F968F358_.wvu.FilterData" localSheetId="0" hidden="1">Merged_COEM!$B$59:$AN$412</definedName>
    <definedName name="Z_4DC27000_A69C_4DC6_9CFF_103008543473_.wvu.FilterData" localSheetId="0" hidden="1">Merged_COEM!$A$59:$AN$368</definedName>
    <definedName name="Z_4E06BDBF_2CED_473B_850B_2A6C7311FF41_.wvu.FilterData" localSheetId="0" hidden="1">Merged_COEM!$A$59:$AN$368</definedName>
    <definedName name="Z_4E06BDBF_2CED_473B_850B_2A6C7311FF41_.wvu.FilterData" localSheetId="1" hidden="1">Merged_JOEM!$B$59:$AN$329</definedName>
    <definedName name="Z_4E40C96A_1DEC_426A_8589_DE34E4915A35_.wvu.FilterData" localSheetId="0" hidden="1">Merged_COEM!$B$59:$AN$412</definedName>
    <definedName name="Z_4E40C96A_1DEC_426A_8589_DE34E4915A35_.wvu.FilterData" localSheetId="1" hidden="1">Merged_JOEM!$B$59:$AN$59</definedName>
    <definedName name="Z_4F06BBAE_E91E_44B6_8F57_972D5EE0D29B_.wvu.FilterData" localSheetId="0" hidden="1">Merged_COEM!$B$59:$AN$59</definedName>
    <definedName name="Z_4F729C5C_B2A1_43F7_9582_A5B50BC46423_.wvu.FilterData" localSheetId="0" hidden="1">Merged_COEM!$B$59:$AN$359</definedName>
    <definedName name="Z_4FB35E73_34FB_4120_9ADC_FE2337D8BECC_.wvu.FilterData" localSheetId="0" hidden="1">Merged_COEM!$B$59:$AN$359</definedName>
    <definedName name="Z_4FED5175_DCDA_44CD_A82D_FF4D7FE13304_.wvu.FilterData" localSheetId="0" hidden="1">Merged_COEM!$B$59:$AN$412</definedName>
    <definedName name="Z_4FED5175_DCDA_44CD_A82D_FF4D7FE13304_.wvu.FilterData" localSheetId="1" hidden="1">Merged_JOEM!$B$59:$AN$247</definedName>
    <definedName name="Z_50DCF7A5_2981_4D29_A1B0_FCC718EF1C57_.wvu.FilterData" localSheetId="0" hidden="1">Merged_COEM!$A$59:$AN$368</definedName>
    <definedName name="Z_514F237C_375F_464E_B009_1C9457CCD9C9_.wvu.FilterData" localSheetId="0" hidden="1">Merged_COEM!$B$59:$AN$412</definedName>
    <definedName name="Z_52019DA7_9246_4B08_9F51_34B8F5416A98_.wvu.FilterData" localSheetId="0" hidden="1">Merged_COEM!$B$59:$AN$412</definedName>
    <definedName name="Z_52A57B55_91F1_44CE_A92C_27384918E1DD_.wvu.FilterData" localSheetId="0" hidden="1">Merged_COEM!$A$59:$AN$368</definedName>
    <definedName name="Z_52A57B55_91F1_44CE_A92C_27384918E1DD_.wvu.FilterData" localSheetId="1" hidden="1">Merged_JOEM!$B$59:$AN$352</definedName>
    <definedName name="Z_52E5463D_8C23_4C5E_9563_8FAC384914C2_.wvu.FilterData" localSheetId="0" hidden="1">Merged_COEM!$A$59:$AN$368</definedName>
    <definedName name="Z_52E5463D_8C23_4C5E_9563_8FAC384914C2_.wvu.FilterData" localSheetId="1" hidden="1">Merged_JOEM!$B$59:$AN$352</definedName>
    <definedName name="Z_53933DC9_8D3E_405A_98A9_80740AC0B9CF_.wvu.FilterData" localSheetId="0" hidden="1">Merged_COEM!$A$59:$AN$368</definedName>
    <definedName name="Z_53933DC9_8D3E_405A_98A9_80740AC0B9CF_.wvu.FilterData" localSheetId="1" hidden="1">Merged_JOEM!$B$59:$AN$352</definedName>
    <definedName name="Z_540ED67E_48A4_42C9_8933_01DBB70F9FC6_.wvu.FilterData" localSheetId="0" hidden="1">Merged_COEM!$A$59:$AN$368</definedName>
    <definedName name="Z_540ED67E_48A4_42C9_8933_01DBB70F9FC6_.wvu.FilterData" localSheetId="1" hidden="1">Merged_JOEM!$B$59:$AN$352</definedName>
    <definedName name="Z_542EBC9D_64B9_4ABA_A324_302A387E309D_.wvu.FilterData" localSheetId="0" hidden="1">Merged_COEM!$B$59:$AN$412</definedName>
    <definedName name="Z_54DB054C_01F1_461C_86D7_4B8791E643D6_.wvu.FilterData" localSheetId="0" hidden="1">Merged_COEM!$A$59:$AN$368</definedName>
    <definedName name="Z_55512613_14D7_4168_A76D_6593BA530EA5_.wvu.FilterData" localSheetId="0" hidden="1">Merged_COEM!$B$59:$AN$59</definedName>
    <definedName name="Z_55512613_14D7_4168_A76D_6593BA530EA5_.wvu.FilterData" localSheetId="1" hidden="1">Merged_JOEM!$B$59:$AN$59</definedName>
    <definedName name="Z_555F3FCB_2741_40F9_A2E8_4947D8EA1113_.wvu.FilterData" localSheetId="0" hidden="1">Merged_COEM!$B$59:$AN$59</definedName>
    <definedName name="Z_55B30DB6_8312_48D0_8EBC_C09666C0024F_.wvu.FilterData" localSheetId="0" hidden="1">Merged_COEM!$A$59:$AN$368</definedName>
    <definedName name="Z_55DD069B_3978_4FE9_9C83_8FBEED3226A1_.wvu.FilterData" localSheetId="1" hidden="1">Merged_JOEM!$B$59:$AN$59</definedName>
    <definedName name="Z_563F0E48_4880_4BA0_8B51_589CD49BC542_.wvu.FilterData" localSheetId="0" hidden="1">Merged_COEM!$B$59:$AN$412</definedName>
    <definedName name="Z_563F0E48_4880_4BA0_8B51_589CD49BC542_.wvu.FilterData" localSheetId="1" hidden="1">Merged_JOEM!$B$59:$AN$247</definedName>
    <definedName name="Z_56EF2257_F8BF_4AD9_8AEB_55C432255099_.wvu.FilterData" localSheetId="0" hidden="1">Merged_COEM!$B$59:$AN$59</definedName>
    <definedName name="Z_56EF2257_F8BF_4AD9_8AEB_55C432255099_.wvu.FilterData" localSheetId="1" hidden="1">Merged_JOEM!$B$59:$AN$59</definedName>
    <definedName name="Z_584FB3CE_102E_4394_9BBE_155B20E57E5A_.wvu.FilterData" localSheetId="0" hidden="1">Merged_COEM!$B$59:$AN$59</definedName>
    <definedName name="Z_587FB410_5482_4AFE_8500_563AD5F77249_.wvu.FilterData" localSheetId="1" hidden="1">Merged_JOEM!$B$59:$AN$158</definedName>
    <definedName name="Z_590C7751_D2AD_44DD_9E2C_6A20FF74A475_.wvu.FilterData" localSheetId="0" hidden="1">Merged_COEM!$B$59:$AN$412</definedName>
    <definedName name="Z_590C7751_D2AD_44DD_9E2C_6A20FF74A475_.wvu.FilterData" localSheetId="1" hidden="1">Merged_JOEM!$B$59:$AN$149</definedName>
    <definedName name="Z_5BB3BEFD_1A62_45A9_98B1_873AA0E36F1C_.wvu.FilterData" localSheetId="0" hidden="1">Merged_COEM!$A$59:$AN$368</definedName>
    <definedName name="Z_5BB3BEFD_1A62_45A9_98B1_873AA0E36F1C_.wvu.FilterData" localSheetId="1" hidden="1">Merged_JOEM!$B$59:$AN$352</definedName>
    <definedName name="Z_5BF3CBF8_AF67_4888_9C50_863FE1C874BA_.wvu.FilterData" localSheetId="1" hidden="1">Merged_JOEM!$B$59:$AN$247</definedName>
    <definedName name="Z_5C3799C0_C642_426B_89BE_BE1EE5249DB4_.wvu.FilterData" localSheetId="0" hidden="1">Merged_COEM!$P$59:$P$368</definedName>
    <definedName name="Z_5C3799C0_C642_426B_89BE_BE1EE5249DB4_.wvu.FilterData" localSheetId="1" hidden="1">Merged_JOEM!$B$59:$AN$59</definedName>
    <definedName name="Z_5C4A574E_1376_4305_B673_0BFEAD2A7E3B_.wvu.FilterData" localSheetId="1" hidden="1">Merged_JOEM!$B$59:$AN$352</definedName>
    <definedName name="Z_5CFC70B4_1A78_4D4E_9FE4_E799626D57F8_.wvu.FilterData" localSheetId="0" hidden="1">Merged_COEM!$B$59:$AN$59</definedName>
    <definedName name="Z_5CFC70B4_1A78_4D4E_9FE4_E799626D57F8_.wvu.FilterData" localSheetId="1" hidden="1">Merged_JOEM!$B$59:$AN$59</definedName>
    <definedName name="Z_5DA88502_EE01_4790_8D73_BA293A53CF17_.wvu.FilterData" localSheetId="0" hidden="1">Merged_COEM!$B$59:$AN$412</definedName>
    <definedName name="Z_5E79AF61_EC39_4A36_9D90_26E153CC4B14_.wvu.FilterData" localSheetId="0" hidden="1">Merged_COEM!$P$59:$P$368</definedName>
    <definedName name="Z_5E97057D_04B6_4A37_BD04_0994460E991C_.wvu.FilterData" localSheetId="0" hidden="1">Merged_COEM!$B$59:$AN$359</definedName>
    <definedName name="Z_5E97057D_04B6_4A37_BD04_0994460E991C_.wvu.FilterData" localSheetId="1" hidden="1">Merged_JOEM!$B$59:$AN$329</definedName>
    <definedName name="Z_5EDC2EFF_5E79_4466_BF9D_79C6A5B40ED9_.wvu.FilterData" localSheetId="0" hidden="1">Merged_COEM!$B$59:$AN$412</definedName>
    <definedName name="Z_5F3177B4_B689_4E12_8B01_B6230235E1C9_.wvu.FilterData" localSheetId="1" hidden="1">Merged_JOEM!$B$59:$AN$352</definedName>
    <definedName name="Z_6064FCA4_1299_45BD_A7FB_A6A1EA1CED0D_.wvu.FilterData" localSheetId="0" hidden="1">Merged_COEM!$A$59:$AN$368</definedName>
    <definedName name="Z_60AC2527_814D_446F_96A2_688DF4B3FB31_.wvu.FilterData" localSheetId="0" hidden="1">Merged_COEM!$B$59:$AN$412</definedName>
    <definedName name="Z_60D2C030_4E31_4E07_8E1C_44D2EE84B177_.wvu.FilterData" localSheetId="0" hidden="1">Merged_COEM!$A$59:$AN$368</definedName>
    <definedName name="Z_60D2C030_4E31_4E07_8E1C_44D2EE84B177_.wvu.FilterData" localSheetId="1" hidden="1">Merged_JOEM!$B$59:$AN$329</definedName>
    <definedName name="Z_636AF546_865A_4746_B0C4_E25D46F459D4_.wvu.FilterData" localSheetId="0" hidden="1">Merged_COEM!$B$59:$AN$412</definedName>
    <definedName name="Z_63A7928D_6930_4841_969C_FCD344601064_.wvu.FilterData" localSheetId="1" hidden="1">Merged_JOEM!$B$59:$AN$352</definedName>
    <definedName name="Z_64D01CE5_FE18_455E_9C99_8DEE681E7DA8_.wvu.FilterData" localSheetId="0" hidden="1">Merged_COEM!$B$59:$AN$59</definedName>
    <definedName name="Z_654DEE07_DF95_4D03_A781_4519E9F80CCE_.wvu.FilterData" localSheetId="0" hidden="1">Merged_COEM!$B$59:$AN$412</definedName>
    <definedName name="Z_656025FA_CC5B_4D55_9B87_DB7CD14FDC3E_.wvu.FilterData" localSheetId="0" hidden="1">Merged_COEM!$B$59:$AN$59</definedName>
    <definedName name="Z_6607199E_6F59_49CF_9E27_CD16D2C15F5A_.wvu.FilterData" localSheetId="0" hidden="1">Merged_COEM!$B$59:$AN$412</definedName>
    <definedName name="Z_6607199E_6F59_49CF_9E27_CD16D2C15F5A_.wvu.FilterData" localSheetId="1" hidden="1">Merged_JOEM!$B$59:$AN$59</definedName>
    <definedName name="Z_66724407_6355_40CC_8171_4F24D8FDA9CC_.wvu.FilterData" localSheetId="0" hidden="1">Merged_COEM!$P$59:$P$368</definedName>
    <definedName name="Z_66724407_6355_40CC_8171_4F24D8FDA9CC_.wvu.FilterData" localSheetId="1" hidden="1">Merged_JOEM!$B$59:$AN$329</definedName>
    <definedName name="Z_668FC5B4_A974_4B0C_A190_6FBF948C282E_.wvu.FilterData" localSheetId="0" hidden="1">Merged_COEM!$B$59:$AN$412</definedName>
    <definedName name="Z_668FC5B4_A974_4B0C_A190_6FBF948C282E_.wvu.FilterData" localSheetId="1" hidden="1">Merged_JOEM!$B$59:$AN$65</definedName>
    <definedName name="Z_67B95EDC_AC2A_44C2_8FB8_E957261DFF9D_.wvu.FilterData" localSheetId="0" hidden="1">Merged_COEM!$B$59:$AN$359</definedName>
    <definedName name="Z_686C29B7_8607_4292_9041_CB1F6097339C_.wvu.FilterData" localSheetId="0" hidden="1">Merged_COEM!$B$59:$AN$59</definedName>
    <definedName name="Z_6897B548_3C41_42CA_B63B_C5E92D05FB97_.wvu.FilterData" localSheetId="1" hidden="1">Merged_JOEM!$B$59:$AN$352</definedName>
    <definedName name="Z_68A8DFB2_121C_4691_9D2A_B69DC01BC1C7_.wvu.FilterData" localSheetId="0" hidden="1">Merged_COEM!$B$59:$AN$412</definedName>
    <definedName name="Z_69D96A59_A112_4111_95F1_42A34D2FE5D3_.wvu.FilterData" localSheetId="0" hidden="1">Merged_COEM!$B$59:$AN$359</definedName>
    <definedName name="Z_69D96A59_A112_4111_95F1_42A34D2FE5D3_.wvu.FilterData" localSheetId="1" hidden="1">Merged_JOEM!$B$59:$AN$329</definedName>
    <definedName name="Z_6A5804B2_391C_4C29_93A5_DA8848A9C0A9_.wvu.FilterData" localSheetId="0" hidden="1">Merged_COEM!$B$59:$AN$412</definedName>
    <definedName name="Z_6B374A4D_249C_4C23_AA17_86959F27F346_.wvu.FilterData" localSheetId="0" hidden="1">Merged_COEM!$B$59:$AN$412</definedName>
    <definedName name="Z_6B374A4D_249C_4C23_AA17_86959F27F346_.wvu.FilterData" localSheetId="1" hidden="1">Merged_JOEM!$B$59:$AN$59</definedName>
    <definedName name="Z_6B638F14_A9F5_4448_A254_1C4B412009F0_.wvu.FilterData" localSheetId="0" hidden="1">Merged_COEM!$B$59:$AN$59</definedName>
    <definedName name="Z_6B638F14_A9F5_4448_A254_1C4B412009F0_.wvu.FilterData" localSheetId="1" hidden="1">Merged_JOEM!$B$59:$AN$59</definedName>
    <definedName name="Z_6B713E76_ED25_4678_A716_879278BE9607_.wvu.FilterData" localSheetId="1" hidden="1">Merged_JOEM!$B$59:$AN$59</definedName>
    <definedName name="Z_6CABF124_200E_4AC7_9AB1_549B637A0FFC_.wvu.FilterData" localSheetId="0" hidden="1">Merged_COEM!$B$59:$AN$59</definedName>
    <definedName name="Z_6D5437E7_0F6A_474A_A969_679C02E613D2_.wvu.FilterData" localSheetId="0" hidden="1">Merged_COEM!$B$59:$AN$412</definedName>
    <definedName name="Z_6DE17C78_E65F_476D_9F32_90CC12C01E83_.wvu.FilterData" localSheetId="0" hidden="1">Merged_COEM!$A$59:$AN$368</definedName>
    <definedName name="Z_6F138582_DA2E_48FF_8C71_FD324AC976C1_.wvu.FilterData" localSheetId="0" hidden="1">Merged_COEM!$B$59:$AN$412</definedName>
    <definedName name="Z_6FCAA524_7D77_4BB4_8962_4E73EBC6BB43_.wvu.FilterData" localSheetId="0" hidden="1">Merged_COEM!$B$59:$AN$59</definedName>
    <definedName name="Z_6FDA3908_33D8_4257_8E81_8918028CEF1C_.wvu.FilterData" localSheetId="0" hidden="1">Merged_COEM!$A$59:$AN$368</definedName>
    <definedName name="Z_6FDA3908_33D8_4257_8E81_8918028CEF1C_.wvu.FilterData" localSheetId="1" hidden="1">Merged_JOEM!$B$59:$AN$352</definedName>
    <definedName name="Z_7007375C_B801_4F7C_AD2F_596B93A71EC0_.wvu.FilterData" localSheetId="0" hidden="1">Merged_COEM!$B$59:$AN$359</definedName>
    <definedName name="Z_7007375C_B801_4F7C_AD2F_596B93A71EC0_.wvu.FilterData" localSheetId="1" hidden="1">Merged_JOEM!$B$59:$AN$329</definedName>
    <definedName name="Z_705DC135_428A_4950_A2C7_342AB4CA334B_.wvu.FilterData" localSheetId="0" hidden="1">Merged_COEM!$A$59:$AN$368</definedName>
    <definedName name="Z_707C7C0B_3564_439F_A2E9_21F383DF0CBB_.wvu.FilterData" localSheetId="1" hidden="1">Merged_JOEM!$B$59:$AN$247</definedName>
    <definedName name="Z_70DDEEC0_45AF_4451_8DAA_CB6E764E900C_.wvu.FilterData" localSheetId="0" hidden="1">Merged_COEM!$B$59:$AN$412</definedName>
    <definedName name="Z_715BFEE4_32CD_4B7E_A647_03CCF4A790F0_.wvu.FilterData" localSheetId="0" hidden="1">Merged_COEM!$A$59:$AN$368</definedName>
    <definedName name="Z_71FB7BD1_E9E9_4316_AB57_FA637A29F9E5_.wvu.FilterData" localSheetId="0" hidden="1">Merged_COEM!$B$59:$AN$359</definedName>
    <definedName name="Z_71FB7BD1_E9E9_4316_AB57_FA637A29F9E5_.wvu.FilterData" localSheetId="1" hidden="1">Merged_JOEM!$B$59:$AN$247</definedName>
    <definedName name="Z_725BEA76_0B85_4A75_A741_5CDDEA2ADA81_.wvu.FilterData" localSheetId="0" hidden="1">Merged_COEM!$B$59:$AN$412</definedName>
    <definedName name="Z_725BEA76_0B85_4A75_A741_5CDDEA2ADA81_.wvu.FilterData" localSheetId="1" hidden="1">Merged_JOEM!$B$59:$AN$247</definedName>
    <definedName name="Z_7261821D_1D33_4FAC_B604_2D03A21B59EC_.wvu.FilterData" localSheetId="0" hidden="1">Merged_COEM!$A$59:$AN$368</definedName>
    <definedName name="Z_72A6EB0A_84D5_4B8A_AC51_54CCD061630B_.wvu.FilterData" localSheetId="0" hidden="1">Merged_COEM!$B$59:$AN$412</definedName>
    <definedName name="Z_72A6EB0A_84D5_4B8A_AC51_54CCD061630B_.wvu.FilterData" localSheetId="1" hidden="1">Merged_JOEM!$B$59:$AN$59</definedName>
    <definedName name="Z_730E331C_10E7_4E98_BC37_6021A4A49A07_.wvu.FilterData" localSheetId="0" hidden="1">Merged_COEM!$A$59:$AN$368</definedName>
    <definedName name="Z_730E331C_10E7_4E98_BC37_6021A4A49A07_.wvu.FilterData" localSheetId="1" hidden="1">Merged_JOEM!$B$59:$AN$352</definedName>
    <definedName name="Z_730EFCB3_2402_4578_8B7C_79704658095C_.wvu.FilterData" localSheetId="1" hidden="1">Merged_JOEM!$B$59:$AN$59</definedName>
    <definedName name="Z_73375288_6B6E_4B64_B8CA_8A2D17E4EE8E_.wvu.FilterData" localSheetId="0" hidden="1">Merged_COEM!$B$59:$AN$412</definedName>
    <definedName name="Z_7339CFDD_5D7C_41FE_8AD1_208FBEAD7A1C_.wvu.FilterData" localSheetId="0" hidden="1">Merged_COEM!$A$59:$AN$368</definedName>
    <definedName name="Z_7339CFDD_5D7C_41FE_8AD1_208FBEAD7A1C_.wvu.FilterData" localSheetId="1" hidden="1">Merged_JOEM!$B$59:$AN$352</definedName>
    <definedName name="Z_74F104B0_C4E5_41FD_9F43_0DFCE277A292_.wvu.FilterData" localSheetId="0" hidden="1">Merged_COEM!$B$59:$AN$412</definedName>
    <definedName name="Z_7559AD3C_156F_45C7_936A_55D8B4CF8FD3_.wvu.FilterData" localSheetId="0" hidden="1">Merged_COEM!$A$59:$AN$368</definedName>
    <definedName name="Z_7559AD3C_156F_45C7_936A_55D8B4CF8FD3_.wvu.FilterData" localSheetId="1" hidden="1">Merged_JOEM!$B$59:$AN$352</definedName>
    <definedName name="Z_75A4D877_FE20_4425_A218_8034F59191DE_.wvu.FilterData" localSheetId="0" hidden="1">Merged_COEM!$B$59:$AN$359</definedName>
    <definedName name="Z_75A4D877_FE20_4425_A218_8034F59191DE_.wvu.FilterData" localSheetId="1" hidden="1">Merged_JOEM!$B$59:$AN$329</definedName>
    <definedName name="Z_7631F57F_2776_4521_B9A4_E50DF3C50E08_.wvu.FilterData" localSheetId="0" hidden="1">Merged_COEM!$A$59:$AN$368</definedName>
    <definedName name="Z_7631F57F_2776_4521_B9A4_E50DF3C50E08_.wvu.FilterData" localSheetId="1" hidden="1">Merged_JOEM!$B$59:$AN$352</definedName>
    <definedName name="Z_76551960_825E_460F_979A_E5C4C2C41114_.wvu.FilterData" localSheetId="0" hidden="1">Merged_COEM!$B$59:$AN$412</definedName>
    <definedName name="Z_76551960_825E_460F_979A_E5C4C2C41114_.wvu.FilterData" localSheetId="1" hidden="1">Merged_JOEM!$B$59:$AN$59</definedName>
    <definedName name="Z_7684DE88_CD79_4EF5_9C9B_B69951F70D93_.wvu.FilterData" localSheetId="1" hidden="1">Merged_JOEM!$B$59:$AN$352</definedName>
    <definedName name="Z_7777A75B_07B0_495F_A799_12C6A93E0748_.wvu.FilterData" localSheetId="0" hidden="1">Merged_COEM!$B$59:$AN$412</definedName>
    <definedName name="Z_7817676C_B178_4996_A1C5_3C76C20F9B73_.wvu.FilterData" localSheetId="1" hidden="1">Merged_JOEM!$B$59:$AN$158</definedName>
    <definedName name="Z_7944494E_8CD1_491C_B632_1E18754DE671_.wvu.FilterData" localSheetId="1" hidden="1">Merged_JOEM!$B$59:$AN$149</definedName>
    <definedName name="Z_7A8CB8A9_61C4_4CF1_BA54_B291C6A5550F_.wvu.FilterData" localSheetId="0" hidden="1">Merged_COEM!$B$59:$AN$412</definedName>
    <definedName name="Z_7B73230E_69E0_43F5_B0B0_DBE5465075A3_.wvu.FilterData" localSheetId="0" hidden="1">Merged_COEM!$A$59:$AN$368</definedName>
    <definedName name="Z_7B73230E_69E0_43F5_B0B0_DBE5465075A3_.wvu.FilterData" localSheetId="1" hidden="1">Merged_JOEM!$B$59:$AN$352</definedName>
    <definedName name="Z_7B889AAC_31FF_4187_BC9A_97347D0C1404_.wvu.FilterData" localSheetId="0" hidden="1">Merged_COEM!$A$59:$AN$368</definedName>
    <definedName name="Z_7B889AAC_31FF_4187_BC9A_97347D0C1404_.wvu.FilterData" localSheetId="1" hidden="1">Merged_JOEM!$B$59:$AN$352</definedName>
    <definedName name="Z_7B94F694_D2DC_4FE8_A3BA_01B70131742D_.wvu.FilterData" localSheetId="0" hidden="1">Merged_COEM!$P$59:$P$368</definedName>
    <definedName name="Z_7B94F694_D2DC_4FE8_A3BA_01B70131742D_.wvu.FilterData" localSheetId="1" hidden="1">Merged_JOEM!$B$59:$AN$329</definedName>
    <definedName name="Z_7BCF790B_B0C0_4842_8AD7_5E2098ABB76A_.wvu.FilterData" localSheetId="0" hidden="1">Merged_COEM!$B$59:$AN$412</definedName>
    <definedName name="Z_7BFB5FB4_A8B0_4F63_A181_1734FD1FFF81_.wvu.FilterData" localSheetId="1" hidden="1">Merged_JOEM!$B$59:$AN$352</definedName>
    <definedName name="Z_7CFE9172_C0BA_4835_AC09_77680F071012_.wvu.FilterData" localSheetId="0" hidden="1">Merged_COEM!$A$59:$AN$368</definedName>
    <definedName name="Z_7E0EA425_A420_4443_B9E0_CDF0AA9E5D09_.wvu.FilterData" localSheetId="0" hidden="1">Merged_COEM!$A$59:$AN$368</definedName>
    <definedName name="Z_7E0EA425_A420_4443_B9E0_CDF0AA9E5D09_.wvu.FilterData" localSheetId="1" hidden="1">Merged_JOEM!$B$59:$AN$329</definedName>
    <definedName name="Z_7E28528F_E20C_4D62_AACF_5045EC0851EC_.wvu.FilterData" localSheetId="0" hidden="1">Merged_COEM!$A$59:$AN$368</definedName>
    <definedName name="Z_7E28528F_E20C_4D62_AACF_5045EC0851EC_.wvu.FilterData" localSheetId="1" hidden="1">Merged_JOEM!$B$59:$AN$352</definedName>
    <definedName name="Z_7E9E86EE_4E86_464D_A02D_88BA33E6F7E1_.wvu.FilterData" localSheetId="0" hidden="1">Merged_COEM!$B$59:$AN$412</definedName>
    <definedName name="Z_7ECA1D62_ABBC_43E6_9937_2E03B35496B2_.wvu.FilterData" localSheetId="0" hidden="1">Merged_COEM!$B$59:$AN$412</definedName>
    <definedName name="Z_7ECA1D62_ABBC_43E6_9937_2E03B35496B2_.wvu.FilterData" localSheetId="1" hidden="1">Merged_JOEM!$B$59:$AN$352</definedName>
    <definedName name="Z_7ECC2B8E_6A82_42F5_8AB0_4A51C54EA5EC_.wvu.FilterData" localSheetId="0" hidden="1">Merged_COEM!$P$59:$P$368</definedName>
    <definedName name="Z_7ECC2B8E_6A82_42F5_8AB0_4A51C54EA5EC_.wvu.FilterData" localSheetId="1" hidden="1">Merged_JOEM!$B$59:$AN$329</definedName>
    <definedName name="Z_7F67A8AD_9567_4C1F_9FE0_3A1B039478FD_.wvu.FilterData" localSheetId="0" hidden="1">Merged_COEM!$A$59:$AN$368</definedName>
    <definedName name="Z_7FEB5690_7B38_49CE_A727_CCA7747AA9AE_.wvu.FilterData" localSheetId="0" hidden="1">Merged_COEM!$B$59:$AN$412</definedName>
    <definedName name="Z_7FEB5690_7B38_49CE_A727_CCA7747AA9AE_.wvu.FilterData" localSheetId="1" hidden="1">Merged_JOEM!$B$59:$AN$352</definedName>
    <definedName name="Z_800716EA_F7AD_445F_A82C_AD7029120035_.wvu.FilterData" localSheetId="1" hidden="1">Merged_JOEM!$B$59:$AN$352</definedName>
    <definedName name="Z_803CD872_D993_4AEC_ABDC_098E41A41D56_.wvu.FilterData" localSheetId="0" hidden="1">Merged_COEM!$B$59:$AN$412</definedName>
    <definedName name="Z_813A7912_0731_46B9_B4CC_33DA5DAC5D0E_.wvu.FilterData" localSheetId="0" hidden="1">Merged_COEM!$A$59:$AN$368</definedName>
    <definedName name="Z_813A7912_0731_46B9_B4CC_33DA5DAC5D0E_.wvu.FilterData" localSheetId="1" hidden="1">Merged_JOEM!$B$59:$AN$352</definedName>
    <definedName name="Z_8196DF26_FED6_4AD5_81BB_407D7FD9D469_.wvu.FilterData" localSheetId="0" hidden="1">Merged_COEM!$B$59:$AN$412</definedName>
    <definedName name="Z_81FA0B0F_EF1A_4AD6_89BA_3A6395222780_.wvu.FilterData" localSheetId="1" hidden="1">Merged_JOEM!$B$59:$AN$352</definedName>
    <definedName name="Z_8272A3A2_9E6D_45E6_9C0F_2BEE73EF2A02_.wvu.FilterData" localSheetId="0" hidden="1">Merged_COEM!$B$59:$AN$412</definedName>
    <definedName name="Z_829A4E16_046C_44CF_A5AA_B2E034E6EB70_.wvu.FilterData" localSheetId="0" hidden="1">Merged_COEM!$A$59:$AN$368</definedName>
    <definedName name="Z_829A4E16_046C_44CF_A5AA_B2E034E6EB70_.wvu.FilterData" localSheetId="1" hidden="1">Merged_JOEM!$B$59:$AN$352</definedName>
    <definedName name="Z_85045786_B7D1_41CF_8C70_1888B8E5320F_.wvu.FilterData" localSheetId="1" hidden="1">Merged_JOEM!$B$59:$AN$247</definedName>
    <definedName name="Z_85A0930F_259C_45E1_BAE2_0EEDD0B3722A_.wvu.FilterData" localSheetId="0" hidden="1">Merged_COEM!$B$59:$AN$412</definedName>
    <definedName name="Z_860D614A_8721_43EB_B83C_D17744C7F854_.wvu.FilterData" localSheetId="1" hidden="1">Merged_JOEM!$S$60:$S$352</definedName>
    <definedName name="Z_86DC6F30_C367_4A3B_8A06_DA397A8B8A9A_.wvu.FilterData" localSheetId="0" hidden="1">Merged_COEM!$A$59:$AN$368</definedName>
    <definedName name="Z_86DC6F30_C367_4A3B_8A06_DA397A8B8A9A_.wvu.FilterData" localSheetId="1" hidden="1">Merged_JOEM!$B$59:$AN$352</definedName>
    <definedName name="Z_87B9B6D0_FCFD_415C_BDD0_A69B81D9BDE2_.wvu.FilterData" localSheetId="0" hidden="1">Merged_COEM!$B$59:$AN$412</definedName>
    <definedName name="Z_884B0F10_5A34_444B_B198_846ACF3EE5A6_.wvu.FilterData" localSheetId="0" hidden="1">Merged_COEM!$B$59:$AN$412</definedName>
    <definedName name="Z_88CE456E_359B_447D_B7A0_CC4E1465B4B3_.wvu.FilterData" localSheetId="0" hidden="1">Merged_COEM!$A$59:$AN$368</definedName>
    <definedName name="Z_88CE456E_359B_447D_B7A0_CC4E1465B4B3_.wvu.FilterData" localSheetId="1" hidden="1">Merged_JOEM!$B$59:$AN$352</definedName>
    <definedName name="Z_88E33156_B4B4_46C5_9DEC_A8C1A71097F0_.wvu.FilterData" localSheetId="0" hidden="1">Merged_COEM!$B$59:$AN$412</definedName>
    <definedName name="Z_890925D0_B636_4D3A_B874_B6C1F5A51B55_.wvu.FilterData" localSheetId="0" hidden="1">Merged_COEM!$A$59:$AN$368</definedName>
    <definedName name="Z_893CD852_24B0_46B7_AEB7_74E4BB8E0F04_.wvu.FilterData" localSheetId="0" hidden="1">Merged_COEM!$A$59:$AN$368</definedName>
    <definedName name="Z_897F2672_D884_45B1_9880_B9C71B54DAEB_.wvu.FilterData" localSheetId="0" hidden="1">Merged_COEM!$A$1:$H$18</definedName>
    <definedName name="Z_89C03E1E_B6A8_49A1_B29C_5DC4FAB2FBC6_.wvu.FilterData" localSheetId="0" hidden="1">Merged_COEM!$B$59:$AN$412</definedName>
    <definedName name="Z_89C03E1E_B6A8_49A1_B29C_5DC4FAB2FBC6_.wvu.FilterData" localSheetId="1" hidden="1">Merged_JOEM!$B$59:$AN$329</definedName>
    <definedName name="Z_8A9E848C_2F92_4247_A828_CFD46DB0543C_.wvu.FilterData" localSheetId="0" hidden="1">Merged_COEM!$A$59:$AN$368</definedName>
    <definedName name="Z_8AF3B40C_4A62_4CCD_B7A0_B85E971B5DE3_.wvu.FilterData" localSheetId="0" hidden="1">Merged_COEM!$B$59:$AN$412</definedName>
    <definedName name="Z_8C375C63_D467_4856_867E_0D376340DFF8_.wvu.FilterData" localSheetId="0" hidden="1">Merged_COEM!$A$59:$AN$368</definedName>
    <definedName name="Z_8C375C63_D467_4856_867E_0D376340DFF8_.wvu.FilterData" localSheetId="1" hidden="1">Merged_JOEM!$B$59:$AN$352</definedName>
    <definedName name="Z_8C93A640_930B_411B_8D78_081C9283D060_.wvu.FilterData" localSheetId="0" hidden="1">Merged_COEM!$B$59:$AN$412</definedName>
    <definedName name="Z_8C93A640_930B_411B_8D78_081C9283D060_.wvu.FilterData" localSheetId="1" hidden="1">Merged_JOEM!$B$59:$AN$59</definedName>
    <definedName name="Z_8CB29A5E_F3E2_44D5_BE30_104BB26C7D9C_.wvu.FilterData" localSheetId="0" hidden="1">Merged_COEM!$A$59:$AN$368</definedName>
    <definedName name="Z_8CB29A5E_F3E2_44D5_BE30_104BB26C7D9C_.wvu.FilterData" localSheetId="1" hidden="1">Merged_JOEM!$B$59:$AN$329</definedName>
    <definedName name="Z_8CE8B7C2_A72F_4E17_8707_E89EA28FE14C_.wvu.FilterData" localSheetId="0" hidden="1">Merged_COEM!$B$59:$AN$412</definedName>
    <definedName name="Z_8CF9B453_4899_464D_85BD_71E4DD56D47A_.wvu.FilterData" localSheetId="0" hidden="1">Merged_COEM!$B$59:$AN$412</definedName>
    <definedName name="Z_8CF9B453_4899_464D_85BD_71E4DD56D47A_.wvu.FilterData" localSheetId="1" hidden="1">Merged_JOEM!$B$59:$AN$352</definedName>
    <definedName name="Z_8CFDC2B1_A931_463F_B4B3_66F2BDFB2938_.wvu.FilterData" localSheetId="0" hidden="1">Merged_COEM!$B$59:$AN$59</definedName>
    <definedName name="Z_8CFDC2B1_A931_463F_B4B3_66F2BDFB2938_.wvu.FilterData" localSheetId="1" hidden="1">Merged_JOEM!$B$59:$AN$59</definedName>
    <definedName name="Z_8DDDD18D_E14B_46EA_A1C5_9CA812456655_.wvu.FilterData" localSheetId="0" hidden="1">Merged_COEM!$B$59:$AN$412</definedName>
    <definedName name="Z_90215879_D202_47D7_95B0_308EB9360CBB_.wvu.FilterData" localSheetId="0" hidden="1">Merged_COEM!$B$59:$AN$59</definedName>
    <definedName name="Z_90494C03_06F7_4356_89CC_B3784BF69957_.wvu.FilterData" localSheetId="0" hidden="1">Merged_COEM!$A$59:$AN$368</definedName>
    <definedName name="Z_92142F03_965D_4EC5_9147_0A5F19A88128_.wvu.FilterData" localSheetId="0" hidden="1">Merged_COEM!$B$59:$AN$412</definedName>
    <definedName name="Z_92C3B6E0_E822_4BCF_8785_C7C14B2ADD22_.wvu.FilterData" localSheetId="0" hidden="1">Merged_COEM!$B$59:$AN$412</definedName>
    <definedName name="Z_948AAA3E_FDC6_47E8_9FD0_C830D95AC493_.wvu.FilterData" localSheetId="0" hidden="1">Merged_COEM!$A$59:$AN$368</definedName>
    <definedName name="Z_948AAA3E_FDC6_47E8_9FD0_C830D95AC493_.wvu.FilterData" localSheetId="1" hidden="1">Merged_JOEM!$B$59:$AN$352</definedName>
    <definedName name="Z_94E26A26_506C_4689_88B6_25E21271D599_.wvu.FilterData" localSheetId="0" hidden="1">Merged_COEM!$A$59:$AN$368</definedName>
    <definedName name="Z_951F84BC_6E0F_48A5_9328_00C512BF8879_.wvu.FilterData" localSheetId="0" hidden="1">Merged_COEM!$B$59:$AN$412</definedName>
    <definedName name="Z_951F84BC_6E0F_48A5_9328_00C512BF8879_.wvu.FilterData" localSheetId="1" hidden="1">Merged_JOEM!$B$59:$AN$352</definedName>
    <definedName name="Z_9562D2D0_0C41_4023_A1EA_BD1C74059448_.wvu.FilterData" localSheetId="0" hidden="1">Merged_COEM!$B$59:$AN$412</definedName>
    <definedName name="Z_95D890FD_D22B_47CA_BBB1_9ADB62429D3C_.wvu.FilterData" localSheetId="0" hidden="1">Merged_COEM!$B$59:$AN$359</definedName>
    <definedName name="Z_970EE037_F5E5_47AF_896A_0F6222879EBC_.wvu.FilterData" localSheetId="0" hidden="1">Merged_COEM!$A$59:$AN$368</definedName>
    <definedName name="Z_970EE037_F5E5_47AF_896A_0F6222879EBC_.wvu.FilterData" localSheetId="1" hidden="1">Merged_JOEM!$B$59:$AN$329</definedName>
    <definedName name="Z_97218D6F_FBE0_4BB8_82A5_9A2B9CDAE672_.wvu.FilterData" localSheetId="0" hidden="1">Merged_COEM!$B$59:$AN$412</definedName>
    <definedName name="Z_97448558_70B7_46CA_8397_19CFA0591FCE_.wvu.FilterData" localSheetId="0" hidden="1">Merged_COEM!$P$59:$P$368</definedName>
    <definedName name="Z_97448558_70B7_46CA_8397_19CFA0591FCE_.wvu.FilterData" localSheetId="1" hidden="1">Merged_JOEM!$B$59:$AN$329</definedName>
    <definedName name="Z_97A9DF88_B70E_4292_BE2C_86AD0A2D47DE_.wvu.FilterData" localSheetId="0" hidden="1">Merged_COEM!$B$59:$AN$412</definedName>
    <definedName name="Z_984B2F44_EE13_4F2D_BD1D_5920AACED939_.wvu.FilterData" localSheetId="0" hidden="1">Merged_COEM!$A$59:$AN$368</definedName>
    <definedName name="Z_984B2F44_EE13_4F2D_BD1D_5920AACED939_.wvu.FilterData" localSheetId="1" hidden="1">Merged_JOEM!$B$59:$AN$352</definedName>
    <definedName name="Z_990FD16A_9FF3_4588_AE9A_2DC9132A731F_.wvu.FilterData" localSheetId="1" hidden="1">Merged_JOEM!$B$59:$AN$247</definedName>
    <definedName name="Z_99BC1C51_34DC_4BF2_906C_1E31B6171D71_.wvu.FilterData" localSheetId="0" hidden="1">Merged_COEM!$A$59:$AN$368</definedName>
    <definedName name="Z_99BC1C51_34DC_4BF2_906C_1E31B6171D71_.wvu.FilterData" localSheetId="1" hidden="1">Merged_JOEM!$B$59:$AN$329</definedName>
    <definedName name="Z_99E5354C_71C6_436F_9EE1_C848EB01C814_.wvu.FilterData" localSheetId="0" hidden="1">Merged_COEM!$B$59:$AN$59</definedName>
    <definedName name="Z_99E5354C_71C6_436F_9EE1_C848EB01C814_.wvu.FilterData" localSheetId="1" hidden="1">Merged_JOEM!$B$59:$AN$59</definedName>
    <definedName name="Z_9AD1B165_0807_4FC0_AD7A_19295CA7995A_.wvu.FilterData" localSheetId="0" hidden="1">Merged_COEM!$B$59:$AN$59</definedName>
    <definedName name="Z_9AD1B165_0807_4FC0_AD7A_19295CA7995A_.wvu.FilterData" localSheetId="1" hidden="1">Merged_JOEM!$B$59:$AN$59</definedName>
    <definedName name="Z_9B284A23_0F1B_4C7D_B2C2_B10F6E505930_.wvu.FilterData" localSheetId="0" hidden="1">Merged_COEM!$B$59:$AN$412</definedName>
    <definedName name="Z_9B908383_707F_47D3_9642_C5167E466EE6_.wvu.FilterData" localSheetId="0" hidden="1">Merged_COEM!$A$59:$AN$368</definedName>
    <definedName name="Z_9BFBDFBB_2B19_4AA7_AE31_6ACFC5F32A4D_.wvu.FilterData" localSheetId="0" hidden="1">Merged_COEM!$A$59:$AN$368</definedName>
    <definedName name="Z_9D714EDB_35D2_4BA7_9AE2_8FA7614FCB4C_.wvu.FilterData" localSheetId="0" hidden="1">Merged_COEM!$A$59:$AN$368</definedName>
    <definedName name="Z_9D714EDB_35D2_4BA7_9AE2_8FA7614FCB4C_.wvu.FilterData" localSheetId="1" hidden="1">Merged_JOEM!$B$59:$AN$352</definedName>
    <definedName name="Z_9DE5D1E3_34D1_41A1_AF9A_7D2454A346C3_.wvu.FilterData" localSheetId="0" hidden="1">Merged_COEM!$A$59:$AN$368</definedName>
    <definedName name="Z_9E0900B1_BFBD_4428_900F_47E6A90813DE_.wvu.FilterData" localSheetId="1" hidden="1">Merged_JOEM!$B$59:$AN$329</definedName>
    <definedName name="Z_9E145E8C_2B31_4DB8_B4B0_C616F5D01119_.wvu.FilterData" localSheetId="0" hidden="1">Merged_COEM!$B$59:$AN$59</definedName>
    <definedName name="Z_9F45223C_9767_4C33_8ED0_77D77C44DDED_.wvu.FilterData" localSheetId="1" hidden="1">Merged_JOEM!$B$59:$AN$352</definedName>
    <definedName name="Z_9FCD0F21_6588_4820_B156_FD9CAB29A8E1_.wvu.FilterData" localSheetId="0" hidden="1">Merged_COEM!$B$59:$AN$412</definedName>
    <definedName name="Z_9FCD0F21_6588_4820_B156_FD9CAB29A8E1_.wvu.FilterData" localSheetId="1" hidden="1">Merged_JOEM!$B$59:$AN$247</definedName>
    <definedName name="Z_9FEC5F16_0415_467C_9D43_55FB7EEA0794_.wvu.FilterData" localSheetId="1" hidden="1">Merged_JOEM!$B$59:$AN$352</definedName>
    <definedName name="Z_A0775B09_FAB0_4DE7_9AE6_1D4E50E30721_.wvu.FilterData" localSheetId="1" hidden="1">Merged_JOEM!$B$59:$AN$149</definedName>
    <definedName name="Z_A15A9366_E30F_41B7_BA75_6474B00ABCD6_.wvu.FilterData" localSheetId="0" hidden="1">Merged_COEM!$B$59:$AN$412</definedName>
    <definedName name="Z_A250327B_29D1_494C_9436_0B51910F3323_.wvu.FilterData" localSheetId="0" hidden="1">Merged_COEM!$B$59:$AN$412</definedName>
    <definedName name="Z_A2A917F4_F661_4683_88C9_57D64E10A4C2_.wvu.FilterData" localSheetId="0" hidden="1">Merged_COEM!$B$59:$AN$412</definedName>
    <definedName name="Z_A2C66332_A809_458E_971B_FDB6D62C74C3_.wvu.FilterData" localSheetId="0" hidden="1">Merged_COEM!$B$59:$AN$412</definedName>
    <definedName name="Z_A2C66332_A809_458E_971B_FDB6D62C74C3_.wvu.FilterData" localSheetId="1" hidden="1">Merged_JOEM!$A$59:$AN$329</definedName>
    <definedName name="Z_A2E8CE38_D15E_4374_89B2_69D9421C4465_.wvu.FilterData" localSheetId="0" hidden="1">Merged_COEM!$A$59:$AN$368</definedName>
    <definedName name="Z_A2E8CE38_D15E_4374_89B2_69D9421C4465_.wvu.FilterData" localSheetId="1" hidden="1">Merged_JOEM!$B$59:$AN$329</definedName>
    <definedName name="Z_A2ED90D5_0AE2_4182_9A3F_E75804CB6440_.wvu.FilterData" localSheetId="0" hidden="1">Merged_COEM!$B$59:$AN$412</definedName>
    <definedName name="Z_A301D847_2FFF_4123_8B9E_71D3C55C5D57_.wvu.FilterData" localSheetId="1" hidden="1">Merged_JOEM!$B$59:$AN$352</definedName>
    <definedName name="Z_A41FDE28_6FFB_43B6_B43B_9101088A5207_.wvu.FilterData" localSheetId="0" hidden="1">Merged_COEM!$B$59:$AN$59</definedName>
    <definedName name="Z_A4227727_9F71_47E1_8C2E_042438D3D073_.wvu.FilterData" localSheetId="0" hidden="1">Merged_COEM!$B$59:$AN$59</definedName>
    <definedName name="Z_A660862E_E137_45E6_9126_F71C85FD8B0C_.wvu.FilterData" localSheetId="0" hidden="1">Merged_COEM!$B$59:$AN$59</definedName>
    <definedName name="Z_A663A7DA_D86D_4DEF_9BFD_5DB8AD74E021_.wvu.FilterData" localSheetId="0" hidden="1">Merged_COEM!$B$59:$AN$412</definedName>
    <definedName name="Z_A6A46D6D_F867_4FA0_8E53_62A7F47A4E88_.wvu.FilterData" localSheetId="0" hidden="1">Merged_COEM!$P$59:$P$368</definedName>
    <definedName name="Z_A744FF6C_D2CD_4F7F_AB46_8716E1600217_.wvu.FilterData" localSheetId="0" hidden="1">Merged_COEM!$B$59:$AN$59</definedName>
    <definedName name="Z_A7D380F0_390E_41B2_8D7C_8A5C5BADE80E_.wvu.FilterData" localSheetId="0" hidden="1">Merged_COEM!$A$59:$AN$368</definedName>
    <definedName name="Z_A7D380F0_390E_41B2_8D7C_8A5C5BADE80E_.wvu.FilterData" localSheetId="1" hidden="1">Merged_JOEM!$B$59:$AN$352</definedName>
    <definedName name="Z_A836B445_4F59_4535_9297_85C0D2ED9ECD_.wvu.FilterData" localSheetId="0" hidden="1">Merged_COEM!$A$59:$AN$368</definedName>
    <definedName name="Z_A872A925_F97A_4BCF_ADA0_5A890430B25E_.wvu.FilterData" localSheetId="0" hidden="1">Merged_COEM!$A$59:$AN$368</definedName>
    <definedName name="Z_A872A925_F97A_4BCF_ADA0_5A890430B25E_.wvu.FilterData" localSheetId="1" hidden="1">Merged_JOEM!$B$59:$AN$352</definedName>
    <definedName name="Z_A97F1F0F_D4DA_4DCF_90A4_C17A9941DAFC_.wvu.FilterData" localSheetId="0" hidden="1">Merged_COEM!$B$59:$AN$412</definedName>
    <definedName name="Z_AA08188C_4214_4528_ACD9_C2614CA84F28_.wvu.FilterData" localSheetId="0" hidden="1">Merged_COEM!$B$59:$AN$412</definedName>
    <definedName name="Z_AA3A2856_F934_43FD_A71B_100B2ECD9F4A_.wvu.FilterData" localSheetId="0" hidden="1">Merged_COEM!$B$59:$AN$59</definedName>
    <definedName name="Z_AA85FADB_94FF_41A1_80F2_8EF99C6BD443_.wvu.FilterData" localSheetId="0" hidden="1">Merged_COEM!$B$59:$AN$59</definedName>
    <definedName name="Z_AB5B9EA7_3D5B_4C61_9D01_380D7E46D55A_.wvu.FilterData" localSheetId="0" hidden="1">Merged_COEM!$A$59:$AN$220</definedName>
    <definedName name="Z_AB8A5668_D9AB_4435_929C_EC5CD32EE891_.wvu.FilterData" localSheetId="0" hidden="1">Merged_COEM!$B$59:$AN$412</definedName>
    <definedName name="Z_ABE1B979_D75D_42A3_AB3C_1BC48A1ABE90_.wvu.FilterData" localSheetId="0" hidden="1">Merged_COEM!$B$59:$AN$412</definedName>
    <definedName name="Z_AC999F38_EF0E_452F_99C6_511671044A11_.wvu.FilterData" localSheetId="0" hidden="1">Merged_COEM!$B$59:$AN$412</definedName>
    <definedName name="Z_AC999F38_EF0E_452F_99C6_511671044A11_.wvu.FilterData" localSheetId="1" hidden="1">Merged_JOEM!$B$59:$AN$59</definedName>
    <definedName name="Z_AD0FF98A_2F3B_40F7_861D_434AA89A29DD_.wvu.FilterData" localSheetId="0" hidden="1">Merged_COEM!$A$59:$AN$368</definedName>
    <definedName name="Z_AD27B5B3_C4F2_4AB4_889A_203E2C0A7B22_.wvu.FilterData" localSheetId="0" hidden="1">Merged_COEM!$A$59:$AN$368</definedName>
    <definedName name="Z_AD31D473_ABF1_4543_84A5_D817CF174F0C_.wvu.FilterData" localSheetId="0" hidden="1">Merged_COEM!$B$59:$AN$412</definedName>
    <definedName name="Z_ADD46B79_F7F7_46DE_9772_2E93369E66DE_.wvu.FilterData" localSheetId="0" hidden="1">Merged_COEM!$B$59:$AN$412</definedName>
    <definedName name="Z_ADD81405_E6B7_41C3_A379_D812EDE6C6DE_.wvu.FilterData" localSheetId="0" hidden="1">Merged_COEM!$A$59:$AN$368</definedName>
    <definedName name="Z_AEA1E269_51AD_49F9_AF94_73DA4275CBCE_.wvu.FilterData" localSheetId="1" hidden="1">Merged_JOEM!$B$59:$AN$247</definedName>
    <definedName name="Z_AF189699_1222_40FF_ACE8_2099FF14FAC9_.wvu.FilterData" localSheetId="0" hidden="1">Merged_COEM!$A$59:$AN$368</definedName>
    <definedName name="Z_AF189699_1222_40FF_ACE8_2099FF14FAC9_.wvu.FilterData" localSheetId="1" hidden="1">Merged_JOEM!$B$59:$AN$352</definedName>
    <definedName name="Z_AF7454D1_A4E3_4B0F_983D_A39068D44D6C_.wvu.FilterData" localSheetId="0" hidden="1">Merged_COEM!$B$59:$AN$359</definedName>
    <definedName name="Z_AF7454D1_A4E3_4B0F_983D_A39068D44D6C_.wvu.FilterData" localSheetId="1" hidden="1">Merged_JOEM!$B$59:$AN$329</definedName>
    <definedName name="Z_AFC1A459_0CFD_449E_852E_780E257CA969_.wvu.FilterData" localSheetId="0" hidden="1">Merged_COEM!$A$59:$AN$368</definedName>
    <definedName name="Z_AFC1A459_0CFD_449E_852E_780E257CA969_.wvu.FilterData" localSheetId="1" hidden="1">Merged_JOEM!$B$59:$AN$352</definedName>
    <definedName name="Z_B06D242B_D21C_41E5_82AB_BA350B34DB54_.wvu.FilterData" localSheetId="0" hidden="1">Merged_COEM!$A$59:$AN$368</definedName>
    <definedName name="Z_B0D4B0A9_441A_40CA_8004_F6D98B3003DF_.wvu.FilterData" localSheetId="0" hidden="1">Merged_COEM!$B$59:$AN$412</definedName>
    <definedName name="Z_B1055908_6224_4011_925E_7C2E1172AE70_.wvu.FilterData" localSheetId="0" hidden="1">Merged_COEM!$A$59:$AN$368</definedName>
    <definedName name="Z_B1055908_6224_4011_925E_7C2E1172AE70_.wvu.FilterData" localSheetId="1" hidden="1">Merged_JOEM!$B$59:$AN$352</definedName>
    <definedName name="Z_B1BAE94B_9F00_4EF3_A8CE_FFF8D917D97C_.wvu.FilterData" localSheetId="0" hidden="1">Merged_COEM!$B$59:$AN$412</definedName>
    <definedName name="Z_B2714BA8_459F_40A1_BA80_112C2233A107_.wvu.FilterData" localSheetId="0" hidden="1">Merged_COEM!$B$59:$AN$359</definedName>
    <definedName name="Z_B2714BA8_459F_40A1_BA80_112C2233A107_.wvu.FilterData" localSheetId="1" hidden="1">Merged_JOEM!$B$59:$AN$329</definedName>
    <definedName name="Z_B28487AD_1FF3_420C_9816_908EA83E5D3C_.wvu.FilterData" localSheetId="0" hidden="1">Merged_COEM!$A$59:$AN$368</definedName>
    <definedName name="Z_B28487AD_1FF3_420C_9816_908EA83E5D3C_.wvu.FilterData" localSheetId="1" hidden="1">Merged_JOEM!$B$59:$AN$59</definedName>
    <definedName name="Z_B28746A6_3784_4E4C_9E3E_05917653FE5F_.wvu.FilterData" localSheetId="0" hidden="1">Merged_COEM!$B$59:$AN$412</definedName>
    <definedName name="Z_B2C470A8_EA38_4E8A_AFC7_3088AC1C6257_.wvu.FilterData" localSheetId="0" hidden="1">Merged_COEM!$B$59:$AN$412</definedName>
    <definedName name="Z_B2EC619E_F51B_483E_9AAF_517D4B41291A_.wvu.FilterData" localSheetId="0" hidden="1">Merged_COEM!$A$59:$AN$368</definedName>
    <definedName name="Z_B3AB6DAA_41F0_4EE2_8B00_F7180AC3BF7E_.wvu.FilterData" localSheetId="1" hidden="1">Merged_JOEM!$B$59:$AN$352</definedName>
    <definedName name="Z_B3C086B7_C71E_4A43_AC71_93C9CD26D0B5_.wvu.FilterData" localSheetId="0" hidden="1">Merged_COEM!$B$59:$AN$359</definedName>
    <definedName name="Z_B3C086B7_C71E_4A43_AC71_93C9CD26D0B5_.wvu.FilterData" localSheetId="1" hidden="1">Merged_JOEM!$B$59:$AN$247</definedName>
    <definedName name="Z_B3CBA697_396C_49AA_95DB_637C81CB8DF9_.wvu.FilterData" localSheetId="0" hidden="1">Merged_COEM!$B$59:$AN$412</definedName>
    <definedName name="Z_B3D249B3_F897_444B_A67E_E6939251C5B3_.wvu.FilterData" localSheetId="1" hidden="1">Merged_JOEM!$B$59:$AN$352</definedName>
    <definedName name="Z_B499B82B_96ED_4CBF_BFE1_5CA7DAD3BC0F_.wvu.FilterData" localSheetId="0" hidden="1">Merged_COEM!$B$59:$AN$412</definedName>
    <definedName name="Z_B4A86492_91CA_4B88_905A_7180E7C62EB2_.wvu.FilterData" localSheetId="0" hidden="1">Merged_COEM!$A$59:$AN$368</definedName>
    <definedName name="Z_B532AA05_9EB4_46DE_A45A_E34C29A069AA_.wvu.FilterData" localSheetId="0" hidden="1">Merged_COEM!$B$59:$AN$412</definedName>
    <definedName name="Z_B54D8A4B_BE39_481D_84D7_4F280C2EA516_.wvu.FilterData" localSheetId="0" hidden="1">Merged_COEM!$A$59:$AN$368</definedName>
    <definedName name="Z_B54D8A4B_BE39_481D_84D7_4F280C2EA516_.wvu.FilterData" localSheetId="1" hidden="1">Merged_JOEM!$B$59:$AN$352</definedName>
    <definedName name="Z_B55BF0D9_6486_4DC8_AB45_17EAF8D228FB_.wvu.FilterData" localSheetId="0" hidden="1">Merged_COEM!$A$59:$AN$368</definedName>
    <definedName name="Z_B55BF0D9_6486_4DC8_AB45_17EAF8D228FB_.wvu.FilterData" localSheetId="1" hidden="1">Merged_JOEM!$B$59:$AN$329</definedName>
    <definedName name="Z_B562E70C_2A1E_48DF_BB71_B13898DA0A62_.wvu.FilterData" localSheetId="0" hidden="1">Merged_COEM!$B$59:$AN$359</definedName>
    <definedName name="Z_B63DD65C_9EF8_4E01_9252_9D7B6691A477_.wvu.FilterData" localSheetId="0" hidden="1">Merged_COEM!$B$59:$AN$59</definedName>
    <definedName name="Z_B6B30A94_A4FB_42AF_BB3D_564C0E1E2210_.wvu.FilterData" localSheetId="0" hidden="1">Merged_COEM!$B$59:$AN$59</definedName>
    <definedName name="Z_B6B30A94_A4FB_42AF_BB3D_564C0E1E2210_.wvu.FilterData" localSheetId="1" hidden="1">Merged_JOEM!$B$59:$AN$59</definedName>
    <definedName name="Z_B6ED238C_0DE9_471E_909B_1EAB15BEA059_.wvu.FilterData" localSheetId="0" hidden="1">Merged_COEM!$P$59:$P$368</definedName>
    <definedName name="Z_B9EFE5C6_68FB_4933_972C_7F8BD5F2D994_.wvu.FilterData" localSheetId="1" hidden="1">Merged_JOEM!$S$60:$S$352</definedName>
    <definedName name="Z_BBF1917C_086C_4375_B9C9_44D06983F7F5_.wvu.FilterData" localSheetId="0" hidden="1">Merged_COEM!$B$59:$AN$412</definedName>
    <definedName name="Z_BC173873_A7A3_429A_A2F2_06B8E17D4E2D_.wvu.FilterData" localSheetId="0" hidden="1">Merged_COEM!$P$59:$P$368</definedName>
    <definedName name="Z_BC173873_A7A3_429A_A2F2_06B8E17D4E2D_.wvu.FilterData" localSheetId="1" hidden="1">Merged_JOEM!$B$59:$AN$59</definedName>
    <definedName name="Z_BC9E3217_B55A_4318_BC37_B4A44F3EFD84_.wvu.FilterData" localSheetId="0" hidden="1">Merged_COEM!$B$59:$AN$412</definedName>
    <definedName name="Z_BCA8DD9F_034E_4FA8_9E78_7C48E88504CC_.wvu.FilterData" localSheetId="0" hidden="1">Merged_COEM!$B$59:$AN$359</definedName>
    <definedName name="Z_BCE93B8C_C7A9_4EA3_9D8F_A38689784C4F_.wvu.FilterData" localSheetId="1" hidden="1">Merged_JOEM!$B$59:$AN$329</definedName>
    <definedName name="Z_BCE99E97_CE8F_4575_BF43_E13B513D810F_.wvu.FilterData" localSheetId="0" hidden="1">Merged_COEM!$B$59:$AN$412</definedName>
    <definedName name="Z_BD8FF058_B31E_4C72_A923_312AF439B99F_.wvu.FilterData" localSheetId="0" hidden="1">Merged_COEM!$A$59:$AN$368</definedName>
    <definedName name="Z_BD8FF058_B31E_4C72_A923_312AF439B99F_.wvu.FilterData" localSheetId="1" hidden="1">Merged_JOEM!$B$59:$AN$352</definedName>
    <definedName name="Z_BE7BA0FA_2892_4827_BA29_74B6E16E353B_.wvu.FilterData" localSheetId="0" hidden="1">Merged_COEM!$A$59:$AN$368</definedName>
    <definedName name="Z_BECCF56E_D016_4416_89DC_61E6A6FE3DA2_.wvu.FilterData" localSheetId="0" hidden="1">Merged_COEM!$B$59:$AN$359</definedName>
    <definedName name="Z_BECCF56E_D016_4416_89DC_61E6A6FE3DA2_.wvu.FilterData" localSheetId="1" hidden="1">Merged_JOEM!$B$59:$AN$247</definedName>
    <definedName name="Z_BEE26344_5F89_46BE_ADCC_85D6BF33A053_.wvu.FilterData" localSheetId="0" hidden="1">Merged_COEM!$A$59:$AN$368</definedName>
    <definedName name="Z_BEE26344_5F89_46BE_ADCC_85D6BF33A053_.wvu.FilterData" localSheetId="1" hidden="1">Merged_JOEM!$B$59:$AN$352</definedName>
    <definedName name="Z_BF1F7491_F461_4810_B06E_8AF629E4946B_.wvu.FilterData" localSheetId="0" hidden="1">Merged_COEM!$B$59:$AN$412</definedName>
    <definedName name="Z_BF7A1F8F_74AD_4DDA_B23C_B5C3DB65C08A_.wvu.FilterData" localSheetId="1" hidden="1">Merged_JOEM!$B$59:$AN$352</definedName>
    <definedName name="Z_BF8A59F3_8F18_4B86_BC75_81913D647D5D_.wvu.FilterData" localSheetId="0" hidden="1">Merged_COEM!$B$59:$AN$359</definedName>
    <definedName name="Z_BF8A59F3_8F18_4B86_BC75_81913D647D5D_.wvu.FilterData" localSheetId="1" hidden="1">Merged_JOEM!$B$59:$AN$329</definedName>
    <definedName name="Z_BFE28FD3_FC05_47D2_B394_F3516A4D0AB3_.wvu.FilterData" localSheetId="0" hidden="1">Merged_COEM!$B$59:$AN$59</definedName>
    <definedName name="Z_C0E51FCA_4F01_4943_98A0_011C2CAE2D2E_.wvu.FilterData" localSheetId="0" hidden="1">Merged_COEM!$B$59:$AN$59</definedName>
    <definedName name="Z_C0F8B497_FB1A_45EA_9D03_2183FFE54A49_.wvu.FilterData" localSheetId="1" hidden="1">Merged_JOEM!$B$59:$AN$247</definedName>
    <definedName name="Z_C2303EBD_E6D7_4FF7_845D_A3B248E6EFF5_.wvu.FilterData" localSheetId="1" hidden="1">Merged_JOEM!$B$59:$AN$352</definedName>
    <definedName name="Z_C2BC807A_4231_4D9F_A0E3_91083B1E2121_.wvu.FilterData" localSheetId="0" hidden="1">Merged_COEM!$B$59:$AN$412</definedName>
    <definedName name="Z_C2BC807A_4231_4D9F_A0E3_91083B1E2121_.wvu.FilterData" localSheetId="1" hidden="1">Merged_JOEM!$B$59:$AN$59</definedName>
    <definedName name="Z_C2CCA076_8851_43CC_9A1E_2FD22C7E2390_.wvu.FilterData" localSheetId="0" hidden="1">Merged_COEM!$A$59:$AN$368</definedName>
    <definedName name="Z_C2CCA076_8851_43CC_9A1E_2FD22C7E2390_.wvu.FilterData" localSheetId="1" hidden="1">Merged_JOEM!$B$59:$AN$352</definedName>
    <definedName name="Z_C36428D0_4662_4A3F_8269_04B9F62FB882_.wvu.FilterData" localSheetId="0" hidden="1">Merged_COEM!$B$59:$AN$412</definedName>
    <definedName name="Z_C3B26110_BB96_4041_9E86_8FB1D3595EC3_.wvu.FilterData" localSheetId="0" hidden="1">Merged_COEM!$P$59:$P$368</definedName>
    <definedName name="Z_C477A7B9_FAF8_4542_B07F_F4099E2D59B5_.wvu.FilterData" localSheetId="0" hidden="1">Merged_COEM!$A$59:$AN$368</definedName>
    <definedName name="Z_C477A7B9_FAF8_4542_B07F_F4099E2D59B5_.wvu.FilterData" localSheetId="1" hidden="1">Merged_JOEM!$B$59:$AN$352</definedName>
    <definedName name="Z_C6889E15_1A62_4F54_A8B7_B3679CC028D9_.wvu.FilterData" localSheetId="0" hidden="1">Merged_COEM!$A$59:$AN$368</definedName>
    <definedName name="Z_C6889E15_1A62_4F54_A8B7_B3679CC028D9_.wvu.FilterData" localSheetId="1" hidden="1">Merged_JOEM!$B$59:$AN$352</definedName>
    <definedName name="Z_C94451EF_7A3E_4D72_B5A4_3D1B193192CC_.wvu.FilterData" localSheetId="0" hidden="1">Merged_COEM!$A$59:$AN$368</definedName>
    <definedName name="Z_C94451EF_7A3E_4D72_B5A4_3D1B193192CC_.wvu.FilterData" localSheetId="1" hidden="1">Merged_JOEM!$B$59:$AN$329</definedName>
    <definedName name="Z_C9E42B05_B52A_4A11_A52C_322A33FD04AC_.wvu.FilterData" localSheetId="1" hidden="1">Merged_JOEM!$B$59:$AN$352</definedName>
    <definedName name="Z_CA3FE1E3_9530_4F0E_ACAD_0C4BB98D7A6C_.wvu.FilterData" localSheetId="0" hidden="1">Merged_COEM!$B$59:$AN$359</definedName>
    <definedName name="Z_CA3FE1E3_9530_4F0E_ACAD_0C4BB98D7A6C_.wvu.FilterData" localSheetId="1" hidden="1">Merged_JOEM!$B$59:$AN$329</definedName>
    <definedName name="Z_CA610046_2946_4C6D_A575_B33B2261CDA0_.wvu.FilterData" localSheetId="0" hidden="1">Merged_COEM!$A$59:$AN$368</definedName>
    <definedName name="Z_CA610046_2946_4C6D_A575_B33B2261CDA0_.wvu.FilterData" localSheetId="1" hidden="1">Merged_JOEM!$B$59:$AN$352</definedName>
    <definedName name="Z_CB2D8F44_72B6_4784_85C6_8C82D3B41596_.wvu.FilterData" localSheetId="0" hidden="1">Merged_COEM!$A$59:$AN$368</definedName>
    <definedName name="Z_CB878EEF_D456_4AC2_A47A_33FB11DA205A_.wvu.FilterData" localSheetId="0" hidden="1">Merged_COEM!$A$59:$AN$368</definedName>
    <definedName name="Z_CC1670B1_D035_408B_BE6D_0CE8D63EEEF0_.wvu.FilterData" localSheetId="0" hidden="1">Merged_COEM!$P$59:$P$368</definedName>
    <definedName name="Z_CC1670B1_D035_408B_BE6D_0CE8D63EEEF0_.wvu.FilterData" localSheetId="1" hidden="1">Merged_JOEM!$B$59:$AN$329</definedName>
    <definedName name="Z_CC3F580C_15C7_4259_B4F0_2E2F4C5CDBDE_.wvu.FilterData" localSheetId="0" hidden="1">Merged_COEM!$A$59:$AN$368</definedName>
    <definedName name="Z_CC3F580C_15C7_4259_B4F0_2E2F4C5CDBDE_.wvu.FilterData" localSheetId="1" hidden="1">Merged_JOEM!$B$59:$AN$352</definedName>
    <definedName name="Z_CC487568_3956_4F08_A6E4_B2BC54D2ECDB_.wvu.FilterData" localSheetId="0" hidden="1">Merged_COEM!$A$59:$AN$368</definedName>
    <definedName name="Z_CD229BC3_8D0F_4B2B_8518_AFFA02D46771_.wvu.FilterData" localSheetId="0" hidden="1">Merged_COEM!$B$59:$AN$359</definedName>
    <definedName name="Z_CD229BC3_8D0F_4B2B_8518_AFFA02D46771_.wvu.FilterData" localSheetId="1" hidden="1">Merged_JOEM!$B$59:$AN$329</definedName>
    <definedName name="Z_CD235416_A5FA_481B_8E55_C60A832823B9_.wvu.FilterData" localSheetId="0" hidden="1">Merged_COEM!$B$59:$AN$412</definedName>
    <definedName name="Z_CD27DB33_53E8_44D2_9D7B_46C7E0D8406D_.wvu.FilterData" localSheetId="1" hidden="1">Merged_JOEM!$B$59:$AN$59</definedName>
    <definedName name="Z_CDA0C6D7_3A34_4603_A386_6EC3B3F2C1A3_.wvu.FilterData" localSheetId="0" hidden="1">Merged_COEM!$B$59:$AN$59</definedName>
    <definedName name="Z_CDBB1A2A_231D_4FFC_9270_4805D06A351E_.wvu.FilterData" localSheetId="0" hidden="1">Merged_COEM!$A$59:$AN$368</definedName>
    <definedName name="Z_CDBB1A2A_231D_4FFC_9270_4805D06A351E_.wvu.FilterData" localSheetId="1" hidden="1">Merged_JOEM!$B$59:$AN$352</definedName>
    <definedName name="Z_CE1AD879_4E3E_419F_98AE_AEB21B971F2A_.wvu.FilterData" localSheetId="0" hidden="1">Merged_COEM!$A$59:$AN$368</definedName>
    <definedName name="Z_CE1AD879_4E3E_419F_98AE_AEB21B971F2A_.wvu.FilterData" localSheetId="1" hidden="1">Merged_JOEM!$B$59:$AN$352</definedName>
    <definedName name="Z_CE53B601_5089_4DCD_884E_E31984E57AA7_.wvu.FilterData" localSheetId="0" hidden="1">Merged_COEM!$A$59:$AN$368</definedName>
    <definedName name="Z_CE6E4FDD_C5AA_420F_AF49_516E16308BAD_.wvu.FilterData" localSheetId="0" hidden="1">Merged_COEM!$A$59:$AN$368</definedName>
    <definedName name="Z_CE6E4FDD_C5AA_420F_AF49_516E16308BAD_.wvu.FilterData" localSheetId="1" hidden="1">Merged_JOEM!$B$59:$AN$352</definedName>
    <definedName name="Z_CEA010CE_4499_4072_B3D6_4AE9AD81ECB0_.wvu.FilterData" localSheetId="0" hidden="1">Merged_COEM!$A$59:$AN$368</definedName>
    <definedName name="Z_CEBE8AC3_188B_4F97_A24F_371A11C4421A_.wvu.FilterData" localSheetId="0" hidden="1">Merged_COEM!$B$59:$AN$59</definedName>
    <definedName name="Z_CF191CDA_59C7_49C3_BC89_1051D296C6BE_.wvu.FilterData" localSheetId="0" hidden="1">Merged_COEM!$B$59:$AN$359</definedName>
    <definedName name="Z_CF191CDA_59C7_49C3_BC89_1051D296C6BE_.wvu.FilterData" localSheetId="1" hidden="1">Merged_JOEM!$A$59:$AN$247</definedName>
    <definedName name="Z_CF789F89_E944_4123_99BC_A68BDCD5854E_.wvu.FilterData" localSheetId="0" hidden="1">Merged_COEM!$A$59:$AN$368</definedName>
    <definedName name="Z_CF84BCBE_BE22_4A6D_8717_6A7CF544566C_.wvu.FilterData" localSheetId="1" hidden="1">Merged_JOEM!$S$60:$S$352</definedName>
    <definedName name="Z_CFDF51A4_31D6_4E09_9872_4D69918FBCA4_.wvu.FilterData" localSheetId="0" hidden="1">Merged_COEM!$B$59:$AN$412</definedName>
    <definedName name="Z_D02104D3_51B8_4533_A2F3_8DEEA8EA85DE_.wvu.FilterData" localSheetId="0" hidden="1">Merged_COEM!$B$59:$AN$412</definedName>
    <definedName name="Z_D086E2C8_DBDB_447C_AEAF_4D570D675B0D_.wvu.FilterData" localSheetId="0" hidden="1">Merged_COEM!$B$59:$AN$412</definedName>
    <definedName name="Z_D27A9719_CA1F_4F10_B026_6793A25D97CF_.wvu.FilterData" localSheetId="0" hidden="1">Merged_COEM!$B$59:$AN$59</definedName>
    <definedName name="Z_D27A9719_CA1F_4F10_B026_6793A25D97CF_.wvu.FilterData" localSheetId="1" hidden="1">Merged_JOEM!$B$59:$AN$59</definedName>
    <definedName name="Z_D33AC7AF_C8AB_4CE9_94C7_9237011A5FC3_.wvu.FilterData" localSheetId="0" hidden="1">Merged_COEM!$A$59:$AN$368</definedName>
    <definedName name="Z_D33AC7AF_C8AB_4CE9_94C7_9237011A5FC3_.wvu.FilterData" localSheetId="1" hidden="1">Merged_JOEM!$B$59:$AN$329</definedName>
    <definedName name="Z_D38342FB_44F2_4C40_B39A_DFD93C1F7369_.wvu.FilterData" localSheetId="0" hidden="1">Merged_COEM!$A$59:$AN$368</definedName>
    <definedName name="Z_D41295E5_0507_4FFC_9DE6_9C52285F0275_.wvu.FilterData" localSheetId="0" hidden="1">Merged_COEM!$B$59:$AN$412</definedName>
    <definedName name="Z_D4D31799_D309_49FE_A753_935575949FDF_.wvu.FilterData" localSheetId="0" hidden="1">Merged_COEM!$B$59:$AN$412</definedName>
    <definedName name="Z_D4D31799_D309_49FE_A753_935575949FDF_.wvu.FilterData" localSheetId="1" hidden="1">Merged_JOEM!$B$59:$AN$59</definedName>
    <definedName name="Z_D5495B41_8856_434C_AE51_6C7F28A4892B_.wvu.FilterData" localSheetId="0" hidden="1">Merged_COEM!$A$59:$AN$368</definedName>
    <definedName name="Z_D5495B41_8856_434C_AE51_6C7F28A4892B_.wvu.FilterData" localSheetId="1" hidden="1">Merged_JOEM!$B$59:$AN$352</definedName>
    <definedName name="Z_D5ACA420_0704_4A7B_8271_EFB400689CE3_.wvu.FilterData" localSheetId="0" hidden="1">Merged_COEM!$B$59:$AN$59</definedName>
    <definedName name="Z_D5ACA420_0704_4A7B_8271_EFB400689CE3_.wvu.FilterData" localSheetId="1" hidden="1">Merged_JOEM!$B$59:$AN$59</definedName>
    <definedName name="Z_D6832C49_66A5_40BB_A73B_0C25E4D9B698_.wvu.FilterData" localSheetId="0" hidden="1">Merged_COEM!$B$59:$AN$59</definedName>
    <definedName name="Z_D68AA120_23E6_4E33_B593_B08CB8C9A9E2_.wvu.FilterData" localSheetId="0" hidden="1">Merged_COEM!$A$59:$AN$368</definedName>
    <definedName name="Z_D6B6CCCC_9FFF_4FFF_98B0_4EA5B228ED4B_.wvu.FilterData" localSheetId="0" hidden="1">Merged_COEM!$A$59:$AN$368</definedName>
    <definedName name="Z_D872AF61_C529_4DF8_A0AD_23C1DBB7ABFF_.wvu.FilterData" localSheetId="0" hidden="1">Merged_COEM!$B$59:$AN$412</definedName>
    <definedName name="Z_D96D1389_4C8F_47A3_9E16_746F53899CC4_.wvu.FilterData" localSheetId="0" hidden="1">Merged_COEM!$A$59:$AN$368</definedName>
    <definedName name="Z_DA60DB17_D662_44C5_A44E_0215B156F1CB_.wvu.FilterData" localSheetId="0" hidden="1">Merged_COEM!$B$59:$AN$412</definedName>
    <definedName name="Z_DA60DB17_D662_44C5_A44E_0215B156F1CB_.wvu.FilterData" localSheetId="1" hidden="1">Merged_JOEM!$B$59:$AN$59</definedName>
    <definedName name="Z_DA781726_B906_42BF_9F10_92770707708D_.wvu.FilterData" localSheetId="0" hidden="1">Merged_COEM!$B$59:$AN$59</definedName>
    <definedName name="Z_DAA8F091_E546_42D7_9E34_AA0C266FAE9C_.wvu.FilterData" localSheetId="1" hidden="1">Merged_JOEM!$B$59:$AN$329</definedName>
    <definedName name="Z_DB3D53BC_032F_471F_94FC_E9876370C211_.wvu.FilterData" localSheetId="0" hidden="1">Merged_COEM!$B$59:$AN$412</definedName>
    <definedName name="Z_DCB49D15_4EC2_40E2_99C4_E04CD61EACEB_.wvu.FilterData" localSheetId="0" hidden="1">Merged_COEM!$A$59:$AN$368</definedName>
    <definedName name="Z_DD788658_D329_4BC9_A4CF_42A7BA14B6A8_.wvu.FilterData" localSheetId="0" hidden="1">Merged_COEM!$A$59:$AN$368</definedName>
    <definedName name="Z_DD788658_D329_4BC9_A4CF_42A7BA14B6A8_.wvu.FilterData" localSheetId="1" hidden="1">Merged_JOEM!$B$59:$AN$352</definedName>
    <definedName name="Z_DDB52F07_9CA6_4C4D_B256_178082EC8245_.wvu.FilterData" localSheetId="0" hidden="1">Merged_COEM!$B$59:$AN$412</definedName>
    <definedName name="Z_DDB52F07_9CA6_4C4D_B256_178082EC8245_.wvu.FilterData" localSheetId="1" hidden="1">Merged_JOEM!$B$59:$AN$59</definedName>
    <definedName name="Z_DE7792AA_5050_4583_A5BB_E5DDC52489C5_.wvu.FilterData" localSheetId="0" hidden="1">Merged_COEM!$B$59:$AN$412</definedName>
    <definedName name="Z_DE7792AA_5050_4583_A5BB_E5DDC52489C5_.wvu.FilterData" localSheetId="1" hidden="1">Merged_JOEM!$B$59:$AN$59</definedName>
    <definedName name="Z_E058DDBE_ED0A_4CA8_8C04_26D1B7AA285A_.wvu.FilterData" localSheetId="0" hidden="1">Merged_COEM!$A$59:$AN$368</definedName>
    <definedName name="Z_E058DDBE_ED0A_4CA8_8C04_26D1B7AA285A_.wvu.FilterData" localSheetId="1" hidden="1">Merged_JOEM!$B$59:$AN$352</definedName>
    <definedName name="Z_E0DA618F_5168_4BDA_B90D_1071596CF2FC_.wvu.FilterData" localSheetId="0" hidden="1">Merged_COEM!$B$59:$AN$59</definedName>
    <definedName name="Z_E0F05845_7B3E_4BDE_9641_919043CF8853_.wvu.FilterData" localSheetId="0" hidden="1">Merged_COEM!$B$59:$AN$412</definedName>
    <definedName name="Z_E11D25D0_2BF3_48B3_9FBC_3B6D0D0AF949_.wvu.FilterData" localSheetId="0" hidden="1">Merged_COEM!$A$59:$AN$368</definedName>
    <definedName name="Z_E11D25D0_2BF3_48B3_9FBC_3B6D0D0AF949_.wvu.FilterData" localSheetId="1" hidden="1">Merged_JOEM!$B$59:$AN$352</definedName>
    <definedName name="Z_E12EC836_80E0_45EE_A6D0_34069B8708A0_.wvu.FilterData" localSheetId="0" hidden="1">Merged_COEM!$A$59:$AN$368</definedName>
    <definedName name="Z_E12EC836_80E0_45EE_A6D0_34069B8708A0_.wvu.FilterData" localSheetId="1" hidden="1">Merged_JOEM!$B$59:$AN$352</definedName>
    <definedName name="Z_E22C7180_8318_4063_B51E_CCE57C69952C_.wvu.FilterData" localSheetId="1" hidden="1">Merged_JOEM!$B$59:$AN$247</definedName>
    <definedName name="Z_E2F01DF1_5235_4931_B0AA_790594455BB6_.wvu.FilterData" localSheetId="0" hidden="1">Merged_COEM!$A$59:$AN$368</definedName>
    <definedName name="Z_E36B2453_F811_41EA_9FD1_7FA18414D43B_.wvu.FilterData" localSheetId="1" hidden="1">Merged_JOEM!$B$59:$AN$352</definedName>
    <definedName name="Z_E51951AC_4BE1_43BB_9EF9_3A103CBA1EDF_.wvu.FilterData" localSheetId="1" hidden="1">Merged_JOEM!$B$59:$AN$247</definedName>
    <definedName name="Z_E5B6C117_544A_4A15_9506_72CFAF8D0D1D_.wvu.FilterData" localSheetId="0" hidden="1">Merged_COEM!$A$59:$AN$368</definedName>
    <definedName name="Z_E6141633_D7E6_4C6C_8705_4DA7F2940436_.wvu.FilterData" localSheetId="0" hidden="1">Merged_COEM!$A$59:$AN$368</definedName>
    <definedName name="Z_E6180E73_1E02_47C0_826F_065429E1DBB3_.wvu.FilterData" localSheetId="0" hidden="1">Merged_COEM!$B$59:$AN$59</definedName>
    <definedName name="Z_E6637879_26CD_45BB_85B9_AB81FCEF6B80_.wvu.FilterData" localSheetId="0" hidden="1">Merged_COEM!$B$59:$AN$412</definedName>
    <definedName name="Z_E6FDFB7C_A7B9_48D5_BBD6_68140ADA35BB_.wvu.FilterData" localSheetId="0" hidden="1">Merged_COEM!$B$59:$AN$412</definedName>
    <definedName name="Z_E72CA2CF_6FE7_4387_B8FB_A8EC0BD159B1_.wvu.FilterData" localSheetId="0" hidden="1">Merged_COEM!$B$59:$AN$412</definedName>
    <definedName name="Z_E73B0B7F_6007_4682_BC1D_F46CD41654E9_.wvu.FilterData" localSheetId="0" hidden="1">Merged_COEM!$B$59:$AN$412</definedName>
    <definedName name="Z_E88DC3CB_0C36_4621_A78A_EADE25323E65_.wvu.FilterData" localSheetId="0" hidden="1">Merged_COEM!$B$59:$AN$412</definedName>
    <definedName name="Z_E88DC3CB_0C36_4621_A78A_EADE25323E65_.wvu.FilterData" localSheetId="1" hidden="1">Merged_JOEM!$B$59:$AN$352</definedName>
    <definedName name="Z_EA615293_38E7_4916_A5E8_C227C7F1B733_.wvu.FilterData" localSheetId="0" hidden="1">Merged_COEM!$A$59:$AN$368</definedName>
    <definedName name="Z_EAF4E43D_B79D_48B8_94E1_DDDE812B18CC_.wvu.FilterData" localSheetId="0" hidden="1">Merged_COEM!$B$59:$AN$359</definedName>
    <definedName name="Z_EB30279F_71BB_4BBD_A7EE_691D83FBCC50_.wvu.FilterData" localSheetId="0" hidden="1">Merged_COEM!$B$59:$AN$59</definedName>
    <definedName name="Z_EB354AEF_2F6F_4850_8B31_D02F1AF5CE4B_.wvu.FilterData" localSheetId="0" hidden="1">Merged_COEM!$B$59:$AN$359</definedName>
    <definedName name="Z_EBFFEBE0_546B_462A_9BC2_2449B908527C_.wvu.FilterData" localSheetId="0" hidden="1">Merged_COEM!$A$59:$AN$368</definedName>
    <definedName name="Z_EBFFEBE0_546B_462A_9BC2_2449B908527C_.wvu.FilterData" localSheetId="1" hidden="1">Merged_JOEM!$B$59:$AN$352</definedName>
    <definedName name="Z_EE73AC1D_D830_44B7_9DC4_1CCC2AC80F1D_.wvu.FilterData" localSheetId="0" hidden="1">Merged_COEM!$A$59:$AN$368</definedName>
    <definedName name="Z_EE73AC1D_D830_44B7_9DC4_1CCC2AC80F1D_.wvu.FilterData" localSheetId="1" hidden="1">Merged_JOEM!$B$59:$AN$352</definedName>
    <definedName name="Z_F050E9E1_F25B_4095_9E95_D7089EDC2226_.wvu.FilterData" localSheetId="0" hidden="1">Merged_COEM!$A$59:$AN$368</definedName>
    <definedName name="Z_F0C44ECA_0D2B_4805_B4D2_E17DE61DEB71_.wvu.FilterData" localSheetId="1" hidden="1">Merged_JOEM!$B$59:$AN$352</definedName>
    <definedName name="Z_F156840B_A87F_4F21_ACF9_03F56312743A_.wvu.FilterData" localSheetId="0" hidden="1">Merged_COEM!$A$59:$AN$368</definedName>
    <definedName name="Z_F2F80064_51A8_4D52_A123_C0058F84AA1A_.wvu.FilterData" localSheetId="0" hidden="1">Merged_COEM!$B$59:$AN$412</definedName>
    <definedName name="Z_F3532C7A_7113_46B3_ADCA_11F1836BD68A_.wvu.FilterData" localSheetId="0" hidden="1">Merged_COEM!$A$59:$AN$368</definedName>
    <definedName name="Z_F3576CD0_5355_439B_B618_26A976A8AD4D_.wvu.FilterData" localSheetId="0" hidden="1">Merged_COEM!$B$59:$AN$412</definedName>
    <definedName name="Z_F3576CD0_5355_439B_B618_26A976A8AD4D_.wvu.FilterData" localSheetId="1" hidden="1">Merged_JOEM!$B$59:$AN$59</definedName>
    <definedName name="Z_F38A8B63_2595_4015_9369_5A1D2288C1A7_.wvu.FilterData" localSheetId="1" hidden="1">Merged_JOEM!$B$59:$AN$247</definedName>
    <definedName name="Z_F3C62E6E_7BB8_439B_825E_263944F8EEFB_.wvu.FilterData" localSheetId="0" hidden="1">Merged_COEM!$B$59:$AN$412</definedName>
    <definedName name="Z_F422237B_D2F8_42B1_8FCD_9E1FCCEE63E3_.wvu.FilterData" localSheetId="0" hidden="1">Merged_COEM!$B$59:$AN$359</definedName>
    <definedName name="Z_F42B3598_EC4C_4CA4_96A7_EB7E4FD7B31F_.wvu.FilterData" localSheetId="0" hidden="1">Merged_COEM!$B$59:$AN$59</definedName>
    <definedName name="Z_F4392C89_FF1A_483A_847A_11EFDD89C2F6_.wvu.FilterData" localSheetId="0" hidden="1">Merged_COEM!$A$59:$AN$368</definedName>
    <definedName name="Z_F4392C89_FF1A_483A_847A_11EFDD89C2F6_.wvu.FilterData" localSheetId="1" hidden="1">Merged_JOEM!$B$59:$AN$352</definedName>
    <definedName name="Z_F4BB21C5_FA9E_401D_974B_19FFB0836A27_.wvu.FilterData" localSheetId="0" hidden="1">Merged_COEM!$B$59:$AN$359</definedName>
    <definedName name="Z_F5189931_E130_4E42_B4D4_9E1B4FBEE9C3_.wvu.FilterData" localSheetId="0" hidden="1">Merged_COEM!$A$59:$AN$368</definedName>
    <definedName name="Z_F687CD9E_1B76_4957_9426_4ECD58D5D7D3_.wvu.FilterData" localSheetId="0" hidden="1">Merged_COEM!$B$59:$AN$59</definedName>
    <definedName name="Z_F6C98E0B_57D0_437D_BA92_34B319AECDE5_.wvu.FilterData" localSheetId="0" hidden="1">Merged_COEM!$B$59:$AN$359</definedName>
    <definedName name="Z_F6F5D31C_2CBD_4A84_9BD3_5212ED91B020_.wvu.FilterData" localSheetId="1" hidden="1">Merged_JOEM!$B$59:$AN$247</definedName>
    <definedName name="Z_F72C2D2D_04A3_487C_B8F2_0426A0993EBD_.wvu.FilterData" localSheetId="1" hidden="1">Merged_JOEM!$B$59:$AN$247</definedName>
    <definedName name="Z_F7E33AA4_20B3_43EB_9BA5_36014C40D96F_.wvu.FilterData" localSheetId="0" hidden="1">Merged_COEM!$B$59:$AN$412</definedName>
    <definedName name="Z_F8123D76_55B1_4B53_A000_EE110DA11BDA_.wvu.FilterData" localSheetId="0" hidden="1">Merged_COEM!$A$59:$AN$368</definedName>
    <definedName name="Z_F8123D76_55B1_4B53_A000_EE110DA11BDA_.wvu.FilterData" localSheetId="1" hidden="1">Merged_JOEM!$B$59:$AN$352</definedName>
    <definedName name="Z_F8DEA099_8757_4B5F_BBB9_98FA1CFA0073_.wvu.FilterData" localSheetId="0" hidden="1">Merged_COEM!$A$59:$AN$368</definedName>
    <definedName name="Z_F96FC7D9_4F89_4FE0_8D00_C0083DEB0472_.wvu.FilterData" localSheetId="0" hidden="1">Merged_COEM!$A$59:$AN$368</definedName>
    <definedName name="Z_F96FC7D9_4F89_4FE0_8D00_C0083DEB0472_.wvu.FilterData" localSheetId="1" hidden="1">Merged_JOEM!$B$59:$AN$352</definedName>
    <definedName name="Z_F9C9B13C_720B_4A04_B3A2_069AB8597591_.wvu.FilterData" localSheetId="0" hidden="1">Merged_COEM!$A$59:$AN$368</definedName>
    <definedName name="Z_FBB7FF55_CC73_4838_B42C_1ACAC3EF5632_.wvu.FilterData" localSheetId="1" hidden="1">Merged_JOEM!$B$59:$AN$247</definedName>
    <definedName name="Z_FCBA969A_5620_43C9_8851_24D48C83982B_.wvu.FilterData" localSheetId="0" hidden="1">Merged_COEM!$A$59:$AN$368</definedName>
    <definedName name="Z_FD1D0D7B_7524_4858_9DDA_ED871B923AF9_.wvu.FilterData" localSheetId="0" hidden="1">Merged_COEM!$B$59:$AN$412</definedName>
    <definedName name="Z_FD1D0D7B_7524_4858_9DDA_ED871B923AF9_.wvu.FilterData" localSheetId="1" hidden="1">Merged_JOEM!$B$59:$AN$247</definedName>
    <definedName name="Z_FDF8FFD6_749D_4772_99C1_B3E079EA1F04_.wvu.FilterData" localSheetId="0" hidden="1">Merged_COEM!$B$59:$AN$412</definedName>
    <definedName name="Z_FE2C839D_CFC1_49B1_AC2C_8A6402AB94F3_.wvu.FilterData" localSheetId="0" hidden="1">Merged_COEM!$A$59:$AN$368</definedName>
    <definedName name="Z_FE2C839D_CFC1_49B1_AC2C_8A6402AB94F3_.wvu.FilterData" localSheetId="1" hidden="1">Merged_JOEM!$B$59:$AN$352</definedName>
    <definedName name="Z_FE47AD71_8CD2_4893_9C49_6254ECC2E440_.wvu.FilterData" localSheetId="0" hidden="1">Merged_COEM!$A$59:$AN$368</definedName>
    <definedName name="Z_FECB4C41_27E8_4A22_AFB3_4F54CDD4960E_.wvu.FilterData" localSheetId="0" hidden="1">Merged_COEM!$A$59:$AN$368</definedName>
    <definedName name="Z_FECB4C41_27E8_4A22_AFB3_4F54CDD4960E_.wvu.FilterData" localSheetId="1" hidden="1">Merged_JOEM!$B$59:$AN$329</definedName>
    <definedName name="Z_FF8C4B39_B2F5_497E_BC38_7C8656C296DA_.wvu.FilterData" localSheetId="0" hidden="1">Merged_COEM!$B$59:$AN$59</definedName>
  </definedNames>
  <calcPr calcId="162913" calcOnSave="0"/>
  <customWorkbookViews>
    <customWorkbookView name="HGY7HC - Personal View" guid="{99BC1C51-34DC-4BF2-906C-1E31B6171D71}" mergeInterval="0" personalView="1" maximized="1" xWindow="-8" yWindow="-8" windowWidth="1936" windowHeight="1176" tabRatio="612" activeSheetId="1"/>
    <customWorkbookView name="EXTERNAL Nguyen Tai Hau (Ban Vien, RBVH/EPS45) - Personal View" guid="{7ECC2B8E-6A82-42F5-8AB0-4A51C54EA5EC}" mergeInterval="0" personalView="1" maximized="1" xWindow="-8" yWindow="-8" windowWidth="1936" windowHeight="1176" activeSheetId="2"/>
    <customWorkbookView name="EXTERNAL Nguyen Duy Bang (Ban Vien, RBVH/EPS45) - Personal View" guid="{A2C66332-A809-458E-971B-FDB6D62C74C3}" mergeInterval="0" personalView="1" maximized="1" xWindow="-8" yWindow="-8" windowWidth="1936" windowHeight="1176" tabRatio="584" activeSheetId="2"/>
    <customWorkbookView name="EXTERNAL Ly Chung (Ban Vien, RBVH/EPS45) - Personal View" guid="{60D2C030-4E31-4E07-8E1C-44D2EE84B177}" mergeInterval="0" personalView="1" maximized="1" xWindow="-8" yWindow="-8" windowWidth="1936" windowHeight="1176" tabRatio="612" activeSheetId="1"/>
    <customWorkbookView name="gup7hc - Personal View" guid="{3B3E6719-EACB-4D2C-89C1-05FFAB6020FD}" mergeInterval="0" personalView="1" maximized="1" xWindow="-8" yWindow="-8" windowWidth="1936" windowHeight="1186" activeSheetId="2"/>
    <customWorkbookView name="nch7hc - Personal View" guid="{FECB4C41-27E8-4A22-AFB3-4F54CDD4960E}" mergeInterval="0" personalView="1" maximized="1" xWindow="-8" yWindow="-8" windowWidth="1936" windowHeight="1176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2"/>
    <customWorkbookView name="EXTERNAL Do Phu Loc (Ban Vien, RBVH/EPS45) - Personal View" guid="{C94451EF-7A3E-4D72-B5A4-3D1B193192CC}" mergeInterval="0" personalView="1" maximized="1" xWindow="-8" yWindow="-8" windowWidth="1936" windowHeight="1176" tabRatio="642" activeSheetId="1"/>
    <customWorkbookView name="EXTERNAL Phan The Nam (Ban Vien Company, RBVH/EPS45) - Personal View" guid="{89C03E1E-B6A8-49A1-B29C-5DC4FAB2FBC6}" mergeInterval="0" personalView="1" maximized="1" xWindow="-8" yWindow="-8" windowWidth="1936" windowHeight="1176" activeSheetId="1"/>
    <customWorkbookView name="EXTERNAL Luu Cong Dac (Ban Vien, RBVH/EPS45) - Personal View" guid="{336B6883-2145-4B58-921E-CEC7185A847E}" mergeInterval="0" personalView="1" xWindow="55" yWindow="53" windowWidth="1557" windowHeight="904" tabRatio="428" activeSheetId="2"/>
    <customWorkbookView name="EXTERNAL Nguyen Kim Thanh (Ban Vien, RBVH/EPS45) - Personal View" guid="{4E06BDBF-2CED-473B-850B-2A6C7311FF41}" mergeInterval="0" personalView="1" windowWidth="1920" windowHeight="1160" activeSheetId="1"/>
    <customWorkbookView name="duo81hc - Personal View" guid="{A2E8CE38-D15E-4374-89B2-69D9421C4465}" mergeInterval="0" personalView="1" maximized="1" xWindow="-8" yWindow="-8" windowWidth="1936" windowHeight="1176" activeSheetId="2"/>
    <customWorkbookView name="EXTERNAL Le Hong Phuc (Ban Vien Company, RBVH/EPS45) - Personal View" guid="{F96FC7D9-4F89-4FE0-8D00-C0083DEB0472}" mergeInterval="0" personalView="1" maximized="1" xWindow="-8" yWindow="-8" windowWidth="1936" windowHeight="1176" activeSheetId="2"/>
    <customWorkbookView name="EXTERNAL Nguyen Trung Hieu (Ban Vien, RBVH/EPS45) - Personal View" guid="{970EE037-F5E5-47AF-896A-0F6222879EBC}" mergeInterval="0" personalView="1" maximized="1" xWindow="-8" yWindow="-8" windowWidth="1936" windowHeight="1176" activeSheetId="1"/>
    <customWorkbookView name="EXTERNAL Nguyen Tuan Duong (Ban Vien, RBVH/EPS45) - Personal View" guid="{7E0EA425-A420-4443-B9E0-CDF0AA9E5D09}" mergeInterval="0" personalView="1" maximized="1" xWindow="-8" yWindow="-8" windowWidth="1936" windowHeight="113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6" l="1"/>
  <c r="E15" i="6"/>
  <c r="E11" i="6"/>
  <c r="E16" i="6"/>
  <c r="E4" i="6"/>
  <c r="R426" i="1"/>
  <c r="R425" i="1"/>
  <c r="R424" i="1"/>
  <c r="R423" i="1"/>
  <c r="R422" i="1"/>
  <c r="K178" i="4" l="1"/>
  <c r="J178" i="4"/>
  <c r="K165" i="4"/>
  <c r="J165" i="4"/>
  <c r="K152" i="4"/>
  <c r="J152" i="4"/>
  <c r="X400" i="1"/>
  <c r="W400" i="1"/>
  <c r="Y400" i="1" s="1"/>
  <c r="W399" i="1"/>
  <c r="Y399" i="1" s="1"/>
  <c r="W398" i="1"/>
  <c r="Y398" i="1" s="1"/>
  <c r="W397" i="1"/>
  <c r="Y397" i="1" s="1"/>
  <c r="W396" i="1"/>
  <c r="Y396" i="1" s="1"/>
  <c r="Y395" i="1"/>
  <c r="X395" i="1"/>
  <c r="W395" i="1"/>
  <c r="Y394" i="1"/>
  <c r="X394" i="1"/>
  <c r="Y393" i="1"/>
  <c r="X393" i="1"/>
  <c r="Y392" i="1"/>
  <c r="X392" i="1"/>
  <c r="Y391" i="1"/>
  <c r="X391" i="1"/>
  <c r="W390" i="1"/>
  <c r="Y390" i="1" s="1"/>
  <c r="W389" i="1"/>
  <c r="Y389" i="1" s="1"/>
  <c r="W388" i="1"/>
  <c r="X388" i="1" s="1"/>
  <c r="X387" i="1"/>
  <c r="W387" i="1"/>
  <c r="Y387" i="1" s="1"/>
  <c r="W386" i="1"/>
  <c r="Y386" i="1" s="1"/>
  <c r="W385" i="1"/>
  <c r="Y385" i="1" s="1"/>
  <c r="W384" i="1"/>
  <c r="X384" i="1" s="1"/>
  <c r="W383" i="1"/>
  <c r="Y383" i="1" s="1"/>
  <c r="W382" i="1"/>
  <c r="Y382" i="1" s="1"/>
  <c r="W381" i="1"/>
  <c r="Y381" i="1" s="1"/>
  <c r="W380" i="1"/>
  <c r="X380" i="1" s="1"/>
  <c r="Y379" i="1"/>
  <c r="X379" i="1"/>
  <c r="W379" i="1"/>
  <c r="W378" i="1"/>
  <c r="Y378" i="1" s="1"/>
  <c r="W377" i="1"/>
  <c r="Y377" i="1" s="1"/>
  <c r="Y376" i="1"/>
  <c r="W376" i="1"/>
  <c r="X376" i="1" s="1"/>
  <c r="X375" i="1"/>
  <c r="W375" i="1"/>
  <c r="Y375" i="1" s="1"/>
  <c r="W374" i="1"/>
  <c r="Y374" i="1" s="1"/>
  <c r="W373" i="1"/>
  <c r="Y373" i="1" s="1"/>
  <c r="Y372" i="1"/>
  <c r="W372" i="1"/>
  <c r="X372" i="1" s="1"/>
  <c r="W371" i="1"/>
  <c r="X371" i="1" s="1"/>
  <c r="Y370" i="1"/>
  <c r="Z370" i="1" s="1"/>
  <c r="X370" i="1"/>
  <c r="W369" i="1"/>
  <c r="X369" i="1" s="1"/>
  <c r="Y368" i="1"/>
  <c r="Z368" i="1" s="1"/>
  <c r="X368" i="1"/>
  <c r="X383" i="1" l="1"/>
  <c r="X390" i="1"/>
  <c r="X399" i="1"/>
  <c r="X386" i="1"/>
  <c r="X382" i="1"/>
  <c r="Y369" i="1"/>
  <c r="Z369" i="1" s="1"/>
  <c r="Y371" i="1"/>
  <c r="Z371" i="1" s="1"/>
  <c r="Y380" i="1"/>
  <c r="Y384" i="1"/>
  <c r="Y388" i="1"/>
  <c r="X396" i="1"/>
  <c r="X398" i="1"/>
  <c r="X374" i="1"/>
  <c r="X378" i="1"/>
  <c r="X373" i="1"/>
  <c r="X377" i="1"/>
  <c r="X381" i="1"/>
  <c r="X385" i="1"/>
  <c r="X389" i="1"/>
  <c r="X397" i="1"/>
  <c r="H180" i="4"/>
  <c r="G180" i="4"/>
  <c r="F180" i="4"/>
  <c r="E180" i="4"/>
  <c r="H179" i="4"/>
  <c r="H167" i="4"/>
  <c r="G167" i="4"/>
  <c r="F167" i="4"/>
  <c r="E167" i="4"/>
  <c r="H154" i="4"/>
  <c r="I167" i="4" l="1"/>
  <c r="I180" i="4"/>
  <c r="W336" i="1"/>
  <c r="X336" i="1" s="1"/>
  <c r="C175" i="4" l="1"/>
  <c r="C174" i="4"/>
  <c r="C162" i="4"/>
  <c r="C161" i="4"/>
  <c r="C149" i="4"/>
  <c r="C148" i="4"/>
  <c r="Z277" i="2"/>
  <c r="J154" i="4" l="1"/>
  <c r="J153" i="4"/>
  <c r="K154" i="4"/>
  <c r="K153" i="4"/>
  <c r="J167" i="4"/>
  <c r="J166" i="4"/>
  <c r="J179" i="4"/>
  <c r="J180" i="4"/>
  <c r="K167" i="4"/>
  <c r="K166" i="4"/>
  <c r="K180" i="4"/>
  <c r="K179" i="4"/>
  <c r="Z329" i="2"/>
  <c r="Z280" i="2"/>
  <c r="Z323" i="2"/>
  <c r="X337" i="1" l="1"/>
  <c r="Z283" i="2" l="1"/>
  <c r="Z276" i="2" l="1"/>
  <c r="W412" i="1"/>
  <c r="W411" i="1"/>
  <c r="E179" i="4" s="1"/>
  <c r="X403" i="1"/>
  <c r="Y412" i="1" l="1"/>
  <c r="X412" i="1"/>
  <c r="Y411" i="1"/>
  <c r="G179" i="4" s="1"/>
  <c r="X411" i="1"/>
  <c r="F179" i="4" s="1"/>
  <c r="I179" i="4" s="1"/>
  <c r="X401" i="1"/>
  <c r="C173" i="4" l="1"/>
  <c r="C176" i="4"/>
  <c r="G52" i="5"/>
  <c r="D52" i="5"/>
  <c r="G51" i="5"/>
  <c r="D51" i="5"/>
  <c r="F51" i="5" s="1"/>
  <c r="K50" i="5"/>
  <c r="K52" i="5" s="1"/>
  <c r="J50" i="5"/>
  <c r="J52" i="5" s="1"/>
  <c r="C47" i="5"/>
  <c r="C46" i="5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W410" i="1"/>
  <c r="W409" i="1"/>
  <c r="W408" i="1"/>
  <c r="W407" i="1"/>
  <c r="W406" i="1"/>
  <c r="X406" i="1" s="1"/>
  <c r="W405" i="1"/>
  <c r="W404" i="1"/>
  <c r="Y403" i="1"/>
  <c r="W402" i="1"/>
  <c r="E166" i="4" s="1"/>
  <c r="Y401" i="1"/>
  <c r="Z278" i="2"/>
  <c r="Y410" i="1" l="1"/>
  <c r="Z410" i="1" s="1"/>
  <c r="X410" i="1"/>
  <c r="Y409" i="1"/>
  <c r="Z409" i="1" s="1"/>
  <c r="H166" i="4" s="1"/>
  <c r="X409" i="1"/>
  <c r="Y404" i="1"/>
  <c r="X404" i="1"/>
  <c r="Y408" i="1"/>
  <c r="X408" i="1"/>
  <c r="Y405" i="1"/>
  <c r="X405" i="1"/>
  <c r="Y402" i="1"/>
  <c r="G166" i="4" s="1"/>
  <c r="C160" i="4" s="1"/>
  <c r="X402" i="1"/>
  <c r="F166" i="4" s="1"/>
  <c r="I166" i="4" s="1"/>
  <c r="Y407" i="1"/>
  <c r="X407" i="1"/>
  <c r="C45" i="5"/>
  <c r="H51" i="5"/>
  <c r="Y406" i="1"/>
  <c r="E51" i="5"/>
  <c r="I51" i="5" s="1"/>
  <c r="K51" i="5"/>
  <c r="J51" i="5"/>
  <c r="C163" i="4" l="1"/>
  <c r="Z279" i="2"/>
  <c r="Z281" i="2" l="1"/>
  <c r="X361" i="1"/>
  <c r="Z282" i="2" l="1"/>
  <c r="W338" i="1"/>
  <c r="X338" i="1" s="1"/>
  <c r="Z284" i="2" l="1"/>
  <c r="Z285" i="2" l="1"/>
  <c r="X320" i="1" l="1"/>
  <c r="Z286" i="2"/>
  <c r="H52" i="5" s="1"/>
  <c r="B61" i="2" l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W329" i="2"/>
  <c r="X329" i="2" s="1"/>
  <c r="W328" i="2"/>
  <c r="X328" i="2" s="1"/>
  <c r="W327" i="2"/>
  <c r="X327" i="2" s="1"/>
  <c r="W326" i="2"/>
  <c r="X326" i="2" s="1"/>
  <c r="W325" i="2"/>
  <c r="X325" i="2" s="1"/>
  <c r="W324" i="2"/>
  <c r="X324" i="2" s="1"/>
  <c r="W323" i="2"/>
  <c r="X323" i="2" s="1"/>
  <c r="W322" i="2"/>
  <c r="X322" i="2" s="1"/>
  <c r="W321" i="2"/>
  <c r="X321" i="2" s="1"/>
  <c r="W320" i="2"/>
  <c r="X320" i="2" s="1"/>
  <c r="W319" i="2"/>
  <c r="X319" i="2" s="1"/>
  <c r="W318" i="2"/>
  <c r="X318" i="2" s="1"/>
  <c r="W317" i="2"/>
  <c r="X317" i="2" s="1"/>
  <c r="W316" i="2"/>
  <c r="X316" i="2" s="1"/>
  <c r="W315" i="2"/>
  <c r="W314" i="2"/>
  <c r="W313" i="2"/>
  <c r="W312" i="2"/>
  <c r="W311" i="2"/>
  <c r="W310" i="2"/>
  <c r="W309" i="2"/>
  <c r="W308" i="2"/>
  <c r="W307" i="2"/>
  <c r="W306" i="2"/>
  <c r="W305" i="2"/>
  <c r="W304" i="2"/>
  <c r="W303" i="2"/>
  <c r="W302" i="2"/>
  <c r="W301" i="2"/>
  <c r="W300" i="2"/>
  <c r="W299" i="2"/>
  <c r="W298" i="2"/>
  <c r="W297" i="2"/>
  <c r="X297" i="2" s="1"/>
  <c r="W296" i="2"/>
  <c r="X296" i="2" s="1"/>
  <c r="W295" i="2"/>
  <c r="X295" i="2" s="1"/>
  <c r="W294" i="2"/>
  <c r="X294" i="2" s="1"/>
  <c r="W293" i="2"/>
  <c r="X293" i="2" s="1"/>
  <c r="W292" i="2"/>
  <c r="X292" i="2" s="1"/>
  <c r="W291" i="2"/>
  <c r="X291" i="2" s="1"/>
  <c r="W290" i="2"/>
  <c r="W289" i="2"/>
  <c r="W288" i="2"/>
  <c r="X288" i="2" s="1"/>
  <c r="W287" i="2"/>
  <c r="W286" i="2"/>
  <c r="X286" i="2" s="1"/>
  <c r="W285" i="2"/>
  <c r="X285" i="2" s="1"/>
  <c r="W284" i="2"/>
  <c r="X284" i="2" s="1"/>
  <c r="W283" i="2"/>
  <c r="X283" i="2" s="1"/>
  <c r="W282" i="2"/>
  <c r="X282" i="2" s="1"/>
  <c r="W281" i="2"/>
  <c r="X281" i="2" s="1"/>
  <c r="W280" i="2"/>
  <c r="X280" i="2" s="1"/>
  <c r="W279" i="2"/>
  <c r="X279" i="2" s="1"/>
  <c r="W278" i="2"/>
  <c r="X278" i="2" s="1"/>
  <c r="W277" i="2"/>
  <c r="X277" i="2" s="1"/>
  <c r="W276" i="2"/>
  <c r="X276" i="2" s="1"/>
  <c r="W275" i="2"/>
  <c r="W274" i="2"/>
  <c r="W273" i="2"/>
  <c r="W272" i="2"/>
  <c r="W271" i="2"/>
  <c r="X271" i="2" s="1"/>
  <c r="W270" i="2"/>
  <c r="X270" i="2" s="1"/>
  <c r="W269" i="2"/>
  <c r="X269" i="2" s="1"/>
  <c r="W268" i="2"/>
  <c r="X268" i="2" s="1"/>
  <c r="W267" i="2"/>
  <c r="X267" i="2" s="1"/>
  <c r="W266" i="2"/>
  <c r="X266" i="2" s="1"/>
  <c r="W265" i="2"/>
  <c r="X265" i="2" s="1"/>
  <c r="W264" i="2"/>
  <c r="X264" i="2" s="1"/>
  <c r="W263" i="2"/>
  <c r="X263" i="2" s="1"/>
  <c r="W262" i="2"/>
  <c r="X262" i="2" s="1"/>
  <c r="W261" i="2"/>
  <c r="X261" i="2" s="1"/>
  <c r="W260" i="2"/>
  <c r="X260" i="2" s="1"/>
  <c r="W259" i="2"/>
  <c r="X259" i="2" s="1"/>
  <c r="W258" i="2"/>
  <c r="X258" i="2" s="1"/>
  <c r="W257" i="2"/>
  <c r="X257" i="2" s="1"/>
  <c r="W256" i="2"/>
  <c r="X256" i="2" s="1"/>
  <c r="W255" i="2"/>
  <c r="X255" i="2" s="1"/>
  <c r="W254" i="2"/>
  <c r="X254" i="2" s="1"/>
  <c r="W253" i="2"/>
  <c r="X253" i="2" s="1"/>
  <c r="W252" i="2"/>
  <c r="X252" i="2" s="1"/>
  <c r="W251" i="2"/>
  <c r="X251" i="2" s="1"/>
  <c r="W250" i="2"/>
  <c r="X250" i="2" s="1"/>
  <c r="W249" i="2"/>
  <c r="X249" i="2" s="1"/>
  <c r="W248" i="2"/>
  <c r="X335" i="1"/>
  <c r="X248" i="2" l="1"/>
  <c r="F52" i="5" s="1"/>
  <c r="E52" i="5"/>
  <c r="X344" i="1"/>
  <c r="W367" i="1"/>
  <c r="W366" i="1"/>
  <c r="E154" i="4" s="1"/>
  <c r="W365" i="1"/>
  <c r="W364" i="1"/>
  <c r="W363" i="1"/>
  <c r="X363" i="1" s="1"/>
  <c r="W362" i="1"/>
  <c r="Y361" i="1"/>
  <c r="Z361" i="1" s="1"/>
  <c r="W360" i="1"/>
  <c r="E153" i="4" s="1"/>
  <c r="Y363" i="1" l="1"/>
  <c r="Z363" i="1" s="1"/>
  <c r="Y360" i="1"/>
  <c r="X360" i="1"/>
  <c r="Y364" i="1"/>
  <c r="Z364" i="1" s="1"/>
  <c r="X364" i="1"/>
  <c r="Y367" i="1"/>
  <c r="X367" i="1"/>
  <c r="Y365" i="1"/>
  <c r="Z365" i="1" s="1"/>
  <c r="X365" i="1"/>
  <c r="Y362" i="1"/>
  <c r="Z362" i="1" s="1"/>
  <c r="X362" i="1"/>
  <c r="Y366" i="1"/>
  <c r="G154" i="4" s="1"/>
  <c r="X366" i="1"/>
  <c r="F154" i="4" s="1"/>
  <c r="I154" i="4" s="1"/>
  <c r="I52" i="5"/>
  <c r="C48" i="5"/>
  <c r="W339" i="1"/>
  <c r="X339" i="1" s="1"/>
  <c r="Z247" i="2"/>
  <c r="Z246" i="2"/>
  <c r="Z245" i="2"/>
  <c r="Z233" i="2"/>
  <c r="Z232" i="2"/>
  <c r="Z231" i="2"/>
  <c r="Z230" i="2"/>
  <c r="Z229" i="2"/>
  <c r="Z228" i="2"/>
  <c r="Z227" i="2"/>
  <c r="Z226" i="2"/>
  <c r="Z225" i="2"/>
  <c r="Z173" i="2"/>
  <c r="F153" i="4" l="1"/>
  <c r="I153" i="4" s="1"/>
  <c r="Z360" i="1"/>
  <c r="H153" i="4" s="1"/>
  <c r="G153" i="4"/>
  <c r="C147" i="4" s="1"/>
  <c r="X311" i="1"/>
  <c r="C150" i="4" l="1"/>
  <c r="D141" i="4"/>
  <c r="D140" i="4"/>
  <c r="K139" i="4"/>
  <c r="K141" i="4" s="1"/>
  <c r="J139" i="4"/>
  <c r="J141" i="4" s="1"/>
  <c r="C136" i="4"/>
  <c r="C135" i="4"/>
  <c r="G128" i="4"/>
  <c r="F128" i="4"/>
  <c r="D128" i="4"/>
  <c r="E128" i="4" s="1"/>
  <c r="D127" i="4"/>
  <c r="K126" i="4"/>
  <c r="K127" i="4" s="1"/>
  <c r="J126" i="4"/>
  <c r="J128" i="4" s="1"/>
  <c r="C123" i="4"/>
  <c r="C122" i="4"/>
  <c r="D115" i="4"/>
  <c r="D114" i="4"/>
  <c r="K113" i="4"/>
  <c r="K115" i="4" s="1"/>
  <c r="J113" i="4"/>
  <c r="J115" i="4" s="1"/>
  <c r="C110" i="4"/>
  <c r="C109" i="4"/>
  <c r="G102" i="4"/>
  <c r="F102" i="4"/>
  <c r="D102" i="4"/>
  <c r="E102" i="4" s="1"/>
  <c r="D101" i="4"/>
  <c r="K100" i="4"/>
  <c r="K102" i="4" s="1"/>
  <c r="J100" i="4"/>
  <c r="J102" i="4" s="1"/>
  <c r="C97" i="4"/>
  <c r="C96" i="4"/>
  <c r="I128" i="4" l="1"/>
  <c r="I102" i="4"/>
  <c r="J101" i="4"/>
  <c r="J127" i="4"/>
  <c r="K128" i="4"/>
  <c r="H114" i="4"/>
  <c r="H115" i="4"/>
  <c r="K101" i="4"/>
  <c r="J114" i="4"/>
  <c r="J140" i="4"/>
  <c r="F141" i="4"/>
  <c r="H140" i="4"/>
  <c r="H102" i="4"/>
  <c r="H128" i="4"/>
  <c r="K114" i="4"/>
  <c r="K140" i="4"/>
  <c r="X312" i="1" l="1"/>
  <c r="W359" i="1" l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Y344" i="1"/>
  <c r="W343" i="1"/>
  <c r="W342" i="1"/>
  <c r="W341" i="1"/>
  <c r="W340" i="1"/>
  <c r="Y345" i="1" l="1"/>
  <c r="X345" i="1"/>
  <c r="Y353" i="1"/>
  <c r="Z353" i="1" s="1"/>
  <c r="X353" i="1"/>
  <c r="Y346" i="1"/>
  <c r="X346" i="1"/>
  <c r="Y343" i="1"/>
  <c r="X343" i="1"/>
  <c r="Y352" i="1"/>
  <c r="Z352" i="1" s="1"/>
  <c r="H101" i="4" s="1"/>
  <c r="X352" i="1"/>
  <c r="Y351" i="1"/>
  <c r="X351" i="1"/>
  <c r="Y349" i="1"/>
  <c r="X349" i="1"/>
  <c r="Y350" i="1"/>
  <c r="X350" i="1"/>
  <c r="Y341" i="1"/>
  <c r="X341" i="1"/>
  <c r="Y340" i="1"/>
  <c r="X340" i="1"/>
  <c r="E101" i="4"/>
  <c r="Y342" i="1"/>
  <c r="X342" i="1"/>
  <c r="Y359" i="1"/>
  <c r="X359" i="1"/>
  <c r="Y357" i="1"/>
  <c r="X357" i="1"/>
  <c r="Y358" i="1"/>
  <c r="X358" i="1"/>
  <c r="Y356" i="1"/>
  <c r="X356" i="1"/>
  <c r="Y355" i="1"/>
  <c r="X355" i="1"/>
  <c r="Y348" i="1"/>
  <c r="X348" i="1"/>
  <c r="Y347" i="1"/>
  <c r="X347" i="1"/>
  <c r="Y354" i="1"/>
  <c r="X354" i="1"/>
  <c r="G101" i="4" l="1"/>
  <c r="C95" i="4" s="1"/>
  <c r="F101" i="4"/>
  <c r="X310" i="1"/>
  <c r="I101" i="4" l="1"/>
  <c r="C98" i="4"/>
  <c r="X319" i="1"/>
  <c r="X318" i="1"/>
  <c r="X317" i="1"/>
  <c r="X316" i="1"/>
  <c r="H47" i="8" l="1"/>
  <c r="H46" i="8"/>
  <c r="H45" i="8"/>
  <c r="H44" i="8"/>
  <c r="E22" i="8" s="1"/>
  <c r="H43" i="8"/>
  <c r="H42" i="8"/>
  <c r="H41" i="8"/>
  <c r="H40" i="8"/>
  <c r="H39" i="8"/>
  <c r="H38" i="8"/>
  <c r="H37" i="8"/>
  <c r="H36" i="8"/>
  <c r="H35" i="8"/>
  <c r="E21" i="8" s="1"/>
  <c r="H34" i="8"/>
  <c r="D38" i="5"/>
  <c r="G38" i="5" s="1"/>
  <c r="D37" i="5"/>
  <c r="G37" i="5" s="1"/>
  <c r="K36" i="5"/>
  <c r="K38" i="5" s="1"/>
  <c r="J36" i="5"/>
  <c r="J38" i="5" s="1"/>
  <c r="C33" i="5"/>
  <c r="C32" i="5"/>
  <c r="C18" i="5"/>
  <c r="C19" i="5"/>
  <c r="J22" i="5"/>
  <c r="K22" i="5"/>
  <c r="D23" i="5"/>
  <c r="E23" i="5" s="1"/>
  <c r="G23" i="5"/>
  <c r="H23" i="5"/>
  <c r="K23" i="5"/>
  <c r="D24" i="5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2" i="2"/>
  <c r="C31" i="5" l="1"/>
  <c r="K24" i="5"/>
  <c r="G24" i="5"/>
  <c r="C17" i="5" s="1"/>
  <c r="H37" i="5"/>
  <c r="J24" i="5"/>
  <c r="J23" i="5"/>
  <c r="F23" i="5"/>
  <c r="E37" i="5"/>
  <c r="F37" i="5"/>
  <c r="J37" i="5"/>
  <c r="K37" i="5"/>
  <c r="I23" i="5" l="1"/>
  <c r="I37" i="5"/>
  <c r="X297" i="1" l="1"/>
  <c r="X296" i="1"/>
  <c r="X277" i="1"/>
  <c r="Z244" i="2" l="1"/>
  <c r="Z243" i="2"/>
  <c r="Z242" i="2"/>
  <c r="Z241" i="2"/>
  <c r="Z240" i="2"/>
  <c r="Z239" i="2"/>
  <c r="Z238" i="2"/>
  <c r="Z237" i="2"/>
  <c r="Z236" i="2"/>
  <c r="Z235" i="2"/>
  <c r="Z234" i="2"/>
  <c r="H38" i="5" l="1"/>
  <c r="Y339" i="1"/>
  <c r="Y338" i="1"/>
  <c r="Y337" i="1" l="1"/>
  <c r="Z337" i="1" s="1"/>
  <c r="H141" i="4" s="1"/>
  <c r="Y336" i="1" l="1"/>
  <c r="G141" i="4" s="1"/>
  <c r="E141" i="4"/>
  <c r="I141" i="4" s="1"/>
  <c r="Y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X323" i="1" s="1"/>
  <c r="W322" i="1"/>
  <c r="W321" i="1"/>
  <c r="X321" i="1" l="1"/>
  <c r="E140" i="4"/>
  <c r="Y324" i="1"/>
  <c r="X324" i="1"/>
  <c r="Y328" i="1"/>
  <c r="X328" i="1"/>
  <c r="Y322" i="1"/>
  <c r="X322" i="1"/>
  <c r="Y326" i="1"/>
  <c r="X326" i="1"/>
  <c r="Y330" i="1"/>
  <c r="X330" i="1"/>
  <c r="Y334" i="1"/>
  <c r="X334" i="1"/>
  <c r="Y327" i="1"/>
  <c r="X327" i="1"/>
  <c r="Y331" i="1"/>
  <c r="X331" i="1"/>
  <c r="Y325" i="1"/>
  <c r="X325" i="1"/>
  <c r="Y329" i="1"/>
  <c r="X329" i="1"/>
  <c r="Y333" i="1"/>
  <c r="X333" i="1"/>
  <c r="Y321" i="1"/>
  <c r="Y323" i="1"/>
  <c r="Y332" i="1"/>
  <c r="X332" i="1"/>
  <c r="W308" i="1"/>
  <c r="W309" i="1"/>
  <c r="Y310" i="1"/>
  <c r="Z310" i="1" s="1"/>
  <c r="Y311" i="1"/>
  <c r="Z311" i="1" s="1"/>
  <c r="Y312" i="1"/>
  <c r="Z312" i="1" s="1"/>
  <c r="W313" i="1"/>
  <c r="W314" i="1"/>
  <c r="W315" i="1"/>
  <c r="Y316" i="1"/>
  <c r="Y317" i="1"/>
  <c r="Y318" i="1"/>
  <c r="Y319" i="1"/>
  <c r="Y320" i="1"/>
  <c r="W307" i="1"/>
  <c r="X276" i="1"/>
  <c r="X275" i="1"/>
  <c r="X273" i="1"/>
  <c r="G140" i="4" l="1"/>
  <c r="C134" i="4" s="1"/>
  <c r="F140" i="4"/>
  <c r="E127" i="4"/>
  <c r="Y315" i="1"/>
  <c r="Z315" i="1" s="1"/>
  <c r="X315" i="1"/>
  <c r="Y314" i="1"/>
  <c r="Z314" i="1" s="1"/>
  <c r="X314" i="1"/>
  <c r="Y313" i="1"/>
  <c r="Z313" i="1" s="1"/>
  <c r="X313" i="1"/>
  <c r="Y309" i="1"/>
  <c r="X309" i="1"/>
  <c r="Y308" i="1"/>
  <c r="X308" i="1"/>
  <c r="Y307" i="1"/>
  <c r="X307" i="1"/>
  <c r="Z160" i="2"/>
  <c r="H24" i="5" s="1"/>
  <c r="H127" i="4" l="1"/>
  <c r="F127" i="4"/>
  <c r="G127" i="4"/>
  <c r="C121" i="4" s="1"/>
  <c r="I140" i="4"/>
  <c r="C137" i="4"/>
  <c r="W257" i="1"/>
  <c r="W256" i="1"/>
  <c r="W306" i="1"/>
  <c r="Y306" i="1" s="1"/>
  <c r="W305" i="1"/>
  <c r="W304" i="1"/>
  <c r="W303" i="1"/>
  <c r="W302" i="1"/>
  <c r="W301" i="1"/>
  <c r="Y301" i="1" s="1"/>
  <c r="W300" i="1"/>
  <c r="W299" i="1"/>
  <c r="Y305" i="1" l="1"/>
  <c r="X305" i="1"/>
  <c r="C124" i="4"/>
  <c r="I127" i="4"/>
  <c r="E115" i="4"/>
  <c r="Y302" i="1"/>
  <c r="G114" i="4" s="1"/>
  <c r="E114" i="4"/>
  <c r="Y304" i="1"/>
  <c r="X304" i="1"/>
  <c r="Y300" i="1"/>
  <c r="X300" i="1"/>
  <c r="Y299" i="1"/>
  <c r="X299" i="1"/>
  <c r="Y303" i="1"/>
  <c r="X303" i="1"/>
  <c r="X306" i="1"/>
  <c r="X302" i="1"/>
  <c r="X301" i="1"/>
  <c r="F114" i="4" l="1"/>
  <c r="I114" i="4" s="1"/>
  <c r="F115" i="4"/>
  <c r="I115" i="4" s="1"/>
  <c r="G115" i="4"/>
  <c r="C108" i="4" s="1"/>
  <c r="X253" i="1"/>
  <c r="C111" i="4" l="1"/>
  <c r="X280" i="1"/>
  <c r="W247" i="2"/>
  <c r="X247" i="2" s="1"/>
  <c r="W246" i="2"/>
  <c r="X246" i="2" s="1"/>
  <c r="W245" i="2"/>
  <c r="X245" i="2" s="1"/>
  <c r="W244" i="2"/>
  <c r="X244" i="2" s="1"/>
  <c r="W243" i="2"/>
  <c r="X243" i="2" s="1"/>
  <c r="W242" i="2"/>
  <c r="X242" i="2" s="1"/>
  <c r="W241" i="2"/>
  <c r="X241" i="2" s="1"/>
  <c r="W240" i="2"/>
  <c r="X240" i="2" s="1"/>
  <c r="W239" i="2"/>
  <c r="X239" i="2" s="1"/>
  <c r="W238" i="2"/>
  <c r="X238" i="2" s="1"/>
  <c r="W237" i="2"/>
  <c r="X237" i="2" s="1"/>
  <c r="W236" i="2"/>
  <c r="X236" i="2" s="1"/>
  <c r="W235" i="2"/>
  <c r="X235" i="2" s="1"/>
  <c r="W234" i="2"/>
  <c r="W233" i="2"/>
  <c r="X233" i="2" s="1"/>
  <c r="W232" i="2"/>
  <c r="X232" i="2" s="1"/>
  <c r="W231" i="2"/>
  <c r="X231" i="2" s="1"/>
  <c r="W230" i="2"/>
  <c r="X230" i="2" s="1"/>
  <c r="W229" i="2"/>
  <c r="X229" i="2" s="1"/>
  <c r="W228" i="2"/>
  <c r="X228" i="2" s="1"/>
  <c r="W227" i="2"/>
  <c r="X227" i="2" s="1"/>
  <c r="W226" i="2"/>
  <c r="X226" i="2" s="1"/>
  <c r="W225" i="2"/>
  <c r="X225" i="2" s="1"/>
  <c r="W224" i="2"/>
  <c r="W223" i="2"/>
  <c r="W222" i="2"/>
  <c r="W221" i="2"/>
  <c r="W220" i="2"/>
  <c r="W219" i="2"/>
  <c r="W218" i="2"/>
  <c r="W217" i="2"/>
  <c r="W216" i="2"/>
  <c r="W215" i="2"/>
  <c r="W214" i="2"/>
  <c r="X214" i="2" s="1"/>
  <c r="W213" i="2"/>
  <c r="X213" i="2" s="1"/>
  <c r="W212" i="2"/>
  <c r="X212" i="2" s="1"/>
  <c r="W211" i="2"/>
  <c r="X211" i="2" s="1"/>
  <c r="W210" i="2"/>
  <c r="X210" i="2" s="1"/>
  <c r="W209" i="2"/>
  <c r="X209" i="2" s="1"/>
  <c r="W208" i="2"/>
  <c r="X208" i="2" s="1"/>
  <c r="W207" i="2"/>
  <c r="X207" i="2" s="1"/>
  <c r="W206" i="2"/>
  <c r="X206" i="2" s="1"/>
  <c r="W205" i="2"/>
  <c r="X205" i="2" s="1"/>
  <c r="W204" i="2"/>
  <c r="X204" i="2" s="1"/>
  <c r="W203" i="2"/>
  <c r="X203" i="2" s="1"/>
  <c r="W202" i="2"/>
  <c r="X202" i="2" s="1"/>
  <c r="W201" i="2"/>
  <c r="X201" i="2" s="1"/>
  <c r="W200" i="2"/>
  <c r="X200" i="2" s="1"/>
  <c r="W199" i="2"/>
  <c r="X199" i="2" s="1"/>
  <c r="W198" i="2"/>
  <c r="X198" i="2" s="1"/>
  <c r="W197" i="2"/>
  <c r="X197" i="2" s="1"/>
  <c r="W196" i="2"/>
  <c r="X196" i="2" s="1"/>
  <c r="W195" i="2"/>
  <c r="X195" i="2" s="1"/>
  <c r="W194" i="2"/>
  <c r="X194" i="2" s="1"/>
  <c r="W193" i="2"/>
  <c r="X193" i="2" s="1"/>
  <c r="W192" i="2"/>
  <c r="X192" i="2" s="1"/>
  <c r="W191" i="2"/>
  <c r="X191" i="2" s="1"/>
  <c r="W190" i="2"/>
  <c r="X190" i="2" s="1"/>
  <c r="W189" i="2"/>
  <c r="X189" i="2" s="1"/>
  <c r="W188" i="2"/>
  <c r="X188" i="2" s="1"/>
  <c r="W187" i="2"/>
  <c r="W186" i="2"/>
  <c r="W185" i="2"/>
  <c r="W184" i="2"/>
  <c r="W183" i="2"/>
  <c r="W182" i="2"/>
  <c r="W181" i="2"/>
  <c r="W180" i="2"/>
  <c r="W179" i="2"/>
  <c r="W178" i="2"/>
  <c r="W177" i="2"/>
  <c r="W176" i="2"/>
  <c r="W175" i="2"/>
  <c r="W174" i="2"/>
  <c r="W173" i="2"/>
  <c r="X173" i="2" s="1"/>
  <c r="W172" i="2"/>
  <c r="X172" i="2" s="1"/>
  <c r="W171" i="2"/>
  <c r="X171" i="2" s="1"/>
  <c r="W170" i="2"/>
  <c r="X170" i="2" s="1"/>
  <c r="W169" i="2"/>
  <c r="X169" i="2" s="1"/>
  <c r="W168" i="2"/>
  <c r="X168" i="2" s="1"/>
  <c r="W167" i="2"/>
  <c r="X167" i="2" s="1"/>
  <c r="W166" i="2"/>
  <c r="X166" i="2" s="1"/>
  <c r="W165" i="2"/>
  <c r="X165" i="2" s="1"/>
  <c r="W164" i="2"/>
  <c r="X164" i="2" s="1"/>
  <c r="W163" i="2"/>
  <c r="X163" i="2" s="1"/>
  <c r="W162" i="2"/>
  <c r="X162" i="2" s="1"/>
  <c r="W161" i="2"/>
  <c r="X161" i="2" s="1"/>
  <c r="W160" i="2"/>
  <c r="X160" i="2" s="1"/>
  <c r="W159" i="2"/>
  <c r="X251" i="1"/>
  <c r="I47" i="8"/>
  <c r="I46" i="8"/>
  <c r="I45" i="8"/>
  <c r="I44" i="8"/>
  <c r="E16" i="8" s="1"/>
  <c r="I43" i="8"/>
  <c r="E15" i="8" s="1"/>
  <c r="I42" i="8"/>
  <c r="E14" i="8" s="1"/>
  <c r="I41" i="8"/>
  <c r="I40" i="8"/>
  <c r="I39" i="8"/>
  <c r="I38" i="8"/>
  <c r="E18" i="8" s="1"/>
  <c r="I37" i="8"/>
  <c r="E17" i="8" s="1"/>
  <c r="I36" i="8"/>
  <c r="E13" i="8" s="1"/>
  <c r="I35" i="8"/>
  <c r="E12" i="8" s="1"/>
  <c r="I34" i="8"/>
  <c r="X278" i="1"/>
  <c r="X256" i="1"/>
  <c r="X234" i="2" l="1"/>
  <c r="F38" i="5" s="1"/>
  <c r="E38" i="5"/>
  <c r="X159" i="2"/>
  <c r="F24" i="5" s="1"/>
  <c r="E24" i="5"/>
  <c r="X242" i="1"/>
  <c r="X248" i="1"/>
  <c r="I24" i="5" l="1"/>
  <c r="C20" i="5"/>
  <c r="I38" i="5"/>
  <c r="C34" i="5"/>
  <c r="D89" i="4"/>
  <c r="E89" i="4" s="1"/>
  <c r="D88" i="4"/>
  <c r="K87" i="4"/>
  <c r="J87" i="4"/>
  <c r="C84" i="4"/>
  <c r="C83" i="4"/>
  <c r="D76" i="4"/>
  <c r="D75" i="4"/>
  <c r="K74" i="4"/>
  <c r="J74" i="4"/>
  <c r="C71" i="4"/>
  <c r="C70" i="4"/>
  <c r="G89" i="4" l="1"/>
  <c r="J76" i="4"/>
  <c r="K75" i="4"/>
  <c r="J88" i="4"/>
  <c r="K89" i="4"/>
  <c r="F89" i="4"/>
  <c r="I89" i="4" s="1"/>
  <c r="K88" i="4"/>
  <c r="H89" i="4"/>
  <c r="J89" i="4"/>
  <c r="H75" i="4"/>
  <c r="H76" i="4"/>
  <c r="K76" i="4"/>
  <c r="J75" i="4"/>
  <c r="X257" i="1"/>
  <c r="W298" i="1" l="1"/>
  <c r="Y297" i="1"/>
  <c r="Y296" i="1"/>
  <c r="W290" i="1"/>
  <c r="W289" i="1"/>
  <c r="W288" i="1"/>
  <c r="W287" i="1"/>
  <c r="W286" i="1"/>
  <c r="W285" i="1"/>
  <c r="W284" i="1"/>
  <c r="W283" i="1"/>
  <c r="W282" i="1"/>
  <c r="W281" i="1"/>
  <c r="Y280" i="1"/>
  <c r="W279" i="1"/>
  <c r="Y278" i="1"/>
  <c r="Y277" i="1"/>
  <c r="Z277" i="1" s="1"/>
  <c r="Y276" i="1"/>
  <c r="Z276" i="1" s="1"/>
  <c r="Y275" i="1"/>
  <c r="Z275" i="1" s="1"/>
  <c r="W274" i="1"/>
  <c r="Y273" i="1"/>
  <c r="Z273" i="1" s="1"/>
  <c r="W272" i="1"/>
  <c r="W271" i="1"/>
  <c r="W270" i="1"/>
  <c r="W269" i="1"/>
  <c r="W268" i="1"/>
  <c r="W267" i="1"/>
  <c r="W266" i="1"/>
  <c r="W265" i="1"/>
  <c r="W264" i="1"/>
  <c r="W263" i="1"/>
  <c r="W262" i="1"/>
  <c r="W261" i="1"/>
  <c r="X261" i="1" s="1"/>
  <c r="Y298" i="1" l="1"/>
  <c r="X298" i="1"/>
  <c r="Y272" i="1"/>
  <c r="Z272" i="1" s="1"/>
  <c r="X272" i="1"/>
  <c r="Y288" i="1"/>
  <c r="Z288" i="1" s="1"/>
  <c r="X288" i="1"/>
  <c r="Y289" i="1"/>
  <c r="Z289" i="1" s="1"/>
  <c r="X289" i="1"/>
  <c r="Y287" i="1"/>
  <c r="Z287" i="1" s="1"/>
  <c r="X287" i="1"/>
  <c r="Y295" i="1"/>
  <c r="X295" i="1"/>
  <c r="Y274" i="1"/>
  <c r="Z274" i="1" s="1"/>
  <c r="X274" i="1"/>
  <c r="Y286" i="1"/>
  <c r="Z286" i="1" s="1"/>
  <c r="X286" i="1"/>
  <c r="Y285" i="1"/>
  <c r="Z285" i="1" s="1"/>
  <c r="X285" i="1"/>
  <c r="Y294" i="1"/>
  <c r="X294" i="1"/>
  <c r="Y284" i="1"/>
  <c r="Z284" i="1" s="1"/>
  <c r="X284" i="1"/>
  <c r="Y267" i="1"/>
  <c r="X267" i="1"/>
  <c r="Y266" i="1"/>
  <c r="X266" i="1"/>
  <c r="Y292" i="1"/>
  <c r="X292" i="1"/>
  <c r="Y271" i="1"/>
  <c r="X271" i="1"/>
  <c r="Y293" i="1"/>
  <c r="X293" i="1"/>
  <c r="Y265" i="1"/>
  <c r="X265" i="1"/>
  <c r="Y269" i="1"/>
  <c r="X269" i="1"/>
  <c r="Y270" i="1"/>
  <c r="X270" i="1"/>
  <c r="Y264" i="1"/>
  <c r="X264" i="1"/>
  <c r="Y283" i="1"/>
  <c r="X283" i="1"/>
  <c r="Y268" i="1"/>
  <c r="X268" i="1"/>
  <c r="Y282" i="1"/>
  <c r="X282" i="1"/>
  <c r="Y263" i="1"/>
  <c r="X263" i="1"/>
  <c r="Y291" i="1"/>
  <c r="X291" i="1"/>
  <c r="Y281" i="1"/>
  <c r="X281" i="1"/>
  <c r="Y262" i="1"/>
  <c r="X262" i="1"/>
  <c r="Y279" i="1"/>
  <c r="X279" i="1"/>
  <c r="Y290" i="1"/>
  <c r="X290" i="1"/>
  <c r="Y261" i="1"/>
  <c r="E88" i="4"/>
  <c r="P66" i="10"/>
  <c r="R66" i="10" s="1"/>
  <c r="O66" i="10"/>
  <c r="Q66" i="10" s="1"/>
  <c r="F66" i="10"/>
  <c r="H66" i="10" s="1"/>
  <c r="E66" i="10"/>
  <c r="G66" i="10" s="1"/>
  <c r="P65" i="10"/>
  <c r="R65" i="10" s="1"/>
  <c r="O65" i="10"/>
  <c r="Q65" i="10" s="1"/>
  <c r="F65" i="10"/>
  <c r="H65" i="10" s="1"/>
  <c r="E65" i="10"/>
  <c r="G65" i="10" s="1"/>
  <c r="P64" i="10"/>
  <c r="R64" i="10" s="1"/>
  <c r="O64" i="10"/>
  <c r="Q64" i="10" s="1"/>
  <c r="F64" i="10"/>
  <c r="H64" i="10" s="1"/>
  <c r="E64" i="10"/>
  <c r="G64" i="10" s="1"/>
  <c r="P63" i="10"/>
  <c r="R63" i="10" s="1"/>
  <c r="O63" i="10"/>
  <c r="Q63" i="10" s="1"/>
  <c r="F63" i="10"/>
  <c r="H63" i="10" s="1"/>
  <c r="E63" i="10"/>
  <c r="G63" i="10" s="1"/>
  <c r="P62" i="10"/>
  <c r="R62" i="10" s="1"/>
  <c r="O62" i="10"/>
  <c r="Q62" i="10" s="1"/>
  <c r="F62" i="10"/>
  <c r="H62" i="10" s="1"/>
  <c r="E62" i="10"/>
  <c r="G62" i="10" s="1"/>
  <c r="P61" i="10"/>
  <c r="R61" i="10" s="1"/>
  <c r="O61" i="10"/>
  <c r="Q61" i="10" s="1"/>
  <c r="F61" i="10"/>
  <c r="H61" i="10" s="1"/>
  <c r="E61" i="10"/>
  <c r="G61" i="10" s="1"/>
  <c r="P60" i="10"/>
  <c r="R60" i="10" s="1"/>
  <c r="O60" i="10"/>
  <c r="Q60" i="10" s="1"/>
  <c r="F60" i="10"/>
  <c r="H60" i="10" s="1"/>
  <c r="E60" i="10"/>
  <c r="G60" i="10" s="1"/>
  <c r="P59" i="10"/>
  <c r="R59" i="10" s="1"/>
  <c r="O59" i="10"/>
  <c r="Q59" i="10" s="1"/>
  <c r="F59" i="10"/>
  <c r="H59" i="10" s="1"/>
  <c r="E59" i="10"/>
  <c r="G59" i="10" s="1"/>
  <c r="P58" i="10"/>
  <c r="R58" i="10" s="1"/>
  <c r="O58" i="10"/>
  <c r="Q58" i="10" s="1"/>
  <c r="F58" i="10"/>
  <c r="H58" i="10" s="1"/>
  <c r="E58" i="10"/>
  <c r="G58" i="10" s="1"/>
  <c r="P57" i="10"/>
  <c r="R57" i="10" s="1"/>
  <c r="O57" i="10"/>
  <c r="Q57" i="10" s="1"/>
  <c r="F57" i="10"/>
  <c r="H57" i="10" s="1"/>
  <c r="E57" i="10"/>
  <c r="G57" i="10" s="1"/>
  <c r="P56" i="10"/>
  <c r="R56" i="10" s="1"/>
  <c r="O56" i="10"/>
  <c r="Q56" i="10" s="1"/>
  <c r="F56" i="10"/>
  <c r="H56" i="10" s="1"/>
  <c r="E56" i="10"/>
  <c r="G56" i="10" s="1"/>
  <c r="P55" i="10"/>
  <c r="R55" i="10" s="1"/>
  <c r="O55" i="10"/>
  <c r="Q55" i="10" s="1"/>
  <c r="F55" i="10"/>
  <c r="H55" i="10" s="1"/>
  <c r="E55" i="10"/>
  <c r="G55" i="10" s="1"/>
  <c r="P54" i="10"/>
  <c r="R54" i="10" s="1"/>
  <c r="O54" i="10"/>
  <c r="Q54" i="10" s="1"/>
  <c r="F54" i="10"/>
  <c r="H54" i="10" s="1"/>
  <c r="E54" i="10"/>
  <c r="G54" i="10" s="1"/>
  <c r="P53" i="10"/>
  <c r="R53" i="10" s="1"/>
  <c r="O53" i="10"/>
  <c r="Q53" i="10" s="1"/>
  <c r="F53" i="10"/>
  <c r="H53" i="10" s="1"/>
  <c r="E53" i="10"/>
  <c r="G53" i="10" s="1"/>
  <c r="L25" i="10"/>
  <c r="L23" i="10"/>
  <c r="D23" i="10"/>
  <c r="M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X240" i="1"/>
  <c r="X238" i="1"/>
  <c r="X235" i="1"/>
  <c r="Y240" i="1"/>
  <c r="Y238" i="1"/>
  <c r="Y235" i="1"/>
  <c r="Y232" i="1"/>
  <c r="Y231" i="1"/>
  <c r="Y208" i="1"/>
  <c r="Y200" i="1"/>
  <c r="Y199" i="1"/>
  <c r="Y197" i="1"/>
  <c r="Y194" i="1"/>
  <c r="Y193" i="1"/>
  <c r="Y169" i="1"/>
  <c r="Y121" i="1"/>
  <c r="Y93" i="1"/>
  <c r="Y92" i="1"/>
  <c r="Y81" i="1"/>
  <c r="Y79" i="1"/>
  <c r="Y78" i="1"/>
  <c r="Y76" i="1"/>
  <c r="Y75" i="1"/>
  <c r="Y73" i="1"/>
  <c r="Y72" i="1"/>
  <c r="Y71" i="1"/>
  <c r="Y70" i="1"/>
  <c r="W260" i="1"/>
  <c r="W259" i="1"/>
  <c r="W258" i="1"/>
  <c r="Y257" i="1"/>
  <c r="Y256" i="1"/>
  <c r="W255" i="1"/>
  <c r="W254" i="1"/>
  <c r="Y253" i="1"/>
  <c r="W252" i="1"/>
  <c r="Y251" i="1"/>
  <c r="W250" i="1"/>
  <c r="Y248" i="1"/>
  <c r="W247" i="1"/>
  <c r="G88" i="4" l="1"/>
  <c r="C82" i="4" s="1"/>
  <c r="H88" i="4"/>
  <c r="Y250" i="1"/>
  <c r="X250" i="1"/>
  <c r="F88" i="4"/>
  <c r="Y254" i="1"/>
  <c r="X254" i="1"/>
  <c r="Y255" i="1"/>
  <c r="X255" i="1"/>
  <c r="Y252" i="1"/>
  <c r="X252" i="1"/>
  <c r="Y247" i="1"/>
  <c r="X247" i="1"/>
  <c r="Y258" i="1"/>
  <c r="X258" i="1"/>
  <c r="Y260" i="1"/>
  <c r="X260" i="1"/>
  <c r="Y259" i="1"/>
  <c r="X259" i="1"/>
  <c r="B24" i="10"/>
  <c r="L24" i="10" s="1"/>
  <c r="B26" i="10"/>
  <c r="N23" i="10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4" i="6"/>
  <c r="C85" i="4" l="1"/>
  <c r="I88" i="4"/>
  <c r="L26" i="10"/>
  <c r="F18" i="10"/>
  <c r="K18" i="10" s="1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W206" i="1"/>
  <c r="X206" i="1" l="1"/>
  <c r="Y206" i="1"/>
  <c r="P66" i="6"/>
  <c r="R66" i="6" s="1"/>
  <c r="P65" i="6"/>
  <c r="R65" i="6" s="1"/>
  <c r="P64" i="6"/>
  <c r="R64" i="6" s="1"/>
  <c r="P63" i="6"/>
  <c r="R63" i="6" s="1"/>
  <c r="P62" i="6"/>
  <c r="R62" i="6" s="1"/>
  <c r="P61" i="6"/>
  <c r="R61" i="6" s="1"/>
  <c r="P60" i="6"/>
  <c r="R60" i="6" s="1"/>
  <c r="P59" i="6"/>
  <c r="R59" i="6" s="1"/>
  <c r="P58" i="6"/>
  <c r="R58" i="6" s="1"/>
  <c r="P57" i="6"/>
  <c r="R57" i="6" s="1"/>
  <c r="P56" i="6"/>
  <c r="R56" i="6" s="1"/>
  <c r="P55" i="6"/>
  <c r="R55" i="6" s="1"/>
  <c r="P54" i="6"/>
  <c r="R54" i="6" s="1"/>
  <c r="P53" i="6"/>
  <c r="R53" i="6" s="1"/>
  <c r="O66" i="6"/>
  <c r="Q66" i="6" s="1"/>
  <c r="O65" i="6"/>
  <c r="Q65" i="6" s="1"/>
  <c r="O64" i="6"/>
  <c r="Q64" i="6" s="1"/>
  <c r="O63" i="6"/>
  <c r="Q63" i="6" s="1"/>
  <c r="O62" i="6"/>
  <c r="Q62" i="6" s="1"/>
  <c r="O61" i="6"/>
  <c r="Q61" i="6" s="1"/>
  <c r="O60" i="6"/>
  <c r="Q60" i="6" s="1"/>
  <c r="O59" i="6"/>
  <c r="Q59" i="6" s="1"/>
  <c r="O58" i="6"/>
  <c r="Q58" i="6" s="1"/>
  <c r="O57" i="6"/>
  <c r="Q57" i="6" s="1"/>
  <c r="O56" i="6"/>
  <c r="Q56" i="6" s="1"/>
  <c r="O55" i="6"/>
  <c r="Q55" i="6" s="1"/>
  <c r="O54" i="6"/>
  <c r="Q54" i="6" s="1"/>
  <c r="O53" i="6"/>
  <c r="Q53" i="6" s="1"/>
  <c r="F66" i="6"/>
  <c r="H66" i="6" s="1"/>
  <c r="F65" i="6"/>
  <c r="H65" i="6" s="1"/>
  <c r="F64" i="6"/>
  <c r="H64" i="6" s="1"/>
  <c r="F63" i="6"/>
  <c r="H63" i="6" s="1"/>
  <c r="F62" i="6"/>
  <c r="H62" i="6" s="1"/>
  <c r="F61" i="6"/>
  <c r="H61" i="6" s="1"/>
  <c r="F60" i="6"/>
  <c r="H60" i="6" s="1"/>
  <c r="F59" i="6"/>
  <c r="H59" i="6" s="1"/>
  <c r="F58" i="6"/>
  <c r="H58" i="6" s="1"/>
  <c r="F57" i="6"/>
  <c r="H57" i="6" s="1"/>
  <c r="F56" i="6"/>
  <c r="H56" i="6" s="1"/>
  <c r="F55" i="6"/>
  <c r="H55" i="6" s="1"/>
  <c r="F54" i="6"/>
  <c r="H54" i="6" s="1"/>
  <c r="E66" i="6"/>
  <c r="G66" i="6" s="1"/>
  <c r="E65" i="6"/>
  <c r="G65" i="6" s="1"/>
  <c r="E64" i="6"/>
  <c r="G64" i="6" s="1"/>
  <c r="E63" i="6"/>
  <c r="G63" i="6" s="1"/>
  <c r="E62" i="6"/>
  <c r="G62" i="6" s="1"/>
  <c r="E61" i="6"/>
  <c r="G61" i="6" s="1"/>
  <c r="E60" i="6"/>
  <c r="G60" i="6" s="1"/>
  <c r="E59" i="6"/>
  <c r="G59" i="6" s="1"/>
  <c r="E58" i="6"/>
  <c r="G58" i="6" s="1"/>
  <c r="E57" i="6"/>
  <c r="G57" i="6" s="1"/>
  <c r="E56" i="6"/>
  <c r="G56" i="6" s="1"/>
  <c r="E55" i="6"/>
  <c r="G55" i="6" s="1"/>
  <c r="E54" i="6"/>
  <c r="G54" i="6" s="1"/>
  <c r="F53" i="6"/>
  <c r="H53" i="6" s="1"/>
  <c r="E53" i="6"/>
  <c r="G53" i="6" s="1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37" i="2"/>
  <c r="I18" i="2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37" i="1"/>
  <c r="I18" i="1"/>
  <c r="I56" i="1" l="1"/>
  <c r="I56" i="2"/>
  <c r="W221" i="1" l="1"/>
  <c r="Y221" i="1" s="1"/>
  <c r="F36" i="1" l="1"/>
  <c r="F35" i="1"/>
  <c r="F33" i="1"/>
  <c r="F32" i="1"/>
  <c r="F31" i="1"/>
  <c r="F30" i="1"/>
  <c r="F29" i="1"/>
  <c r="F27" i="1"/>
  <c r="F26" i="1"/>
  <c r="F25" i="1"/>
  <c r="F24" i="1"/>
  <c r="F23" i="1"/>
  <c r="F17" i="1"/>
  <c r="F16" i="1"/>
  <c r="F15" i="1"/>
  <c r="F14" i="1"/>
  <c r="F13" i="1"/>
  <c r="F12" i="1"/>
  <c r="F11" i="1"/>
  <c r="F10" i="1"/>
  <c r="F8" i="1"/>
  <c r="F7" i="1"/>
  <c r="F6" i="1"/>
  <c r="F5" i="1"/>
  <c r="F4" i="1"/>
  <c r="M18" i="6"/>
  <c r="X231" i="1" l="1"/>
  <c r="Z213" i="1" l="1"/>
  <c r="F34" i="1" s="1"/>
  <c r="X232" i="1" l="1"/>
  <c r="W96" i="1" l="1"/>
  <c r="W64" i="1"/>
  <c r="X64" i="1" l="1"/>
  <c r="Y64" i="1"/>
  <c r="X96" i="1"/>
  <c r="Y96" i="1"/>
  <c r="D63" i="4"/>
  <c r="D62" i="4"/>
  <c r="K61" i="4"/>
  <c r="J61" i="4"/>
  <c r="D50" i="4"/>
  <c r="E50" i="4" s="1"/>
  <c r="D49" i="4"/>
  <c r="K48" i="4"/>
  <c r="J48" i="4"/>
  <c r="D37" i="4"/>
  <c r="G37" i="4" s="1"/>
  <c r="D36" i="4"/>
  <c r="K35" i="4"/>
  <c r="J35" i="4"/>
  <c r="D24" i="4"/>
  <c r="D23" i="4"/>
  <c r="K22" i="4"/>
  <c r="J22" i="4"/>
  <c r="F36" i="2"/>
  <c r="E36" i="2"/>
  <c r="J36" i="2" s="1"/>
  <c r="P48" i="10" s="1"/>
  <c r="R48" i="10" s="1"/>
  <c r="D36" i="2"/>
  <c r="F35" i="2"/>
  <c r="E35" i="2"/>
  <c r="J35" i="2" s="1"/>
  <c r="P47" i="10" s="1"/>
  <c r="R47" i="10" s="1"/>
  <c r="D35" i="2"/>
  <c r="F34" i="2"/>
  <c r="E34" i="2"/>
  <c r="J34" i="2" s="1"/>
  <c r="P46" i="10" s="1"/>
  <c r="R46" i="10" s="1"/>
  <c r="D34" i="2"/>
  <c r="F33" i="2"/>
  <c r="F32" i="2"/>
  <c r="E32" i="2"/>
  <c r="J32" i="2" s="1"/>
  <c r="P44" i="10" s="1"/>
  <c r="R44" i="10" s="1"/>
  <c r="D32" i="2"/>
  <c r="F31" i="2"/>
  <c r="E31" i="2"/>
  <c r="J31" i="2" s="1"/>
  <c r="P43" i="10" s="1"/>
  <c r="R43" i="10" s="1"/>
  <c r="F30" i="2"/>
  <c r="E30" i="2"/>
  <c r="J30" i="2" s="1"/>
  <c r="P42" i="10" s="1"/>
  <c r="R42" i="10" s="1"/>
  <c r="D30" i="2"/>
  <c r="F29" i="2"/>
  <c r="E29" i="2"/>
  <c r="J29" i="2" s="1"/>
  <c r="P41" i="10" s="1"/>
  <c r="R41" i="10" s="1"/>
  <c r="D29" i="2"/>
  <c r="F28" i="2"/>
  <c r="E28" i="2"/>
  <c r="J28" i="2" s="1"/>
  <c r="P40" i="10" s="1"/>
  <c r="R40" i="10" s="1"/>
  <c r="D28" i="2"/>
  <c r="F27" i="2"/>
  <c r="E27" i="2"/>
  <c r="J27" i="2" s="1"/>
  <c r="P39" i="10" s="1"/>
  <c r="R39" i="10" s="1"/>
  <c r="D27" i="2"/>
  <c r="F26" i="2"/>
  <c r="F25" i="2"/>
  <c r="F24" i="2"/>
  <c r="F17" i="2"/>
  <c r="E17" i="2"/>
  <c r="J17" i="2" s="1"/>
  <c r="O48" i="10" s="1"/>
  <c r="Q48" i="10" s="1"/>
  <c r="D17" i="2"/>
  <c r="F16" i="2"/>
  <c r="E16" i="2"/>
  <c r="J16" i="2" s="1"/>
  <c r="O47" i="10" s="1"/>
  <c r="Q47" i="10" s="1"/>
  <c r="D16" i="2"/>
  <c r="F15" i="2"/>
  <c r="E15" i="2"/>
  <c r="J15" i="2" s="1"/>
  <c r="O46" i="10" s="1"/>
  <c r="Q46" i="10" s="1"/>
  <c r="D15" i="2"/>
  <c r="F14" i="2"/>
  <c r="F13" i="2"/>
  <c r="E13" i="2"/>
  <c r="J13" i="2" s="1"/>
  <c r="O44" i="10" s="1"/>
  <c r="Q44" i="10" s="1"/>
  <c r="D13" i="2"/>
  <c r="F12" i="2"/>
  <c r="E12" i="2"/>
  <c r="J12" i="2" s="1"/>
  <c r="O43" i="10" s="1"/>
  <c r="Q43" i="10" s="1"/>
  <c r="D12" i="2"/>
  <c r="F11" i="2"/>
  <c r="E11" i="2"/>
  <c r="J11" i="2" s="1"/>
  <c r="O42" i="10" s="1"/>
  <c r="Q42" i="10" s="1"/>
  <c r="D11" i="2"/>
  <c r="F10" i="2"/>
  <c r="E10" i="2"/>
  <c r="J10" i="2" s="1"/>
  <c r="O41" i="10" s="1"/>
  <c r="Q41" i="10" s="1"/>
  <c r="D10" i="2"/>
  <c r="F9" i="2"/>
  <c r="E9" i="2"/>
  <c r="J9" i="2" s="1"/>
  <c r="O40" i="10" s="1"/>
  <c r="Q40" i="10" s="1"/>
  <c r="D9" i="2"/>
  <c r="F8" i="2"/>
  <c r="E8" i="2"/>
  <c r="J8" i="2" s="1"/>
  <c r="O39" i="10" s="1"/>
  <c r="Q39" i="10" s="1"/>
  <c r="D8" i="2"/>
  <c r="F7" i="2"/>
  <c r="E7" i="2"/>
  <c r="J7" i="2" s="1"/>
  <c r="O38" i="10" s="1"/>
  <c r="Q38" i="10" s="1"/>
  <c r="D7" i="2"/>
  <c r="F6" i="2"/>
  <c r="E6" i="2"/>
  <c r="J6" i="2" s="1"/>
  <c r="O37" i="10" s="1"/>
  <c r="Q37" i="10" s="1"/>
  <c r="D6" i="2"/>
  <c r="F5" i="2"/>
  <c r="E5" i="2"/>
  <c r="J5" i="2" s="1"/>
  <c r="O36" i="10" s="1"/>
  <c r="Q36" i="10" s="1"/>
  <c r="D5" i="2"/>
  <c r="E35" i="1"/>
  <c r="J35" i="1" s="1"/>
  <c r="F47" i="10" s="1"/>
  <c r="H47" i="10" s="1"/>
  <c r="D35" i="1"/>
  <c r="E33" i="1"/>
  <c r="J33" i="1" s="1"/>
  <c r="F45" i="10" s="1"/>
  <c r="H45" i="10" s="1"/>
  <c r="D33" i="1"/>
  <c r="E32" i="1"/>
  <c r="J32" i="1" s="1"/>
  <c r="F44" i="10" s="1"/>
  <c r="H44" i="10" s="1"/>
  <c r="D32" i="1"/>
  <c r="E31" i="1"/>
  <c r="J31" i="1" s="1"/>
  <c r="F43" i="10" s="1"/>
  <c r="H43" i="10" s="1"/>
  <c r="D31" i="1"/>
  <c r="E26" i="1"/>
  <c r="J26" i="1" s="1"/>
  <c r="F38" i="10" s="1"/>
  <c r="H38" i="10" s="1"/>
  <c r="D26" i="1"/>
  <c r="E25" i="1"/>
  <c r="J25" i="1" s="1"/>
  <c r="F37" i="10" s="1"/>
  <c r="H37" i="10" s="1"/>
  <c r="D25" i="1"/>
  <c r="E24" i="1"/>
  <c r="J24" i="1" s="1"/>
  <c r="F36" i="10" s="1"/>
  <c r="H36" i="10" s="1"/>
  <c r="D24" i="1"/>
  <c r="D14" i="1"/>
  <c r="D12" i="1"/>
  <c r="D7" i="1"/>
  <c r="D6" i="1"/>
  <c r="D5" i="1"/>
  <c r="E14" i="1"/>
  <c r="J14" i="1" s="1"/>
  <c r="E45" i="10" s="1"/>
  <c r="G45" i="10" s="1"/>
  <c r="E12" i="1"/>
  <c r="J12" i="1" s="1"/>
  <c r="E43" i="10" s="1"/>
  <c r="G43" i="10" s="1"/>
  <c r="E7" i="1"/>
  <c r="J7" i="1" s="1"/>
  <c r="E38" i="10" s="1"/>
  <c r="G38" i="10" s="1"/>
  <c r="E6" i="1"/>
  <c r="J6" i="1" s="1"/>
  <c r="E37" i="10" s="1"/>
  <c r="G37" i="10" s="1"/>
  <c r="E5" i="1"/>
  <c r="J5" i="1" s="1"/>
  <c r="E36" i="10" s="1"/>
  <c r="G36" i="10" s="1"/>
  <c r="J63" i="4" l="1"/>
  <c r="K63" i="4"/>
  <c r="J23" i="4"/>
  <c r="J37" i="4"/>
  <c r="J50" i="4"/>
  <c r="F50" i="4"/>
  <c r="I50" i="4" s="1"/>
  <c r="K24" i="4"/>
  <c r="K37" i="4"/>
  <c r="K50" i="4"/>
  <c r="G50" i="4"/>
  <c r="E37" i="6"/>
  <c r="F43" i="6"/>
  <c r="J50" i="1"/>
  <c r="J52" i="1"/>
  <c r="F45" i="6"/>
  <c r="O36" i="6"/>
  <c r="O40" i="6"/>
  <c r="O44" i="6"/>
  <c r="O46" i="6"/>
  <c r="P39" i="6"/>
  <c r="J46" i="2"/>
  <c r="E36" i="6"/>
  <c r="J44" i="1"/>
  <c r="F37" i="6"/>
  <c r="E38" i="6"/>
  <c r="O39" i="6"/>
  <c r="O43" i="6"/>
  <c r="J49" i="2"/>
  <c r="P42" i="6"/>
  <c r="J55" i="2"/>
  <c r="P48" i="6"/>
  <c r="E43" i="6"/>
  <c r="F38" i="6"/>
  <c r="J45" i="1"/>
  <c r="F44" i="6"/>
  <c r="F47" i="6"/>
  <c r="O38" i="6"/>
  <c r="O42" i="6"/>
  <c r="O48" i="6"/>
  <c r="P41" i="6"/>
  <c r="J48" i="2"/>
  <c r="J51" i="2"/>
  <c r="P44" i="6"/>
  <c r="P47" i="6"/>
  <c r="J54" i="2"/>
  <c r="F36" i="6"/>
  <c r="J43" i="1"/>
  <c r="E45" i="6"/>
  <c r="O37" i="6"/>
  <c r="O41" i="6"/>
  <c r="O47" i="6"/>
  <c r="J47" i="2"/>
  <c r="P40" i="6"/>
  <c r="P43" i="6"/>
  <c r="J50" i="2"/>
  <c r="J53" i="2"/>
  <c r="P46" i="6"/>
  <c r="D50" i="1"/>
  <c r="D43" i="1"/>
  <c r="D52" i="1"/>
  <c r="E44" i="1"/>
  <c r="E43" i="1"/>
  <c r="E52" i="1"/>
  <c r="D44" i="1"/>
  <c r="E45" i="1"/>
  <c r="E50" i="1"/>
  <c r="D45" i="1"/>
  <c r="K23" i="4"/>
  <c r="E37" i="4"/>
  <c r="K49" i="4"/>
  <c r="J24" i="4"/>
  <c r="H37" i="4"/>
  <c r="J36" i="4"/>
  <c r="F37" i="4"/>
  <c r="H49" i="4"/>
  <c r="H50" i="4"/>
  <c r="J62" i="4"/>
  <c r="J49" i="4"/>
  <c r="H62" i="4"/>
  <c r="H63" i="4"/>
  <c r="K36" i="4"/>
  <c r="K62" i="4"/>
  <c r="I37" i="4" l="1"/>
  <c r="Q12" i="10"/>
  <c r="Q12" i="6"/>
  <c r="C58" i="4"/>
  <c r="C57" i="4"/>
  <c r="R12" i="10" l="1"/>
  <c r="X193" i="1"/>
  <c r="X73" i="1" l="1"/>
  <c r="X72" i="1"/>
  <c r="X71" i="1"/>
  <c r="X70" i="1"/>
  <c r="X195" i="1"/>
  <c r="W246" i="1" l="1"/>
  <c r="W245" i="1"/>
  <c r="W244" i="1"/>
  <c r="W243" i="1"/>
  <c r="Y242" i="1"/>
  <c r="W241" i="1"/>
  <c r="W239" i="1"/>
  <c r="W237" i="1"/>
  <c r="W236" i="1"/>
  <c r="W234" i="1"/>
  <c r="E75" i="4" s="1"/>
  <c r="W233" i="1"/>
  <c r="E62" i="4" l="1"/>
  <c r="Y243" i="1"/>
  <c r="X243" i="1"/>
  <c r="Y241" i="1"/>
  <c r="X241" i="1"/>
  <c r="Y233" i="1"/>
  <c r="E76" i="4"/>
  <c r="X237" i="1"/>
  <c r="Y237" i="1"/>
  <c r="X234" i="1"/>
  <c r="Y234" i="1"/>
  <c r="X239" i="1"/>
  <c r="Y239" i="1"/>
  <c r="X244" i="1"/>
  <c r="Y244" i="1"/>
  <c r="X245" i="1"/>
  <c r="Y245" i="1"/>
  <c r="X236" i="1"/>
  <c r="Y236" i="1"/>
  <c r="X246" i="1"/>
  <c r="Y246" i="1"/>
  <c r="E63" i="4"/>
  <c r="X233" i="1"/>
  <c r="W230" i="1"/>
  <c r="W229" i="1"/>
  <c r="W228" i="1"/>
  <c r="W227" i="1"/>
  <c r="Y227" i="1" s="1"/>
  <c r="W226" i="1"/>
  <c r="W225" i="1"/>
  <c r="W224" i="1"/>
  <c r="W223" i="1"/>
  <c r="W222" i="1"/>
  <c r="X221" i="1"/>
  <c r="W220" i="1"/>
  <c r="Y220" i="1" s="1"/>
  <c r="W219" i="1"/>
  <c r="W218" i="1"/>
  <c r="Y218" i="1" s="1"/>
  <c r="W217" i="1"/>
  <c r="W216" i="1"/>
  <c r="Y216" i="1" s="1"/>
  <c r="W215" i="1"/>
  <c r="Y215" i="1" s="1"/>
  <c r="W214" i="1"/>
  <c r="Y214" i="1" s="1"/>
  <c r="W213" i="1"/>
  <c r="Y213" i="1" s="1"/>
  <c r="W212" i="1"/>
  <c r="W211" i="1"/>
  <c r="Y211" i="1" s="1"/>
  <c r="W210" i="1"/>
  <c r="Y210" i="1" s="1"/>
  <c r="W209" i="1"/>
  <c r="Y209" i="1" s="1"/>
  <c r="X208" i="1"/>
  <c r="W207" i="1"/>
  <c r="Y207" i="1" s="1"/>
  <c r="W205" i="1"/>
  <c r="W204" i="1"/>
  <c r="Y204" i="1" s="1"/>
  <c r="W203" i="1"/>
  <c r="Y203" i="1" s="1"/>
  <c r="W202" i="1"/>
  <c r="Y202" i="1" s="1"/>
  <c r="W201" i="1"/>
  <c r="Y201" i="1" s="1"/>
  <c r="X200" i="1"/>
  <c r="X199" i="1"/>
  <c r="W198" i="1"/>
  <c r="X197" i="1"/>
  <c r="W196" i="1"/>
  <c r="W195" i="1"/>
  <c r="Y195" i="1" s="1"/>
  <c r="X194" i="1"/>
  <c r="W192" i="1"/>
  <c r="W191" i="1"/>
  <c r="W190" i="1"/>
  <c r="Y190" i="1" s="1"/>
  <c r="W189" i="1"/>
  <c r="Y189" i="1" s="1"/>
  <c r="W188" i="1"/>
  <c r="W187" i="1"/>
  <c r="Y187" i="1" s="1"/>
  <c r="W186" i="1"/>
  <c r="W185" i="1"/>
  <c r="Y185" i="1" s="1"/>
  <c r="W184" i="1"/>
  <c r="W183" i="1"/>
  <c r="Y183" i="1" s="1"/>
  <c r="W182" i="1"/>
  <c r="W181" i="1"/>
  <c r="Y181" i="1" s="1"/>
  <c r="W180" i="1"/>
  <c r="W179" i="1"/>
  <c r="Y179" i="1" s="1"/>
  <c r="W178" i="1"/>
  <c r="W177" i="1"/>
  <c r="Y177" i="1" s="1"/>
  <c r="W176" i="1"/>
  <c r="W175" i="1"/>
  <c r="W174" i="1"/>
  <c r="W173" i="1"/>
  <c r="Y173" i="1" s="1"/>
  <c r="W172" i="1"/>
  <c r="W171" i="1"/>
  <c r="Y171" i="1" s="1"/>
  <c r="W170" i="1"/>
  <c r="X169" i="1"/>
  <c r="W168" i="1"/>
  <c r="Y168" i="1" s="1"/>
  <c r="W167" i="1"/>
  <c r="Y167" i="1" s="1"/>
  <c r="W166" i="1"/>
  <c r="Y166" i="1" s="1"/>
  <c r="W165" i="1"/>
  <c r="Y165" i="1" s="1"/>
  <c r="W164" i="1"/>
  <c r="Y164" i="1" s="1"/>
  <c r="W163" i="1"/>
  <c r="Y163" i="1" s="1"/>
  <c r="W162" i="1"/>
  <c r="Y162" i="1" s="1"/>
  <c r="W161" i="1"/>
  <c r="Y161" i="1" s="1"/>
  <c r="W160" i="1"/>
  <c r="Y160" i="1" s="1"/>
  <c r="W159" i="1"/>
  <c r="Y159" i="1" s="1"/>
  <c r="W158" i="1"/>
  <c r="Y158" i="1" s="1"/>
  <c r="W157" i="1"/>
  <c r="Y157" i="1" s="1"/>
  <c r="W156" i="1"/>
  <c r="Y156" i="1" s="1"/>
  <c r="W155" i="1"/>
  <c r="Y155" i="1" s="1"/>
  <c r="W154" i="1"/>
  <c r="Y154" i="1" s="1"/>
  <c r="W153" i="1"/>
  <c r="Y153" i="1" s="1"/>
  <c r="W152" i="1"/>
  <c r="Y152" i="1" s="1"/>
  <c r="W151" i="1"/>
  <c r="Y151" i="1" s="1"/>
  <c r="W150" i="1"/>
  <c r="Y150" i="1" s="1"/>
  <c r="W149" i="1"/>
  <c r="Y149" i="1" s="1"/>
  <c r="W148" i="1"/>
  <c r="Y148" i="1" s="1"/>
  <c r="W147" i="1"/>
  <c r="Y147" i="1" s="1"/>
  <c r="W146" i="1"/>
  <c r="Y146" i="1" s="1"/>
  <c r="W145" i="1"/>
  <c r="Y145" i="1" s="1"/>
  <c r="W144" i="1"/>
  <c r="Y144" i="1" s="1"/>
  <c r="W143" i="1"/>
  <c r="Y143" i="1" s="1"/>
  <c r="W142" i="1"/>
  <c r="Y142" i="1" s="1"/>
  <c r="W141" i="1"/>
  <c r="Y141" i="1" s="1"/>
  <c r="W140" i="1"/>
  <c r="Y140" i="1" s="1"/>
  <c r="W139" i="1"/>
  <c r="Y139" i="1" s="1"/>
  <c r="W138" i="1"/>
  <c r="W137" i="1"/>
  <c r="Y137" i="1" s="1"/>
  <c r="W136" i="1"/>
  <c r="Y136" i="1" s="1"/>
  <c r="W135" i="1"/>
  <c r="Y135" i="1" s="1"/>
  <c r="W134" i="1"/>
  <c r="W133" i="1"/>
  <c r="Y133" i="1" s="1"/>
  <c r="W132" i="1"/>
  <c r="Y132" i="1" s="1"/>
  <c r="W131" i="1"/>
  <c r="Y131" i="1" s="1"/>
  <c r="W130" i="1"/>
  <c r="Y130" i="1" s="1"/>
  <c r="W129" i="1"/>
  <c r="W128" i="1"/>
  <c r="Y128" i="1" s="1"/>
  <c r="W127" i="1"/>
  <c r="W126" i="1"/>
  <c r="Y126" i="1" s="1"/>
  <c r="W125" i="1"/>
  <c r="W124" i="1"/>
  <c r="W123" i="1"/>
  <c r="W122" i="1"/>
  <c r="Y122" i="1" s="1"/>
  <c r="X121" i="1"/>
  <c r="W120" i="1"/>
  <c r="Y120" i="1" s="1"/>
  <c r="W119" i="1"/>
  <c r="Y119" i="1" s="1"/>
  <c r="W118" i="1"/>
  <c r="W117" i="1"/>
  <c r="Y117" i="1" s="1"/>
  <c r="W116" i="1"/>
  <c r="Y116" i="1" s="1"/>
  <c r="W115" i="1"/>
  <c r="Y115" i="1" s="1"/>
  <c r="W114" i="1"/>
  <c r="W113" i="1"/>
  <c r="Y113" i="1" s="1"/>
  <c r="W112" i="1"/>
  <c r="Y112" i="1" s="1"/>
  <c r="W111" i="1"/>
  <c r="Y111" i="1" s="1"/>
  <c r="W110" i="1"/>
  <c r="W109" i="1"/>
  <c r="Y109" i="1" s="1"/>
  <c r="W108" i="1"/>
  <c r="Y108" i="1" s="1"/>
  <c r="W107" i="1"/>
  <c r="Y107" i="1" s="1"/>
  <c r="W106" i="1"/>
  <c r="Y106" i="1" s="1"/>
  <c r="W105" i="1"/>
  <c r="Y105" i="1" s="1"/>
  <c r="W104" i="1"/>
  <c r="W103" i="1"/>
  <c r="Y103" i="1" s="1"/>
  <c r="W102" i="1"/>
  <c r="Y102" i="1" s="1"/>
  <c r="W101" i="1"/>
  <c r="Y101" i="1" s="1"/>
  <c r="W100" i="1"/>
  <c r="Y100" i="1" s="1"/>
  <c r="W99" i="1"/>
  <c r="Y99" i="1" s="1"/>
  <c r="W98" i="1"/>
  <c r="Y98" i="1" s="1"/>
  <c r="W97" i="1"/>
  <c r="Y97" i="1" s="1"/>
  <c r="W95" i="1"/>
  <c r="Y95" i="1" s="1"/>
  <c r="W94" i="1"/>
  <c r="Y94" i="1" s="1"/>
  <c r="X93" i="1"/>
  <c r="X92" i="1"/>
  <c r="W91" i="1"/>
  <c r="Y91" i="1" s="1"/>
  <c r="W90" i="1"/>
  <c r="Y90" i="1" s="1"/>
  <c r="W89" i="1"/>
  <c r="W88" i="1"/>
  <c r="Y88" i="1" s="1"/>
  <c r="W87" i="1"/>
  <c r="Y87" i="1" s="1"/>
  <c r="W86" i="1"/>
  <c r="W85" i="1"/>
  <c r="Y85" i="1" s="1"/>
  <c r="W84" i="1"/>
  <c r="W83" i="1"/>
  <c r="Y83" i="1" s="1"/>
  <c r="W82" i="1"/>
  <c r="Y82" i="1" s="1"/>
  <c r="X81" i="1"/>
  <c r="W80" i="1"/>
  <c r="Y80" i="1" s="1"/>
  <c r="X79" i="1"/>
  <c r="X78" i="1"/>
  <c r="W77" i="1"/>
  <c r="Y77" i="1" s="1"/>
  <c r="X76" i="1"/>
  <c r="X75" i="1"/>
  <c r="W74" i="1"/>
  <c r="Y74" i="1" s="1"/>
  <c r="Z73" i="1"/>
  <c r="Z71" i="1"/>
  <c r="Z70" i="1"/>
  <c r="W69" i="1"/>
  <c r="Y69" i="1" s="1"/>
  <c r="W68" i="1"/>
  <c r="Y68" i="1" s="1"/>
  <c r="W67" i="1"/>
  <c r="Y67" i="1" s="1"/>
  <c r="W66" i="1"/>
  <c r="W65" i="1"/>
  <c r="Y65" i="1" s="1"/>
  <c r="W63" i="1"/>
  <c r="Y63" i="1" s="1"/>
  <c r="W62" i="1"/>
  <c r="Y62" i="1" s="1"/>
  <c r="W61" i="1"/>
  <c r="Y61" i="1" s="1"/>
  <c r="W60" i="1"/>
  <c r="Y60" i="1" s="1"/>
  <c r="B61" i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X175" i="1" l="1"/>
  <c r="Y175" i="1"/>
  <c r="F62" i="4"/>
  <c r="I62" i="4" s="1"/>
  <c r="F75" i="4"/>
  <c r="F63" i="4"/>
  <c r="I63" i="4" s="1"/>
  <c r="F76" i="4"/>
  <c r="I76" i="4" s="1"/>
  <c r="G62" i="4"/>
  <c r="G75" i="4"/>
  <c r="G63" i="4"/>
  <c r="G76" i="4"/>
  <c r="X110" i="1"/>
  <c r="Y110" i="1"/>
  <c r="X114" i="1"/>
  <c r="Y114" i="1"/>
  <c r="X118" i="1"/>
  <c r="Y118" i="1"/>
  <c r="X86" i="1"/>
  <c r="Y86" i="1"/>
  <c r="X123" i="1"/>
  <c r="Y123" i="1"/>
  <c r="X191" i="1"/>
  <c r="Y191" i="1"/>
  <c r="X196" i="1"/>
  <c r="Y196" i="1"/>
  <c r="X217" i="1"/>
  <c r="Y217" i="1"/>
  <c r="X225" i="1"/>
  <c r="Y225" i="1"/>
  <c r="X229" i="1"/>
  <c r="Y229" i="1"/>
  <c r="X66" i="1"/>
  <c r="Y66" i="1"/>
  <c r="X104" i="1"/>
  <c r="Y104" i="1"/>
  <c r="X124" i="1"/>
  <c r="Y124" i="1"/>
  <c r="X172" i="1"/>
  <c r="Y172" i="1"/>
  <c r="X176" i="1"/>
  <c r="Y176" i="1"/>
  <c r="X180" i="1"/>
  <c r="Y180" i="1"/>
  <c r="X184" i="1"/>
  <c r="Y184" i="1"/>
  <c r="X188" i="1"/>
  <c r="Y188" i="1"/>
  <c r="X192" i="1"/>
  <c r="Y192" i="1"/>
  <c r="X205" i="1"/>
  <c r="Y205" i="1"/>
  <c r="X222" i="1"/>
  <c r="Y222" i="1"/>
  <c r="X226" i="1"/>
  <c r="Y226" i="1"/>
  <c r="Y230" i="1"/>
  <c r="X230" i="1"/>
  <c r="X89" i="1"/>
  <c r="Y89" i="1"/>
  <c r="Z89" i="1" s="1"/>
  <c r="X127" i="1"/>
  <c r="Y127" i="1"/>
  <c r="X84" i="1"/>
  <c r="Y84" i="1"/>
  <c r="G23" i="4" s="1"/>
  <c r="X125" i="1"/>
  <c r="Y125" i="1"/>
  <c r="X129" i="1"/>
  <c r="Y129" i="1"/>
  <c r="X198" i="1"/>
  <c r="Y198" i="1"/>
  <c r="X219" i="1"/>
  <c r="Y219" i="1"/>
  <c r="X223" i="1"/>
  <c r="Y223" i="1"/>
  <c r="X134" i="1"/>
  <c r="Y134" i="1"/>
  <c r="X138" i="1"/>
  <c r="Y138" i="1"/>
  <c r="X170" i="1"/>
  <c r="Y170" i="1"/>
  <c r="X174" i="1"/>
  <c r="Y174" i="1"/>
  <c r="X178" i="1"/>
  <c r="Y178" i="1"/>
  <c r="X182" i="1"/>
  <c r="Y182" i="1"/>
  <c r="X186" i="1"/>
  <c r="Y186" i="1"/>
  <c r="D27" i="1"/>
  <c r="Y212" i="1"/>
  <c r="X224" i="1"/>
  <c r="Y224" i="1"/>
  <c r="X228" i="1"/>
  <c r="Y228" i="1"/>
  <c r="E49" i="4"/>
  <c r="D30" i="1"/>
  <c r="D16" i="1"/>
  <c r="D54" i="1" s="1"/>
  <c r="D29" i="1"/>
  <c r="D36" i="1"/>
  <c r="X212" i="1"/>
  <c r="D34" i="1"/>
  <c r="X213" i="1"/>
  <c r="E34" i="1" s="1"/>
  <c r="J34" i="1" s="1"/>
  <c r="D13" i="1"/>
  <c r="D51" i="1" s="1"/>
  <c r="X106" i="1"/>
  <c r="D17" i="1"/>
  <c r="E36" i="4"/>
  <c r="D15" i="1"/>
  <c r="X88" i="1"/>
  <c r="E24" i="4"/>
  <c r="D11" i="1"/>
  <c r="X82" i="1"/>
  <c r="D8" i="1"/>
  <c r="D10" i="1"/>
  <c r="D28" i="1"/>
  <c r="D9" i="1"/>
  <c r="E23" i="4"/>
  <c r="X211" i="1"/>
  <c r="Z105" i="1"/>
  <c r="X105" i="1"/>
  <c r="Z142" i="1"/>
  <c r="X142" i="1"/>
  <c r="Z146" i="1"/>
  <c r="X146" i="1"/>
  <c r="Z68" i="1"/>
  <c r="X68" i="1"/>
  <c r="Z98" i="1"/>
  <c r="X98" i="1"/>
  <c r="Z143" i="1"/>
  <c r="X143" i="1"/>
  <c r="Z95" i="1"/>
  <c r="X95" i="1"/>
  <c r="Z141" i="1"/>
  <c r="X141" i="1"/>
  <c r="Z145" i="1"/>
  <c r="X145" i="1"/>
  <c r="Z67" i="1"/>
  <c r="X67" i="1"/>
  <c r="Z97" i="1"/>
  <c r="X97" i="1"/>
  <c r="X69" i="1"/>
  <c r="Z144" i="1"/>
  <c r="X144" i="1"/>
  <c r="X187" i="1"/>
  <c r="X111" i="1"/>
  <c r="X209" i="1"/>
  <c r="X190" i="1"/>
  <c r="X107" i="1"/>
  <c r="X115" i="1"/>
  <c r="X74" i="1"/>
  <c r="X103" i="1"/>
  <c r="X207" i="1"/>
  <c r="X100" i="1"/>
  <c r="X102" i="1"/>
  <c r="X130" i="1"/>
  <c r="X133" i="1"/>
  <c r="X135" i="1"/>
  <c r="X210" i="1"/>
  <c r="X63" i="1"/>
  <c r="E28" i="1" s="1"/>
  <c r="J28" i="1" s="1"/>
  <c r="F40" i="10" s="1"/>
  <c r="H40" i="10" s="1"/>
  <c r="X99" i="1"/>
  <c r="X101" i="1"/>
  <c r="X61" i="1"/>
  <c r="X109" i="1"/>
  <c r="X113" i="1"/>
  <c r="X117" i="1"/>
  <c r="X119" i="1"/>
  <c r="X137" i="1"/>
  <c r="X139" i="1"/>
  <c r="X202" i="1"/>
  <c r="X204" i="1"/>
  <c r="X65" i="1"/>
  <c r="X80" i="1"/>
  <c r="X128" i="1"/>
  <c r="X201" i="1"/>
  <c r="X203" i="1"/>
  <c r="X60" i="1"/>
  <c r="X87" i="1"/>
  <c r="X157" i="1"/>
  <c r="X189" i="1"/>
  <c r="X218" i="1"/>
  <c r="X140" i="1"/>
  <c r="X83" i="1"/>
  <c r="X149" i="1"/>
  <c r="X153" i="1"/>
  <c r="X161" i="1"/>
  <c r="X165" i="1"/>
  <c r="X179" i="1"/>
  <c r="X183" i="1"/>
  <c r="X120" i="1"/>
  <c r="X173" i="1"/>
  <c r="X62" i="1"/>
  <c r="X85" i="1"/>
  <c r="X94" i="1"/>
  <c r="X108" i="1"/>
  <c r="X112" i="1"/>
  <c r="X116" i="1"/>
  <c r="X136" i="1"/>
  <c r="X147" i="1"/>
  <c r="X151" i="1"/>
  <c r="X155" i="1"/>
  <c r="X159" i="1"/>
  <c r="X163" i="1"/>
  <c r="X167" i="1"/>
  <c r="X177" i="1"/>
  <c r="X181" i="1"/>
  <c r="X185" i="1"/>
  <c r="X220" i="1"/>
  <c r="X132" i="1"/>
  <c r="X171" i="1"/>
  <c r="X148" i="1"/>
  <c r="X150" i="1"/>
  <c r="X152" i="1"/>
  <c r="X154" i="1"/>
  <c r="X156" i="1"/>
  <c r="X158" i="1"/>
  <c r="X160" i="1"/>
  <c r="X162" i="1"/>
  <c r="X164" i="1"/>
  <c r="X166" i="1"/>
  <c r="X168" i="1"/>
  <c r="X126" i="1"/>
  <c r="X77" i="1"/>
  <c r="X91" i="1"/>
  <c r="X216" i="1"/>
  <c r="X122" i="1"/>
  <c r="X90" i="1"/>
  <c r="X214" i="1"/>
  <c r="X215" i="1"/>
  <c r="X227" i="1"/>
  <c r="M42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F24" i="4" l="1"/>
  <c r="I24" i="4" s="1"/>
  <c r="F46" i="10"/>
  <c r="H46" i="10" s="1"/>
  <c r="C69" i="4"/>
  <c r="D46" i="1"/>
  <c r="E30" i="1"/>
  <c r="J30" i="1" s="1"/>
  <c r="F42" i="10" s="1"/>
  <c r="H42" i="10" s="1"/>
  <c r="C59" i="4"/>
  <c r="C56" i="4"/>
  <c r="C72" i="4"/>
  <c r="I75" i="4"/>
  <c r="G49" i="4"/>
  <c r="G24" i="4"/>
  <c r="G36" i="4"/>
  <c r="F28" i="1"/>
  <c r="F37" i="1"/>
  <c r="H24" i="4"/>
  <c r="D49" i="1"/>
  <c r="D48" i="1"/>
  <c r="O83" i="6"/>
  <c r="O83" i="10"/>
  <c r="O91" i="6"/>
  <c r="O91" i="10"/>
  <c r="O80" i="6"/>
  <c r="O80" i="10"/>
  <c r="O84" i="6"/>
  <c r="O84" i="10"/>
  <c r="O88" i="6"/>
  <c r="O88" i="10"/>
  <c r="O87" i="6"/>
  <c r="O87" i="10"/>
  <c r="O81" i="6"/>
  <c r="O81" i="10"/>
  <c r="O85" i="6"/>
  <c r="O85" i="10"/>
  <c r="O89" i="6"/>
  <c r="O89" i="10"/>
  <c r="P78" i="6"/>
  <c r="P78" i="10"/>
  <c r="O79" i="6"/>
  <c r="O79" i="10"/>
  <c r="O78" i="6"/>
  <c r="O78" i="10"/>
  <c r="O82" i="6"/>
  <c r="O82" i="10"/>
  <c r="O86" i="6"/>
  <c r="O86" i="10"/>
  <c r="O90" i="6"/>
  <c r="O90" i="10"/>
  <c r="F46" i="6"/>
  <c r="F40" i="6"/>
  <c r="H36" i="4"/>
  <c r="D55" i="1"/>
  <c r="E36" i="1"/>
  <c r="J36" i="1" s="1"/>
  <c r="F48" i="10" s="1"/>
  <c r="H48" i="10" s="1"/>
  <c r="E27" i="1"/>
  <c r="J27" i="1" s="1"/>
  <c r="F39" i="10" s="1"/>
  <c r="H39" i="10" s="1"/>
  <c r="F9" i="1"/>
  <c r="F18" i="1"/>
  <c r="E29" i="1"/>
  <c r="J29" i="1" s="1"/>
  <c r="F41" i="10" s="1"/>
  <c r="H41" i="10" s="1"/>
  <c r="D47" i="1"/>
  <c r="D53" i="1"/>
  <c r="E10" i="1"/>
  <c r="J10" i="1" s="1"/>
  <c r="E41" i="10" s="1"/>
  <c r="G41" i="10" s="1"/>
  <c r="E8" i="1"/>
  <c r="J8" i="1" s="1"/>
  <c r="E39" i="10" s="1"/>
  <c r="G39" i="10" s="1"/>
  <c r="F49" i="4"/>
  <c r="I49" i="4" s="1"/>
  <c r="E13" i="1"/>
  <c r="J13" i="1" s="1"/>
  <c r="E44" i="10" s="1"/>
  <c r="G44" i="10" s="1"/>
  <c r="E11" i="1"/>
  <c r="J11" i="1" s="1"/>
  <c r="E42" i="10" s="1"/>
  <c r="G42" i="10" s="1"/>
  <c r="E17" i="1"/>
  <c r="J17" i="1" s="1"/>
  <c r="E48" i="10" s="1"/>
  <c r="G48" i="10" s="1"/>
  <c r="F36" i="4"/>
  <c r="I36" i="4" s="1"/>
  <c r="H23" i="4"/>
  <c r="E15" i="1"/>
  <c r="J15" i="1" s="1"/>
  <c r="E46" i="10" s="1"/>
  <c r="G46" i="10" s="1"/>
  <c r="E16" i="1"/>
  <c r="J16" i="1" s="1"/>
  <c r="E47" i="10" s="1"/>
  <c r="G47" i="10" s="1"/>
  <c r="F23" i="4"/>
  <c r="I23" i="4" s="1"/>
  <c r="E9" i="1"/>
  <c r="J9" i="1" s="1"/>
  <c r="E40" i="10" s="1"/>
  <c r="G40" i="10" s="1"/>
  <c r="L42" i="1"/>
  <c r="W158" i="2"/>
  <c r="X158" i="2" s="1"/>
  <c r="W157" i="2"/>
  <c r="X157" i="2" s="1"/>
  <c r="W156" i="2"/>
  <c r="X156" i="2" s="1"/>
  <c r="W155" i="2"/>
  <c r="X155" i="2" s="1"/>
  <c r="W154" i="2"/>
  <c r="X154" i="2" s="1"/>
  <c r="W153" i="2"/>
  <c r="X153" i="2" s="1"/>
  <c r="W152" i="2"/>
  <c r="X152" i="2" s="1"/>
  <c r="W151" i="2"/>
  <c r="X151" i="2" s="1"/>
  <c r="W150" i="2"/>
  <c r="X150" i="2" s="1"/>
  <c r="W149" i="2"/>
  <c r="X149" i="2" s="1"/>
  <c r="W148" i="2"/>
  <c r="X148" i="2" s="1"/>
  <c r="W147" i="2"/>
  <c r="X147" i="2" s="1"/>
  <c r="W146" i="2"/>
  <c r="X146" i="2" s="1"/>
  <c r="W145" i="2"/>
  <c r="X145" i="2" s="1"/>
  <c r="W144" i="2"/>
  <c r="X144" i="2" s="1"/>
  <c r="W143" i="2"/>
  <c r="X143" i="2" s="1"/>
  <c r="W142" i="2"/>
  <c r="X142" i="2" s="1"/>
  <c r="W141" i="2"/>
  <c r="X141" i="2" s="1"/>
  <c r="W140" i="2"/>
  <c r="X140" i="2" s="1"/>
  <c r="W139" i="2"/>
  <c r="X139" i="2" s="1"/>
  <c r="W138" i="2"/>
  <c r="X138" i="2" s="1"/>
  <c r="W137" i="2"/>
  <c r="X137" i="2" s="1"/>
  <c r="W136" i="2"/>
  <c r="X136" i="2" s="1"/>
  <c r="W135" i="2"/>
  <c r="X135" i="2" s="1"/>
  <c r="W134" i="2"/>
  <c r="X134" i="2" s="1"/>
  <c r="W133" i="2"/>
  <c r="X133" i="2" s="1"/>
  <c r="W132" i="2"/>
  <c r="X132" i="2" s="1"/>
  <c r="W131" i="2"/>
  <c r="X131" i="2" s="1"/>
  <c r="W130" i="2"/>
  <c r="X130" i="2" s="1"/>
  <c r="W129" i="2"/>
  <c r="X129" i="2" s="1"/>
  <c r="W128" i="2"/>
  <c r="X128" i="2" s="1"/>
  <c r="W127" i="2"/>
  <c r="X127" i="2" s="1"/>
  <c r="W126" i="2"/>
  <c r="X126" i="2" s="1"/>
  <c r="W125" i="2"/>
  <c r="X125" i="2" s="1"/>
  <c r="W124" i="2"/>
  <c r="X124" i="2" s="1"/>
  <c r="W123" i="2"/>
  <c r="X123" i="2" s="1"/>
  <c r="W122" i="2"/>
  <c r="X122" i="2" s="1"/>
  <c r="W121" i="2"/>
  <c r="X121" i="2" s="1"/>
  <c r="W120" i="2"/>
  <c r="X120" i="2" s="1"/>
  <c r="W119" i="2"/>
  <c r="W118" i="2"/>
  <c r="W117" i="2"/>
  <c r="W116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X104" i="2" s="1"/>
  <c r="W103" i="2"/>
  <c r="X103" i="2" s="1"/>
  <c r="W102" i="2"/>
  <c r="X102" i="2" s="1"/>
  <c r="W101" i="2"/>
  <c r="X101" i="2" s="1"/>
  <c r="W100" i="2"/>
  <c r="X100" i="2" s="1"/>
  <c r="W99" i="2"/>
  <c r="X99" i="2" s="1"/>
  <c r="W98" i="2"/>
  <c r="X98" i="2" s="1"/>
  <c r="W97" i="2"/>
  <c r="X97" i="2" s="1"/>
  <c r="W96" i="2"/>
  <c r="X96" i="2" s="1"/>
  <c r="W95" i="2"/>
  <c r="X95" i="2" s="1"/>
  <c r="W94" i="2"/>
  <c r="X94" i="2" s="1"/>
  <c r="W93" i="2"/>
  <c r="X93" i="2" s="1"/>
  <c r="W92" i="2"/>
  <c r="X92" i="2" s="1"/>
  <c r="W91" i="2"/>
  <c r="X91" i="2" s="1"/>
  <c r="W90" i="2"/>
  <c r="X90" i="2" s="1"/>
  <c r="W89" i="2"/>
  <c r="X89" i="2" s="1"/>
  <c r="W88" i="2"/>
  <c r="X88" i="2" s="1"/>
  <c r="W87" i="2"/>
  <c r="X87" i="2" s="1"/>
  <c r="W86" i="2"/>
  <c r="X86" i="2" s="1"/>
  <c r="W85" i="2"/>
  <c r="X85" i="2" s="1"/>
  <c r="W84" i="2"/>
  <c r="X84" i="2" s="1"/>
  <c r="W83" i="2"/>
  <c r="X83" i="2" s="1"/>
  <c r="W82" i="2"/>
  <c r="W81" i="2"/>
  <c r="X81" i="2" s="1"/>
  <c r="W80" i="2"/>
  <c r="X80" i="2" s="1"/>
  <c r="W79" i="2"/>
  <c r="X79" i="2" s="1"/>
  <c r="W78" i="2"/>
  <c r="X78" i="2" s="1"/>
  <c r="W77" i="2"/>
  <c r="X77" i="2" s="1"/>
  <c r="W76" i="2"/>
  <c r="X76" i="2" s="1"/>
  <c r="W75" i="2"/>
  <c r="X75" i="2" s="1"/>
  <c r="W74" i="2"/>
  <c r="X74" i="2" s="1"/>
  <c r="W73" i="2"/>
  <c r="X73" i="2" s="1"/>
  <c r="W72" i="2"/>
  <c r="X72" i="2" s="1"/>
  <c r="W71" i="2"/>
  <c r="X71" i="2" s="1"/>
  <c r="W70" i="2"/>
  <c r="X70" i="2" s="1"/>
  <c r="W69" i="2"/>
  <c r="X69" i="2" s="1"/>
  <c r="W68" i="2"/>
  <c r="X68" i="2" s="1"/>
  <c r="W67" i="2"/>
  <c r="X67" i="2" s="1"/>
  <c r="W66" i="2"/>
  <c r="X66" i="2" s="1"/>
  <c r="W65" i="2"/>
  <c r="X65" i="2" s="1"/>
  <c r="W64" i="2"/>
  <c r="X64" i="2" s="1"/>
  <c r="W63" i="2"/>
  <c r="X63" i="2" s="1"/>
  <c r="W62" i="2"/>
  <c r="X62" i="2" s="1"/>
  <c r="W61" i="2"/>
  <c r="W60" i="2"/>
  <c r="X60" i="2" s="1"/>
  <c r="E33" i="2" l="1"/>
  <c r="J33" i="2" s="1"/>
  <c r="P45" i="10" s="1"/>
  <c r="R45" i="10" s="1"/>
  <c r="J53" i="1"/>
  <c r="F42" i="6"/>
  <c r="E78" i="6"/>
  <c r="I4" i="10"/>
  <c r="E78" i="10"/>
  <c r="E46" i="6"/>
  <c r="E42" i="6"/>
  <c r="E41" i="6"/>
  <c r="J48" i="1"/>
  <c r="Q10" i="10" s="1"/>
  <c r="F41" i="6"/>
  <c r="F48" i="6"/>
  <c r="J55" i="1"/>
  <c r="Q17" i="10" s="1"/>
  <c r="J49" i="1"/>
  <c r="Q11" i="10" s="1"/>
  <c r="E40" i="6"/>
  <c r="E44" i="6"/>
  <c r="J51" i="1"/>
  <c r="Q13" i="10" s="1"/>
  <c r="Q15" i="10"/>
  <c r="E47" i="6"/>
  <c r="J54" i="1"/>
  <c r="Q16" i="10" s="1"/>
  <c r="E48" i="6"/>
  <c r="E39" i="6"/>
  <c r="F39" i="6"/>
  <c r="J46" i="1"/>
  <c r="Q8" i="10" s="1"/>
  <c r="J47" i="1"/>
  <c r="Q9" i="10" s="1"/>
  <c r="E14" i="2"/>
  <c r="J14" i="2" s="1"/>
  <c r="O45" i="10" s="1"/>
  <c r="Q45" i="10" s="1"/>
  <c r="E47" i="1"/>
  <c r="E51" i="1"/>
  <c r="E54" i="1"/>
  <c r="E55" i="1"/>
  <c r="E46" i="1"/>
  <c r="E53" i="1"/>
  <c r="E49" i="1"/>
  <c r="E48" i="1"/>
  <c r="D33" i="2"/>
  <c r="D25" i="2"/>
  <c r="D14" i="2"/>
  <c r="E25" i="2"/>
  <c r="J25" i="2" s="1"/>
  <c r="P37" i="10" s="1"/>
  <c r="R37" i="10" s="1"/>
  <c r="X82" i="2"/>
  <c r="E26" i="2" s="1"/>
  <c r="J26" i="2" s="1"/>
  <c r="P38" i="10" s="1"/>
  <c r="R38" i="10" s="1"/>
  <c r="D26" i="2"/>
  <c r="X61" i="2"/>
  <c r="E24" i="2" s="1"/>
  <c r="J24" i="2" s="1"/>
  <c r="P36" i="10" s="1"/>
  <c r="R36" i="10" s="1"/>
  <c r="D24" i="2"/>
  <c r="D31" i="2"/>
  <c r="C45" i="4"/>
  <c r="C44" i="4"/>
  <c r="P45" i="6" l="1"/>
  <c r="R8" i="10"/>
  <c r="R16" i="10"/>
  <c r="R15" i="10"/>
  <c r="R11" i="10"/>
  <c r="R10" i="10"/>
  <c r="R9" i="10"/>
  <c r="R13" i="10"/>
  <c r="R17" i="10"/>
  <c r="J45" i="2"/>
  <c r="Q7" i="10" s="1"/>
  <c r="P38" i="6"/>
  <c r="Q8" i="6"/>
  <c r="O45" i="6"/>
  <c r="J52" i="2"/>
  <c r="Q14" i="10" s="1"/>
  <c r="Q15" i="6"/>
  <c r="Q17" i="6"/>
  <c r="Q10" i="6"/>
  <c r="J43" i="2"/>
  <c r="Q5" i="10" s="1"/>
  <c r="P36" i="6"/>
  <c r="Q9" i="6"/>
  <c r="Q16" i="6"/>
  <c r="Q13" i="6"/>
  <c r="P37" i="6"/>
  <c r="J44" i="2"/>
  <c r="Q6" i="10" s="1"/>
  <c r="Q11" i="6"/>
  <c r="C32" i="4"/>
  <c r="C31" i="4"/>
  <c r="C19" i="4"/>
  <c r="C18" i="4"/>
  <c r="R5" i="10" l="1"/>
  <c r="R14" i="10"/>
  <c r="R7" i="10"/>
  <c r="R6" i="10"/>
  <c r="Q14" i="6"/>
  <c r="Q5" i="6"/>
  <c r="Q6" i="6"/>
  <c r="Q7" i="6"/>
  <c r="C43" i="4"/>
  <c r="F37" i="2"/>
  <c r="F23" i="2"/>
  <c r="C46" i="4" l="1"/>
  <c r="C30" i="4" l="1"/>
  <c r="C33" i="4" l="1"/>
  <c r="C17" i="4" l="1"/>
  <c r="C20" i="4"/>
  <c r="D10" i="4" l="1"/>
  <c r="D9" i="4"/>
  <c r="K8" i="4"/>
  <c r="J8" i="4"/>
  <c r="C5" i="4"/>
  <c r="C4" i="4"/>
  <c r="J10" i="4" l="1"/>
  <c r="K10" i="4"/>
  <c r="J9" i="4"/>
  <c r="K9" i="4"/>
  <c r="H10" i="4" l="1"/>
  <c r="H9" i="4" l="1"/>
  <c r="F10" i="4"/>
  <c r="E9" i="4" l="1"/>
  <c r="G10" i="4"/>
  <c r="E10" i="4"/>
  <c r="I10" i="4" s="1"/>
  <c r="F9" i="4" l="1"/>
  <c r="G9" i="4"/>
  <c r="C3" i="4" s="1"/>
  <c r="C6" i="4" l="1"/>
  <c r="I9" i="4"/>
  <c r="F18" i="2" l="1"/>
  <c r="F4" i="2"/>
  <c r="M55" i="1" l="1"/>
  <c r="L55" i="1"/>
  <c r="M54" i="1"/>
  <c r="L54" i="1"/>
  <c r="M53" i="1"/>
  <c r="L53" i="1"/>
  <c r="M52" i="1"/>
  <c r="L52" i="1"/>
  <c r="M51" i="1"/>
  <c r="L51" i="1"/>
  <c r="E88" i="6" l="1"/>
  <c r="I14" i="10"/>
  <c r="E88" i="10"/>
  <c r="F88" i="6"/>
  <c r="F88" i="10"/>
  <c r="F90" i="6"/>
  <c r="F90" i="10"/>
  <c r="E90" i="6"/>
  <c r="E90" i="10"/>
  <c r="I16" i="10"/>
  <c r="E87" i="6"/>
  <c r="E87" i="10"/>
  <c r="I13" i="10"/>
  <c r="E89" i="6"/>
  <c r="E89" i="10"/>
  <c r="I15" i="10"/>
  <c r="E91" i="6"/>
  <c r="E91" i="10"/>
  <c r="I17" i="10"/>
  <c r="F87" i="6"/>
  <c r="F87" i="10"/>
  <c r="F89" i="6"/>
  <c r="F89" i="10"/>
  <c r="F91" i="6"/>
  <c r="F91" i="10"/>
  <c r="H44" i="6"/>
  <c r="I14" i="6"/>
  <c r="Q45" i="6"/>
  <c r="Q44" i="6"/>
  <c r="Q48" i="6"/>
  <c r="I13" i="6"/>
  <c r="I15" i="6"/>
  <c r="Q47" i="6"/>
  <c r="Q46" i="6"/>
  <c r="R45" i="6"/>
  <c r="G34" i="2"/>
  <c r="K34" i="2" s="1"/>
  <c r="E51" i="2"/>
  <c r="D54" i="2"/>
  <c r="D16" i="10" s="1"/>
  <c r="E55" i="2"/>
  <c r="D53" i="2"/>
  <c r="D15" i="10" s="1"/>
  <c r="E54" i="2"/>
  <c r="R47" i="6"/>
  <c r="D52" i="2"/>
  <c r="D14" i="10" s="1"/>
  <c r="R44" i="6"/>
  <c r="R46" i="6"/>
  <c r="R48" i="6"/>
  <c r="H46" i="6"/>
  <c r="H47" i="6"/>
  <c r="G45" i="6"/>
  <c r="H45" i="6"/>
  <c r="H48" i="6"/>
  <c r="G46" i="6"/>
  <c r="I16" i="6"/>
  <c r="I17" i="6"/>
  <c r="D51" i="2"/>
  <c r="D13" i="10" s="1"/>
  <c r="E52" i="2"/>
  <c r="D55" i="2"/>
  <c r="D17" i="10" s="1"/>
  <c r="E53" i="2"/>
  <c r="H35" i="2"/>
  <c r="H15" i="2"/>
  <c r="H33" i="2"/>
  <c r="H36" i="2"/>
  <c r="H32" i="2"/>
  <c r="G35" i="2"/>
  <c r="K35" i="2" s="1"/>
  <c r="H34" i="2"/>
  <c r="G32" i="2"/>
  <c r="G36" i="2"/>
  <c r="K36" i="2" s="1"/>
  <c r="G33" i="2"/>
  <c r="H16" i="2"/>
  <c r="G14" i="2"/>
  <c r="H17" i="2"/>
  <c r="G15" i="2"/>
  <c r="K15" i="2" s="1"/>
  <c r="H13" i="2"/>
  <c r="H14" i="2"/>
  <c r="G16" i="2"/>
  <c r="K16" i="2" s="1"/>
  <c r="G13" i="2"/>
  <c r="K13" i="2" s="1"/>
  <c r="G17" i="2"/>
  <c r="K17" i="2" s="1"/>
  <c r="G35" i="1"/>
  <c r="H15" i="1"/>
  <c r="H33" i="1"/>
  <c r="G34" i="1"/>
  <c r="H32" i="1"/>
  <c r="H34" i="1"/>
  <c r="H35" i="1"/>
  <c r="H36" i="1"/>
  <c r="G36" i="1"/>
  <c r="G32" i="1"/>
  <c r="K32" i="1" s="1"/>
  <c r="G33" i="1"/>
  <c r="K33" i="1" s="1"/>
  <c r="H16" i="1"/>
  <c r="H14" i="1"/>
  <c r="G14" i="1"/>
  <c r="K14" i="1" s="1"/>
  <c r="G15" i="1"/>
  <c r="G16" i="1"/>
  <c r="E14" i="10" l="1"/>
  <c r="G14" i="10" s="1"/>
  <c r="E17" i="10"/>
  <c r="H17" i="10" s="1"/>
  <c r="E16" i="10"/>
  <c r="G16" i="10" s="1"/>
  <c r="E13" i="10"/>
  <c r="G13" i="10" s="1"/>
  <c r="E15" i="10"/>
  <c r="M56" i="2"/>
  <c r="M55" i="2"/>
  <c r="M52" i="2"/>
  <c r="M54" i="2"/>
  <c r="M53" i="2"/>
  <c r="D15" i="6"/>
  <c r="H53" i="1"/>
  <c r="E14" i="6"/>
  <c r="H53" i="2"/>
  <c r="D14" i="6"/>
  <c r="H55" i="2"/>
  <c r="H52" i="2"/>
  <c r="H51" i="2"/>
  <c r="H54" i="2"/>
  <c r="D16" i="6"/>
  <c r="H52" i="1"/>
  <c r="H54" i="1"/>
  <c r="H16" i="10" l="1"/>
  <c r="H14" i="10"/>
  <c r="H13" i="10"/>
  <c r="G17" i="10"/>
  <c r="H15" i="6"/>
  <c r="G15" i="10"/>
  <c r="H15" i="10"/>
  <c r="P89" i="6"/>
  <c r="P89" i="10"/>
  <c r="J15" i="10"/>
  <c r="P91" i="6"/>
  <c r="P91" i="10"/>
  <c r="J17" i="10"/>
  <c r="P90" i="6"/>
  <c r="P90" i="10"/>
  <c r="J16" i="10"/>
  <c r="P88" i="6"/>
  <c r="P88" i="10"/>
  <c r="J14" i="10"/>
  <c r="J16" i="6"/>
  <c r="J14" i="6"/>
  <c r="J15" i="6"/>
  <c r="J17" i="6"/>
  <c r="H14" i="6"/>
  <c r="H16" i="6"/>
  <c r="E23" i="2" l="1"/>
  <c r="J23" i="2" s="1"/>
  <c r="P35" i="10" s="1"/>
  <c r="R35" i="10" s="1"/>
  <c r="D23" i="2"/>
  <c r="D4" i="2"/>
  <c r="E4" i="2"/>
  <c r="J4" i="2" s="1"/>
  <c r="O35" i="10" s="1"/>
  <c r="Q35" i="10" s="1"/>
  <c r="E18" i="2"/>
  <c r="P30" i="10" s="1"/>
  <c r="D18" i="2"/>
  <c r="O30" i="10" s="1"/>
  <c r="Q30" i="10" s="1"/>
  <c r="R30" i="10" l="1"/>
  <c r="J18" i="2"/>
  <c r="O35" i="6"/>
  <c r="P35" i="6"/>
  <c r="J42" i="2"/>
  <c r="J37" i="2"/>
  <c r="Q39" i="6"/>
  <c r="R38" i="6"/>
  <c r="R42" i="6"/>
  <c r="Q42" i="6"/>
  <c r="R37" i="6"/>
  <c r="R41" i="6"/>
  <c r="Q37" i="6"/>
  <c r="Q41" i="6"/>
  <c r="Q36" i="6"/>
  <c r="R36" i="6"/>
  <c r="R40" i="6"/>
  <c r="Q40" i="6"/>
  <c r="R39" i="6"/>
  <c r="J56" i="2" l="1"/>
  <c r="Q43" i="6"/>
  <c r="Q38" i="6"/>
  <c r="P19" i="2" l="1"/>
  <c r="P17" i="2"/>
  <c r="P19" i="1"/>
  <c r="P17" i="1"/>
  <c r="G43" i="6" l="1"/>
  <c r="G38" i="6"/>
  <c r="K8" i="5" l="1"/>
  <c r="J8" i="5"/>
  <c r="E4" i="1" l="1"/>
  <c r="J4" i="1" s="1"/>
  <c r="E35" i="10" s="1"/>
  <c r="G35" i="10" s="1"/>
  <c r="J18" i="1" l="1"/>
  <c r="E35" i="6"/>
  <c r="D10" i="5"/>
  <c r="D9" i="5"/>
  <c r="G10" i="5" l="1"/>
  <c r="H10" i="5"/>
  <c r="J10" i="5"/>
  <c r="K10" i="5"/>
  <c r="E9" i="5"/>
  <c r="G9" i="5"/>
  <c r="F9" i="5"/>
  <c r="H9" i="5"/>
  <c r="J9" i="5"/>
  <c r="K9" i="5"/>
  <c r="G36" i="6" l="1"/>
  <c r="E10" i="5" l="1"/>
  <c r="E37" i="2" l="1"/>
  <c r="P31" i="10" s="1"/>
  <c r="D37" i="2"/>
  <c r="O31" i="10" s="1"/>
  <c r="Q31" i="10" s="1"/>
  <c r="D13" i="6"/>
  <c r="R31" i="10" l="1"/>
  <c r="F10" i="5"/>
  <c r="C6" i="5" s="1"/>
  <c r="R43" i="6" l="1"/>
  <c r="G48" i="6" l="1"/>
  <c r="G37" i="6"/>
  <c r="E13" i="6"/>
  <c r="G44" i="6"/>
  <c r="G47" i="6"/>
  <c r="H13" i="1"/>
  <c r="G13" i="1"/>
  <c r="H13" i="6" l="1"/>
  <c r="G40" i="6"/>
  <c r="G39" i="6"/>
  <c r="G41" i="6"/>
  <c r="G42" i="6"/>
  <c r="H51" i="1"/>
  <c r="C5" i="5" l="1"/>
  <c r="C4" i="5"/>
  <c r="I9" i="5" l="1"/>
  <c r="D4" i="1" l="1"/>
  <c r="L25" i="6" l="1"/>
  <c r="L23" i="6"/>
  <c r="M43" i="1"/>
  <c r="F79" i="6" l="1"/>
  <c r="F79" i="10"/>
  <c r="M50" i="1"/>
  <c r="M49" i="1"/>
  <c r="M48" i="1"/>
  <c r="M47" i="1"/>
  <c r="M46" i="1"/>
  <c r="M45" i="1"/>
  <c r="M44" i="1"/>
  <c r="M42" i="1"/>
  <c r="L43" i="1"/>
  <c r="L44" i="1"/>
  <c r="L45" i="1"/>
  <c r="L46" i="1"/>
  <c r="L47" i="1"/>
  <c r="L48" i="1"/>
  <c r="L49" i="1"/>
  <c r="L50" i="1"/>
  <c r="R35" i="6"/>
  <c r="F82" i="6" l="1"/>
  <c r="F82" i="10"/>
  <c r="F78" i="6"/>
  <c r="J4" i="10"/>
  <c r="F78" i="10"/>
  <c r="F83" i="6"/>
  <c r="F83" i="10"/>
  <c r="E79" i="6"/>
  <c r="E79" i="10"/>
  <c r="I5" i="10"/>
  <c r="E86" i="6"/>
  <c r="E86" i="10"/>
  <c r="I12" i="10"/>
  <c r="E85" i="6"/>
  <c r="E85" i="10"/>
  <c r="I11" i="10"/>
  <c r="E81" i="6"/>
  <c r="E81" i="10"/>
  <c r="I7" i="10"/>
  <c r="F80" i="6"/>
  <c r="F80" i="10"/>
  <c r="F84" i="6"/>
  <c r="F84" i="10"/>
  <c r="E83" i="6"/>
  <c r="E83" i="10"/>
  <c r="I9" i="10"/>
  <c r="F86" i="6"/>
  <c r="F86" i="10"/>
  <c r="E82" i="6"/>
  <c r="E82" i="10"/>
  <c r="I8" i="10"/>
  <c r="E84" i="6"/>
  <c r="I10" i="10"/>
  <c r="E84" i="10"/>
  <c r="E80" i="6"/>
  <c r="I6" i="10"/>
  <c r="E80" i="10"/>
  <c r="F81" i="6"/>
  <c r="F81" i="10"/>
  <c r="F85" i="6"/>
  <c r="F85" i="10"/>
  <c r="I12" i="6"/>
  <c r="I11" i="6"/>
  <c r="I9" i="6"/>
  <c r="I5" i="6"/>
  <c r="I7" i="6"/>
  <c r="I8" i="6"/>
  <c r="I6" i="6"/>
  <c r="I10" i="6"/>
  <c r="Q35" i="6"/>
  <c r="D42" i="2"/>
  <c r="D50" i="2"/>
  <c r="D12" i="10" s="1"/>
  <c r="I4" i="6"/>
  <c r="M56" i="1"/>
  <c r="L56" i="1"/>
  <c r="H31" i="2"/>
  <c r="D47" i="2"/>
  <c r="D9" i="10" s="1"/>
  <c r="G10" i="2"/>
  <c r="K10" i="2" s="1"/>
  <c r="H23" i="2"/>
  <c r="E43" i="2"/>
  <c r="D49" i="2"/>
  <c r="D11" i="10" s="1"/>
  <c r="G31" i="2"/>
  <c r="H6" i="2"/>
  <c r="G9" i="2"/>
  <c r="K9" i="2" s="1"/>
  <c r="G23" i="2"/>
  <c r="K23" i="2" s="1"/>
  <c r="G30" i="2"/>
  <c r="K30" i="2" s="1"/>
  <c r="G28" i="2"/>
  <c r="K28" i="2" s="1"/>
  <c r="O31" i="6"/>
  <c r="Q31" i="6" s="1"/>
  <c r="G27" i="2"/>
  <c r="D48" i="2"/>
  <c r="D10" i="10" s="1"/>
  <c r="D43" i="2"/>
  <c r="D5" i="10" s="1"/>
  <c r="G6" i="2"/>
  <c r="K6" i="2" s="1"/>
  <c r="H11" i="2"/>
  <c r="D44" i="2"/>
  <c r="D6" i="10" s="1"/>
  <c r="G11" i="2"/>
  <c r="K11" i="2" s="1"/>
  <c r="H27" i="2"/>
  <c r="E49" i="2"/>
  <c r="H10" i="2"/>
  <c r="G24" i="2"/>
  <c r="E47" i="2"/>
  <c r="H30" i="2"/>
  <c r="D46" i="2"/>
  <c r="D8" i="10" s="1"/>
  <c r="G5" i="2"/>
  <c r="K5" i="2" s="1"/>
  <c r="E48" i="2"/>
  <c r="H29" i="2"/>
  <c r="G29" i="2"/>
  <c r="K29" i="2" s="1"/>
  <c r="H8" i="2"/>
  <c r="G8" i="2"/>
  <c r="K8" i="2" s="1"/>
  <c r="E46" i="2"/>
  <c r="H9" i="2"/>
  <c r="E44" i="2"/>
  <c r="H25" i="2"/>
  <c r="G25" i="2"/>
  <c r="H5" i="2"/>
  <c r="O30" i="6"/>
  <c r="Q30" i="6" s="1"/>
  <c r="H24" i="2"/>
  <c r="H28" i="2"/>
  <c r="E10" i="10" l="1"/>
  <c r="G10" i="10" s="1"/>
  <c r="E9" i="10"/>
  <c r="G9" i="10" s="1"/>
  <c r="E5" i="10"/>
  <c r="H5" i="10" s="1"/>
  <c r="E6" i="10"/>
  <c r="G6" i="10" s="1"/>
  <c r="E8" i="10"/>
  <c r="G8" i="10" s="1"/>
  <c r="E11" i="10"/>
  <c r="G11" i="10" s="1"/>
  <c r="I18" i="10"/>
  <c r="M48" i="2"/>
  <c r="M51" i="2"/>
  <c r="M44" i="2"/>
  <c r="M43" i="2"/>
  <c r="M50" i="2"/>
  <c r="M47" i="2"/>
  <c r="M45" i="2"/>
  <c r="M49" i="2"/>
  <c r="J4" i="6"/>
  <c r="E45" i="2"/>
  <c r="E42" i="2"/>
  <c r="H42" i="2" s="1"/>
  <c r="G4" i="2"/>
  <c r="K4" i="2" s="1"/>
  <c r="H4" i="2"/>
  <c r="H12" i="2"/>
  <c r="E50" i="2"/>
  <c r="G12" i="2"/>
  <c r="K12" i="2" s="1"/>
  <c r="I18" i="6"/>
  <c r="H47" i="2"/>
  <c r="H49" i="2"/>
  <c r="H37" i="2"/>
  <c r="H43" i="2"/>
  <c r="D45" i="2"/>
  <c r="G18" i="2"/>
  <c r="P30" i="6"/>
  <c r="R30" i="6" s="1"/>
  <c r="G37" i="2"/>
  <c r="P31" i="6"/>
  <c r="R31" i="6" s="1"/>
  <c r="G7" i="2"/>
  <c r="K7" i="2" s="1"/>
  <c r="H7" i="2"/>
  <c r="H18" i="2"/>
  <c r="H44" i="2"/>
  <c r="H46" i="2"/>
  <c r="H48" i="2"/>
  <c r="H9" i="10" l="1"/>
  <c r="H11" i="10"/>
  <c r="H6" i="10"/>
  <c r="G5" i="10"/>
  <c r="H10" i="10"/>
  <c r="H8" i="10"/>
  <c r="E7" i="10"/>
  <c r="G7" i="10" s="1"/>
  <c r="M46" i="2"/>
  <c r="J8" i="6" s="1"/>
  <c r="D7" i="10"/>
  <c r="P86" i="6"/>
  <c r="P86" i="10"/>
  <c r="J12" i="10"/>
  <c r="P84" i="6"/>
  <c r="P84" i="10"/>
  <c r="J10" i="10"/>
  <c r="P87" i="6"/>
  <c r="P87" i="10"/>
  <c r="J13" i="10"/>
  <c r="P85" i="6"/>
  <c r="P85" i="10"/>
  <c r="J11" i="10"/>
  <c r="P79" i="6"/>
  <c r="P79" i="10"/>
  <c r="J5" i="10"/>
  <c r="P83" i="6"/>
  <c r="P83" i="10"/>
  <c r="J9" i="10"/>
  <c r="H50" i="2"/>
  <c r="E12" i="10"/>
  <c r="P81" i="6"/>
  <c r="P81" i="10"/>
  <c r="J7" i="10"/>
  <c r="P80" i="6"/>
  <c r="P80" i="10"/>
  <c r="J6" i="10"/>
  <c r="J10" i="6"/>
  <c r="J12" i="6"/>
  <c r="J13" i="6"/>
  <c r="J5" i="6"/>
  <c r="J9" i="6"/>
  <c r="J6" i="6"/>
  <c r="J11" i="6"/>
  <c r="D56" i="2"/>
  <c r="H26" i="2"/>
  <c r="G26" i="2"/>
  <c r="H45" i="2"/>
  <c r="E56" i="2"/>
  <c r="H7" i="10" l="1"/>
  <c r="G12" i="10"/>
  <c r="H12" i="10"/>
  <c r="P82" i="6"/>
  <c r="P82" i="10"/>
  <c r="J8" i="10"/>
  <c r="J18" i="10" s="1"/>
  <c r="J7" i="6"/>
  <c r="J18" i="6" s="1"/>
  <c r="H56" i="2"/>
  <c r="D18" i="1"/>
  <c r="E30" i="10" s="1"/>
  <c r="G30" i="10" s="1"/>
  <c r="H41" i="6" l="1"/>
  <c r="H40" i="6"/>
  <c r="H39" i="6"/>
  <c r="H43" i="6"/>
  <c r="H42" i="6"/>
  <c r="H8" i="1"/>
  <c r="G10" i="1"/>
  <c r="G29" i="1"/>
  <c r="D9" i="6"/>
  <c r="D8" i="6"/>
  <c r="E8" i="6"/>
  <c r="D11" i="6"/>
  <c r="H31" i="1"/>
  <c r="H10" i="1"/>
  <c r="G11" i="1"/>
  <c r="H30" i="1"/>
  <c r="H29" i="1"/>
  <c r="D10" i="6"/>
  <c r="E10" i="6"/>
  <c r="H11" i="1"/>
  <c r="H28" i="1"/>
  <c r="H9" i="1"/>
  <c r="H27" i="1"/>
  <c r="G30" i="1"/>
  <c r="E9" i="6"/>
  <c r="G27" i="1"/>
  <c r="K27" i="1" s="1"/>
  <c r="G31" i="1"/>
  <c r="K31" i="1" s="1"/>
  <c r="G28" i="1"/>
  <c r="G8" i="1"/>
  <c r="G9" i="1"/>
  <c r="H9" i="6" l="1"/>
  <c r="H11" i="6"/>
  <c r="H10" i="6"/>
  <c r="H8" i="6"/>
  <c r="H46" i="1"/>
  <c r="H49" i="1"/>
  <c r="H47" i="1"/>
  <c r="H48" i="1"/>
  <c r="D12" i="6" l="1"/>
  <c r="D17" i="6" l="1"/>
  <c r="H17" i="6" s="1"/>
  <c r="H12" i="1"/>
  <c r="G12" i="1"/>
  <c r="K12" i="1" s="1"/>
  <c r="E12" i="6"/>
  <c r="H17" i="1"/>
  <c r="G17" i="1"/>
  <c r="R17" i="2"/>
  <c r="H12" i="6" l="1"/>
  <c r="H55" i="1"/>
  <c r="B26" i="6"/>
  <c r="R17" i="1"/>
  <c r="H50" i="1"/>
  <c r="N23" i="6"/>
  <c r="B24" i="6"/>
  <c r="P18" i="2" s="1"/>
  <c r="F18" i="6" l="1"/>
  <c r="K18" i="6" s="1"/>
  <c r="F15" i="6"/>
  <c r="F11" i="6"/>
  <c r="F7" i="6"/>
  <c r="R7" i="6" s="1"/>
  <c r="F14" i="6"/>
  <c r="F10" i="6"/>
  <c r="F6" i="6"/>
  <c r="R6" i="6" s="1"/>
  <c r="F16" i="6"/>
  <c r="F8" i="6"/>
  <c r="F4" i="6"/>
  <c r="F17" i="6"/>
  <c r="F13" i="6"/>
  <c r="F9" i="6"/>
  <c r="F5" i="6"/>
  <c r="R5" i="6" s="1"/>
  <c r="F12" i="6"/>
  <c r="P20" i="2"/>
  <c r="P20" i="1"/>
  <c r="L24" i="6"/>
  <c r="P18" i="1"/>
  <c r="L26" i="6"/>
  <c r="K32" i="2" l="1"/>
  <c r="F46" i="2"/>
  <c r="G46" i="2" s="1"/>
  <c r="F51" i="2"/>
  <c r="G51" i="2" s="1"/>
  <c r="K33" i="2"/>
  <c r="K27" i="2"/>
  <c r="K10" i="1"/>
  <c r="K35" i="1"/>
  <c r="K52" i="2"/>
  <c r="K48" i="2"/>
  <c r="K44" i="2"/>
  <c r="K24" i="2"/>
  <c r="K55" i="2"/>
  <c r="K51" i="2"/>
  <c r="K47" i="2"/>
  <c r="K43" i="2"/>
  <c r="K31" i="2"/>
  <c r="K54" i="2"/>
  <c r="K50" i="2"/>
  <c r="K46" i="2"/>
  <c r="K42" i="2"/>
  <c r="K26" i="2"/>
  <c r="K14" i="2"/>
  <c r="K18" i="2" s="1"/>
  <c r="K53" i="2"/>
  <c r="K49" i="2"/>
  <c r="K45" i="2"/>
  <c r="K25" i="2"/>
  <c r="K36" i="1"/>
  <c r="K9" i="1"/>
  <c r="K11" i="1"/>
  <c r="K15" i="1"/>
  <c r="K8" i="1"/>
  <c r="K16" i="1"/>
  <c r="K13" i="1"/>
  <c r="K17" i="1"/>
  <c r="K28" i="1"/>
  <c r="K30" i="1"/>
  <c r="K34" i="1"/>
  <c r="K29" i="1"/>
  <c r="K4" i="1"/>
  <c r="K52" i="1"/>
  <c r="K48" i="1"/>
  <c r="K44" i="1"/>
  <c r="K46" i="1"/>
  <c r="K53" i="1"/>
  <c r="K55" i="1"/>
  <c r="K51" i="1"/>
  <c r="K47" i="1"/>
  <c r="K43" i="1"/>
  <c r="K54" i="1"/>
  <c r="K50" i="1"/>
  <c r="K45" i="1"/>
  <c r="K49" i="1"/>
  <c r="G13" i="6"/>
  <c r="R13" i="6"/>
  <c r="G16" i="6"/>
  <c r="R16" i="6"/>
  <c r="G10" i="6"/>
  <c r="R10" i="6"/>
  <c r="G15" i="6"/>
  <c r="R15" i="6"/>
  <c r="G12" i="6"/>
  <c r="R12" i="6"/>
  <c r="G17" i="6"/>
  <c r="R17" i="6"/>
  <c r="G11" i="6"/>
  <c r="R11" i="6"/>
  <c r="G9" i="6"/>
  <c r="R9" i="6"/>
  <c r="G8" i="6"/>
  <c r="R8" i="6"/>
  <c r="G14" i="6"/>
  <c r="R14" i="6"/>
  <c r="F53" i="1"/>
  <c r="G53" i="1" s="1"/>
  <c r="F49" i="1"/>
  <c r="G49" i="1" s="1"/>
  <c r="F45" i="1"/>
  <c r="F54" i="1"/>
  <c r="G54" i="1" s="1"/>
  <c r="F50" i="1"/>
  <c r="G50" i="1" s="1"/>
  <c r="F46" i="1"/>
  <c r="G46" i="1" s="1"/>
  <c r="F55" i="1"/>
  <c r="G55" i="1" s="1"/>
  <c r="F51" i="1"/>
  <c r="G51" i="1" s="1"/>
  <c r="F47" i="1"/>
  <c r="G47" i="1" s="1"/>
  <c r="F43" i="1"/>
  <c r="F52" i="1"/>
  <c r="G52" i="1" s="1"/>
  <c r="F48" i="1"/>
  <c r="G48" i="1" s="1"/>
  <c r="F44" i="1"/>
  <c r="F56" i="2"/>
  <c r="G56" i="2" s="1"/>
  <c r="F43" i="2"/>
  <c r="G43" i="2" s="1"/>
  <c r="F49" i="2"/>
  <c r="G49" i="2" s="1"/>
  <c r="F53" i="2"/>
  <c r="G53" i="2" s="1"/>
  <c r="F47" i="2"/>
  <c r="G47" i="2" s="1"/>
  <c r="F55" i="2"/>
  <c r="G55" i="2" s="1"/>
  <c r="F54" i="2"/>
  <c r="G54" i="2" s="1"/>
  <c r="F44" i="2"/>
  <c r="G44" i="2" s="1"/>
  <c r="F45" i="2"/>
  <c r="G45" i="2" s="1"/>
  <c r="F50" i="2"/>
  <c r="G50" i="2" s="1"/>
  <c r="F52" i="2"/>
  <c r="G52" i="2" s="1"/>
  <c r="F48" i="2"/>
  <c r="G48" i="2" s="1"/>
  <c r="F42" i="2"/>
  <c r="G42" i="2" s="1"/>
  <c r="F56" i="1"/>
  <c r="F42" i="1"/>
  <c r="K37" i="2" l="1"/>
  <c r="K56" i="2"/>
  <c r="E30" i="6"/>
  <c r="E37" i="1"/>
  <c r="E18" i="1"/>
  <c r="D23" i="1"/>
  <c r="D37" i="1"/>
  <c r="E31" i="6" l="1"/>
  <c r="G31" i="6" s="1"/>
  <c r="E31" i="10"/>
  <c r="G31" i="10" s="1"/>
  <c r="F31" i="6"/>
  <c r="F31" i="10"/>
  <c r="F30" i="6"/>
  <c r="F30" i="10"/>
  <c r="H30" i="10" s="1"/>
  <c r="H37" i="6"/>
  <c r="G35" i="6"/>
  <c r="G30" i="6"/>
  <c r="D7" i="6"/>
  <c r="E6" i="6"/>
  <c r="G25" i="1"/>
  <c r="K25" i="1" s="1"/>
  <c r="H7" i="1"/>
  <c r="G7" i="1"/>
  <c r="K7" i="1" s="1"/>
  <c r="H25" i="1"/>
  <c r="D6" i="6"/>
  <c r="G5" i="1"/>
  <c r="K5" i="1" s="1"/>
  <c r="E23" i="1"/>
  <c r="J23" i="1" s="1"/>
  <c r="F35" i="10" s="1"/>
  <c r="H35" i="10" s="1"/>
  <c r="D5" i="6"/>
  <c r="D42" i="1"/>
  <c r="H37" i="1"/>
  <c r="G37" i="1"/>
  <c r="G4" i="1"/>
  <c r="H4" i="1"/>
  <c r="H5" i="1"/>
  <c r="G18" i="1"/>
  <c r="H18" i="1"/>
  <c r="G6" i="1"/>
  <c r="K6" i="1" s="1"/>
  <c r="H6" i="1"/>
  <c r="H31" i="10" l="1"/>
  <c r="D4" i="6"/>
  <c r="D18" i="6" s="1"/>
  <c r="D4" i="10"/>
  <c r="D18" i="10" s="1"/>
  <c r="K18" i="1"/>
  <c r="F35" i="6"/>
  <c r="H35" i="6" s="1"/>
  <c r="J37" i="1"/>
  <c r="J42" i="1"/>
  <c r="G6" i="6"/>
  <c r="H36" i="6"/>
  <c r="H38" i="6"/>
  <c r="H6" i="6"/>
  <c r="E42" i="1"/>
  <c r="G44" i="1"/>
  <c r="H30" i="6"/>
  <c r="H31" i="6"/>
  <c r="H44" i="1"/>
  <c r="H26" i="1"/>
  <c r="E7" i="6"/>
  <c r="G26" i="1"/>
  <c r="K26" i="1" s="1"/>
  <c r="H23" i="1"/>
  <c r="G23" i="1"/>
  <c r="K23" i="1" s="1"/>
  <c r="D56" i="1"/>
  <c r="H24" i="1"/>
  <c r="E5" i="6"/>
  <c r="G24" i="1"/>
  <c r="K24" i="1" s="1"/>
  <c r="E4" i="10" l="1"/>
  <c r="K42" i="1"/>
  <c r="K56" i="1" s="1"/>
  <c r="Q4" i="10"/>
  <c r="K37" i="1"/>
  <c r="J56" i="1"/>
  <c r="Q4" i="6"/>
  <c r="Q18" i="6" s="1"/>
  <c r="G7" i="6"/>
  <c r="H5" i="6"/>
  <c r="G5" i="6"/>
  <c r="H7" i="6"/>
  <c r="E56" i="1"/>
  <c r="H56" i="1" s="1"/>
  <c r="H42" i="1"/>
  <c r="H43" i="1"/>
  <c r="H45" i="1"/>
  <c r="G45" i="1"/>
  <c r="Q18" i="10" l="1"/>
  <c r="S4" i="10"/>
  <c r="R4" i="10"/>
  <c r="S12" i="10"/>
  <c r="S16" i="10"/>
  <c r="S9" i="10"/>
  <c r="S17" i="10"/>
  <c r="S8" i="10"/>
  <c r="S11" i="10"/>
  <c r="S13" i="10"/>
  <c r="S15" i="10"/>
  <c r="S10" i="10"/>
  <c r="S14" i="10"/>
  <c r="S6" i="10"/>
  <c r="S5" i="10"/>
  <c r="S7" i="10"/>
  <c r="G4" i="10"/>
  <c r="E18" i="10"/>
  <c r="H4" i="10"/>
  <c r="R4" i="6"/>
  <c r="R18" i="6" s="1"/>
  <c r="S4" i="6"/>
  <c r="S12" i="6"/>
  <c r="S9" i="6"/>
  <c r="S13" i="6"/>
  <c r="S10" i="6"/>
  <c r="S11" i="6"/>
  <c r="S16" i="6"/>
  <c r="S8" i="6"/>
  <c r="S17" i="6"/>
  <c r="S15" i="6"/>
  <c r="S5" i="6"/>
  <c r="S7" i="6"/>
  <c r="S14" i="6"/>
  <c r="S6" i="6"/>
  <c r="H4" i="6"/>
  <c r="E18" i="6"/>
  <c r="L18" i="6" s="1"/>
  <c r="N18" i="6" s="1"/>
  <c r="G4" i="6"/>
  <c r="G43" i="1"/>
  <c r="G56" i="1"/>
  <c r="G42" i="1"/>
  <c r="R18" i="10" l="1"/>
  <c r="T4" i="10"/>
  <c r="T12" i="10"/>
  <c r="T13" i="10"/>
  <c r="T11" i="10"/>
  <c r="T16" i="10"/>
  <c r="T8" i="10"/>
  <c r="T9" i="10"/>
  <c r="T15" i="10"/>
  <c r="T17" i="10"/>
  <c r="T10" i="10"/>
  <c r="T5" i="10"/>
  <c r="T14" i="10"/>
  <c r="T7" i="10"/>
  <c r="T6" i="10"/>
  <c r="L18" i="10"/>
  <c r="N18" i="10" s="1"/>
  <c r="H18" i="10"/>
  <c r="G18" i="10"/>
  <c r="T4" i="6"/>
  <c r="T6" i="6"/>
  <c r="T7" i="6"/>
  <c r="T5" i="6"/>
  <c r="T15" i="6"/>
  <c r="T12" i="6"/>
  <c r="T17" i="6"/>
  <c r="T8" i="6"/>
  <c r="T16" i="6"/>
  <c r="T13" i="6"/>
  <c r="T14" i="6"/>
  <c r="T11" i="6"/>
  <c r="T10" i="6"/>
  <c r="T9" i="6"/>
  <c r="G18" i="6"/>
  <c r="H18" i="6"/>
  <c r="I10" i="5"/>
  <c r="C3" i="5"/>
</calcChain>
</file>

<file path=xl/comments1.xml><?xml version="1.0" encoding="utf-8"?>
<comments xmlns="http://schemas.openxmlformats.org/spreadsheetml/2006/main">
  <authors>
    <author>EXTERNAL Nguyen Tuan Duong (Ban Vien, RBVH/EPS45)</author>
    <author>EXTERNAL Nguyen Trung Hieu (Ban Vien, RBVH/EPS45)</author>
  </authors>
  <commentList>
    <comment ref="W32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2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W33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U33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W33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U33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W33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W33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Tester check ELOCs again and double effor
</t>
        </r>
      </text>
    </comment>
    <comment ref="N339" authorId="1" shapeId="0">
      <text>
        <r>
          <rPr>
            <b/>
            <sz val="9"/>
            <color indexed="81"/>
            <rFont val="Tahoma"/>
            <family val="2"/>
          </rPr>
          <t>EXTERNAL Nguyen Trung Hieu (Ban Vien, RBVH/EPS45):</t>
        </r>
        <r>
          <rPr>
            <sz val="9"/>
            <color indexed="81"/>
            <rFont val="Tahoma"/>
            <family val="2"/>
          </rPr>
          <t xml:space="preserve">
Wrong database -&gt; Hai confirm -&gt; Updated
</t>
        </r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New database
</t>
        </r>
      </text>
    </comment>
    <comment ref="W33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Double effort
</t>
        </r>
      </text>
    </comment>
    <comment ref="U36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36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1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2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3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4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5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6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7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8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09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  <comment ref="U410" authorId="0" shapeId="0">
      <text>
        <r>
          <rPr>
            <b/>
            <sz val="9"/>
            <color indexed="81"/>
            <rFont val="Tahoma"/>
            <family val="2"/>
          </rPr>
          <t>EXTERNAL Nguyen Tuan Duong (Ban Vien, RBVH/EPS45):</t>
        </r>
        <r>
          <rPr>
            <sz val="9"/>
            <color indexed="81"/>
            <rFont val="Tahoma"/>
            <family val="2"/>
          </rPr>
          <t xml:space="preserve">
Don't have effort to re-check
</t>
        </r>
      </text>
    </comment>
  </commentList>
</comments>
</file>

<file path=xl/sharedStrings.xml><?xml version="1.0" encoding="utf-8"?>
<sst xmlns="http://schemas.openxmlformats.org/spreadsheetml/2006/main" count="13154" uniqueCount="1808">
  <si>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</si>
  <si>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</si>
  <si>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</si>
  <si>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</si>
  <si>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</si>
  <si>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</si>
  <si>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</si>
  <si>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</si>
  <si>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</si>
  <si>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</si>
  <si>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</si>
  <si>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</si>
  <si>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</si>
  <si>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</si>
  <si>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</si>
  <si>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</si>
  <si>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</si>
  <si>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</si>
  <si>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</si>
  <si>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</si>
  <si>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</si>
  <si>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</si>
  <si>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</si>
  <si>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</si>
  <si>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</si>
  <si>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</si>
  <si>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</si>
  <si>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</si>
  <si>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</si>
  <si>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</si>
  <si>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</si>
  <si>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</si>
  <si>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</si>
  <si>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</si>
  <si>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3. Risks/ Pending Issues:</t>
  </si>
  <si>
    <t>Risks/ Issues</t>
  </si>
  <si>
    <t>Num of Day</t>
  </si>
  <si>
    <t>Detail</t>
  </si>
  <si>
    <t>Date</t>
  </si>
  <si>
    <t>Note:</t>
  </si>
  <si>
    <t>PSW: 450 ELOCs</t>
  </si>
  <si>
    <t>Productivity of each Member per Day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</si>
  <si>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</si>
  <si>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</si>
  <si>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</si>
  <si>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</si>
  <si>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</si>
  <si>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</si>
  <si>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</si>
  <si>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</si>
  <si>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</si>
  <si>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</si>
  <si>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</si>
  <si>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</si>
  <si>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</si>
  <si>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</si>
  <si>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</si>
  <si>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</si>
  <si>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</si>
  <si>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</si>
  <si>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</si>
  <si>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</si>
  <si>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</si>
  <si>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</si>
  <si>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</si>
  <si>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</si>
  <si>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</si>
  <si>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</si>
  <si>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</si>
  <si>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</si>
  <si>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</si>
  <si>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</si>
  <si>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</si>
  <si>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</si>
  <si>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</si>
  <si>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</si>
  <si>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</si>
  <si>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</si>
  <si>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</si>
  <si>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</si>
  <si>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</si>
  <si>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</si>
  <si>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</si>
  <si>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</si>
  <si>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</si>
  <si>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</si>
  <si>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</si>
  <si>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</si>
  <si>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</si>
  <si>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</si>
  <si>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</si>
  <si>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</si>
  <si>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</si>
  <si>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</si>
  <si>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</si>
  <si>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</si>
  <si>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</si>
  <si>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</si>
  <si>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</si>
  <si>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</si>
  <si>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</si>
  <si>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</si>
  <si>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</si>
  <si>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</si>
  <si>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</si>
  <si>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</si>
  <si>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</si>
  <si>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</si>
  <si>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</si>
  <si>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</si>
  <si>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</si>
  <si>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</si>
  <si>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</si>
  <si>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</si>
  <si>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17h00</t>
  </si>
  <si>
    <t>Time</t>
  </si>
  <si>
    <t>days</t>
  </si>
  <si>
    <t>Assigned
ELOCs</t>
  </si>
  <si>
    <t>Completed
ELOCs</t>
  </si>
  <si>
    <t>Effort
(days)</t>
  </si>
  <si>
    <t>Actual Effort
(days)</t>
  </si>
  <si>
    <t>Brief Description:</t>
  </si>
  <si>
    <t>Duration (Plan)</t>
  </si>
  <si>
    <t>Duration (Actual)</t>
  </si>
  <si>
    <t>- No comment</t>
  </si>
  <si>
    <t>Actual Effort (days)</t>
  </si>
  <si>
    <t>Num of OPLs</t>
  </si>
  <si>
    <t>Num of Defects</t>
  </si>
  <si>
    <t>Effort PSW (days)</t>
  </si>
  <si>
    <t>Effort ASW
(days)</t>
  </si>
  <si>
    <t>T503</t>
  </si>
  <si>
    <t>Holidays</t>
  </si>
  <si>
    <t>Reason for Fail Testcase</t>
  </si>
  <si>
    <t>Reason For code coverage</t>
  </si>
  <si>
    <t>OPL</t>
  </si>
  <si>
    <t>Summary</t>
  </si>
  <si>
    <t>huy.do-anh</t>
  </si>
  <si>
    <t>phuong.nguyen-thanh</t>
  </si>
  <si>
    <t>TaskID</t>
  </si>
  <si>
    <t>Type of Comment</t>
  </si>
  <si>
    <t>OPL/Defect</t>
  </si>
  <si>
    <t>Baseline</t>
  </si>
  <si>
    <t>Type of OPL/Defect</t>
  </si>
  <si>
    <t>Defect</t>
  </si>
  <si>
    <t>None</t>
  </si>
  <si>
    <t>10h00</t>
  </si>
  <si>
    <t>RBVAR_VarCode_PROJECT.c</t>
  </si>
  <si>
    <t>rba_BldrCmp_Cfg_FlashIf.c</t>
  </si>
  <si>
    <t>rba_BldrCmp_Cfg_SecA.c</t>
  </si>
  <si>
    <t>rba_BldrCmp_Cfg_CheckMem.c</t>
  </si>
  <si>
    <t>Nguyen Thanh Phuong</t>
  </si>
  <si>
    <t>Do Anh Huy</t>
  </si>
  <si>
    <t>RBVAR_OutputDriver_PROJECT.c</t>
  </si>
  <si>
    <t>Release Date</t>
  </si>
  <si>
    <t>JOEM</t>
  </si>
  <si>
    <t>COEM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</si>
  <si>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</si>
  <si>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</si>
  <si>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</si>
  <si>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</si>
  <si>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</si>
  <si>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</si>
  <si>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</si>
  <si>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Team size</t>
  </si>
  <si>
    <t>OK</t>
  </si>
  <si>
    <t>NG</t>
  </si>
  <si>
    <t>Team:</t>
  </si>
  <si>
    <t>1. Completed ELOCs of the team from the beginning of Month till Now:</t>
  </si>
  <si>
    <t>2. Completed ELOCs of each member from the beginning of Month till Now:</t>
  </si>
  <si>
    <t>4. Found Defects/ OPLs in Month:</t>
  </si>
  <si>
    <t>5. Leave Plan:</t>
  </si>
  <si>
    <t>Refer</t>
  </si>
  <si>
    <t>No function to test</t>
  </si>
  <si>
    <t>RBAPLCUST_RBDI_NVMData.c</t>
  </si>
  <si>
    <t>NET_MonitoringClasses_F30.c</t>
  </si>
  <si>
    <t>RBPduHandler_Callouts.c</t>
  </si>
  <si>
    <t>EXTERNAL Do Anh Huy (Ban Vien, RBVH/EPS45)</t>
  </si>
  <si>
    <t>RBA_NDS_SystemInfo.c</t>
  </si>
  <si>
    <t>SAS_LWS_Standard.c</t>
  </si>
  <si>
    <t>11h00</t>
  </si>
  <si>
    <t>RBAPLCUST_DiagnosticSessionControl.c</t>
  </si>
  <si>
    <t>RBA_NDS_YAWRATE_Callout.c</t>
  </si>
  <si>
    <t>RBHMI_ConfigOutputDriver_PRJ.c</t>
  </si>
  <si>
    <t>RBAPLCUST_RDBI_IOCtrlState.c</t>
  </si>
  <si>
    <t>ComScl_Scl_Complex_proc.c</t>
  </si>
  <si>
    <t>GWM_AB30_CP_Int</t>
  </si>
  <si>
    <t>LI Chengcheng (CC-AS/EVA-SW33-CN)</t>
  </si>
  <si>
    <t>HU Evan (CC-AS/EVA-SW33-CN)</t>
  </si>
  <si>
    <t>LIANG Xin (CC-AS/EVA-SW33-CN)</t>
  </si>
  <si>
    <t>NET_SCL_Rx_EngineTorque.c</t>
  </si>
  <si>
    <t>NET_SCL_Rx_Yrs.c</t>
  </si>
  <si>
    <t>NET_SCL_Tx_AxelSplit.c</t>
  </si>
  <si>
    <t>FAW_MainPath_V2.0_Int</t>
  </si>
  <si>
    <t>LIU Felix (CC-AS/EVA-SW33-CN)</t>
  </si>
  <si>
    <t>NET_SCL_Tx_AxExport.c</t>
  </si>
  <si>
    <t>NET_SCL_Tx_AyExport.c</t>
  </si>
  <si>
    <t>NET_SCL_Tx_YrsExport.c</t>
  </si>
  <si>
    <t>RBA_NDS_Engine_Callout.c</t>
  </si>
  <si>
    <t>HUANG Kaibing (CC-AS/ESW2-CN)</t>
  </si>
  <si>
    <t>BL06</t>
  </si>
  <si>
    <t>XU Zhuofan (CC-AS/EVA-SW33-CN)</t>
  </si>
  <si>
    <t>BB80433</t>
  </si>
  <si>
    <t>CHEN Steve (CC-AS/EVA-SW33-CN)</t>
  </si>
  <si>
    <t>RBAPLCUST_RDBI_AnalogData.c</t>
  </si>
  <si>
    <t>RBAPLCUST_RDBI_CBDS.c</t>
  </si>
  <si>
    <t>RBAPLCUST_RDBI_StatusInformation.c</t>
  </si>
  <si>
    <t>RBAPLCUST_RDBI_SystemData.c</t>
  </si>
  <si>
    <t>RBAPLCUST_RoutineControl_iBoosterActuatorTest.c</t>
  </si>
  <si>
    <t>RBAPLCUST_RoutineControl_IPBEvacAndFill.c</t>
  </si>
  <si>
    <t>RBAPLCUST_ValvesToggling.c</t>
  </si>
  <si>
    <t>RBAPLOBD_Data.c</t>
  </si>
  <si>
    <t>RBAPLOBD_Global.c</t>
  </si>
  <si>
    <t>BB82026</t>
  </si>
  <si>
    <t>FAW_IPB1.1_Int</t>
  </si>
  <si>
    <t>RBEMM_Project.c</t>
  </si>
  <si>
    <t>rba_AS_HWProt.c</t>
  </si>
  <si>
    <t>CCM_Callbacks_Project.c</t>
  </si>
  <si>
    <t>RBAPLCUST_SecurityAccess.c</t>
  </si>
  <si>
    <t>GAC_ESP93CP_Carbon_Int</t>
  </si>
  <si>
    <t>ComScl_CalcCRC8.c</t>
  </si>
  <si>
    <t>NET_AliveCounterLib_CNMS.c</t>
  </si>
  <si>
    <t>DSMSim_PRJ_Specific.c</t>
  </si>
  <si>
    <t>- No have function to test</t>
  </si>
  <si>
    <t>MT_006</t>
  </si>
  <si>
    <t>MT_067</t>
  </si>
  <si>
    <t>MT_074</t>
  </si>
  <si>
    <t>MT_080</t>
  </si>
  <si>
    <t>MT_027</t>
  </si>
  <si>
    <t>Phan The Nam</t>
  </si>
  <si>
    <t>Nguyen Tran Hoang Huy</t>
  </si>
  <si>
    <t>Nguyen Minh Chuong</t>
  </si>
  <si>
    <t>chuong.nguyen-minh</t>
  </si>
  <si>
    <t>nam.phan-the</t>
  </si>
  <si>
    <t>huy.nguyen-hoang</t>
  </si>
  <si>
    <t>Not join project</t>
  </si>
  <si>
    <t>MT_004</t>
  </si>
  <si>
    <t>MT_024</t>
  </si>
  <si>
    <t>MT_038</t>
  </si>
  <si>
    <t>MT_039</t>
  </si>
  <si>
    <t>MT_045</t>
  </si>
  <si>
    <t>MT_047</t>
  </si>
  <si>
    <t>MT_060</t>
  </si>
  <si>
    <t>MT_061</t>
  </si>
  <si>
    <t>MT_062</t>
  </si>
  <si>
    <t>MT_064</t>
  </si>
  <si>
    <t>MT_066</t>
  </si>
  <si>
    <t>MT_068</t>
  </si>
  <si>
    <t>MT_069</t>
  </si>
  <si>
    <t>MT_070</t>
  </si>
  <si>
    <t>MT_075</t>
  </si>
  <si>
    <t>MT_081</t>
  </si>
  <si>
    <t>MT_020</t>
  </si>
  <si>
    <t>MT_021</t>
  </si>
  <si>
    <t>MT_028</t>
  </si>
  <si>
    <t>New</t>
  </si>
  <si>
    <t>Delta</t>
  </si>
  <si>
    <t>rb.as.toy.cmpuhd.app.asw.hbcf</t>
  </si>
  <si>
    <t>rb.as.toy.cmpuhd.app.dsm.rbhmi</t>
  </si>
  <si>
    <t>rb.as.toy.cmpuhd.app.net</t>
  </si>
  <si>
    <t>rb.as.toy.cmpuhd.hswpr</t>
  </si>
  <si>
    <t>HBCFRunTime_PersistentData_TOYOTA</t>
  </si>
  <si>
    <t>RBHMI_Synchronisation_TOYOTA</t>
  </si>
  <si>
    <t>NET_CommunicationInvalidConfig</t>
  </si>
  <si>
    <t>SecOC_PduRIF</t>
  </si>
  <si>
    <t>SecOC_Prv</t>
  </si>
  <si>
    <t>RBBLA_RelayMonitoring_TOYOTA</t>
  </si>
  <si>
    <t>MT_025</t>
  </si>
  <si>
    <t>MT_052</t>
  </si>
  <si>
    <t>MT_053</t>
  </si>
  <si>
    <t>MT_071</t>
  </si>
  <si>
    <t>MT_072</t>
  </si>
  <si>
    <t>MT_073</t>
  </si>
  <si>
    <t>MT_076</t>
  </si>
  <si>
    <t>MT_077</t>
  </si>
  <si>
    <t>MT_078</t>
  </si>
  <si>
    <t>MT_079</t>
  </si>
  <si>
    <t>MT_084</t>
  </si>
  <si>
    <t>MT_102</t>
  </si>
  <si>
    <t>MT_103</t>
  </si>
  <si>
    <t>MT_104</t>
  </si>
  <si>
    <t>MT_111</t>
  </si>
  <si>
    <t>1.0</t>
  </si>
  <si>
    <t>RBNetYRS_Functions.c</t>
  </si>
  <si>
    <t>RBNetYRS_Rx_Scl_ID1.c</t>
  </si>
  <si>
    <t>RBNetYRS_Rx_Scl_ID2.c</t>
  </si>
  <si>
    <t>RBNetYRS_Rx_Scl_ID7.c</t>
  </si>
  <si>
    <t>NET_SCL_Rx_GearBox.c</t>
  </si>
  <si>
    <t>NET_SCL_GAC_Complex_function.c</t>
  </si>
  <si>
    <t>ZHANG Yu (CC-AS/EVA-SW31-CN)</t>
  </si>
  <si>
    <t>BL03</t>
  </si>
  <si>
    <t>BL02</t>
  </si>
  <si>
    <t>CAO Cheng (CC-AS/ESW5-CN)</t>
  </si>
  <si>
    <t>RBRIS_MainHandler.c</t>
  </si>
  <si>
    <t>WANG Mingyuan (CC-AS/EVA-SW2-CN)</t>
  </si>
  <si>
    <t>EC_245950_NIO_ESX_ESPHevX_DTC_BSS05_SP01</t>
  </si>
  <si>
    <t>Sneak_Down_Detection_DTC_Nio</t>
  </si>
  <si>
    <t>DTCActionNoTrq</t>
  </si>
  <si>
    <t>DTCActionActiveAxl</t>
  </si>
  <si>
    <t>rba_BldrCmp_Cfg_Functions.c</t>
  </si>
  <si>
    <t>rba_BldrCmp_Cfg_NvmIf.c</t>
  </si>
  <si>
    <t>BB82090</t>
  </si>
  <si>
    <t>BSS05_SP01</t>
  </si>
  <si>
    <t>3.6.315.0.146322.2</t>
  </si>
  <si>
    <t>3.0.146322.3</t>
  </si>
  <si>
    <t>4.2.146322.3</t>
  </si>
  <si>
    <t>3.3.315.2.1.2</t>
  </si>
  <si>
    <t>QIAN Yuchen (CC-AS/EVA-SW1-CN)</t>
  </si>
  <si>
    <t xml:space="preserve"> </t>
  </si>
  <si>
    <t>Pata_ModeSelectionOutput</t>
  </si>
  <si>
    <t xml:space="preserve">Can't cover for the points at line#64 Stab_Index_FA_F = Stab_Index_FA_F + Co_Stab_*(Stab_Index_FA - Stab_Index_FA_F) as the below picture.
Because Stab_Index_FA_F ranges [ 0 : 2 ], Co_Stab ranges [ 0: 1 ] and Stab_Index_FA F ranges [ 0 : 2 ], so output Stab_Index_FA_F ranges [ 0 : 2 ].
</t>
  </si>
  <si>
    <t>MT_100</t>
  </si>
  <si>
    <t>MT_101</t>
  </si>
  <si>
    <t>MT_105</t>
  </si>
  <si>
    <t>MT_106</t>
  </si>
  <si>
    <t>MT_107</t>
  </si>
  <si>
    <t>MT_108</t>
  </si>
  <si>
    <t>MT_007</t>
  </si>
  <si>
    <t>MT_063</t>
  </si>
  <si>
    <t>1.3</t>
  </si>
  <si>
    <t>rba_sbl_main.c</t>
  </si>
  <si>
    <t>rba_BldrCmp_10DiagnosticSessionControl.c</t>
  </si>
  <si>
    <t>rba_BldrCmp.c</t>
  </si>
  <si>
    <t>RBHMI_Synchronisation_PRJ.c</t>
  </si>
  <si>
    <t>BSS08</t>
  </si>
  <si>
    <t>Duong Chi Khang</t>
  </si>
  <si>
    <t>Now</t>
  </si>
  <si>
    <t>NA</t>
  </si>
  <si>
    <t>khang.duong-chi</t>
  </si>
  <si>
    <t>BAIC C53F-G06 RC ESP9.3</t>
  </si>
  <si>
    <t>GWM B30_7DCT BSS08</t>
  </si>
  <si>
    <t>FAW_C100_IPB1.1 Bss02</t>
  </si>
  <si>
    <t>FAW_X40FL_1.2TD BL03</t>
  </si>
  <si>
    <t>GWM_B30_CP_BSS08</t>
  </si>
  <si>
    <t>RBAPLCUST_RoutineControl_ProgrammingPreCondition.c</t>
  </si>
  <si>
    <t>rba_BldrCmp_Cfg_PrjFunctions.c</t>
  </si>
  <si>
    <t>rba_BldrCmp_22ReadDataByIdentifier.c</t>
  </si>
  <si>
    <t>rba_BldrCMP_27SecurityAccess.c</t>
  </si>
  <si>
    <t>rba_BldrCmp_28CommunicationControl.c</t>
  </si>
  <si>
    <t>rba_BldrCmp_31RoutineControl_Chkmem.c</t>
  </si>
  <si>
    <t>rba_BldrCmp_31RoutineControl_Er.c</t>
  </si>
  <si>
    <t>rba_BldrCmp_34RequestDownload.c</t>
  </si>
  <si>
    <t>rba_BldrCmp_36TransferData.c</t>
  </si>
  <si>
    <t>rba_BldrCmp_DataHdl.c</t>
  </si>
  <si>
    <t>rba_BldrCmp_Task_SADelayTimer.c</t>
  </si>
  <si>
    <t>ATM_DrivingModeReq_PHY</t>
  </si>
  <si>
    <t>RBVoltageHandler_ParameterConfiguration_PRJ.c</t>
  </si>
  <si>
    <t>RBHMI_StatesDefinitionTable_PRJ.c</t>
  </si>
  <si>
    <t>NET_ATM_Callout_GWM.c</t>
  </si>
  <si>
    <t>NET_NetBLSStrategy_GWM.c</t>
  </si>
  <si>
    <t>RBAPLCUST_RDBI_NVMData_FAW.c</t>
  </si>
  <si>
    <t>RBAPLCUST_WDBI_NVMData_FAW.c</t>
  </si>
  <si>
    <t>rba_BldrCmp_Cfg_TestServices.c</t>
  </si>
  <si>
    <t>BL03SP01</t>
  </si>
  <si>
    <t>Bss02</t>
  </si>
  <si>
    <t>BB80941</t>
  </si>
  <si>
    <t>BB81187</t>
  </si>
  <si>
    <t>BB80433 BB80431 BB81003</t>
  </si>
  <si>
    <t>5.0.1.1.147305.6</t>
  </si>
  <si>
    <t>BAIC_ESP93CPi_Init</t>
  </si>
  <si>
    <t>FAW_Beryllium_TypeD_Int</t>
  </si>
  <si>
    <t>ATM_ECU_CSW_BB00001</t>
  </si>
  <si>
    <t>VDM_ECU_CSW_BB00147</t>
  </si>
  <si>
    <t>ApbMiGen2hevX_ECU_CSW_BB97468</t>
  </si>
  <si>
    <t>Please comment LV1</t>
  </si>
  <si>
    <t>Nguyen Minh Phi (RBVH/EAS12)</t>
  </si>
  <si>
    <t>GONG Jeffrey (CC-AS/EVA-SW2-CN)</t>
  </si>
  <si>
    <t>NGUYEN LY THINH QUANG (RBVH/EAS12)</t>
  </si>
  <si>
    <t>BAIC_ESP93CPi_Init\MainstreamF30\rb\as\baic\core\app\dcom\RBAPLCust\src\RBAPLCUST_DiagnosticSessionControl.c</t>
  </si>
  <si>
    <t>BAIC_ESP93CPi_Init\MainstreamF30\rb\as\baic\core\app\dcom\RBAPLCust\src\RBAPLCUST_RoutineControl_ProgrammingPreCondition.c</t>
  </si>
  <si>
    <t>BAIC_ESP93CPi_Init\MainstreamF30\rb\as\baic\CpiwAPB\app\dsm\RBVAR\src\RBVAR_VarCode_PROJECT.c</t>
  </si>
  <si>
    <t>BAIC_ESP93CPi_Init\MainstreamF30\rba\Bldr\config\ApplicationLayer\rba_BldrCmp\src\rba_BldrCmp_Cfg_CheckMem.c</t>
  </si>
  <si>
    <t>BAIC_ESP93CPi_Init\MainstreamF30\rba\Bldr\config\ApplicationLayer\rba_BldrCmp\src\rba_BldrCmp_Cfg_FlashIf.c</t>
  </si>
  <si>
    <t>BAIC_ESP93CPi_Init\MainstreamF30\rba\Bldr\config\ApplicationLayer\rba_BldrCmp\src\rba_BldrCmp_Cfg_Functions.c</t>
  </si>
  <si>
    <t>BAIC_ESP93CPi_Init\MainstreamF30\rba\Bldr\config\ApplicationLayer\rba_BldrCmp\src\rba_BldrCmp_Cfg_NvmIf.c</t>
  </si>
  <si>
    <t>BAIC_ESP93CPi_Init\MainstreamF30\rba\Bldr\config\ApplicationLayer\rba_BldrCmp\src\rba_BldrCmp_Cfg_PrjFunctions.c</t>
  </si>
  <si>
    <t>BAIC_ESP93CPi_Init\MainstreamF30\rba\Bldr\config\ApplicationLayer\rba_BldrCmp\src\rba_BldrCmp_Cfg_SecA.c</t>
  </si>
  <si>
    <t>BAIC_ESP93CPi_Init\MainstreamF30\rba\BldrCmp\src\rba_BldrCmp_10DiagnosticSessionControl.c</t>
  </si>
  <si>
    <t>BAIC_ESP93CPi_Init\MainstreamF30\rba\BldrCmp\src\rba_BldrCmp_22ReadDataByIdentifier.c</t>
  </si>
  <si>
    <t>BAIC_ESP93CPi_Init\MainstreamF30\rba\BldrCmp\src\rba_BldrCMP_27SecurityAccess.c</t>
  </si>
  <si>
    <t>BAIC_ESP93CPi_Init\MainstreamF30\rba\BldrCmp\src\rba_BldrCmp_28CommunicationControl.c</t>
  </si>
  <si>
    <t>BAIC_ESP93CPi_Init\MainstreamF30\rba\BldrCmp\src\rba_BldrCmp_31RoutineControl_Chkmem.c</t>
  </si>
  <si>
    <t>BAIC_ESP93CPi_Init\MainstreamF30\rba\BldrCmp\src\rba_BldrCmp_31RoutineControl_Er.c</t>
  </si>
  <si>
    <t>BAIC_ESP93CPi_Init\MainstreamF30\rba\BldrCmp\src\rba_BldrCmp_34RequestDownload.c</t>
  </si>
  <si>
    <t>BAIC_ESP93CPi_Init\MainstreamF30\rba\BldrCmp\src\rba_BldrCmp_36TransferData.c</t>
  </si>
  <si>
    <t>BAIC_ESP93CPi_Init\MainstreamF30\rba\BldrCmp\src\rba_BldrCmp.c</t>
  </si>
  <si>
    <t>BAIC_ESP93CPi_Init\MainstreamF30\rba\BldrCmp\src\rba_BldrCmp_DataHdl.c</t>
  </si>
  <si>
    <t>BAIC_ESP93CPi_Init\MainstreamF30\rba\BldrCmp\src\rba_BldrCmp_Task_SADelayTimer.c</t>
  </si>
  <si>
    <t>GWM_AB30_CP_Int\MainstreamF30\rb\as\gwm\cp\app\dsm\RBHMI\src\RBHMI_StatesDefinitionTable_PRJ.c</t>
  </si>
  <si>
    <t>GWM_AB30_CP_Int\MainstreamF30\rb\as\gwm\cp\app\dsm\RBHMI\src\RBHMI_Synchronisation_PRJ.c</t>
  </si>
  <si>
    <t>GWM_AB30_CP_Int\MainstreamF30\rb\as\gwm\cp\dsmpr\src\RBEMM\CCM_Callbacks_Project.c</t>
  </si>
  <si>
    <t>FAW_IPB\rb\as\fawIPB\core\app\dcom\RBAPLCust\src\common\RBAPLCUST_DiagnosticSessionControl.c</t>
  </si>
  <si>
    <t>FAW_IPB1.1_Int\FAW_IPB\rb\as\fawIPB\core\app\dcom\RBAPLCust\src\IPB\RBAPLCUST_RDBI_NVMData_FAW.c</t>
  </si>
  <si>
    <t>FAW_IPB1.1_Int\FAW_IPB\rb\as\fawIPB\core\app\dcom\RBAPLCust\src\IPB\RBAPLCUST_WDBI_NVMData_FAW.c</t>
  </si>
  <si>
    <t>FAW_Beryllium_TypeD_Int\MainstreamFAW\rba\Bldr\config\ApplicationLayer\rba_BldrCmp\src\rba_BldrCmp_Cfg_NvmIf.c</t>
  </si>
  <si>
    <t>FAW_Beryllium_TypeD_Int\MainstreamFAW\rba\Bldr\config\ApplicationLayer\rba_BldrCmp\src\rba_BldrCmp_Cfg_SecA.c</t>
  </si>
  <si>
    <t>FAW_Beryllium_TypeD_Int\MainstreamFAW\rba\Bldr\comps\ApplicationLayer\rba_BldrCmp\src\rba_BldrCmp_22ReadDataByIdentifier.c</t>
  </si>
  <si>
    <t>FAW_Beryllium_TypeD_Int\MainstreamFAW\rba\Bldr\config\Infrastruct\TestEnv\src\rba_BldrCmp_Cfg_TestServices.c</t>
  </si>
  <si>
    <t>FAW_Beryllium_TypeD_Int\MainstreamFAW\rba\Bldr\comps\ApplicationLayer\rba_BldrCmp\src\rba_BldrCmp_DataHdl.c</t>
  </si>
  <si>
    <t>GWM_AB30_CP_Int\MainstreamF30\rb\as\gwm\core\app\dcom\RBAPLCust\src\ESP\RBAPLCUST_RDBI_IOCtrlState.c</t>
  </si>
  <si>
    <t>LOC Assigned</t>
  </si>
  <si>
    <t>LOC Assign</t>
  </si>
  <si>
    <t>No have function to test</t>
  </si>
  <si>
    <t>WEICHAI_U60_RC_ESP9.3CP</t>
  </si>
  <si>
    <t>BSS04</t>
  </si>
  <si>
    <t>RBAPLCUST_DcmControlRoeEvents.c</t>
  </si>
  <si>
    <t>RBAPLCUST_DcmGetRoePermission.c</t>
  </si>
  <si>
    <t>RBAPLCUST_DcmReportActiveRoeEvents.c</t>
  </si>
  <si>
    <t>RBAPLCUST_DcmSetUpRoeEvent.c</t>
  </si>
  <si>
    <t>RBAPLCUST_DcmStoreRoeDidInfo.c</t>
  </si>
  <si>
    <t>RBAPLCUST_InputOutputControl_BrakeCircuitBasedCircuitAndPlungerSeparationValveDrive.c</t>
  </si>
  <si>
    <t>RBAPLCUST_InputOutputControl_ExtendedValveDrive.c</t>
  </si>
  <si>
    <t>RBAPLCUST_InputOutputControl_MotorDrive.c</t>
  </si>
  <si>
    <t>RBAPLCUST_InputOutputControl_MovePlunger.c</t>
  </si>
  <si>
    <t>RBAPLCUST_InputOutputControl_SimulatorSeparationValveDrive.c</t>
  </si>
  <si>
    <t>RBAPLCUST_InputOutputControl_StandardValveDrive.c</t>
  </si>
  <si>
    <t>RBAPLCUST_InputOutputControl_TestSeparationValveDrive.c</t>
  </si>
  <si>
    <t>RBAPLCUST_InputOutputControl_WheelBasedCircuitAndPlungerSeparationValveDrive.c</t>
  </si>
  <si>
    <t>RBAPLCUST_RBDI_BoschEcuHardwarePartNumber.c</t>
  </si>
  <si>
    <t>RBAPLCUST_RBDI_VariandCode.c</t>
  </si>
  <si>
    <t>RBAPLCUST_RDBI_ActivateBrakeLight.c</t>
  </si>
  <si>
    <t>RBAPLCUST_RDBI_ActuatorActuationLimits.c</t>
  </si>
  <si>
    <t>RBAPLCUST_RDBI_INS_SensorInfo.c</t>
  </si>
  <si>
    <t>RBAPLCUST_RDBI_MovePlungerStatus.c</t>
  </si>
  <si>
    <t>RBAPLCUST_RDBI_SpeedLimitMonitoring.c</t>
  </si>
  <si>
    <t>RBAPLCUST_RDBI_StillstandRunoutDegradation.c</t>
  </si>
  <si>
    <t>RBAPLCUST_RDBI_WheelSpeedSensorMountingPosition.c</t>
  </si>
  <si>
    <t>RBAPLCUST_RoutineControl_ExtendedDynamicTest.c</t>
  </si>
  <si>
    <t>RBAPLCUST_RoutineControl_iBoosterExtendedTest.c</t>
  </si>
  <si>
    <t>RBAPLCUST_RoutineControl_IISDecalibration.c</t>
  </si>
  <si>
    <t>RBAPLCUST_RoutineControl_PumpMotorSlowdownTest.c</t>
  </si>
  <si>
    <t>RBAPLCUST_RoutineControl_StaticTest.c</t>
  </si>
  <si>
    <t>RBAPLCUST_RoutineControl_WheelSpeedSensorRolloutTest.c</t>
  </si>
  <si>
    <t>RBAPLCUST_WDBI_ActivateBrakeLight.c</t>
  </si>
  <si>
    <t>RBAPLCUST_WDBI_SpeedLimitMonitoring.c</t>
  </si>
  <si>
    <t>RBAPLCUST_WDBI_StillstandRunoutDegradation.c</t>
  </si>
  <si>
    <t>RBAPLCUST_WDBI_TireCircumference.c</t>
  </si>
  <si>
    <t>RBAPLCUST_WEICHAI_RBDI_CustomerHardwareVersion.c</t>
  </si>
  <si>
    <t>RBAPLCUST_WEICHAI_RBDI_CustomerPartNumber.c</t>
  </si>
  <si>
    <t>RBAPLCUST_WEICHAI_RBDI_CustomerSoftwareVersion.c</t>
  </si>
  <si>
    <t>RBAPLCUST_WEICHAI_RBDI_ECUSerialNumber.c</t>
  </si>
  <si>
    <t>RBAPLCUST_WEICHAI_RBDI_SystemSupplierIdentifier.c</t>
  </si>
  <si>
    <t>RBAPLCUST_WEICHAI_RBDI_VIN.c</t>
  </si>
  <si>
    <t>RBAPLCUST_WEICHAI_WDBI_VIN.c</t>
  </si>
  <si>
    <t>pbc.c</t>
  </si>
  <si>
    <t>ASW_Wrapper.c</t>
  </si>
  <si>
    <t>OEM_SWC.c</t>
  </si>
  <si>
    <t>ComScl_Appl_ApplPorts.c</t>
  </si>
  <si>
    <t>NET_SCL_Rx_WEICHAI.c</t>
  </si>
  <si>
    <t>RTE_SubSystem.c</t>
  </si>
  <si>
    <t>cubas_Diag_project_Proc.c</t>
  </si>
  <si>
    <t>BB81367</t>
  </si>
  <si>
    <t>WEICHAI_ESP9.3_Mainstream_Int</t>
  </si>
  <si>
    <t>Tran Dinh Thu Quynh (RBVH/EAS11)</t>
  </si>
  <si>
    <t>Rank LOC</t>
  </si>
  <si>
    <t>Rank KPI</t>
  </si>
  <si>
    <t>GWM_AB30_CP_Int\MainstreamF30\rb\as\gwm\cp\app\net\SclCallout\src\NET_ATM_Callout_GWM.c</t>
  </si>
  <si>
    <t>GWM_AB30_CP_Int\MainstreamF30\rb\as\gwm\cp\app\net\SpecialStrategy\src\NET_NetBLSStrategy_GWM.c</t>
  </si>
  <si>
    <t>Actual LOC: 43</t>
  </si>
  <si>
    <t>Actual LOC: 78</t>
  </si>
  <si>
    <t>Owner confirm it's no impact</t>
  </si>
  <si>
    <t>rb.as.toy.core.app.uhdpf19</t>
  </si>
  <si>
    <t>RBDYNWSS_CONFIG_TOYOTA</t>
  </si>
  <si>
    <t>RBVAR_ASWReset</t>
  </si>
  <si>
    <t>NET_SCL_XmtVSC1S96_TOY</t>
  </si>
  <si>
    <t>MT_099</t>
  </si>
  <si>
    <t>MT_116</t>
  </si>
  <si>
    <t>MT_124</t>
  </si>
  <si>
    <t>MT_139</t>
  </si>
  <si>
    <t>MT_143</t>
  </si>
  <si>
    <t>MT_145</t>
  </si>
  <si>
    <t>MT_149</t>
  </si>
  <si>
    <t>MT_150</t>
  </si>
  <si>
    <t>MT_151</t>
  </si>
  <si>
    <t>MT_152</t>
  </si>
  <si>
    <t>MT_153</t>
  </si>
  <si>
    <t>Vivek Parashar (RBEI/ESJ6)</t>
  </si>
  <si>
    <t>Kavya K M (RBEI/ESJ33)</t>
  </si>
  <si>
    <t>Rao Ananya (RBEI/ESJ32)</t>
  </si>
  <si>
    <t>Justin X (RBEI/ESJ3)</t>
  </si>
  <si>
    <t>BAIC_ESP93CPi_Init\MainstreamF30\rba\Bldr\sbl\src</t>
  </si>
  <si>
    <t>[No1] Line 238: if((C_NetSteeringAngle_TPMF_min &lt;= ls_SCL_LWS_ANGLE_TPMF_s16) &amp;&amp; (C_NetSteeringAngle_TPMF_max &gt;= ls_SCL_LWS_ANGLE_TPMF_s16))
Detail: Can not cover false condition "(C_NetSteeringAngle_TPMF_min &lt;= ls_SCL_LWS_ANGLE_TPMF_s16)" because:
+ ls_SCL_LWS_ANGLE_TPMF_s16 is sint16
+ #define C_NetSteeringAngle_TPMF_min                     ((int16_t)(-32768))
[No2] Line 338: if((ls_SCL_MotRpm_TPMF_UW != C_MotRpm_Invalid_TPMF_UW) &amp;&amp; (ls_SCL_MotRpmStatus_TPMF_UB != C_MotRpmStatus_Invalid_TPMF_UB))
Detail: Can not cover false condition "ls_SCL_MotRpm_TPMF_UW != C_MotRpm_Invalid_TPMF_UW" because:
+ ls_SCL_MotRpm_TPMF_UW is UWORD
+ #define C_MotRpm_Invalid_TPMF_UW                                                                        ((UL)0x10000)
[No3] Line 641: if(ls_MilesKm_UL &lt; C_MilesKm_Max_TPMF_UL)
Detail: Can not cover false condition because:
+ ls_SCL_MilesKm_UL is ULONG
+ #define C_MilesKm_Max_TPMF_UL                                                                            0xFFFFFFFF
[No4] Line 341: if(ls_SCL_MotRpm_TPMF_UW != C_MotRpm_Invalid_TPMF_UW)
Detail: Can not cover false condition because:
+ ls_SCL_MotRpm_TPMF_UW is UWORD
+ #define C_MotRpm_Invalid_TPMF_UW                        ((UL)0x10000)</t>
  </si>
  <si>
    <t>DTCvThreshOffsCoord</t>
  </si>
  <si>
    <t>-Cannot cover fully MCDC because:
Can't cover full MCDCs at line #130 case (F&amp;&amp;?)(F&amp;&amp;?) because decision (RBAPLCUST_RollerBenchSessionState == RBAPLCUST_RollerBenchSessionState_NOT_ACTIVE) and (RBAPLCUST_RollerBenchSessionState != RBAPLCUST_RollerBenchSessionState_NOT_ACTIVE) are conflict.</t>
  </si>
  <si>
    <t>Please comment LV1
Reuse OPL mail</t>
  </si>
  <si>
    <t>- Re-use OPL</t>
  </si>
  <si>
    <t>WEICHAI_ESP9.3_Mainstream_Int\MainstreamF30\rb\as\weichai\core\app\dcom\RBAPLCust\src\RBAPLCUST_RBDI_NVMData.c</t>
  </si>
  <si>
    <t>WEICHAI_ESP9.3_Mainstream_Int\MainstreamF30\rb\as\weichai\core\app\dcom\RBAPLCust\src\RBAPLCUST_RBDI_VariandCode.c</t>
  </si>
  <si>
    <t>WEICHAI_ESP9.3_Mainstream_Int\MainstreamF30\rb\as\weichai\core\app\dcom\RBAPLCust\src\RBAPLCUST_SecurityAccess.c</t>
  </si>
  <si>
    <t>WEICHAI_ESP9.3_Mainstream_Int\MainstreamF30\rb\as\weichai\core\app\dcom\RBAPLCust\src\RBAPLCUST_WEICHAI_RBDI_CustomerHardwareVersion.c</t>
  </si>
  <si>
    <t>WEICHAI_ESP9.3_Mainstream_Int\MainstreamF30\rb\as\weichai\core\app\dcom\RBAPLCust\src\RBAPLCUST_WEICHAI_RBDI_CustomerPartNumber.c</t>
  </si>
  <si>
    <t>WEICHAI_ESP9.3_Mainstream_Int\MainstreamF30\rb\as\weichai\core\app\dcom\RBAPLCust\src\RBAPLCUST_WEICHAI_RBDI_CustomerSoftwareVersion.c</t>
  </si>
  <si>
    <t>WEICHAI_ESP9.3_Mainstream_Int\MainstreamF30\rb\as\weichai\core\app\dcom\RBAPLCust\src\RBAPLCUST_WEICHAI_RBDI_ECUSerialNumber.c</t>
  </si>
  <si>
    <t>WEICHAI_ESP9.3_Mainstream_Int\MainstreamF30\rb\as\weichai\core\app\dcom\RBAPLCust\src\RBAPLCUST_WEICHAI_RBDI_SystemSupplierIdentifier.c</t>
  </si>
  <si>
    <t>WEICHAI_ESP9.3_Mainstream_Int\MainstreamF30\rb\as\weichai\core\app\dcom\RBAPLCust\src\RBAPLCUST_WEICHAI_RBDI_VIN.c</t>
  </si>
  <si>
    <t>WEICHAI_ESP9.3_Mainstream_Int\MainstreamF30\rb\as\weichai\core\app\dcom\RBAPLCust\src\RBAPLCUST_WEICHAI_WDBI_VIN.c</t>
  </si>
  <si>
    <t>WEICHAI_ESP9.3_Mainstream_Int\MainstreamF30\rb\as\weichai\CpiwAPB\app\dsm\RBVAR\src\RBVAR_OutputDriver_PROJECT.c</t>
  </si>
  <si>
    <t>WEICHAI_ESP9.3_Mainstream_Int\MainstreamF30\rb\as\weichai\CpiwAPB\app\dsm\RBVAR\src\RBVAR_VarCode_PROJECT.c</t>
  </si>
  <si>
    <t>WEICHAI_ESP9.3_Mainstream_Int\MainstreamF30\rb\as\weichai\CpiwAPB\app\net\RBScl\src\NET_SCL_Rx_WEICHAI.c</t>
  </si>
  <si>
    <t>FAW_Beryllium_TypeD_Int\MainstreamFAW\rb\as\faw\fawcore\app\dcom\RBAPLCust\src</t>
  </si>
  <si>
    <t>WEICHAI_ESP9.3_Mainstream_Int\MainstreamF30\rb\as\weichai\core\app\dcom\RBAPLCust\src_tpl\RBAPLCUST_RDBI_ActivateBrakeLight.c</t>
  </si>
  <si>
    <t>WEICHAI_ESP9.3_Mainstream_Int\MainstreamF30\rb\as\weichai\core\app\dcom\RBAPLCust\src_tpl\RBAPLCUST_RDBI_ActuatorActuationLimits.c</t>
  </si>
  <si>
    <t>WEICHAI_ESP9.3_Mainstream_Int\MainstreamF30\rb\as\weichai\core\app\dcom\RBAPLCust\src_tpl\RBAPLCUST_RDBI_AnalogData.c</t>
  </si>
  <si>
    <t>WEICHAI_ESP9.3_Mainstream_Int\MainstreamF30\rb\as\weichai\core\app\dcom\RBAPLCust\src_tpl\RBAPLCUST_RDBI_CBDS.c</t>
  </si>
  <si>
    <t>WEICHAI_ESP9.3_Mainstream_Int\MainstreamF30\rb\as\weichai\core\app\dcom\RBAPLCust\src_tpl\RBAPLCUST_RDBI_INS_SensorInfo.c</t>
  </si>
  <si>
    <t>WEICHAI_ESP9.3_Mainstream_Int\MainstreamF30\rb\as\weichai\core\app\dcom\RBAPLCust\src_tpl\RBAPLCUST_RDBI_MovePlungerStatus.c</t>
  </si>
  <si>
    <t>WEICHAI_ESP9.3_Mainstream_Int\MainstreamF30\rb\as\weichai\core\app\dcom\RBAPLCust\src_tpl\RBAPLCUST_RDBI_SpeedLimitMonitoring.c</t>
  </si>
  <si>
    <t>WEICHAI_ESP9.3_Mainstream_Int\MainstreamF30\rb\as\weichai\core\app\dcom\RBAPLCust\src_tpl\RBAPLCUST_RDBI_StatusInformation.c</t>
  </si>
  <si>
    <t>WEICHAI_ESP9.3_Mainstream_Int\MainstreamF30\rb\as\weichai\core\app\dcom\RBAPLCust\src_tpl\RBAPLCUST_RDBI_StillstandRunoutDegradation.c</t>
  </si>
  <si>
    <t>WEICHAI_ESP9.3_Mainstream_Int\MainstreamF30\rb\as\weichai\core\app\dcom\RBAPLCust\src_tpl\RBAPLCUST_RDBI_SystemData.c</t>
  </si>
  <si>
    <t>WEICHAI_ESP9.3_Mainstream_Int\MainstreamF30\rb\as\weichai\core\app\dcom\RBAPLCust\src_tpl\RBAPLCUST_RDBI_WheelSpeedSensorMountingPosition.c</t>
  </si>
  <si>
    <t>WEICHAI_ESP9.3_Mainstream_Int\MainstreamF30\rb\as\weichai\core\app\dcom\RBAPLCust\src_tpl\RBAPLCUST_RoutineControl_ExtendedDynamicTest.c</t>
  </si>
  <si>
    <t>WEICHAI_ESP9.3_Mainstream_Int\MainstreamF30\rb\as\weichai\core\app\dcom\RBAPLCust\src_tpl\RBAPLCUST_RoutineControl_iBoosterActuatorTest.c</t>
  </si>
  <si>
    <t>WEICHAI_ESP9.3_Mainstream_Int\MainstreamF30\rb\as\weichai\core\app\dcom\RBAPLCust\src_tpl\RBAPLCUST_RoutineControl_iBoosterExtendedTest.c</t>
  </si>
  <si>
    <t>WEICHAI_ESP9.3_Mainstream_Int\MainstreamF30\rb\as\weichai\core\app\dcom\RBAPLCust\src_tpl\RBAPLCUST_RoutineControl_IISDecalibration.c</t>
  </si>
  <si>
    <t>WEICHAI_ESP9.3_Mainstream_Int\MainstreamF30\rb\as\weichai\core\app\dcom\RBAPLCust\src_tpl\RRBAPLCUST_RoutineControl_IPBEvacAndFill.c</t>
  </si>
  <si>
    <t>WEICHAI_ESP9.3_Mainstream_Int\MainstreamF30\rb\as\weichai\core\app\dcom\RBAPLCust\src_tpl\RBAPLCUST_RoutineControl_PumpMotorSlowdownTest.c</t>
  </si>
  <si>
    <t>WEICHAI_ESP9.3_Mainstream_Int\MainstreamF30\rb\as\weichai\core\app\dcom\RBAPLCust\src_tpl\RBAPLCUST_RoutineControl_StaticTest.c</t>
  </si>
  <si>
    <t>WEICHAI_ESP9.3_Mainstream_Int\MainstreamF30\rb\as\weichai\core\app\dcom\RBAPLCust\src_tpl\RBAPLCUST_RoutineControl_WheelSpeedSensorRolloutTest.c</t>
  </si>
  <si>
    <t>WEICHAI_ESP9.3_Mainstream_Int\MainstreamF30\rb\as\weichai\core\app\dcom\RBAPLCust\src_tpl\RBAPLCUST_ValvesToggling.c</t>
  </si>
  <si>
    <t>WEICHAI_ESP9.3_Mainstream_Int\MainstreamF30\rb\as\weichai\core\app\dcom\RBAPLCust\src_tpl\RBAPLCUST_WDBI_ActivateBrakeLight.c</t>
  </si>
  <si>
    <t>WEICHAI_ESP9.3_Mainstream_Int\MainstreamF30\rb\as\weichai\core\app\dcom\RBAPLCust\src_tpl\RBAPLCUST_WDBI_SpeedLimitMonitoring.c</t>
  </si>
  <si>
    <t>WEICHAI_ESP9.3_Mainstream_Int\MainstreamF30\rb\as\weichai\core\app\dcom\RBAPLCust\src_tpl\RBAPLCUST_WDBI_StillstandRunoutDegradation.c</t>
  </si>
  <si>
    <t>WEICHAI_ESP9.3_Mainstream_Int\MainstreamF30\rb\as\weichai\core\app\dcom\RBAPLCust\src_tpl\RBAPLCUST_WDBI_TireCircumference.c</t>
  </si>
  <si>
    <t>WEICHAI_ESP9.3_Mainstream_Int\MainstreamF30\rb\as\weichai\core\app\dcom\RBAPLCust\src_tpl\RBAPLCUST_InputOutputControl_BrakeCircuitBasedCircuitAndPlungerSeparationValveDrive.c</t>
  </si>
  <si>
    <t>WEICHAI_ESP9.3_Mainstream_Int\MainstreamF30\rb\as\weichai\core\app\dcom\RBAPLCust\src_tpl\RBAPLCUST_InputOutputControl_ExtendedValveDrive.c</t>
  </si>
  <si>
    <t>WEICHAI_ESP9.3_Mainstream_Int\MainstreamF30\rb\as\weichai\core\app\dcom\RBAPLCust\src_tpl\RBAPLCUST_InputOutputControl_MotorDrive.c</t>
  </si>
  <si>
    <t>WEICHAI_ESP9.3_Mainstream_Int\MainstreamF30\rb\as\weichai\core\app\dcom\RBAPLCust\src_tpl\RBAPLCUST_InputOutputControl_MovePlunger.c</t>
  </si>
  <si>
    <t>WEICHAI_ESP9.3_Mainstream_Int\MainstreamF30\rb\as\weichai\core\app\dcom\RBAPLCust\src_tpl\RBAPLCUST_InputOutputControl_SimulatorSeparationValveDrive.c</t>
  </si>
  <si>
    <t>WEICHAI_ESP9.3_Mainstream_Int\MainstreamF30\rb\as\weichai\core\app\dcom\RBAPLCust\src_tpl\RBAPLCUST_InputOutputControl_StandardValveDrive.c</t>
  </si>
  <si>
    <t>WEICHAI_ESP9.3_Mainstream_Int\MainstreamF30\rb\as\weichai\core\app\dcom\RBAPLCust\src_tpl\RBAPLCUST_InputOutputControl_TestSeparationValveDrive.c</t>
  </si>
  <si>
    <t>WEICHAI_ESP9.3_Mainstream_Int\MainstreamF30\rb\as\weichai\core\app\dcom\RBAPLCust\src_tpl\RBAPLCUST_InputOutputControl_WheelBasedCircuitAndPlungerSeparationValveDrive.c</t>
  </si>
  <si>
    <t>WEICHAI_ESP9.3_Mainstream_Int\MainstreamF30\rb\as\weichai\core\app\dcom\RBAPLCust\src_tpl\RBAPLCUST_RBDI_BoschEcuHardwarePartNumber.c</t>
  </si>
  <si>
    <t>WEICHAI_ESP9.3_Mainstream_Int\MainstreamF30\rb\as\weichai\core\app\dcom\RBAPLCust\src_tpl\ROE\RBAPLCUST_DcmControlRoeEvents.c</t>
  </si>
  <si>
    <r>
      <t>WEICHAI_ESP9.3_Mainstream_Int\MainstreamF30\rb\as\weichai\core\app\dcom\RBAPLCust\src_tpl\ROE\</t>
    </r>
    <r>
      <rPr>
        <b/>
        <sz val="11"/>
        <color theme="1"/>
        <rFont val="Calibri"/>
        <family val="2"/>
      </rPr>
      <t>RBAPLCUST_DcmGetRoePermission.c</t>
    </r>
  </si>
  <si>
    <t>WEICHAI_ESP9.3_Mainstream_Int\MainstreamF30\rb\as\weichai\core\app\dcom\RBAPLCust\src_tpl\ROE\RBAPLCUST_DcmReportActiveRoeEvents.c</t>
  </si>
  <si>
    <t>WEICHAI_ESP9.3_Mainstream_Int\MainstreamF30\rb\as\weichai\core\app\dcom\RBAPLCust\src_tpl\ROE\RBAPLCUST_DcmSetUpRoeEvent.c</t>
  </si>
  <si>
    <t>WEICHAI_ESP9.3_Mainstream_Int\MainstreamF30\rb\as\weichai\core\app\dcom\RBAPLCust\src_tpl\ROE\RBAPLCUST_DcmStoreRoeDidInfo.c</t>
  </si>
  <si>
    <t>- Reuse OPL task id 1362163</t>
  </si>
  <si>
    <t>- Reuse OPL task id 618527</t>
  </si>
  <si>
    <t>BAIC_C62XP_HevX_BL7</t>
  </si>
  <si>
    <t>RBNetYRS_Rx_Scl_ID0.c</t>
  </si>
  <si>
    <t>RBA_NDS_GearBox_Callout.c</t>
  </si>
  <si>
    <t>RBA_NDS_ESPStatus_Callout.c</t>
  </si>
  <si>
    <t>RBA_NDS_EPB_Callout.c</t>
  </si>
  <si>
    <t>RBA_NDS_DriverPresent_Callout.c</t>
  </si>
  <si>
    <t>RBA_NDS_0x309_ESP_STATUS_FOR_ACC_Callout.c</t>
  </si>
  <si>
    <t>NET_SCL_Tx_WheelOdoInfo.c</t>
  </si>
  <si>
    <t>NET_SCL_Tx_RBC.c</t>
  </si>
  <si>
    <t>NET_SCL_Tx_EngineIntervention.c</t>
  </si>
  <si>
    <t>NET_SCL_Tx_AVH.c</t>
  </si>
  <si>
    <t>NET_SCL_Rx_TOD.c</t>
  </si>
  <si>
    <t>NET_SCL_Rx_RBC.c</t>
  </si>
  <si>
    <t>NET_SCL_Rx_ACC.c</t>
  </si>
  <si>
    <t>ASWIF_Dummy_Net.c</t>
  </si>
  <si>
    <t>RBAPLCUST_RDBI_InputData.c</t>
  </si>
  <si>
    <t>RBAPLCUST_RDBI_NVMData_BAIC.c</t>
  </si>
  <si>
    <t>BAIC_C62XP_ESPHevX_Int</t>
  </si>
  <si>
    <t>BL7</t>
  </si>
  <si>
    <t>BB80328</t>
  </si>
  <si>
    <t>TANG Chuan (CC-AS/EVA-SW2-CN)</t>
  </si>
  <si>
    <t>BAIC_C62XP_ESPHevX_Int\BAICESPHevX\rb\as\core\app\net\RBNetYRS\src\RBNetYRS_Rx_Scl_ID1.c</t>
  </si>
  <si>
    <t>BAIC_C62XP_ESPHevX_Int\BAICESPHevX\rb\as\core\app\net\RBNetYRS\src\RBNetYRS_Rx_Scl_ID2.c</t>
  </si>
  <si>
    <t>BAIC_C62XP_ESPHevX_Int\BAICESPHevX\rb\as\core\app\net\RBNetYRS\src\RBNetYRS_Rx_Scl_ID7.c</t>
  </si>
  <si>
    <t>BAIC_C62XP_ESPHevX_Int\BAICESPHevX\rb\as\core\app\net\RBNetYRS\src\RBNetYRS_Functions.c</t>
  </si>
  <si>
    <t>BAIC_C62XP_ESPHevX_Int\BAICESPHevX\rb\as\cnms_core\app\net\scl_callout\src\RBA_NDS_YAWRATE_Callout.c</t>
  </si>
  <si>
    <t>BAIC_C62XP_ESPHevX_Int\BAICESPHevX\rb\as\cnms_core\app\net\scl_callout\src\RBA_NDS_SystemInfo.c</t>
  </si>
  <si>
    <t>BAIC_C62XP_ESPHevX_Int\BAICESPHevX\rb\as\cnms_core\app\net\scl_callout\src\RBA_NDS_GearBox_Callout.c</t>
  </si>
  <si>
    <t>BAIC_C62XP_ESPHevX_Int\BAICESPHevX\rb\as\cnms_core\app\net\scl_callout\src\RBA_NDS_ESPStatus_Callout.c</t>
  </si>
  <si>
    <t>BAIC_C62XP_ESPHevX_Int\BAICESPHevX\rb\as\cnms_core\app\net\scl_callout\src\RBA_NDS_EPB_Callout.c</t>
  </si>
  <si>
    <t>BAIC_C62XP_ESPHevX_Int\BAICESPHevX\rb\as\cnms_core\app\net\scl_callout\src\RBA_NDS_DriverPresent_Callout.c</t>
  </si>
  <si>
    <t>BAIC_C62XP_ESPHevX_Int\BAICESPHevX\rb\as\cnms_core\app\net\scl_callout\src\RBA_NDS_0x309_ESP_STATUS_FOR_ACC_Callout.c</t>
  </si>
  <si>
    <t>BAIC_C62XP_ESPHevX_Int\BAICESPHevX\rb\as\cnms_core\app\net\scl\Sensors\Steering\src\SAS_LWS_Standard.c</t>
  </si>
  <si>
    <t>BAIC_C62XP_ESPHevX_Int\BAICESPHevX\rb\as\cnms_core\app\net\scl\Sensors\AxAyYrs\src\NET_SCL_Tx_YrsExport.c</t>
  </si>
  <si>
    <t>BAIC_C62XP_ESPHevX_Int\BAICESPHevX\rb\as\cnms_core\app\net\scl\Controllers\WheelSpeed\src\NET_SCL_Tx_WheelOdoInfo.c</t>
  </si>
  <si>
    <t>BAIC_C62XP_ESPHevX_Int\BAICESPHevX\rb\as\cnms_core\app\net\scl\Controllers\RBC\src\NET_SCL_Tx_RBC.c</t>
  </si>
  <si>
    <t>BAIC_C62XP_ESPHevX_Int\BAICESPHevX\rb\as\cnms_core\app\net\scl\Controllers\Engine\src\NET_SCL_Tx_EngineIntervention.c</t>
  </si>
  <si>
    <t>BAIC_C62XP_ESPHevX_Int\BAICESPHevX\rb\as\cnms_core\app\net\scl\Sensors\AxAyYrs\src\NET_SCL_Tx_AyExport.c</t>
  </si>
  <si>
    <t>BAIC_C62XP_ESPHevX_Int\BAICESPHevX\rb\as\cnms_core\app\net\scl\Sensors\AxAyYrs\src\NET_SCL_Tx_AxExport.c</t>
  </si>
  <si>
    <t>BAIC_C62XP_ESPHevX_Int\BAICESPHevX\rb\as\cnms_core\app\net\scl\Controllers\AxelSplit\src\NET_SCL_Tx_AxelSplit.c</t>
  </si>
  <si>
    <t>BAIC_C62XP_ESPHevX_Int\BAICESPHevX\rb\as\cnms_core\app\net\scl\LDMFunctions\AVH\src\NET_SCL_Tx_AVH.c</t>
  </si>
  <si>
    <t>BAIC_C62XP_ESPHevX_Int\BAICESPHevX\rb\as\cnms_core\app\net\scl\Sensors\AxAyYrs\src\NET_SCL_Rx_Yrs.c</t>
  </si>
  <si>
    <t>BAIC_C62XP_ESPHevX_Int\BAICESPHevX\rb\as\cnms_core\app\net\scl\LDMFunctions\TOD\src\NET_SCL_Rx_TOD.c</t>
  </si>
  <si>
    <t>BAIC_C62XP_ESPHevX_Int\BAICESPHevX\rb\as\cnms_core\app\net\scl\Controllers\RBC\src\NET_SCL_Rx_RBC.c</t>
  </si>
  <si>
    <t>BAIC_C62XP_ESPHevX_Int\BAICESPHevX\rb\as\cnms_core\app\net\scl\Controllers\GearBox\src\NET_SCL_Rx_GearBox.c</t>
  </si>
  <si>
    <t>BAIC_C62XP_ESPHevX_Int\BAICESPHevX\rb\as\cnms_core\app\net\scl\Controllers\Engine\src\NET_SCL_Rx_EngineTorque.c</t>
  </si>
  <si>
    <t>BAIC_C62XP_ESPHevX_Int\BAICESPHevX\rb\as\cnms_core\app\net\scl\LDMFunctions\ACC\src\NET_SCL_Rx_ACC.c</t>
  </si>
  <si>
    <t>BAIC_C62XP_ESPHevX_Int\BAICESPHevX\rb\as\baic\prj\netpr\src\ASWIF_Dummy_Net.c</t>
  </si>
  <si>
    <t>BAIC_C62XP_ESPHevX_Int\BAICESPHevX\rb\as\baic\baic_core\app\net\RbNetPrj\RBNet_Can\src\NET_MonitoringClasses_F30.c</t>
  </si>
  <si>
    <t>BAIC_C62XP_ESPHevX_Int\BAICESPHevX\rb\as\baic\baic_core\app\net\RbNetPrj\RBNet_Can\src\NET_AliveCounterLib_CNMS.c</t>
  </si>
  <si>
    <t>BAIC_C62XP_ESPHevX_Int\BAICESPHevX\rb\as\baic\baic_core\app\net\RBScl\src\ComScl_Scl_Complex_proc.c</t>
  </si>
  <si>
    <t>BAIC_C62XP_ESPHevX_Int\BAICESPHevX\rb\as\baic\baic_core\app\net\RbNetPrj\RBNet\src\ComScl_CalcCRC8.c</t>
  </si>
  <si>
    <t>BAIC_C62XP_ESPHevX_Int\BAICESPHevX\rb\as\baic\baic_core\app\dcom\RBAPLCust\src\common\RBAPLCUST_RDBI_InputData.c</t>
  </si>
  <si>
    <t>BAIC_C62XP_ESPHevX_Int\BAICESPHevX\rb\as\baic\baic_core\app\dcom\RBAPLCust\src\ESP\RBAPLCUST_RDBI_IOCtrlState.c</t>
  </si>
  <si>
    <t>BAIC_C62XP_ESPHevX_Int\BAICESPHevX\rb\as\baic\baic_core\app\dcom\RBAPLCust\src\ESP\RBAPLCUST_RDBI_NVMData_BAIC.c</t>
  </si>
  <si>
    <t>BAIC_C62XP_ESPHevX_Int\BAICESPHevX\rb\as\baic\baic_core\app\dcom\RBAPLCust\src\ESP\RBAPLCUST_RoutineControl_ProgrammingPreCondition.c</t>
  </si>
  <si>
    <t>BAIC_C62XP_ESPHevX_Int\BAICESPHevX\rb\as\baic\baic_core\app\dcom\RBAPLOBD\src\RBAPLOBD_Data.c</t>
  </si>
  <si>
    <t>BAIC_C62XP_ESPHevX_Int\BAICESPHevX\rb\as\baic\baic_core\app\dcom\RBAPLOBD\src\RBAPLOBD_Global.c</t>
  </si>
  <si>
    <t>BAIC_C62XP_ESPHevX_Int\BAICESPHevX\rb\as\baic\baic_core\app\dsm\RBDsmSim\RB_SimDsmCfg\PRJ_Specific\src\DSMSim_PRJ_Specific.c</t>
  </si>
  <si>
    <t>BAIC_C62XP_ESPHevX_Int\BAICESPHevX\rb\as\baic\baic_core\app\dsm\RBHMI\src\RBHMI_ConfigOutputDriver_PRJ.c</t>
  </si>
  <si>
    <t>BAIC_C62XP_ESPHevX_Int\BAICESPHevX\rb\as\baic\baic_core\app\dsm\RBVAR\src\RBVAR_OutputDriver_PROJECT.c</t>
  </si>
  <si>
    <t>BAIC_C62XP_ESPHevX_Int\BAICESPHevX\rb\as\baic\baic_core\app\dsm\RBVAR\src\RBVAR_VarCode_PROJECT.c</t>
  </si>
  <si>
    <t>BAIC_C62XP_ESPHevX_Int\BAICESPHevX\rb\as\baic\prj\dsmpr\src\RBPduHandler_Callouts.c</t>
  </si>
  <si>
    <t>Please comment LV1'- Reuse OPL task id 1362163</t>
  </si>
  <si>
    <t>-Can't test for function because this is hide by macro</t>
  </si>
  <si>
    <t xml:space="preserve">- Can’t cover MCDC case T-F for if ((nvmif_b == TRUE) &amp;&amp; (rba_BldrCmp_RDBI_ListIdx_u8 &lt; RBA_BLDRCMP_RDBI_NoReadDidByNvmidListEntries)) at line#293 and at line#390. Because nvmif_b = TRUE , rba_BldrCmp_RDBI_ListIdx_u8 &lt; RBA_BLDRCMP_RDBI_NoReadDidByNvmidListEntries.
- Can’t cover MCDC case T-F for  if ((func_b == TRUE) &amp;&amp; (rba_BldrCmp_RDBI_ListIdx_u8 &lt; RBA_BLDRCMP_RDBI_NoReadDidByFuncListEntries)) at line#339 and at line#410. Because func_b = TRUE, rba_BldrCmp_RDBI_ListIdx_u8 &lt; RBA_BLDRCMP_RDBI_NoReadDidByFuncListEntries.
- Can’t cover MCDC case T-F for  else if ( (rba_BldrCmp_RDBI_RespIndex_u16 &gt; 0) &amp;&amp; (rba_BldrCmp_RDBI_NumberOfIds_u8 == 0)) at line#309 and at line#355. Because rba_BldrCmp_RDBI_NumberOfIds_u8 &gt;=0, case rba_BldrCmp_RDBI_NumberOfIds_u8 &gt; 0 is true case of if (rba_BldrCmp_RDBI_NumberOfIds_u8&gt;0).
</t>
  </si>
  <si>
    <t>- Can't cover for case case 0UL, case 1UL, case 2UL and case default of switch ( temp ) at line#93. Because RBA_BLDRCMP_SA_SECURITY_CONSTANT is a constant, so temp is a constant.
-Can’t cover for true case of  if ((RBA_BLDRCMP_SA_SECURITY_CONSTANT &amp; 0x00000001UL) == 1UL) at line#129.</t>
  </si>
  <si>
    <t>Toyota_AEB_BH_DAMODE</t>
  </si>
  <si>
    <t>rb.as.core.app.asw.ldm.aeb</t>
  </si>
  <si>
    <t>rb.as.core.app.asw.pwt.ptfwdrwdawd4wd</t>
  </si>
  <si>
    <t>rb.as.core.app.asw.tcs.leantcs20msvse</t>
  </si>
  <si>
    <t>Bade, Kishore</t>
  </si>
  <si>
    <t>Liu, Yiqing</t>
  </si>
  <si>
    <t>Wako, Takayuki</t>
  </si>
  <si>
    <t>Koizumi, Tafu</t>
  </si>
  <si>
    <t>Varghese, Anisha Mariam</t>
  </si>
  <si>
    <t>Oates, Robert</t>
  </si>
  <si>
    <t>Ramesh, Pulipati</t>
  </si>
  <si>
    <t>CSMosarASWMainstream93_TMC_PF19UHDCMP</t>
  </si>
  <si>
    <t>1.2</t>
  </si>
  <si>
    <t>2.1</t>
  </si>
  <si>
    <t>1.4</t>
  </si>
  <si>
    <t>1.1</t>
  </si>
  <si>
    <t xml:space="preserve"> Owner confirm it could be ignore</t>
  </si>
  <si>
    <t xml:space="preserve">Can’t cover the MCDC 1-0 of condition at the line 157 because when blockIndex is different RBA_BLDRCMP_LOGICALBLOCK_NOT_FOUND then segmentIndex is also different RBA_BLDRCMP_SEGMENT_NOT_FOUND.
Can’t cover the MCDC 1-0-1 and 1-1-0 of condition at the line 213 because it’s blocked by the condition at the line 154. </t>
  </si>
  <si>
    <t>Actual LOC: 102</t>
  </si>
  <si>
    <t>Actual LOC: 188</t>
  </si>
  <si>
    <t>BAIC_C62XP_ESPHevX_Int\BAICESPHevX\rb\as\baic\baic_core\app\dcom\RBAPLCust\src\common\RBAPLCUST_DiagnosticSessionControl.c</t>
  </si>
  <si>
    <t>No source file but ELOCs assign is zero =&gt; No problem</t>
  </si>
  <si>
    <t>rb\as\core\app\net\RBNetYRS\src\</t>
  </si>
  <si>
    <t>This testcase have not MCDC</t>
  </si>
  <si>
    <t>Actual LOC: 165</t>
  </si>
  <si>
    <t>Actual LOC: 30</t>
  </si>
  <si>
    <t>Actual LOC: 199</t>
  </si>
  <si>
    <t>KX63_FL_ACC_232961_BSS04</t>
  </si>
  <si>
    <t>HAIMA_238525_VF00_ESP_RC2_BSS03_SR</t>
  </si>
  <si>
    <t>GAC_Carbon_Stream_ESPCP_STRGAC_C201_BL06</t>
  </si>
  <si>
    <t>216916_FAW_E115_L3_ESPhev_APB(CBi)_BL60_STRFAW_C302</t>
  </si>
  <si>
    <t>225383_FAW_D365_High_BL30_STRFAW_C201</t>
  </si>
  <si>
    <t>E111_ESPHevx_BSL40_STRFAW_C301</t>
  </si>
  <si>
    <t>FAW_D365H/L_BSL30</t>
  </si>
  <si>
    <t>NET_SCL_VariantUpdate.c</t>
  </si>
  <si>
    <t xml:space="preserve">ApbParkBrakeCapability </t>
  </si>
  <si>
    <t xml:space="preserve">CTRL_ExtReqHandler </t>
  </si>
  <si>
    <t>RBVAR_PROJECT.c</t>
  </si>
  <si>
    <t>RBAPLCUST_RoutineControl_TPMSReset.c</t>
  </si>
  <si>
    <t>1.3.146314.0</t>
  </si>
  <si>
    <t>2.9.146314.0</t>
  </si>
  <si>
    <t>ApbMiGen2_ECU_CSW_BB00001</t>
  </si>
  <si>
    <t>CHERY_ESP93_CMP_RBEI_INTEGRATION</t>
  </si>
  <si>
    <t>HAIMA_VF00_ESP93_INT</t>
  </si>
  <si>
    <t>BSS03_SR</t>
  </si>
  <si>
    <t>BL60_STRFAW_C302</t>
  </si>
  <si>
    <t>BL30_STRFAW_C201</t>
  </si>
  <si>
    <t>BSL40_STRFAW_C301</t>
  </si>
  <si>
    <t>BSL30</t>
  </si>
  <si>
    <t>FAW_E111_ESPHevX_Int</t>
  </si>
  <si>
    <t>BB81384, BB81652</t>
  </si>
  <si>
    <t>BB81116, BB81175</t>
  </si>
  <si>
    <t>BB80835</t>
  </si>
  <si>
    <t>BB80773</t>
  </si>
  <si>
    <t>BB99856</t>
  </si>
  <si>
    <t>Moogambika Ratha Krishnan (RBEI/EBB7)</t>
  </si>
  <si>
    <t>Revathi Sundaram (RBEI/ESC1)</t>
  </si>
  <si>
    <t>YANG Zhongjian (CC-AS/EVA-SW2-CN)</t>
  </si>
  <si>
    <t>CNMS_226315_Deu_RPA_HevX_BL02</t>
  </si>
  <si>
    <t>CNMS_203173_Deu_HevX_BL02</t>
  </si>
  <si>
    <t>CNMS_179148_Deuterium_Super_20200626_BL02_SP01</t>
  </si>
  <si>
    <t>PAP_Odometry</t>
  </si>
  <si>
    <t>rbnm.c</t>
  </si>
  <si>
    <t>ASWIF_CommonConfig_Project.c</t>
  </si>
  <si>
    <t>RBA_NDS_Rpa_Callout.c</t>
  </si>
  <si>
    <t>RBAPLCUST_ExpectedOBDType.c</t>
  </si>
  <si>
    <t>WANG Bei (CC-AS/ESW2-CN)</t>
  </si>
  <si>
    <t>BL02_SP01</t>
  </si>
  <si>
    <t>\\bosch.com\dfsRB\DfsVN\LOC\Hc\RBVH\20_EPS\07_External\03_BanVien\CNMS\Esp9wAPBCPEncapSWCust_ECU_CSW_BB95572.axl</t>
  </si>
  <si>
    <t>4.2.104.1</t>
  </si>
  <si>
    <t>ASV_RequestCalculation</t>
  </si>
  <si>
    <t>PostRunCalculation</t>
  </si>
  <si>
    <t>VolAccuMax2qTgtCalculation</t>
  </si>
  <si>
    <t>CCO_Available</t>
  </si>
  <si>
    <t>CCO_TorqueRequest</t>
  </si>
  <si>
    <t>CCO_Toyota_DriveForceCalculations</t>
  </si>
  <si>
    <t>CCO_Toyota_InhibitFlags</t>
  </si>
  <si>
    <t>CCO_Toyota_OutFlags</t>
  </si>
  <si>
    <t>CCO_Toyota_TransferMode</t>
  </si>
  <si>
    <t>CCO_TransControlToStandBy</t>
  </si>
  <si>
    <t>CCO_TransFadeOutToControl</t>
  </si>
  <si>
    <t>CCO_TransOffToControl</t>
  </si>
  <si>
    <t>CCO_TransOffToStandBy</t>
  </si>
  <si>
    <t>CCO_TransStandByToControl</t>
  </si>
  <si>
    <t>CCO_TransStandByToOff</t>
  </si>
  <si>
    <t>CCO_TransControlToFadeOut</t>
  </si>
  <si>
    <t>CCO_TransFadeOutToOff</t>
  </si>
  <si>
    <t>CCO_VxTar</t>
  </si>
  <si>
    <t>DTElement</t>
  </si>
  <si>
    <t>BTC_SystGainAdj_Axe</t>
  </si>
  <si>
    <t>TCS_Ps_Switcher_BTC_SystGainAdj</t>
  </si>
  <si>
    <t>TOY_TRC_OFF_Brake_Control</t>
  </si>
  <si>
    <t>ApbTargetStateHandler</t>
  </si>
  <si>
    <t>DTStatusDecoder_AWD</t>
  </si>
  <si>
    <t>HDC_vDesDriverCoordinator</t>
  </si>
  <si>
    <t>Honda_AOL_torqueRequest</t>
  </si>
  <si>
    <t>Toy_4WD_SignalMapping</t>
  </si>
  <si>
    <t>Toy_Coupling_VARSignalMapping</t>
  </si>
  <si>
    <t>Toy_HDC_RotswitchTarspeed</t>
  </si>
  <si>
    <t>Toy_PATA_CalculatedIGP</t>
  </si>
  <si>
    <t>Toy_PCS_Timer_AbnormalJudgement</t>
  </si>
  <si>
    <t>Toyota_AOL_ACT_Analysis</t>
  </si>
  <si>
    <t>Toyota_ASTACT</t>
  </si>
  <si>
    <t>Toyota_AutoMode</t>
  </si>
  <si>
    <t>Toyota_aVehx2FiltPT1ForTestMode</t>
  </si>
  <si>
    <t>Toyota_CSP_PBA_Enable</t>
  </si>
  <si>
    <t>Toyota_DAC_MID</t>
  </si>
  <si>
    <t>Toyota_DAC_Switch</t>
  </si>
  <si>
    <t>Toyota_DAC_Targetspeed</t>
  </si>
  <si>
    <t>Toyota_DAMODE</t>
  </si>
  <si>
    <t>Toyota_Dem_EventID_ENG_C1_IGR</t>
  </si>
  <si>
    <t>Toyota_Dem_EventID_ENG_CL_IGP</t>
  </si>
  <si>
    <t>Toyota_EPBDDACT</t>
  </si>
  <si>
    <t>Toyota_FPB_PB_Enable</t>
  </si>
  <si>
    <t>Toyota_GVC_SignInvert</t>
  </si>
  <si>
    <t>Toyota_ICS_IB_Enable</t>
  </si>
  <si>
    <t>Toyota_IGP</t>
  </si>
  <si>
    <t>Toyota_IntgSW_DACStatemachine</t>
  </si>
  <si>
    <t>Toyota_IntgSW_PostSignalProcessing</t>
  </si>
  <si>
    <t>Toyota_IntgSW_PreSignalProcessing</t>
  </si>
  <si>
    <t>Toyota_IntgSWCrawl_PostSignalProcessing</t>
  </si>
  <si>
    <t>Toyota_IntgSWDAC_PostSignalProcessing</t>
  </si>
  <si>
    <t>Toyota_MTS_SignalPostProcessing</t>
  </si>
  <si>
    <t>Toyota_MTS_SignalPreProcessing</t>
  </si>
  <si>
    <t>Toyota_MTS_Statemachine</t>
  </si>
  <si>
    <t>Toyota_OMODE_PreProcessing</t>
  </si>
  <si>
    <t>Toyota_PAS_Enable</t>
  </si>
  <si>
    <t>Toyota_PAS_Pre</t>
  </si>
  <si>
    <t>Toyota_PBA_AssistLevel_Decision</t>
  </si>
  <si>
    <t>Toyota_PBA_AssistLevel_Execution_5ms</t>
  </si>
  <si>
    <t>Toyota_PBH_Enable</t>
  </si>
  <si>
    <t>Toyota_PCS_Common_Timer_FPB_PB_PBA_PBH</t>
  </si>
  <si>
    <t>Toyota_PCS_FS_AEB_Abandon</t>
  </si>
  <si>
    <t>Toyota_PCS_FS_FPB_PB_Activation</t>
  </si>
  <si>
    <t>Toyota_PCS_FVSCSFT</t>
  </si>
  <si>
    <t>Toyota_PCS_ICS_BH_Enable</t>
  </si>
  <si>
    <t>Toyota_PCS_Prohibit_Judgment</t>
  </si>
  <si>
    <t>Toyota_PCS_Sensor_Communication_Abnormal_Judgment</t>
  </si>
  <si>
    <t>Toyota_PCS_Testmode</t>
  </si>
  <si>
    <t>Toyota_RBFS_IntgSwMdSelKnobDACCrawl</t>
  </si>
  <si>
    <t>Toyota_RBFS_MTS</t>
  </si>
  <si>
    <t>Toyota_RequestEPBNotCompletelyApplied</t>
  </si>
  <si>
    <t>Toyota_TBC_BLA_request</t>
  </si>
  <si>
    <t>Toyota_TRCOFF_Control</t>
  </si>
  <si>
    <t>Toyota_TRCOFF_Control_Stop</t>
  </si>
  <si>
    <t>Toyota_TSH_GetApbHydDecelDisable</t>
  </si>
  <si>
    <t>Toyota_VMC_BLA_request</t>
  </si>
  <si>
    <t>Toyota_VMC_Deceleration_Arbitration</t>
  </si>
  <si>
    <t>Toyota_XFA_TargetStateHandling</t>
  </si>
  <si>
    <t>TSH_GetApbShiftSyncOpRelDisable</t>
  </si>
  <si>
    <t>Pata_HMI_Interface</t>
  </si>
  <si>
    <t>Toyota_Pata_ButtonPushed</t>
  </si>
  <si>
    <t>Toyota_Pata_ModeSelectionOutput</t>
  </si>
  <si>
    <t>RBVAR_AutoLearning_TOYOTA</t>
  </si>
  <si>
    <t>NET_MonitoringClasses_TOYOTA</t>
  </si>
  <si>
    <t>NET_SCL_RcvABG1S04_TOY</t>
  </si>
  <si>
    <t>NET_SCL_XmtEPB1S01_TOY</t>
  </si>
  <si>
    <t>NET_SCL_XmtVSC1G09_TOY</t>
  </si>
  <si>
    <t>NET_SCL_XmtVSC1S95_TOY</t>
  </si>
  <si>
    <t>5.32.118.0</t>
  </si>
  <si>
    <t>5.7.0.2.118.0</t>
  </si>
  <si>
    <t>5.22.1.2.118.0</t>
  </si>
  <si>
    <t>1.3.118.0</t>
  </si>
  <si>
    <t>1.4.118.0</t>
  </si>
  <si>
    <t>1.0.118.0</t>
  </si>
  <si>
    <t>1.1.118.0</t>
  </si>
  <si>
    <t>4.5.118.2</t>
  </si>
  <si>
    <t>1.6.118.2</t>
  </si>
  <si>
    <t>1.6</t>
  </si>
  <si>
    <t>1.10</t>
  </si>
  <si>
    <t>3.2</t>
  </si>
  <si>
    <t>1.1.118.1</t>
  </si>
  <si>
    <t>1.12</t>
  </si>
  <si>
    <t>2.3.93.0.1.1</t>
  </si>
  <si>
    <t>1.5</t>
  </si>
  <si>
    <t>2.2.93.1</t>
  </si>
  <si>
    <t>4.2</t>
  </si>
  <si>
    <t>2.2.93.3</t>
  </si>
  <si>
    <t>2.3.93.8</t>
  </si>
  <si>
    <t>2.1.93.1</t>
  </si>
  <si>
    <t>1.0.93.2</t>
  </si>
  <si>
    <t>2.0.93.3</t>
  </si>
  <si>
    <t>1.0.93.1</t>
  </si>
  <si>
    <t>2.1.93.5</t>
  </si>
  <si>
    <t>1.0.118.6</t>
  </si>
  <si>
    <t>4.0.118.10.1.4</t>
  </si>
  <si>
    <t>6.6</t>
  </si>
  <si>
    <t>6.10.1.6.0.5</t>
  </si>
  <si>
    <t>rb.as.core.app.asw.hal.hals1uhd</t>
  </si>
  <si>
    <t>rb.as.core.app.asw.ldm.cco</t>
  </si>
  <si>
    <t>rb.as.toy.cmpuhd.app.asw.custtarball</t>
  </si>
  <si>
    <t>rb.as.toy.cmpuhd.app.var</t>
  </si>
  <si>
    <t>TOY_800B_780B_CV1_Snapshot5</t>
  </si>
  <si>
    <t>Venkata Mahesh, Kumpatla</t>
  </si>
  <si>
    <t>Briggs, Jennifer</t>
  </si>
  <si>
    <t>Sugisawa, Toshifumi</t>
  </si>
  <si>
    <t>Sourab, Gopal Rao</t>
  </si>
  <si>
    <t>Thomas, George</t>
  </si>
  <si>
    <t>Kaur, Jaspreet</t>
  </si>
  <si>
    <t>Galliers, Brittany</t>
  </si>
  <si>
    <t>Sahu, Ashish Kumar</t>
  </si>
  <si>
    <t>Mounika, Thalluri</t>
  </si>
  <si>
    <t>Behera Sourav (RBEI/ESJ31)</t>
  </si>
  <si>
    <t>Wagner Steffen (CC-AS/EAB1)</t>
  </si>
  <si>
    <t>MT_083</t>
  </si>
  <si>
    <t>MT_085</t>
  </si>
  <si>
    <t>MT_086</t>
  </si>
  <si>
    <t>MT_087</t>
  </si>
  <si>
    <t>MT_088</t>
  </si>
  <si>
    <t>MT_091</t>
  </si>
  <si>
    <t>MT_093</t>
  </si>
  <si>
    <t>MT_094</t>
  </si>
  <si>
    <t>MT_095</t>
  </si>
  <si>
    <t>MT_096</t>
  </si>
  <si>
    <t>MT_097</t>
  </si>
  <si>
    <t>MT_098</t>
  </si>
  <si>
    <t>MT_109</t>
  </si>
  <si>
    <t>MT_110</t>
  </si>
  <si>
    <t>MT_113</t>
  </si>
  <si>
    <t>MT_115</t>
  </si>
  <si>
    <t>MT_117</t>
  </si>
  <si>
    <t>MT_118</t>
  </si>
  <si>
    <t>MT_119</t>
  </si>
  <si>
    <t>MT_121</t>
  </si>
  <si>
    <t>MT_122</t>
  </si>
  <si>
    <t>MT_123</t>
  </si>
  <si>
    <t>MT_125</t>
  </si>
  <si>
    <t>MT_126</t>
  </si>
  <si>
    <t>MT_127</t>
  </si>
  <si>
    <t>MT_128</t>
  </si>
  <si>
    <t>MT_129</t>
  </si>
  <si>
    <t>MT_131</t>
  </si>
  <si>
    <t>MT_132</t>
  </si>
  <si>
    <t>MT_133</t>
  </si>
  <si>
    <t>MT_134</t>
  </si>
  <si>
    <t>MT_135</t>
  </si>
  <si>
    <t>MT_136</t>
  </si>
  <si>
    <t>MT_137</t>
  </si>
  <si>
    <t>MT_138</t>
  </si>
  <si>
    <t>MT_140</t>
  </si>
  <si>
    <t>MT_141</t>
  </si>
  <si>
    <t>MT_142</t>
  </si>
  <si>
    <t>MT_144</t>
  </si>
  <si>
    <t>MT_146</t>
  </si>
  <si>
    <t>MT_147</t>
  </si>
  <si>
    <t>BB99711</t>
  </si>
  <si>
    <t>ToyotaCMP_BB99711</t>
  </si>
  <si>
    <t>T504</t>
  </si>
  <si>
    <t>cannot cover out range max at line 50 because limitation condition at line 34</t>
  </si>
  <si>
    <t>Line #763: Can't cover false case. Because of the condition at line #754 and line #759. =&gt; vfzref much be greater than P_V_thr_low_AUTOLSD and less than P_V_thr_high_AUTOLSD. =&gt; if the variable AutoLSDActive == true then codition at line #759 is TRUE, if the variable AutoLSDActive == false then codition at line #763 is TRUE.</t>
  </si>
  <si>
    <t>Tool issue</t>
  </si>
  <si>
    <t>- Can't cover for false case of condition at line#270. Because it is out of range for array g_DCOM_SecAccessAttCntr_u8 at line#297.</t>
  </si>
  <si>
    <t>CNMS_12-06\CNMS_ESP\rb\as\rbcn\core\app\net\RBNm\src</t>
  </si>
  <si>
    <t>DFN_ESP_Gen9.3_534_238307_BS04SP01</t>
  </si>
  <si>
    <t>BJEV_N60/N61_4WD_BL74</t>
  </si>
  <si>
    <t>243324_DFSK_F517/F527/F537_EVR_DA_Carbon_ESP9.3</t>
  </si>
  <si>
    <t>SAIC_ZS12HEV_noneDA_ESP93_241954_BSS01</t>
  </si>
  <si>
    <t>MC_239507_SGMW_CN210S_PHEV_ESP9.3CPi</t>
  </si>
  <si>
    <t>NET_SCL_Tx_DFN.c</t>
  </si>
  <si>
    <t xml:space="preserve">ATM_SpeedLimit </t>
  </si>
  <si>
    <t>RBAPLCUST_WDBI_NVMData.c</t>
  </si>
  <si>
    <t>NET_SCL_InitPrc_CNMS.c</t>
  </si>
  <si>
    <t>RBAPLCUST_RDBI_NVMData.c</t>
  </si>
  <si>
    <t>NET_SCL_Rx_Clutch_DFSK.c</t>
  </si>
  <si>
    <t>rba_BldrCmp_Cfg_CheckMemTask_BCL.c</t>
  </si>
  <si>
    <t>PV_Checksum_AlivRC.c</t>
  </si>
  <si>
    <t>SAS_Functions.c</t>
  </si>
  <si>
    <t>NET_SCL_Rx_SGMW.c</t>
  </si>
  <si>
    <t>Can't cover MCDC at line#262, line#270 and line#274 because variable ls_TargetGear_SignalFailIndication_B has been assigned value</t>
  </si>
  <si>
    <t>-Owner confirm this code can passed</t>
  </si>
  <si>
    <t>- Developer said that deadcode is not supported in src code.</t>
  </si>
  <si>
    <t>Can't cover MCDC at lline#135 because variable takes two opposite value.</t>
  </si>
  <si>
    <t>BB81615</t>
  </si>
  <si>
    <t>BB81812</t>
  </si>
  <si>
    <t>BB81808</t>
  </si>
  <si>
    <t>BB81377</t>
  </si>
  <si>
    <t>BL74</t>
  </si>
  <si>
    <t>BS04SP01</t>
  </si>
  <si>
    <t>BSS01</t>
  </si>
  <si>
    <t>SGMW_ESP93_Carbon_Int</t>
  </si>
  <si>
    <t>SAIC_A_ARCH_CMP_ESP93_Carbon_Int</t>
  </si>
  <si>
    <t>DFSK_ESP_Carbon_Int</t>
  </si>
  <si>
    <t>ATM_ECU_CSW_BB00001.axl</t>
  </si>
  <si>
    <t>DFN_Venucia_ESP93_Carbon_Int</t>
  </si>
  <si>
    <t>1.3.147310.0</t>
  </si>
  <si>
    <t>BAO Eric (CC-AS/EVA-SW32-CN)</t>
  </si>
  <si>
    <t>ZHANG Ray (CC-AS/EVA-SW31-CN)</t>
  </si>
  <si>
    <t>Nguyen Hoang Huong Giang (RBVH/EAS11)</t>
  </si>
  <si>
    <t>CHENG Jie (CC-AS/EVA-SW1-CN)</t>
  </si>
  <si>
    <t>LI Hongyu (CC-AS/EVA-SW32-CN)</t>
  </si>
  <si>
    <t>FAW_MainPath_V2.0_Int\MainstreamF30\rb\as\fawMP\prjConf\app\dsm\RBVoltageHandler\src</t>
  </si>
  <si>
    <t>Regen_FA_Calc_Coast_Nio</t>
  </si>
  <si>
    <t>Regen_RA_Calc_Coast_Nio</t>
  </si>
  <si>
    <t>DTCActionPostRun</t>
  </si>
  <si>
    <t>Line #51 : Can't cover case assignment to EPBLockMaxDurationTimer out range max. Because of max value of the variable EPBLockMaxDurationTimer is equal to 5 and tolerance is 0.005, and max value of local parameter C_SSMtVehSecuredReqMax is equal to 5, and the imported parameter P_AEBdT is equal to 0.005 (non-calib). =&gt; when the condition at line #42 is TRUE, local param C_SSMtVehSecuredReqMax = 5, variable EPBLockMaxDurationTimer = 4.995. =&gt; at line #45: max of value EPBLockMaxDurationTimer = 4.995 + 0.005 = 5</t>
  </si>
  <si>
    <t xml:space="preserve">Cannot cover out range max at line 16 because litmited condition at line 14:
+ range t_Prefill_PBR_LPB_PB_PBH_Request: [0-320]
+ range C_t_PCS_request_max = P_t_PCS_request_max: [0-20]
</t>
  </si>
  <si>
    <t>DFN_Venucia_ESP93_Carbon_Int\MainstreamF30\rb\as\venucia\project\app\net\RBScl\src\NET_SCL_Tx_DFN.c</t>
  </si>
  <si>
    <t>DFN_Venucia_ESP93_Carbon_Int\MainstreamF30\rb\as\cnms_core\app\net\scl\LDMFunctions\ACC\src\NET_SCL_Rx_ACC.c</t>
  </si>
  <si>
    <t>Actual LOC: 442</t>
  </si>
  <si>
    <t>Actual LOC: 678</t>
  </si>
  <si>
    <t>Wrong path</t>
  </si>
  <si>
    <t>Can't cover case default for switch at line #87 because IntgSW_CrawlState only had 3 value
Can't cover outrange min at line #55 because (IntgSwMdSelKnobCount - IntgSwMdSelKnobCount_K1) always &gt;=0 (due to condition at line #53)
Can't cover outrange max at line #68 because (IntgSwMdSelKnobCount - IntgSwMdSelKnobCount_K1) always &gt;=0 (due to condition at line #66)</t>
  </si>
  <si>
    <t>rb\as\fawIPB\core\app\dcom\RBAPLCust\src\common\RBAPLCUST_VariandCode.c</t>
  </si>
  <si>
    <t>RBAPLCUST_VariandCode.c</t>
  </si>
  <si>
    <t>-Line 28: Loc_vDT = vAvgDT + (vMin1DT-vAvgDT)*FS_Act_SpdDiff_Factor; //BUG: can not cover out range max/min value because it is a filter and FS_Act_SpdDiff_Factor is limit range [0-1]</t>
  </si>
  <si>
    <t>-Line 18: MPropStepDecrease = MPropStepDecrease * Factor_Post_NonLowmue_ //BUG: can not cover out range max/min value because it is a filter and DeltaTime is limit range [0-0.2]</t>
  </si>
  <si>
    <t>-Line 64: Loc_vDT_NoTrq = vAvgDT + (vMin12DT-vAvgDT)*FS_NoTrq_SpdDiff_Factor;
- line 101: MPropIncPerCycle_P = LOC_Kp_NoTrq * (vThreshTarget_NoTrqIControl - Loc_vDT_NoTrq); //BUG: can not cover out range max/min value because it is a filter and DeltaTime is limit range [0-0.2]</t>
  </si>
  <si>
    <t>Line #5: Can't cover  assignment to CCO_Toyota_AxFiltered out range value min, max. Because of param "C_Toyota_GSensorFilter" &lt; 1, min/max value of "CCO_Toyota_Ax" and "CCO_Toyota_AxFilteredK1" and "CCO_Toyota_AxFiltered" is the same ( min = -30, max = 30)</t>
  </si>
  <si>
    <t>Param 1D can't cover full C0/C1
Can't cover case default because IntgSW_CrawlState only had 3 value
Can't cover outrange min at line #74 because (IntgSwMdSelKnobCount - IntgSwMdSelKnobCount_K1) always &gt;=0 (due to condition at line #72)
Can't cover outrange max at line #87 because (IntgSwMdSelKnobCount - IntgSwMdSelKnobCount_K1) always &gt;=0 (due to condition at line #85)</t>
  </si>
  <si>
    <t>Param1D can't cover full C0/C1
Can't cover default case at line #102 because MTSState had only 3 value</t>
  </si>
  <si>
    <t>Cannot cover out range max</t>
  </si>
  <si>
    <t>Canatata Test</t>
  </si>
  <si>
    <t>cannot cover false case at line 5 because when line 5 false =&gt; line 1 true =&gt; line 5 cannot reach</t>
  </si>
  <si>
    <t>FAW_MainPath_V2.0_Int\MainstreamF30\rb\as\fawMP\fawcore\app\dcom\RBAPLCust\src\ESP</t>
  </si>
  <si>
    <t>Can't cover MCDC at line#14 because two variables make the (F&amp;&amp;F) in this MCDC also cause make the MCDC at line#2  true</t>
  </si>
  <si>
    <t>Double effort 
Please comment follow ASPICE Standard
No function to test</t>
  </si>
  <si>
    <t>Double effort 
Please comment follow ASPICE Standard</t>
  </si>
  <si>
    <t>cannot cover false case at line 19 because DAMODE_AVH, DAMODE_ACC, DAMODE_AEB are enum have only 4 element value</t>
  </si>
  <si>
    <t>'Param1D can't cover full C0/C1</t>
  </si>
  <si>
    <t>duong.nguyen-tuan</t>
  </si>
  <si>
    <t>Cannot cover true case at line 32 because at line 28, b0 always greater than 0 ( P_LDMdT = 0.02), we need (u-y) = 0 in other to (y == yK1) true =&gt; (u != y) false =&gt; condition at line 32 false
Cannot cover out range max min at line 28 because range of b0 :[0-1]</t>
  </si>
  <si>
    <t>HAIMA_VF00_ESP93_INT\MainstreamF30\rb\as\cnms_core\app\net\scl_callout\src\RBA_NDS_SystemInfo.c</t>
  </si>
  <si>
    <t>CHERY_ESP93_CMP_RBEI_INTEGRATION\MainstreamF30\rba\Bldr\config\Infrastruct\rba_AS_HWProt\src\rba_AS_HWProt.c</t>
  </si>
  <si>
    <t>FAW_MainPath_V2.0_Int\MainstreamF30\rb\as\fawMP\prjConf\app\dsm\RBVAR\src\RBVAR_VarCode_PROJECT.c</t>
  </si>
  <si>
    <t>FAW_MainPath_V2.0_Int\MainstreamF30\rb\as\fawMP\prjConf\dsmpr\src\RBVAR\RBVAR_PROJECT.c</t>
  </si>
  <si>
    <t>FAW_MainPath_V2.0_Int\MainstreamF30\rb\as\fawMP\fawcore\app\dcom\RBAPLCust\src\common\RBAPLCUST_SecurityAccess.c</t>
  </si>
  <si>
    <t>FAW_MainPath_V2.0_Int\MainstreamF30\rb\as\fawMP\fawcore\app\dcom\RBAPLCust\src\ESP\RBAPLCUST_RoutineControl_TPMSReset.c</t>
  </si>
  <si>
    <t>GAC_ESP93CP_Carbon_Int\MainstreamF30\rb\as\gaig\A12ESP\app\net\RBScl\RBScl_GAC\src</t>
  </si>
  <si>
    <t>FAW_E111_ESPHevX_Int\CNMSESPHevX\rb\as\faw\prj\dsmpr\src\RBVAR\RBVAR_PROJECT.c</t>
  </si>
  <si>
    <t>DFSK_ESP_Carbon_Int\MainstreamF30\rb\as\dfsk\core\app\dcom\RBAPLCust\src\common\RBAPLCUST_WDBI_NVMData.c</t>
  </si>
  <si>
    <t>DFSK_ESP_Carbon_Int\MainstreamF30\rb\as\dfsk\CpiwAPB\app\dsm\RBHMI\src\RBHMI_ConfigOutputDriver_PRJ.c</t>
  </si>
  <si>
    <t>DFSK_ESP_Carbon_Int\MainstreamF30\rb\as\dfsk\CpiwAPB\app\dsm\RBVAR\src\RBVAR_OutputDriver_PROJECT.c</t>
  </si>
  <si>
    <t>DFSK_ESP_Carbon_Int\MainstreamF30\rb\as\dfsk\CpiwAPB\app\net\RbNetPrj\RBNet_Can\src\NET_SCL_InitPrc_CNMS.c</t>
  </si>
  <si>
    <t>DFSK_ESP_Carbon_Int\MainstreamF30\rb\as\dfsk\core\app\dcom\RBAPLCust\src\common\RBAPLCUST_RDBI_NVMData.c</t>
  </si>
  <si>
    <t>DFSK_ESP_Carbon_Int\MainstreamF30\rb\as\dfsk\CpiwAPB\app\net\RBScl\RBScl_DFSK\src\NET_SCL_Rx_Clutch_DFSK.c</t>
  </si>
  <si>
    <t>DFSK_ESP_Carbon_Int\MainstreamF30\rba\Bldr\config\Infrastruct\rba_AS_HWProt\src\rba_AS_HWProt.c</t>
  </si>
  <si>
    <t>SAIC_A_ARCH_CMP_ESP93_Carbon_Int\MainstreamF30\rb\as\saic\CpiwAPB\app\net\RBScl\ZS12HEV\src\PV_Checksum_AlivRC.c</t>
  </si>
  <si>
    <t>SGMW_ESP93_Carbon_Int\MainstreamF30\rb\as\cnms_core\app\net\scl\Sensors\Steering\src\SAS_Functions.c</t>
  </si>
  <si>
    <t>SGMW_ESP93_Carbon_Int\MainstreamF30\rb\as\sgmw\CN210S\app\net\RBScl\RBScl_SGMW\src\NET_SCL_Rx_SGMW.c</t>
  </si>
  <si>
    <t>- Don't have function to test</t>
  </si>
  <si>
    <t>CNMS_12-06\CNMS_ESPHevX\rb\as\rbcn\esphevx\app\net\RBScl\src\ComScl_Scl_Complex_proc.c</t>
  </si>
  <si>
    <t>CNMS_12-06\CNMS_ESP\rb\as\cnms_core\app\net\scl\src\Callout_Functions\RBA_NDS_Engine_Callout.c</t>
  </si>
  <si>
    <t>CNMS_12-06</t>
  </si>
  <si>
    <t>Remain</t>
  </si>
  <si>
    <t>LOC Complete without remain</t>
  </si>
  <si>
    <t>Remain previous month (late release)</t>
  </si>
  <si>
    <t>Refer Total KPI</t>
  </si>
  <si>
    <t xml:space="preserve">Line #62:  Can't cover false case. Because:
+ If the condition at line #27 is TRUE =&gt; the condition at line #42 is TRUE =&gt; the condition at line #52 TRUE. The value of variable "CCO_VxTarRamp" at line #44 is greater than value of varible "l_CCO_VxTar" at line #54 =&gt; the value of varible "CCO_VxTarRamp" at line #54 is equal to the value of varible "l_CCO_VxTar" at line #54.  
+ If the condition at line #33 is TRUE =&gt;  the condition at line #42 is TRUE =&gt; the condition at line #56 TRUE. The value of variable "CCO_VxTarRamp" at line #44 is less than value of varible "l_CCO_VxTar" at line #58 =&gt; the value of varible "CCO_VxTarRamp" at line #58 is equal to the value of varible "l_CCO_VxTar" at line #58.  </t>
  </si>
  <si>
    <t>CNMS_12-06
\\bosch.com\dfsRB\DfsVN\LOC\Hc\RBVH\20_EPS\07_External\03_BanVien\CNMS\1473080</t>
  </si>
  <si>
    <t>Total LOC complete without remain</t>
  </si>
  <si>
    <t>Redundant LOC</t>
  </si>
  <si>
    <t>Redundant Manday</t>
  </si>
  <si>
    <t>Cannot cover full C0/C1 because param1D at line 14, 38
Line#25: Unable to coverage out range max because of the condition at line#21, (P_dT_TCS = 0.02)</t>
  </si>
  <si>
    <t>Param 1D can't cover full C0/C1</t>
  </si>
  <si>
    <t>-Can’t get maximum return value in case return value over than maximum value at line#15
=&gt;Owner confirm it could be ignore</t>
  </si>
  <si>
    <t>GEEA2.0_ESP9.3_CMP_BL07 (BG1) Sprint 5</t>
  </si>
  <si>
    <t>237281_GAC_A76_CarbonESP9.3CP_BL05_TestExecution</t>
  </si>
  <si>
    <t>GAC_Carbon_RPA_ESPHevx_Mainpath_BL07</t>
  </si>
  <si>
    <t>GAC_248804_Carbon_A18_ESPHevx_FPA_EC1</t>
  </si>
  <si>
    <t>Geely_FS11_ESP9.3HD_BL06_SP01</t>
  </si>
  <si>
    <t>GEEA2.0_iBooster_CMP_BL07_BG2_SprintCSW</t>
  </si>
  <si>
    <t>235199_SAIC_EP21_MCE_ESP9.3HevX_BSS03_SP04</t>
  </si>
  <si>
    <t>HHT_VX1_ESPHevX_BL2.1</t>
  </si>
  <si>
    <t>EVG Platform ESPHevx BL1 SP01</t>
  </si>
  <si>
    <t>Obd_Cvn_CalId.c</t>
  </si>
  <si>
    <t>ObdCyclesHandler.c</t>
  </si>
  <si>
    <t>APBFunctionLamp_GAC</t>
  </si>
  <si>
    <t>RBHMI_LDMLamp_CNMS.C</t>
  </si>
  <si>
    <t>NET_SCL_Tx_DriverReminder_Period.c</t>
  </si>
  <si>
    <t>VFCBrake.c</t>
  </si>
  <si>
    <t>ComScl_Scl_Complex.c</t>
  </si>
  <si>
    <t>ComScl_TxCbk.c</t>
  </si>
  <si>
    <t>2.0.1.4</t>
  </si>
  <si>
    <t>CEVT_GEEA_DeuteriumR_DEV</t>
  </si>
  <si>
    <t>GAC_ESPHevX_HADHAP_Int</t>
  </si>
  <si>
    <t>Geely_ESP93_Carbon_Int</t>
  </si>
  <si>
    <t>GEEA2_0-IB2-CSW-Deuterium-Development</t>
  </si>
  <si>
    <t>SAIC_EP_CMP_ESPHevX_Int</t>
  </si>
  <si>
    <t>HHT_VX1_ESPHevX_Carbon_Int</t>
  </si>
  <si>
    <t>EVG_Deuterium_RPAHevx_Platform_Int</t>
  </si>
  <si>
    <t>Madhwaraja Harivanam (RBEI/ESH32)</t>
  </si>
  <si>
    <t>LIU Qiang (CC-AS/EVA-SW2-CN)</t>
  </si>
  <si>
    <t>ZHOU Xiaoxi (CC-AS/EVA-SW31-CN)</t>
  </si>
  <si>
    <t>CHEN Xiaomin (CC-AS/EVA-SW31-CN)</t>
  </si>
  <si>
    <t>VELLAISAMY Senthil Kumar (CC-AS/EVA-SW32-CN)</t>
  </si>
  <si>
    <t>JIANG Yan (CC-AS/EVA-SW32-CN)</t>
  </si>
  <si>
    <t>TANG Yanqi (CC-AS/EVA-SW31-CN)</t>
  </si>
  <si>
    <t>YAN Jiebing (BEG/ESW-CN)</t>
  </si>
  <si>
    <t>ZHAO Qixian (BEG/ESW-CN)</t>
  </si>
  <si>
    <t>BB81518</t>
  </si>
  <si>
    <t>BB99228</t>
  </si>
  <si>
    <t>BB82508</t>
  </si>
  <si>
    <t>BB97958</t>
  </si>
  <si>
    <t>BB81519</t>
  </si>
  <si>
    <t>BB81483</t>
  </si>
  <si>
    <t>BB80426</t>
  </si>
  <si>
    <t>BB82465</t>
  </si>
  <si>
    <t>BL07 (BG1) Sprint 5</t>
  </si>
  <si>
    <t>BL05_TestExecution</t>
  </si>
  <si>
    <t>BL07</t>
  </si>
  <si>
    <t>BL06_SP01</t>
  </si>
  <si>
    <t>BL07_BG2_SprintCSW</t>
  </si>
  <si>
    <t>BSS03_SP04</t>
  </si>
  <si>
    <t>BL2.1</t>
  </si>
  <si>
    <t>BL1 SP01</t>
  </si>
  <si>
    <t>CEVT_GEEA_DeuteriumR_DEV\GEEA2.0\rb\as\cevt\Geely\app\obd\ObdCvnCalId\src\Obd_Cvn_CalId.c</t>
  </si>
  <si>
    <t>CEVT_GEEA_DeuteriumR_DEV\GEEA2.0\rb\as\cevt\Geely\app\obd\ObdCyclesHandler\src\ObdCyclesHandler.c</t>
  </si>
  <si>
    <t>GAC_ESPHevX_HADHAP_Int\CNMSHevXHADHAP\rb\as\gaig\core\app\net\RBScl\src\NET_SCL_GAC_Complex_function.c</t>
  </si>
  <si>
    <t>GAC_ESPHevX_HADHAP_Int\CNMSHevXHADHAP\rb\as\gaig\prj\dsmpr\src\RBHMI\src\RBHMI_LDMLamp_CNMS.C</t>
  </si>
  <si>
    <t>GAC_ESPHevX_HADHAP_Int\CNMSHevXHADHAP\rb\as\gaig\core\app\dsm\RBVAR\BB82508A18EC\src\RBVAR_OutputDriver_PROJECT.c</t>
  </si>
  <si>
    <t>GAC_ESPHevX_HADHAP_Int\CNMSHevXHADHAP\rb\as\gaig\core\app\dsm\RBVAR\BB82508A18EC\src\RBVAR_VarCode_PROJECT.c</t>
  </si>
  <si>
    <t>Geely_ESP93_Carbon_Int\MainstreamF30\rb\as\geely\CpiwAPB\app\net\RBScl\src\Xmt\NET_SCL_Tx_DriverReminder_Period.c</t>
  </si>
  <si>
    <t>SAIC_EP_CMP_ESPHevX_Int\ESPhevXSAICEP\rb\as\saicep\esphevx\app\net\RBScl\src\ComScl_Scl_Complex.c</t>
  </si>
  <si>
    <t>HHT_VX1_ESPHevX_Carbon_Int\HHTESPHevX\rb\as\hht\vx1\netpr\gen\Cubas\CANxCAN_iBooster\ComScl_TxCbk.c</t>
  </si>
  <si>
    <t>EVG_Deuterium_RPAHevx_Platform_Int\EVGRPAhevX\rb\as\EVG\rpahevx\dsmpr\rbemm\src\RBEMM_Project.c</t>
  </si>
  <si>
    <t>RBHMI_ConfigOutputDrive_PRJ.c</t>
  </si>
  <si>
    <t>EVG_Deuterium_RPAHevx_Platform_Int\EVGRPAhevX\rb\as\EVG\core\app\dsm\RBHMI\src\RBHMI_ConfigOutputDrive_PRJ.c</t>
  </si>
  <si>
    <t>-Owner feedback is no impact</t>
  </si>
  <si>
    <t>CNMS_12-06\CNMSRPAhevX\rb\as\rbcn\rpahevx\dsmpr\rbemm\src\RBEMM_Project.c</t>
  </si>
  <si>
    <t>-Can’t cover full case condition at line# 105 because variable take two opposite value</t>
  </si>
  <si>
    <t>CNMS_12-06\CNMS_ESP\rb\as\cnms_core\app\net\scl\src\Callout_Functions\RBA_NDS_SystemInfo.c</t>
  </si>
  <si>
    <t>- Can’t cover case TRUE of condition(loopcount &lt; C_SensSwVersLen_UB)at line #103 because at line #101 value of count is 53. Similar condition at line #(110 ,117 ,131 ,138 ,144).</t>
  </si>
  <si>
    <t>FAW_E115_ESP_ESPhev</t>
  </si>
  <si>
    <t>FAW_E115_IB2_BSL60</t>
  </si>
  <si>
    <t>\rba\Bldr\bldr\src\</t>
  </si>
  <si>
    <t>\rba\Bldr\bmgr\src\</t>
  </si>
  <si>
    <t>\rba\Bldr\comps\ApplicationLayer\rba_BldrHsm\src\</t>
  </si>
  <si>
    <t>\rba\Bldr\comps\ApplicationLayer\rba_BldrHsm\src</t>
  </si>
  <si>
    <t>\rba\Bldr\comps\ComplexDeviceDriver\rba_BldrBCLSigChk\src\</t>
  </si>
  <si>
    <t>\rba\Bldr\comps\ComplexDeviceDriver\rba_BldrFlsDrv\src\</t>
  </si>
  <si>
    <t>\rba\Bldr\config\ApplicationLayer\rba_BldrCmp\src\</t>
  </si>
  <si>
    <t>\rba\Bldr\config\ComplexDeviceDriver\rba_BldrFlsDrv\src\</t>
  </si>
  <si>
    <t>\rba\Bldr\config\SystemStack\rba_BldrHSM\src\</t>
  </si>
  <si>
    <t>rba_Bldr_main.c</t>
  </si>
  <si>
    <t>rba_Bmgr_main.c</t>
  </si>
  <si>
    <t>rba_BldrHsm_Cert.c</t>
  </si>
  <si>
    <t>rba_BldrHsm_Hash.c</t>
  </si>
  <si>
    <t>rba_BldrHsm_Keys.c</t>
  </si>
  <si>
    <t>rba_BldrHsm_Protections.c</t>
  </si>
  <si>
    <t>rba_BldrHsm_Rng.c</t>
  </si>
  <si>
    <t>rba_BldrHsm_SecFlash.c</t>
  </si>
  <si>
    <t>rba_BldrHsm_Session.c</t>
  </si>
  <si>
    <t>rba_BldrHsm_Suspend.c</t>
  </si>
  <si>
    <t>rba_BldrHsm_Version.c</t>
  </si>
  <si>
    <t>rba_BldrBCLSigChk.c</t>
  </si>
  <si>
    <t>rba_BldrFlsDrv.c</t>
  </si>
  <si>
    <t>rba_BldrFlsDrv_Cfg.c</t>
  </si>
  <si>
    <t>rba_BldrHsm_Cfg_Callouts.c</t>
  </si>
  <si>
    <t>FAW_L3_MainPath_HevX_Int</t>
  </si>
  <si>
    <t>FAW_E115_iBGen2_Int</t>
  </si>
  <si>
    <t>Priyanka Perumal (RBEI/EBB7)</t>
  </si>
  <si>
    <t>-Reuse OPL</t>
  </si>
  <si>
    <t>BSL60</t>
  </si>
  <si>
    <t>DFSK_ESP_Carbon_Int\MainstreamF30\rba\Bldr\comps\ApplicationLayer\rba_BldrCmp\src</t>
  </si>
  <si>
    <t>DFSK_ESP_Carbon_Int\MainstreamF30\rba\Bldr\config\ApplicationLayer\rba_BldrCmp\src</t>
  </si>
  <si>
    <t>-Can’t cover false case condition at line# 342.Because two variable in condition define by macro.</t>
  </si>
  <si>
    <t>owner confirm it's no impact.(Manual)</t>
  </si>
  <si>
    <t>Test auto by cantata tool, No comment</t>
  </si>
  <si>
    <t>Test by manual, No comment</t>
  </si>
  <si>
    <t>Test auto by cantata tool, comment manual</t>
  </si>
  <si>
    <t>Test manual by cantata tool, comment manual</t>
  </si>
  <si>
    <t>Test: Auto; Cmt: Auto</t>
  </si>
  <si>
    <t>Test: Manual; Cmt: Auto</t>
  </si>
  <si>
    <t>Test: Auto; Cmt: Manual</t>
  </si>
  <si>
    <t>Test: Manual; Cmt: Manual</t>
  </si>
  <si>
    <t>EXTERNAL Duong Chi Khang (Ban Vien, RBVH/EPS45)</t>
  </si>
  <si>
    <t>GEEA2_0-IB2-CSW-Deuterium-Development\iBoosterGen2\rb\as\mb\ib2\app\net_OBD_On\RBScl\src\Rcv\VFCBrake.c</t>
  </si>
  <si>
    <t>-can't cover function rba_BldrFlsDrv_Cfg_Write because pointer canCore_pvst is set to fix address.</t>
  </si>
  <si>
    <t>rba_BldrCmp_LogBlkHdl.c</t>
  </si>
  <si>
    <t>- Get assignment phase 1: 6/19/2020 =&gt; Complete 6/26/2020</t>
  </si>
  <si>
    <t xml:space="preserve">- Can’t cover case (F &amp;&amp; ?) || (T &amp;&amp; T) of decision: if(((ls_HMI_SmmCurrModestate_N == C_SMM_NET_ON_N) &amp;&amp; (ls_HMI_SmmPrevModestate_N == C_SMM_NORMAL_N)) || 
((ls_PostRun_B == TRUE) &amp;&amp; (ls_HMI_SmmCurrModestate_N == C_SMM_NET_ON_N))) at line #281
- Can’t cover case (T &amp;&amp; F) of decision: else if((g_ApbNodeNotInit_B == true) &amp;&amp; (STM_InfoState_getDegradationReason(STM_INFOSTATE_ApbDriveOff) !=InfoState_NotInitialized)) at line #323. Because when else if happened, the condition (STM_InfoState_getDegradationReason(STM_INFOSTATE_ApbDriveOff) !=InfoState_NotInitialized) always be true. </t>
  </si>
  <si>
    <t>- Can’t cover case F &amp;&amp; T of decision if(warmUpCycleStarted &amp;&amp; !warmUpCycleStartState) at line #561. warmUpCycleStarted is always set to true before this condition.</t>
  </si>
  <si>
    <t>-Manual</t>
  </si>
  <si>
    <t>Owner confirm it can be ignore</t>
  </si>
  <si>
    <t>-Actual ELOC is 1014</t>
  </si>
  <si>
    <t>rb.as.psa.core.app.asw.vdc.vdcwaddons_leantcs</t>
  </si>
  <si>
    <t>rb.as.psa.core.app.asw.tcs.leantcs20msvse</t>
  </si>
  <si>
    <t>rb.as.psa.core.app.asw.pwt.ptaxlesplit</t>
  </si>
  <si>
    <t>rb.as.psa.core.app.asw.custtarball</t>
  </si>
  <si>
    <t>rb.as.psa.core.app.asw.beo</t>
  </si>
  <si>
    <t>PSA_PHEVV1_BL16S2_83ASW_22June</t>
  </si>
  <si>
    <t>EXTERNAL Sravani Poojari (Brigosha, RBEI/PJ-OM-NE2-VS); Priyadarshini Sharma (RBEI/ESE31) Srivenkateswaran Narayanan (RBEI/ESE31)</t>
  </si>
  <si>
    <t>AnregIncreaseGen</t>
  </si>
  <si>
    <t>DyVDC_TCSPlus_UndersteeringControl</t>
  </si>
  <si>
    <t>DyVDC_EUCExtendedModes_SelectParameter</t>
  </si>
  <si>
    <t>DyVDC_EUCExtendedModes</t>
  </si>
  <si>
    <t>VSE_DrivingDirection_DDR</t>
  </si>
  <si>
    <t>TCS_Ps_Switcher_MTC_vSlipTarExtLimit</t>
  </si>
  <si>
    <t>TCS_Ps_Switcher_MTC_SystGainAdj</t>
  </si>
  <si>
    <t>TCS_Ps_Switcher_MTC_SlipAdj_wBTC</t>
  </si>
  <si>
    <t>TCS_Ps_Switcher_MTC_SlipAdj_Basic</t>
  </si>
  <si>
    <t>TCS_Ps_Switcher_BTC_GainScheduling</t>
  </si>
  <si>
    <t>TCS_Ps_Switcher_BTC_Factor</t>
  </si>
  <si>
    <t>TCS_Ps_Switcher_BTC_DiffNeeded</t>
  </si>
  <si>
    <t>TCS_Input_Switcher</t>
  </si>
  <si>
    <t>PSA_MTC_SlipAdj_VehicleStuck_LowTorqueDriveOff</t>
  </si>
  <si>
    <t>MTC_US_OS_Coordinator</t>
  </si>
  <si>
    <t>MTC_SystGainAdj_Axe</t>
  </si>
  <si>
    <t>MTC_SlipAdj_wBTC</t>
  </si>
  <si>
    <t>BTC_TarSlip_Switch</t>
  </si>
  <si>
    <t>BTC_TarMaker</t>
  </si>
  <si>
    <t>BTC_HiWhlRecovery</t>
  </si>
  <si>
    <t>BTC_Factor</t>
  </si>
  <si>
    <t>BTC_DiffNeeded</t>
  </si>
  <si>
    <t>PT_SwitchGearboxSignals</t>
  </si>
  <si>
    <t>TCS_TarPumpMotorSpeed</t>
  </si>
  <si>
    <t>TCS_CM_ParameterSet_Switcher</t>
  </si>
  <si>
    <t>TCS_AccelPedal_SetReset</t>
  </si>
  <si>
    <t>Psa_TCSPlus_VehicleStuck_LowTorqueDriveOff</t>
  </si>
  <si>
    <t>Psa_TCSPlus_TakeOffModeReq</t>
  </si>
  <si>
    <t>Psa_TCSPlus_TakeOffModeForbid</t>
  </si>
  <si>
    <t>Psa_TCSPlus_StabFactor_Calculation</t>
  </si>
  <si>
    <t>Psa_TCSPlus_ReturnDetectionModeReq</t>
  </si>
  <si>
    <t>Psa_TCSPlus_Ps_Switcher_TakeOffModeReq</t>
  </si>
  <si>
    <t>Psa_TCSPlus_Ps_Switcher_ProgressionModeReq</t>
  </si>
  <si>
    <t>Psa_TCSPlus_Ps_Switcher_MTCTargetSlip_Stability</t>
  </si>
  <si>
    <t>Psa_TCSPlus_Ps_Switcher_MTCTargetSlip_Slope</t>
  </si>
  <si>
    <t>Psa_TCSPlus_Ps_Switcher_MTCTargetSlip_DrivRes</t>
  </si>
  <si>
    <t>Psa_TCSPlus_Ps_Switcher_FastWheelDetection</t>
  </si>
  <si>
    <t>Psa_TCSPlus_Ps_Switcher_BTCTargetSlip_Stability</t>
  </si>
  <si>
    <t>Psa_TCSPlus_Ps_Switcher_AxControl</t>
  </si>
  <si>
    <t>Psa_TCSPlus_ProgressionModeReq</t>
  </si>
  <si>
    <t>Psa_TCSPlus_OpModeSelector</t>
  </si>
  <si>
    <t>Psa_TCSPlus_MTCTargetSlip_vRefSand</t>
  </si>
  <si>
    <t>Psa_TCSPlus_MTCTargetSlip_ThrPosTractionFactor</t>
  </si>
  <si>
    <t>Psa_TCSPlus_MTCTargetSlip_Stability</t>
  </si>
  <si>
    <t>Psa_TCSPlus_MTCTargetSlip_Slope</t>
  </si>
  <si>
    <t>Psa_TCSPlus_MTCTargetSlip_DrivingResistance</t>
  </si>
  <si>
    <t>Psa_TCSPlus_MTCTargetSlip_DriverIntention</t>
  </si>
  <si>
    <t>Psa_TCSPlus_MTCTargetSlip_Basic</t>
  </si>
  <si>
    <t>Psa_TCSPlus_MTCTargetSlip_AxControl</t>
  </si>
  <si>
    <t>Psa_TCSPlus_DetectionModeReq</t>
  </si>
  <si>
    <t>Psa_TCSPlus_BTCTargetSlip_Stability</t>
  </si>
  <si>
    <t>Psa_TCSPlus_BrioModeReq</t>
  </si>
  <si>
    <t>PSA_MTC_TarSlip_Constraints</t>
  </si>
  <si>
    <t>Psa_MTC_Info</t>
  </si>
  <si>
    <t>DyPSA_TCS_RpmControlFreeze_PID_I</t>
  </si>
  <si>
    <t>DyPSA_SCM_TimeOutMonitoring</t>
  </si>
  <si>
    <t>DyPSA_SCM_RequestTransmission</t>
  </si>
  <si>
    <t>DyPSA_SCM_Fault</t>
  </si>
  <si>
    <t>DyPSA_GBLifeSituation</t>
  </si>
  <si>
    <t>DyPSA_GBInterdiction</t>
  </si>
  <si>
    <t>Dy_TCSPlus_Phase1_Total_Max</t>
  </si>
  <si>
    <t>Dy_TCSPlus_Phase1_Temp_Limit</t>
  </si>
  <si>
    <t>Dy_TCSPlus_Phase1_Availability_Limitation</t>
  </si>
  <si>
    <t>Dy_PT_nDrvUnitTar</t>
  </si>
  <si>
    <t>Dy_LeanTCS_VehicleStuck_PW_BLS</t>
  </si>
  <si>
    <t>Dy_LeanTCS_VehicleStuck</t>
  </si>
  <si>
    <t>Dy_LeanTCS_VehicleSkid</t>
  </si>
  <si>
    <t>Dy_LeanTCS_SlowWheelTorqueRequired</t>
  </si>
  <si>
    <t>Dy_LeanTCS_FastWhlDetection</t>
  </si>
  <si>
    <t>DriveOffTrigger</t>
  </si>
  <si>
    <t>BEO_TotalEnergy</t>
  </si>
  <si>
    <t>BEO_DecelEnergy_RAFATraction</t>
  </si>
  <si>
    <t>BEO_DecelEnergy_FATraction</t>
  </si>
  <si>
    <t>8.0.115.0</t>
  </si>
  <si>
    <t>1.0.115.0</t>
  </si>
  <si>
    <t>1.1.115.1</t>
  </si>
  <si>
    <t>1.1.115.3</t>
  </si>
  <si>
    <t>1.2.115.1</t>
  </si>
  <si>
    <t>1.1.115.0</t>
  </si>
  <si>
    <t>1.45.115.9</t>
  </si>
  <si>
    <t>1.4.115.0</t>
  </si>
  <si>
    <t>1.3.115.0</t>
  </si>
  <si>
    <t>1.21.115.1</t>
  </si>
  <si>
    <t>1.22.115.0</t>
  </si>
  <si>
    <t>1.2.115.0</t>
  </si>
  <si>
    <t>1.29.115.0</t>
  </si>
  <si>
    <t>1.6.115.1</t>
  </si>
  <si>
    <t>1.7.115.0.1.0</t>
  </si>
  <si>
    <t>1.10.115.0</t>
  </si>
  <si>
    <t>2.0</t>
  </si>
  <si>
    <t>2.3</t>
  </si>
  <si>
    <t>2.4</t>
  </si>
  <si>
    <t>2.7</t>
  </si>
  <si>
    <t>4.3.115.0</t>
  </si>
  <si>
    <t>MT_015</t>
  </si>
  <si>
    <t>MT_016</t>
  </si>
  <si>
    <t>MT_017</t>
  </si>
  <si>
    <t>MT_018</t>
  </si>
  <si>
    <t>MT_019</t>
  </si>
  <si>
    <t>MT_022</t>
  </si>
  <si>
    <t>MT_023</t>
  </si>
  <si>
    <t>MT_026</t>
  </si>
  <si>
    <t>MT_029</t>
  </si>
  <si>
    <t>MT_030</t>
  </si>
  <si>
    <t>MT_031</t>
  </si>
  <si>
    <t>MT_032</t>
  </si>
  <si>
    <t>MT_033</t>
  </si>
  <si>
    <t>MT_034</t>
  </si>
  <si>
    <t>MT_035</t>
  </si>
  <si>
    <t>MT_036</t>
  </si>
  <si>
    <t>MT_037</t>
  </si>
  <si>
    <t>MT_040</t>
  </si>
  <si>
    <t>MT_041</t>
  </si>
  <si>
    <t>MT_042</t>
  </si>
  <si>
    <t>MT_043</t>
  </si>
  <si>
    <t>MT_044</t>
  </si>
  <si>
    <t>MT_046</t>
  </si>
  <si>
    <t>MT_048</t>
  </si>
  <si>
    <t>MT_049</t>
  </si>
  <si>
    <t>MT_050</t>
  </si>
  <si>
    <t>MT_051</t>
  </si>
  <si>
    <t>MT_054</t>
  </si>
  <si>
    <t>MT_055</t>
  </si>
  <si>
    <t>MT_056</t>
  </si>
  <si>
    <t>MT_057</t>
  </si>
  <si>
    <t>MT_058</t>
  </si>
  <si>
    <t>MT_059</t>
  </si>
  <si>
    <t>MT_065</t>
  </si>
  <si>
    <t>MT_082</t>
  </si>
  <si>
    <t>Dy_SFU_Inputs_Interface</t>
  </si>
  <si>
    <t>Dy_BrakeLightRequest</t>
  </si>
  <si>
    <t>YRC_Vehicle_LatJerk_Monitoring</t>
  </si>
  <si>
    <t>VLC_PSA_MixedControlMonitoring</t>
  </si>
  <si>
    <t>VLC_PSA_dAxTarLim</t>
  </si>
  <si>
    <t>VLC_PSA_BrakingAvailableForAdas</t>
  </si>
  <si>
    <t>VLC_PSA_AxMonitoring</t>
  </si>
  <si>
    <t>VLC_PSA_AccSignalConditioning</t>
  </si>
  <si>
    <t>TurnOnDelay_VLC</t>
  </si>
  <si>
    <t>TriggerUnavailable</t>
  </si>
  <si>
    <t>TriggerFaulty</t>
  </si>
  <si>
    <t>TriggerActiveEffective</t>
  </si>
  <si>
    <t>Pata_EnvironmentVariables_Dy</t>
  </si>
  <si>
    <t>Dy_EnableFilter_Sas</t>
  </si>
  <si>
    <t>MT_001</t>
  </si>
  <si>
    <t>MT_002</t>
  </si>
  <si>
    <t>MT_003</t>
  </si>
  <si>
    <t>MT_005</t>
  </si>
  <si>
    <t>MT_008</t>
  </si>
  <si>
    <t>MT_009</t>
  </si>
  <si>
    <t>MT_010</t>
  </si>
  <si>
    <t>MT_011</t>
  </si>
  <si>
    <t>MT_012</t>
  </si>
  <si>
    <t>MT_013</t>
  </si>
  <si>
    <t>MT_014</t>
  </si>
  <si>
    <t>2.8</t>
  </si>
  <si>
    <t>2.6</t>
  </si>
  <si>
    <t>1.8</t>
  </si>
  <si>
    <t>10.14</t>
  </si>
  <si>
    <t>rerun from 1.0</t>
  </si>
  <si>
    <t>Delta/New</t>
  </si>
  <si>
    <t>rerun from 1.2</t>
  </si>
  <si>
    <t>rb.as.psa.core.app.asw.WarningFunctions</t>
  </si>
  <si>
    <t>rb.as.psa.core.app.asw.LatCtrl_YRC</t>
  </si>
  <si>
    <t>PSA_EMP2V3_BL5S6_15ASW_22June</t>
  </si>
  <si>
    <t>T200</t>
  </si>
  <si>
    <t>T201</t>
  </si>
  <si>
    <t>T202</t>
  </si>
  <si>
    <t>T203</t>
  </si>
  <si>
    <t>T204</t>
  </si>
  <si>
    <t>T205</t>
  </si>
  <si>
    <t>PSA_CarbonB3_EMP2V3_Retrofit_AscetDB</t>
  </si>
  <si>
    <t>PSA_Gen9_3_CarbonB3_PHEVv1_AscetDB</t>
  </si>
  <si>
    <t>cannot cover full C0/C1 because of Param1D at line 8, 13</t>
  </si>
  <si>
    <t>Can't cover function rba_Bmgr_main because it have a forever loop at line#53.</t>
  </si>
  <si>
    <t>'cannot cover full C0/C1 because of Param1D at line 10, 23,36</t>
  </si>
  <si>
    <t>cannot cover full C0/C1 because of Param1D at line 10</t>
  </si>
  <si>
    <t>DFSK_ESP_Carbon_Int\MainstreamF30\rba\Bldr\config\ApplicationLayer\rba_BldrCmp\src\rba_BldrCmp_Cfg_CheckMemTask_BCL.c</t>
  </si>
  <si>
    <t>WEICHAI_ESP9.3_Mainstream_Int\MainstreamF30\rb\as\weichai\CpiwAPB\app\asw\apbmi\pbc\stub\src\pbc.c</t>
  </si>
  <si>
    <t>WEICHAI_ESP9.3_Mainstream_Int\MainstreamF30\rb\as\weichai\CpiwAPB\app\asw\ExampleSWC\ASW_Wrapper\src\ASW_Wrapper.c</t>
  </si>
  <si>
    <t>WEICHAI_ESP9.3_Mainstream_Int\MainstreamF30\rb\as\weichai\CpiwAPB\app\asw\ExampleSWC\OEM\src\OEM_SWC.c</t>
  </si>
  <si>
    <t>WEICHAI_ESP9.3_Mainstream_Int\MainstreamF30\rb\as\weichai\CpiwAPB\app\net\RBComscl\ComScl_Appl\Project\src\ComScl_Appl_ApplPorts.c</t>
  </si>
  <si>
    <t>WEICHAI_ESP9.3_Mainstream_Int\MainstreamF30\rb\as\weichai\CpiwAPB\app\rte\cfg\src\RTE_SubSystem.c</t>
  </si>
  <si>
    <t>WEICHAI_ESP9.3_Mainstream_Int\MainstreamF30\rb\as\weichai\CpiwAPB\dsmpr\cfg\CUBAS\src\cubas_Diag_project_Proc.c</t>
  </si>
  <si>
    <t>FAW_E115_iBGen2_Int\iBoosterGen2\rba\Bldr\comps\ApplicationLayer\rba_BldrHsm\src\rba_BldrHsm_Cert.c</t>
  </si>
  <si>
    <t>cannot cover full C0/C1 because of Param1D at line 10,14,18</t>
  </si>
  <si>
    <t>cannot cover full C0/C1 because of Param1D at Line 10,11,16,17,22,23</t>
  </si>
  <si>
    <t>cannot cover full C0/C1 because of Param1D at Line 10,11,9,22</t>
  </si>
  <si>
    <t>cannot cover full C0/C1 because of Param1D at Line 26</t>
  </si>
  <si>
    <t>CEVT_GEEA_DeuteriumR_DEV\GEEA2.0\rba\CUBAS\Diagnosis\Dem\src\evmem\Dem_EvMem.c</t>
  </si>
  <si>
    <t>Dem_EvMem.c</t>
  </si>
  <si>
    <t>FAW_C100_IPB1.1_BSS02</t>
  </si>
  <si>
    <t>WM_ASE-3_ESP9.3_HP BSS05</t>
  </si>
  <si>
    <t>BAIC_226403_C62XP_ESPHevX_BL70_STRBAIC_C301</t>
  </si>
  <si>
    <t>MC_248960_SGMW_CN220M_EC_ESP9.3CP_ACC_BL01</t>
  </si>
  <si>
    <t>rb\as\baic\baic_core\app\dcom\RBAPLCust\src\ESP\</t>
  </si>
  <si>
    <t>HMI_ApbFunctionLamp</t>
  </si>
  <si>
    <t>ApbAutoApplyExtTrigger</t>
  </si>
  <si>
    <t>VLC_LDMSelectedControllerPtActivation</t>
  </si>
  <si>
    <t>RBAPLCUST_RoutineControl_APBMi.c</t>
  </si>
  <si>
    <t>VlcLsm_ApbIsLocked_SignalSwitch</t>
  </si>
  <si>
    <t>HMI_ApbErrorLamp_Conti</t>
  </si>
  <si>
    <t>HMI_ApbFunctionLamp_Conti</t>
  </si>
  <si>
    <t>RBHMI_LDMLamp_SGMW.c</t>
  </si>
  <si>
    <t>BB82533</t>
  </si>
  <si>
    <t>BSS02</t>
  </si>
  <si>
    <t>BSS05</t>
  </si>
  <si>
    <t>BL70_STRBAIC_C301</t>
  </si>
  <si>
    <t>BL01</t>
  </si>
  <si>
    <t>ApbMiGen2Cust_IPB_ECU_CSW_BB99229.axl</t>
  </si>
  <si>
    <t>ApbMiGen2hevX_ECU_CSW_BB97468.axl</t>
  </si>
  <si>
    <t>VLCAPA_ECU_CSW_BB00001.axl</t>
  </si>
  <si>
    <t>CDDAP_BrakeNoLimitation_ECU_CSW_BB00001.axl</t>
  </si>
  <si>
    <t>1545266.zip</t>
  </si>
  <si>
    <t>ZHANG Linlin (CC-AS/EVA-SW2-CN)</t>
  </si>
  <si>
    <t>JIN Yichen (CC-AS/EVA-SW2-CN)</t>
  </si>
  <si>
    <t>GUO Liang (CC-AD/EYM-CN)</t>
  </si>
  <si>
    <t>Bui Thi Phuong Hang (RBVH/EAS11)</t>
  </si>
  <si>
    <t>2.0.147314.2</t>
  </si>
  <si>
    <t>1.5.147326.0</t>
  </si>
  <si>
    <t>[No1] Line 283: if (jobResult == MEMIF_JOB_OK)
Detail: Can not cover false condition because:
+ verify_length, flashparam_pst-&gt;ErrorCode_u32 can not updated at line 290 and line 297 =&gt; Loop at line 261 will be inifinite.</t>
  </si>
  <si>
    <t>Line #4 in method init: Can't cover out range min, max  assignment. Because of at line #3 "SFU_PT1_Whl_Decel_FL.init(0.0);"
Line #6 in method init: Can't cover out range min, max  assignment. Because of at line #5 "SFU_PT1_Whl_Decel_FR.init(0.0);"
Line #8 in method init: Can't cover out range min, max  assignment. Because of at line #7 "SFU_PT1_Whl_Decel_RL.init(0.0);"
Line #10 in method init: Can't cover out range min, max  assignment. Because of at line #9 "SFU_PT1_Whl_Decel_RR.init(0.0);"</t>
  </si>
  <si>
    <t>SGMW_ESP93_Mainstream_Int.zip</t>
  </si>
  <si>
    <t>SGMW_ESP93_Mainstream_Int\MainstreamF30\rb\as\sgmw\CN210S\app\dsm\RBHMI\src</t>
  </si>
  <si>
    <t>-Param 1D can't cover full C0/C1
-At the line #27, can't cover out range of min, max for anregincreasegen due to conflict behaviour</t>
  </si>
  <si>
    <t>[No1] Line 50: Line 50: (absoluteAddress_u32 &gt;= rba_BldrCmp_LogicalBlockTable_pst[rba_BldrCmp_BootCtrl_st.LogicalBlockIdx].BlockSegTable[rba_BldrCmp_BootCtrl_st.LogBlkCurSegment_u8].segment_begin)
Detail: Can not cover false condition case F &amp; ? because:
+ relativeAddress_u32, rba_BldrCmp_LogicalBlockTable_pst[rba_BldrCmp_BootCtrl_st.LogicalBlockIdx].BlockSegTable[rba_BldrCmp_BootCtrl_st.LogBlkCurSegment_u8].segment_begin) is uint32
+ The value of calculation at line 47 is always greater or equal rba_BldrCmp_LogicalBlockTable_pst[rba_BldrCmp_BootCtrl_st.LogicalBlockIdx].BlockSegTable[rba_BldrCmp_BootCtrl_st.LogBlkCurSegment_u8].segment_begin</t>
  </si>
  <si>
    <t>Can't cover outrange max of tHoldMb += P_dT_TCS at line #76 because if tHoldMb = 50 (max value) -&gt; tHoldMb &gt; LOC_HoldBrakeTorque_TimeDuration (max: 0.5) -&gt; this line never reach</t>
  </si>
  <si>
    <t>Line #41: Can't cover MCDC (FX=F). Because of the condition "HadcStatus!= HdcState_ActiveCtrl" conflict with condition at line #33
Line #41: Can't cover MCDC (FX=F). Because of the condition "LDMSelectedController != LDMSelectedController_AWB" conflict with condition at line #65</t>
  </si>
  <si>
    <t>[No1] Line 230: if (retValue == E_OK)
Detail: Can not cover false condition case because:
+ retValue is always initialized with value E_OK at line 224</t>
  </si>
  <si>
    <t>-Param 1D can't cover full C0/C1
-This class don't have MCDC</t>
  </si>
  <si>
    <t>Param1D can't cover full C0/C1</t>
  </si>
  <si>
    <t>Can't cover outrange max of t_StartDiffNeeded += P_dT_TCS at line #32 because if t_StartDiffNeeded = 100 (max value) -&gt; t_StartDiffNeeded &gt; WaitTime (max: 1) -&gt; this line never reach
Can't cover outrange max of t_StopDiffNeeded += P_dT_TCS; at line #53 because if t_StopDiffNeeded = 100 (max value) -&gt; t_StartDiffNeeded &gt; t_StopDiffNeeded (max: 0.5) -&gt; this line never reach</t>
  </si>
  <si>
    <t>Line#25: Unable to coverage because it is a PT1 filter
Line#29: Unable to coverage because it is a PT1 filter
Line#33: Unable to coverage because it is a PT1 filter</t>
  </si>
  <si>
    <t>FAW_C229</t>
  </si>
  <si>
    <t>HAIMA_237810_SG00_RC4_BL02_Complete_SR_TEST</t>
  </si>
  <si>
    <t>BL43</t>
  </si>
  <si>
    <t>-cannot cover MCDC 0-1 at line 50, because it is blocked by the condition at line 47</t>
  </si>
  <si>
    <t>[No1] Line 111: default:
Detail: Can not cover default case of switch (temp) at line 111 because:
+ The range value of temp at line 96: [0; 3] with type uint32
[No2]: Line 195: else if(hsmInitialized_b == FALSE)
Detail: Can not cover false condition because:
+ hsmInitialized_b is BOOLEAN.
+ Line 190 is covered case TRUE.</t>
  </si>
  <si>
    <t>-Cannot cover false case of if (retValue == E_OK) at line 242</t>
  </si>
  <si>
    <t>-Because RBA_BLDRCMP_SA_SECURITY_CONSTANT is defined as Constant value, so I cannot cover fully switch at line 93 and True case of If at line 129</t>
  </si>
  <si>
    <t>Param1D: Can't cover full C0/C1
Line #38: Can't cover false case for condition "l_VehicleHoldReq_B" due to conflict with condition " ! l_VehicleHoldReq_B" at line #20</t>
  </si>
  <si>
    <t>Line #2, value of FxPropRelease can't less than -2000000. Because element of math operation have limited by range.
Line #4, value of FxPropRelease can't greater than 32000000 and less than -32000000. Because element of math operation have limited by range.</t>
  </si>
  <si>
    <t>rba_BldrCmp_31RoutineControl.c</t>
  </si>
  <si>
    <t>rba_BldrCmp_31RoutineControl_Chkpd.c</t>
  </si>
  <si>
    <t>rba_BldrCmp_CheckMemTask.c</t>
  </si>
  <si>
    <t>RB_DNC_SCL_RX_TPMF.c</t>
  </si>
  <si>
    <t>Please comment LV1. Reuse OPL \\bosch.com\dfsRB\DfsVN\LOC\Hc\RBVH\20_EPS\07_External\03_BanVien\BV_EPS45\Release\COEM\20200701\1541595\RV\OPL\RE   OPL-UT   Project  FAW_C229_Bootloader  Bootloader implementation  - task ID  1030543.msg</t>
  </si>
  <si>
    <t>Please comment LV1. Reuse OPL \\bosch.com\dfsRB\DfsVN\LOC\Hc\RBVH\20_EPS\07_External\03_BanVien\BV_EPS45\Release\COEM\20200701\1541595\RV\OPL\RE   OPL-UT   Project  FAW_C229_Bootloader  Bootloader implementation  - task ID  1030543 (2).msg</t>
  </si>
  <si>
    <t>Please comment LV1. Reuse OPL \\bosch.com\dfsRB\DfsVN\LOC\Hc\RBVH\20_EPS\07_External\03_BanVien\BV_EPS45\Release\COEM\20200701\1541595\RV\OPL\RE   OPL-UT   Project  FAW_C229_Bootloader  Bootloader implementation  - task ID  1030543 (3).msg</t>
  </si>
  <si>
    <t>FAW_MainPathInt</t>
  </si>
  <si>
    <t>HAIMA_CMP_ESP93_INT</t>
  </si>
  <si>
    <t>CAI Tantan (CC-AS/EVA-SW31-CN)</t>
  </si>
  <si>
    <t>BB99860</t>
  </si>
  <si>
    <t>BB81262/BB81708</t>
  </si>
  <si>
    <t>-Param 1D can't cover full C0/C1</t>
  </si>
  <si>
    <t>-Can’t cover full MCDC at line#5, line#14 because variable ActuatorStateLeft can’t take 2 different values at the same time.</t>
  </si>
  <si>
    <t>FAW_E115_iBGen2_Int\iBoosterGen2\rba\Bldr\bldr\src\rba_Bldr_main.c</t>
  </si>
  <si>
    <t>FAW_E115_iBGen2_Int\iBoosterGen2\rba\Bldr\bmgr\src\rba_Bmgr_main.c</t>
  </si>
  <si>
    <t>FAW_E115_iBGen2_Int\iBoosterGen2\rba\Bldr\comps\ApplicationLayer\rba_BldrHsm\src\rba_BldrHsm_Hash.c</t>
  </si>
  <si>
    <t>FAW_E115_iBGen2_Int\iBoosterGen2\rba\Bldr\comps\ApplicationLayer\rba_BldrHsm\src\rba_BldrHsm_Keys.c</t>
  </si>
  <si>
    <t>FAW_E115_iBGen2_Int\iBoosterGen2\rba\Bldr\comps\ApplicationLayer\rba_BldrHsm\src\rba_BldrHsm_Protections.c</t>
  </si>
  <si>
    <t>FAW_E115_iBGen2_Int\iBoosterGen2\rba\Bldr\comps\ApplicationLayer\rba_BldrHsm\src\rba_BldrHsm_Rng.c</t>
  </si>
  <si>
    <t>FAW_E115_iBGen2_Int\iBoosterGen2\rba\Bldr\comps\ApplicationLayer\rba_BldrHsm\src\rba_BldrHsm_SecFlash.c</t>
  </si>
  <si>
    <t>FAW_E115_iBGen2_Int\iBoosterGen2\rba\Bldr\comps\ApplicationLayer\rba_BldrHsm\src\rba_BldrHsm_Session.c</t>
  </si>
  <si>
    <t>FAW_E115_iBGen2_Int\iBoosterGen2\rba\Bldr\comps\ApplicationLayer\rba_BldrHsm\src\rba_BldrHsm_Suspend.c</t>
  </si>
  <si>
    <t>FAW_E115_iBGen2_Int\iBoosterGen2\rba\Bldr\comps\ApplicationLayer\rba_BldrHsm\src\rba_BldrHsm_Version.c</t>
  </si>
  <si>
    <t>FAW_E115_iBGen2_Int\iBoosterGen2\rba\Bldr\comps\ComplexDeviceDriver\rba_BldrBCLSigChk\src\rba_BldrBCLSigChk.c</t>
  </si>
  <si>
    <t>FAW_E115_iBGen2_Int\iBoosterGen2\rba\Bldr\comps\ComplexDeviceDriver\rba_BldrFlsDrv\src\rba_BldrFlsDrv.c</t>
  </si>
  <si>
    <t>FAW_E115_iBGen2_Int\iBoosterGen2\rba\Bldr\config\ApplicationLayer\rba_BldrCmp\src\rba_BldrCmp_Cfg_FlashIf.c</t>
  </si>
  <si>
    <t>FAW_E115_iBGen2_Int\iBoosterGen2\rba\Bldr\config\ApplicationLayer\rba_BldrCmp\src\rba_BldrCmp_Cfg_Functions.c</t>
  </si>
  <si>
    <t>FAW_E115_iBGen2_Int\iBoosterGen2\rba\Bldr\config\ApplicationLayer\rba_BldrCmp\src\rba_BldrCmp_Cfg_SecA.c</t>
  </si>
  <si>
    <t>FAW_E115_iBGen2_Int\iBoosterGen2\rba\Bldr\config\ApplicationLayer\rba_BldrCmp\src\rba_BldrCmp_Cfg_CheckMem.c</t>
  </si>
  <si>
    <t>FAW_E115_iBGen2_Int\iBoosterGen2\rba\Bldr\config\ComplexDeviceDriver\rba_BldrFlsDrv\src\rba_BldrFlsDrv_Cfg.c</t>
  </si>
  <si>
    <t>FAW_E115_iBGen2_Int\iBoosterGen2\rba\Bldr\config\SystemStack\rba_BldrHSM\src\rba_BldrHsm_Cfg_Callouts.c</t>
  </si>
  <si>
    <t>CNMS_179148_Deuterium_Super_20200717_BL02_SP03</t>
  </si>
  <si>
    <t>CNMS_179148_Deuterium_Super_BL02</t>
  </si>
  <si>
    <t>CNMS_179148_Deuterium_Super_20200717_BL02_SP02</t>
  </si>
  <si>
    <t>CNMS IPB Deuterium BSS02</t>
  </si>
  <si>
    <t>rb\as\rbcn\rpahevx\app\net\RBScl\src\ComScl_Scl_Complex_proc.c</t>
  </si>
  <si>
    <t>rb\as\rbcn\esp\app\net\RBScl\src\ComScl_Scl_Complex_proc.c</t>
  </si>
  <si>
    <t>\src\RBAPLOBD_Mode04.c</t>
  </si>
  <si>
    <t>\src\common\RBAPLCUST_PreConditionsMode04.c</t>
  </si>
  <si>
    <t>\RBAPLCust\src\common\RBAPLCUST_EcuReset.c</t>
  </si>
  <si>
    <t>RBAPLOBD_Mode04.c</t>
  </si>
  <si>
    <t>RBAPLCUST_PreConditionsMode04.c</t>
  </si>
  <si>
    <t>RBAPLCUST_EcuReset.c</t>
  </si>
  <si>
    <t>RBA_NDS_Online_Calibration.c</t>
  </si>
  <si>
    <t>Net_ChecksumLib.c</t>
  </si>
  <si>
    <t>rba_InternalIF.c</t>
  </si>
  <si>
    <t>RBA_NDS_General_Callout.c</t>
  </si>
  <si>
    <t>YE Tianyu (CC-AS/ESW2-CN)</t>
  </si>
  <si>
    <t>CNMS_Deuterium_Int</t>
  </si>
  <si>
    <t>BL02_SP03</t>
  </si>
  <si>
    <t>BL02_SP02</t>
  </si>
  <si>
    <t>CNMS IPB Deuterium</t>
  </si>
  <si>
    <t>CNMS_CarbonRPA_HevX_BL03SP06</t>
  </si>
  <si>
    <t xml:space="preserve">CRB_InputInterface_IPB </t>
  </si>
  <si>
    <t>LSM_MTCheck</t>
  </si>
  <si>
    <t>BL03SP06</t>
  </si>
  <si>
    <t>CRB_InputInterface_IPB.axl</t>
  </si>
  <si>
    <t>RPAESPHevXEncapSWCust_ECU_CSW_BB99704.axl</t>
  </si>
  <si>
    <t>3.7.147.0</t>
  </si>
  <si>
    <t>HUANG Chongxi (CC-AS/ESW5-CN)</t>
  </si>
  <si>
    <t>YU Yichi (CC-AD/EYM-CN)</t>
  </si>
  <si>
    <t>Param1D: Can't cover full C0/C1</t>
  </si>
  <si>
    <t>Please comment LV1
Actual LOC: 143</t>
  </si>
  <si>
    <t>'Param 1D can't cover full C0/C1</t>
  </si>
  <si>
    <t>CNMS_226315_HevX_RPA_BL02_SP02</t>
  </si>
  <si>
    <t>1.2.104.2.146.0</t>
  </si>
  <si>
    <t>1.0.146.0</t>
  </si>
  <si>
    <t>CDDAP_ECU_CSW_BB00001.axl</t>
  </si>
  <si>
    <t>FAW_MainPath_Int\MainstreamFAW\rba\BldrCmp\src\</t>
  </si>
  <si>
    <t>Line #24: Can't cover case MCDC (FF=F). Because type of variable "ACCVariant" is enum (0,5)</t>
  </si>
  <si>
    <t>Line #17, at conditions from line #17 to #26 can't cover case FFTFFTFXX ( OpMode == 0 at the same time can't equals true and false )</t>
  </si>
  <si>
    <t xml:space="preserve">-Can't cover MCDC T-F for  if ((RBFS_uC == RBFS_uC_RenesasD3) &amp;&amp; (returnValue == E_OK)) at line#233 because returnValue = E_OK.
Can't cover false case  for  if (rba_BldrCmp_LogicalBlockTable_pst[rba_BldrCmp_BootCtrl_st.LogicalBlockIdx].BlockType != RBA_BLDRCMP_LBH_SWIL_BLOCK_TYPE) because it is true case of if at line#202.
</t>
  </si>
  <si>
    <t>[No1] Line 84: canCore_pvst = ((Can_RegMapType_tvst*)0xFFD30000UL);
Detail: Can not create testcase for function rba_BldrFlsDrv_Cfg_Write because:
+ The address “0xFFD30000UL” is fixed</t>
  </si>
  <si>
    <t>[No1] Line 221: if ((RBFS_uC == RBFS_uC_RenesasD3) &amp;&amp; (returnValue == E_OK))
Detail: Can not cover false condition case T &amp; F because:
+ returnValue is local variable; and it onlys set "E_NOT_OK" in the other condition at line 212</t>
  </si>
  <si>
    <t>Please comment LV1.
Actual LOC: 209
Owner confirm it's no impact</t>
  </si>
  <si>
    <t>Please comment LV1.
Actual LOC: 134
Owner confirm it's no impact</t>
  </si>
  <si>
    <t>Please comment LV1.
Actual LOC: 123
Owner confirm it's no impact</t>
  </si>
  <si>
    <t>CNMS_12-06\CNMS_ESP\rb\as\rbcn\core\app\net\Cubas\src\Net_ChecksumLib.c</t>
  </si>
  <si>
    <t>CNMS_12-06\CNMS_ESP\rb\as\rbcn\core\app\net\Cubas\src\rba_InternalIF.c</t>
  </si>
  <si>
    <t>CNMS_12-06\CNMS_ESP\rb\as\cnms_core\app\net\scl\src\Callout_Functions\RBA_NDS_General_Callout.c</t>
  </si>
  <si>
    <t>HAIMA_CMP_ESP93_INT\MainstreamF30\rb\as\cnms_core\app\net\scl\Sensors\AxAyYrs\src\NET_SCL_Tx_AxExport.c</t>
  </si>
  <si>
    <t>HAIMA_CMP_ESP93_INT\MainstreamF30\rb\as\cnms_core\app\net\scl\Sensors\AxAyYrs\src\NET_SCL_Tx_AyExport.c</t>
  </si>
  <si>
    <t>HAIMA_CMP_ESP93_INT\MainstreamF30\rb\as\cnms_core\app\net\scl\Sensors\AxAyYrs\src\NET_SCL_Tx_YrsExport.c</t>
  </si>
  <si>
    <t>HAIMA_CMP_ESP93_INT\MainstreamF30\rb\as\cnms_core\app\net\scl\Controllers\Engine\src\NET_SCL_Rx_EngineTorque.c</t>
  </si>
  <si>
    <t>GAC_ESP93CP_Carbon_Int\MainstreamF30\rb\as\gaig\A12ESP\app\net\RBScl\RBScl_GAC\src\RB_DNC_SCL_RX_TPMF.c</t>
  </si>
  <si>
    <t>Actual LOC: 606</t>
  </si>
  <si>
    <t>- Get assignment phase 1: 6/29/2020 =&gt; Complete 7/3/2020</t>
  </si>
  <si>
    <t>EXTERNAL Nguyen Tuan Duong (Ban Vien, RBVH/EPS45)</t>
  </si>
  <si>
    <t>EXTERNAL Nguyen Thanh Phuong (Ban Vien, RBVH/EPS45)</t>
  </si>
  <si>
    <t>Line #26, can't cover MCDC at case (--FTTFTTT--). Because FS_Tcs4Used at the same time can't equal true and false.</t>
  </si>
  <si>
    <t>[No1] Line 136, 207, 222, 278, 298: if((1) &amp;&amp; ... &amp;&amp; condition)
Detail: Can not false MCDC for logic “(1)”</t>
  </si>
  <si>
    <t>-Can't cover for NRC_u8 diff 0 because this param is set 0 in above line</t>
  </si>
  <si>
    <t>239404_SOKON_S106_IB_RC2_BL03SP01</t>
  </si>
  <si>
    <t>Adapt_221622_DFSK_F527_wo_DA_Carbon_ESP9.3CP_BL06_SP01</t>
  </si>
  <si>
    <t>EcuM_stub.c</t>
  </si>
  <si>
    <t>RBDSM_SWT_FeatureTest.c</t>
  </si>
  <si>
    <t>RBFSWBootInterface_DFSK.c</t>
  </si>
  <si>
    <t>SOKON_IB2_Int</t>
  </si>
  <si>
    <t>BB81432</t>
  </si>
  <si>
    <t>Nguyen Hiep Thanh (RBVH/EAS11)</t>
  </si>
  <si>
    <t>SOKON_IB2_Int\iBoosterGen2\rba\Bldr\config\ApplicationLayer\rba_BldrCmp\src</t>
  </si>
  <si>
    <t>-Can’t cover MCDC for these decisions at line#113 and 117, because RBA_BLDRCMP_CFG_31ROUTINECONTROL_CHKPD_CHKMEM is defined RBA_BLDRCMP_ENABLE.</t>
  </si>
  <si>
    <t>SOKON_IB2_Int\iBoosterGen2\rb\as\sokonib2\core\app\dcom\RBAPLOBD\src</t>
  </si>
  <si>
    <t xml:space="preserve">rb\as\sokonib2\prj\dcompr\src\                           </t>
  </si>
  <si>
    <t>-Issue is not impact</t>
  </si>
  <si>
    <t>SOKON_IB2_Int\iBoosterGen2\rb\as\sokonib2\core\app\dcom\RBAPLCust\src</t>
  </si>
  <si>
    <t>Please comment LV1  No impact</t>
  </si>
  <si>
    <t>Please comment LV1.
Actual LOC: 153
Owner confirm it's no impact</t>
  </si>
  <si>
    <t>Please comment LV1
Actual LOC: 52
Owner confirm it's no impact</t>
  </si>
  <si>
    <t>+ Cant cover full C0/C1 because Param 1D.
+ At line #21: cant cover out range max vSlipTarTCSPlus_Stability_Axe &gt; 6400 because vSlipTarTCSPlus_Basic_Axe * MTCTargetSlip_StabilityFactor always is &lt;= 6400.
+ At line #45: cant cover out range max StabFactor_ETR_Axe_Adapted &gt; 8192 because StabFactor_ETR_Axe_Adapted * MTCTargetSlip_StabilityFactor always is &lt;= 8192.</t>
  </si>
  <si>
    <t>+ Cannot cover full C0/C1 because Param1D
+ At line #59, #159: cant cover out range max "(t_NoAxControl + P_dT_TCS) &gt; 2500" because Ps_Switcher.AxControl_CycleTime have range [0;5] and P_TCSPlus_vSlipTarMTC_AxControl_CycleTime_Snow_Brio have range[0;5].</t>
  </si>
  <si>
    <t>+ Cant cover full C0/C1 because Param1D</t>
  </si>
  <si>
    <t>+At line #46 cant cover _t1sint16 &lt; (sint16)vSlipTar_FA because it is dependent line #45</t>
  </si>
  <si>
    <t>Wrong path =&gt; Correct "DFSK_ESP_Carbon_Int/MainstreamF30/rba/Bldr/config/Infrastruct/rba_AS_HWProt/src/rba_AS_HWProt.c"</t>
  </si>
  <si>
    <t>DFSK_ESP_Carbon_Int\MainstreamF30\rb\as\dfsk\core\app\dcom\RBAPLCust\src\com\RBAPLCUST_RDBI_NVMData.c</t>
  </si>
  <si>
    <t>DFSK_ESP_Carbon_Int\MainstreamF30\rb\as\dfsk\core\app\dcom\RBAPLCust\src\com\RBAPLCUST_WDBI_NVMData.c</t>
  </si>
  <si>
    <t>DFSK_ESP_Carbon_Int\MainstreamF30\rb\as\dfsk\core\app\dcom\RBAPLOBD\src\RBAPLOBD_Global.c</t>
  </si>
  <si>
    <t>DFSK_ESP_Carbon_Int\MainstreamF30\rb\as\dfsk\CpiwAPB\dsmpr\src\Cubas\ESM\EcuM\src\EcuM_stub.c</t>
  </si>
  <si>
    <t>DFSK_ESP_Carbon_Int\MainstreamF30\rb\as\dfsk\CpiwAPB\dsmpr\tst\Sim\FeatureTest\Src\RBDSM_SWT_FeatureTest.c</t>
  </si>
  <si>
    <t>DFSK_ESP_Carbon_Int\MainstreamF30\rb\as\dfsk\CpiwAPB\dsmpr\src\RBPduHandler_Callouts.c</t>
  </si>
  <si>
    <t>DFSK_ESP_Carbon_Int\MainstreamF30\rba\as\Bldr\CNMS\config\ApplicationLayer\rba_BldrCmp\src\rba_BldrCmp_Cfg_CheckMem.c</t>
  </si>
  <si>
    <t>DFSK_ESP_Carbon_Int\MainstreamF30\rba\as\Bldr\CNMS\config\ApplicationLayer\rba_BldrCmp\src\rba_BldrCmp_Cfg_NvmIf.c</t>
  </si>
  <si>
    <t>DFSK_ESP_Carbon_Int\MainstreamF30\rba\as\Bldr\CNMS\comps\ApplicationLayer\rba_BldrCmp\src\rba_BldrCmp_LogBlkHdl.c</t>
  </si>
  <si>
    <t>Please comment LV1
Actual LOC: 317
Owner confirm it's no impact</t>
  </si>
  <si>
    <t>- Owner confirm is OK</t>
  </si>
  <si>
    <t>-Re-use OPL and add WT</t>
  </si>
  <si>
    <t>Please comment LV1 
Owner confirm is OK</t>
  </si>
  <si>
    <t>Double effort 
Please comment follow ASPICE Standard
Wrong database =&gt; Hai confirm =&gt; Updated Esp9wAPBCPEncapSWCust_ECU_CSW_BB95572.axl</t>
  </si>
  <si>
    <t>-Can’t cover MCDC for these decisions at line#201 and 205, because RBA_BLDRCMP_CFG_31ROUTINECONTROL_CHKPD_CHKMEM is defined RBA_BLDRCMP_ENABLE.</t>
  </si>
  <si>
    <t>-At the line 648, behavior at the right condition is always TRUE, don’t need to create FALSE case to cover it.</t>
  </si>
  <si>
    <t>1.Can’t cover (F &amp;&amp; ?)  false case condition at line# 2117. Because variable DEM_CFG_READDEM_MAX_FDC_DURING_CURRENT_CYCLE_SUPPORTED= TRUE define by marco
2. Can’t cover  case ((F || (F &amp;&amp; ?)) || ((T &amp;&amp; T) &amp;&amp; T))  and ((F || (T &amp;&amp; F)) || ((F &amp;&amp; ?) &amp;&amp; ?))condition at line# 605.</t>
  </si>
  <si>
    <t>-Can’t cover MCDC for decision at line#234 and line#261. Because when (blockIndex equal to RBA_BLDRCMP_LOGICALBLOCK_NOT_FOUND) or (segmentIndex equal to RBA_BLDRCMP_SEGMENT_NOT_FOUND), NRC_u8 will be different from 0.</t>
  </si>
  <si>
    <t>Please comment LV1 Owner confirm is no impact</t>
  </si>
  <si>
    <t>GAC_233887_Carbon_A20_ESPHevx_BL03</t>
  </si>
  <si>
    <t>SGMW_Common_Defects_STRSGMW_C201</t>
  </si>
  <si>
    <t>MC_237832_GAC_A55CB_Carbon_ESP_BL02</t>
  </si>
  <si>
    <t>206370_BYD_ESP9.3_New_Hybrid_MS15.1_BSS18</t>
  </si>
  <si>
    <t>rb\as\sgmw\CN210S\app\dsm\RBVAR\src\</t>
  </si>
  <si>
    <t>rb\as\sgmw\CN210S\app\dsm\RBHMI\src\</t>
  </si>
  <si>
    <t>rb\as\sgmw\CN210S\app\dsm\RBVoltageHandler\src\</t>
  </si>
  <si>
    <t>rb\as\sgmw\CN210S\app\net\RBScl\RBScl_SGMW\src\NET_SCL_Rx_SGMW.c</t>
  </si>
  <si>
    <t>RBVAR_SystemStateManagement_PROJECT.c</t>
  </si>
  <si>
    <t>LDM_AxleSplit</t>
  </si>
  <si>
    <t>RBAPLCUST_BYD_RDBI_NVMData.c</t>
  </si>
  <si>
    <t>RBFSWBootInterface_BYD.c</t>
  </si>
  <si>
    <t>1.2.147.0.147308.1</t>
  </si>
  <si>
    <t>LDM_AxleSplit.axl</t>
  </si>
  <si>
    <t>BYD_ESP93_INT</t>
  </si>
  <si>
    <t>BB81295</t>
  </si>
  <si>
    <t>BB81448</t>
  </si>
  <si>
    <t>BB82225</t>
  </si>
  <si>
    <t>-This class don't have MCDC</t>
  </si>
  <si>
    <t>-No function to test</t>
  </si>
  <si>
    <t xml:space="preserve">Double effort 
Please comment follow ASPICE Standard
-No function to test
</t>
  </si>
  <si>
    <t>Cmt at line 117 for Ut test
Can't cover full MCDC at line #512 by argument of function 
=&gt;Owner confirm no impact</t>
  </si>
  <si>
    <t>DIAO Aimei (CC-AS/EVA-SW32-CN)</t>
  </si>
  <si>
    <t>XU Sherry (CC-AS/EVA-SW2-CN)</t>
  </si>
  <si>
    <t>TAO Frank (CC-AS/EVA-SW31-CN)</t>
  </si>
  <si>
    <t>SR</t>
  </si>
  <si>
    <t>BSS18</t>
  </si>
  <si>
    <t>CNMS_12-06\CNMS_IPB\rb\as\rbcn\ipb\app\net\RBScl\src\RBA_NDS_Online_Calibration.c</t>
  </si>
  <si>
    <t>CNMS_12-06\CNMS_IPB\rb\as\rbcn\ipb\netpr\src\RBPduHandler_Callouts.c</t>
  </si>
  <si>
    <t>Join from 29-June</t>
  </si>
  <si>
    <t>Join from 21-June to 28-June</t>
  </si>
  <si>
    <t>-Check plt: Enum variables failed, but enum value is correct.</t>
  </si>
  <si>
    <t>Actual ELOC is 180. Double effort is 360</t>
  </si>
  <si>
    <t>-Actual ELOC is 81</t>
  </si>
  <si>
    <r>
      <rPr>
        <b/>
        <sz val="11"/>
        <color rgb="FFFF0000"/>
        <rFont val="Calibri"/>
        <family val="2"/>
      </rPr>
      <t>CNMS_12-06\CNMS_IPB\rb\as\rbcn\ipb\app\net\RBScl\src\ComScl_Scl_Complex_proc.c</t>
    </r>
  </si>
  <si>
    <t>CNMS_12-06\CNMS_ESP\rb\as\rbcn\esp\dsmpr\RBEMM\src\RBEMM_Project.c</t>
  </si>
  <si>
    <t>CNMS_12-06\CNMS_IPB\rb\as\rbcn\ipb\dsmpr\RBEMM\src\RBEMM_Project.c</t>
  </si>
  <si>
    <t>CNMS_12-06\CNMSRPAhevX\rb\as\rbcn\rpahevx\app\net\RBScl\src</t>
  </si>
  <si>
    <t>CNMS_12-06/CNMSRPAhevX/rb/as/rbcn/rpahevx/app/net/RBScl/src/RBRIS_MainHandler.c</t>
  </si>
  <si>
    <t>CNMS_12-06/CNMSRPAhevX/rb/as/rbcn/rpahevx/app/asw/aswif/src_gen/ASWIF_CommonConfig_Project.c</t>
  </si>
  <si>
    <t>CNMS_12-06/CNMS_ESP/rb/as/rbcn/core/app/dcom/RBAPLCust/src/common/RBAPLCUST_ExpectedOBDType.c</t>
  </si>
  <si>
    <t>ACH_AxleControl</t>
  </si>
  <si>
    <t>AcmPs_FilterGradientHyd</t>
  </si>
  <si>
    <t>ArbitrationMzUndersteering</t>
  </si>
  <si>
    <t>BTC_Dyn_MbLimit</t>
  </si>
  <si>
    <t>BTC_ee_Whl_Calculation</t>
  </si>
  <si>
    <t>BTC_GainScheduling</t>
  </si>
  <si>
    <t>BTC_HiMu_Select</t>
  </si>
  <si>
    <t>BTC_Mode_HiWhlRecovery</t>
  </si>
  <si>
    <t>BTC_PIDF_GainComp</t>
  </si>
  <si>
    <t>BTC_PIDF_GainLim</t>
  </si>
  <si>
    <t>BTC_TarSlip_wStall</t>
  </si>
  <si>
    <t>BTC_vSlipTarCalculation</t>
  </si>
  <si>
    <t>cal_hbadpThr_One</t>
  </si>
  <si>
    <t>CRB_BFD_Blending_Ldm_ESPhybrid</t>
  </si>
  <si>
    <t>CRB_BFD_Blending_Ldm_Postproc_ESPhybrid</t>
  </si>
  <si>
    <t>CRB_BFD_RampDownFa</t>
  </si>
  <si>
    <t>CRB_BoundByESPhevConstrains_Preshaping</t>
  </si>
  <si>
    <t>CRB_EndRampBanana</t>
  </si>
  <si>
    <t>CRB_ESPhybrid_OutputInterface</t>
  </si>
  <si>
    <t>CRB_FbHydFaLimit</t>
  </si>
  <si>
    <t>CRB_FbHydMin</t>
  </si>
  <si>
    <t>CRB_FbRegenTargetNoABS_ESPhevX</t>
  </si>
  <si>
    <t>CRB_HydraulicBlending_NoMoreRegenIncrease</t>
  </si>
  <si>
    <t>CRB_InputInterface_DRV_ESPhybrid</t>
  </si>
  <si>
    <t>CRB_InputInterface_ESPhevX</t>
  </si>
  <si>
    <t>CRB_Pressure2Volume</t>
  </si>
  <si>
    <t>CRB_StabilityMargin_InputInterface</t>
  </si>
  <si>
    <t>Criteria_InstabTdcy</t>
  </si>
  <si>
    <t>CTRL_BrakeProcessing</t>
  </si>
  <si>
    <t>CTRL_CepAdjustment</t>
  </si>
  <si>
    <t>CTRL_CepHandler</t>
  </si>
  <si>
    <t>dp2qTgt</t>
  </si>
  <si>
    <t>Dy_Ay_SlopeMeas_Release</t>
  </si>
  <si>
    <t>Dy_HSA_PRExitStrategy</t>
  </si>
  <si>
    <t>ESPhevX_QPumpTarget</t>
  </si>
  <si>
    <t>ESPhevX_VCP_C1_Value_Status_Encoder</t>
  </si>
  <si>
    <t>Estimation_Fn</t>
  </si>
  <si>
    <t>Estimation_Fx_Whl</t>
  </si>
  <si>
    <t>Filter_Ay</t>
  </si>
  <si>
    <t>GRC_pThrMax</t>
  </si>
  <si>
    <t>HBA_Statemachine</t>
  </si>
  <si>
    <t>HBB_pMCControl</t>
  </si>
  <si>
    <t>HBB_Statemachine</t>
  </si>
  <si>
    <t>hbbModeSelector</t>
  </si>
  <si>
    <t>HSV_ThermoProtect</t>
  </si>
  <si>
    <t>InfoLamp_VDC_Nissan</t>
  </si>
  <si>
    <t>LateralAccelerationDriver</t>
  </si>
  <si>
    <t>LDI_AUX_TaskInterpolation</t>
  </si>
  <si>
    <t>MeanOverTime</t>
  </si>
  <si>
    <t>MF_AxeEquiv</t>
  </si>
  <si>
    <t>MF_EquivValidation</t>
  </si>
  <si>
    <t>MTC_BTCSymScaler</t>
  </si>
  <si>
    <t>MTC_DistRejBTC_In</t>
  </si>
  <si>
    <t>MTC_DrvTrainGainComp</t>
  </si>
  <si>
    <t>MTC_ETR_DetectUS</t>
  </si>
  <si>
    <t>MTC_ETR_Gradient</t>
  </si>
  <si>
    <t>MTC_ETR_GradientLimit</t>
  </si>
  <si>
    <t>MTC_ETR_OS_RAHighSlip</t>
  </si>
  <si>
    <t>MTC_ETR_OS_vSlipTarActivation</t>
  </si>
  <si>
    <t>MTC_ETR_OS_vSlipTarCtrl</t>
  </si>
  <si>
    <t>MTC_ETR_OS_vSlipTarCtrlError</t>
  </si>
  <si>
    <t>MTC_ETR_OS_vSlipTarLimGrad</t>
  </si>
  <si>
    <t>MTC_ETR_TarForceFactor</t>
  </si>
  <si>
    <t>MTC_ETR_TrqModeReq</t>
  </si>
  <si>
    <t>MTC_ETR_US_vSlipTarCtrl</t>
  </si>
  <si>
    <t>MTC_ETR_US_vSlipTarCtrlError</t>
  </si>
  <si>
    <t>MTC_I_InitMemory</t>
  </si>
  <si>
    <t>MTC_Info</t>
  </si>
  <si>
    <t>MTC_OnRef</t>
  </si>
  <si>
    <t>MTC_OperationMode_Ramper</t>
  </si>
  <si>
    <t>MTC_OperationMode_TrqMode</t>
  </si>
  <si>
    <t>MTC_PIDF_GainLim</t>
  </si>
  <si>
    <t>MTC_Req</t>
  </si>
  <si>
    <t>MTC_SlipAdj_wTTC</t>
  </si>
  <si>
    <t>MTC_SteadyState</t>
  </si>
  <si>
    <t>MTC_UnstableSlipTar</t>
  </si>
  <si>
    <t>MTC_vBiasing_Axe</t>
  </si>
  <si>
    <t>Negative_MueSplit_Jump</t>
  </si>
  <si>
    <t>Nis_HhcSlopeCorrection</t>
  </si>
  <si>
    <t>5.4</t>
  </si>
  <si>
    <t>4.22</t>
  </si>
  <si>
    <t>1.11</t>
  </si>
  <si>
    <t>1.31.176.0</t>
  </si>
  <si>
    <t>1.18</t>
  </si>
  <si>
    <t>1.29</t>
  </si>
  <si>
    <t>1.21</t>
  </si>
  <si>
    <t>1.50</t>
  </si>
  <si>
    <t>1.7</t>
  </si>
  <si>
    <t>1.70</t>
  </si>
  <si>
    <t>2.2.200.11</t>
  </si>
  <si>
    <t>2.12</t>
  </si>
  <si>
    <t>1.16</t>
  </si>
  <si>
    <t>1.9</t>
  </si>
  <si>
    <t>2.25</t>
  </si>
  <si>
    <t>1.11.1.0</t>
  </si>
  <si>
    <t>6.26.1.0</t>
  </si>
  <si>
    <t>6.1.142.0</t>
  </si>
  <si>
    <t>4.5.112.1</t>
  </si>
  <si>
    <t>1.2.1.0</t>
  </si>
  <si>
    <t>4.1</t>
  </si>
  <si>
    <t>4.5.0.2</t>
  </si>
  <si>
    <t>4.21</t>
  </si>
  <si>
    <t>6.17</t>
  </si>
  <si>
    <t>1.21.176.0</t>
  </si>
  <si>
    <t>1.5.176.0</t>
  </si>
  <si>
    <t>1.13</t>
  </si>
  <si>
    <t>7.1.176.0</t>
  </si>
  <si>
    <t>1.0.112.0</t>
  </si>
  <si>
    <t>rerun</t>
  </si>
  <si>
    <t>REN_CDV</t>
  </si>
  <si>
    <t>MT_089</t>
  </si>
  <si>
    <t>MT_090</t>
  </si>
  <si>
    <t>MT_092</t>
  </si>
  <si>
    <t>MT_112</t>
  </si>
  <si>
    <t>MT_114</t>
  </si>
  <si>
    <t>MT_120</t>
  </si>
  <si>
    <t>MT_130</t>
  </si>
  <si>
    <t>MT_148</t>
  </si>
  <si>
    <t>T206</t>
  </si>
  <si>
    <t>Cannot cover full C0/C1 because of Param1D at line 4</t>
  </si>
  <si>
    <t>RNM_CMP_Database</t>
  </si>
  <si>
    <t>Yes</t>
  </si>
  <si>
    <t>Param1D can't cover full C0,C1</t>
  </si>
  <si>
    <t>2 implement sheet</t>
  </si>
  <si>
    <t>too much easy</t>
  </si>
  <si>
    <t>2 data sheet + 2 implementation sheet</t>
  </si>
  <si>
    <t>difficult</t>
  </si>
  <si>
    <t>2 datasheet but too much easy</t>
  </si>
  <si>
    <t>4.5.0.3.142.0 (change trigger)</t>
  </si>
  <si>
    <t>4.21.144.0 ( change trigger Rampoffstate)</t>
  </si>
  <si>
    <t>state machine</t>
  </si>
  <si>
    <t>3 data sheet + 2 implimentation sheet</t>
  </si>
  <si>
    <t>Can't cover outrange max at line #77 because if crb_FbHydTargetRaSamePressureFa = crb_FbHydTargetFaReBalanced*P_Ffa2Fra &gt; 131068 -&gt; crb_FbHydTargetFaReBalanced*P_Ffa2Fra &gt; crb_FbHydTargetRa_unlim -&gt; This line never reach
Can't cover outrange max at line #81,82 because P_Fges2Ffa = (ENV_rWheelRA*ENV_CpFA)/(ENV_rWheelFA*ENV_CpRA+ENV_rWheelRA*ENV_CpFA) (max = 1) and if crb_FbHydTargetFaReBalanced increase, crb_FbHydDelta will decrease</t>
  </si>
  <si>
    <t>Line #32: Can't cover out range max assignment to t_StartDiffNeeded. Because condition at line #30 and max value of WaitTime is 1.
Line #53: Can't cover out range max  assignment to t_StopDiffNeeded. Because condition at line #51 and max value of P_DiffNeeded_tResetThr is 3.</t>
  </si>
  <si>
    <t>MainstreamF30\rb\as\BYD\core\app\dcom\RBAPLCust\src\RBAPLCUST_BYD_RDBI_NVMData.c</t>
  </si>
  <si>
    <t>MainstreamF30\rb\as\BYD\Mainstream151\dcompr\src\RBFSWBootInterface_BYD.c</t>
  </si>
  <si>
    <t>Cannot cover MCDC case: TXFTXTX,TXFTXFT,FTFFFXX,FTFFFXX,FFXTXTX,FFXTXFT for (FS_hbbMode == HBBandHBC)  at line 27 because limited condition at line 19 and 20</t>
  </si>
  <si>
    <t>VLC_AxBaseValues_APA</t>
  </si>
  <si>
    <t>Line #14, condition " dq==0 &amp;&amp; qTgtHelp!=qTgt " can't be true.Because, if dq==0, value of qTgtHelp will be equal qTgt ( at line dq = FilterCoef*(qTgtHelp - qTgt) FilterCoef can't euqal 0 by range ).
Line #16 and line #20, cover for MCDC with case qTgt less than 0. Because qTgt can't less than 0 (base on value range); qTgt = qTgt + dq ( in line #12 we have dq = FilterCoef*(qTgtHelp - qTgt) ) =&gt; qTgt can't less than 0 when plus to FilterCoef*(qTgtHelp - qTgt).</t>
  </si>
  <si>
    <t>Can't cover outrange max at line #42,#53 because P_Fges2Fra = (ENV_rWheelFA*ENV_CpRA)/(ENV_rWheelFA*ENV_CpRA+ENV_rWheelRA*ENV_CpFA) (max = 1) -&gt; crb_FbTargetRa = crb_FbTarget * P_Fges2Fra, crb_FbRegenTargetIdeal = crb_dFbTarget * P_Fges2Fra never &gt; 131068</t>
  </si>
  <si>
    <t>Lock version can't save result to TCM sever</t>
  </si>
  <si>
    <t>Line #9, value of ClutchEngPoint can't less than 0. Because ClutchEngPoint, C_ClutchFilterConstantCEP, ClutchEngPointEst, ClutchEngPoint greater than 0 and C_ClutchFilterConstantCEP less than 1.</t>
  </si>
  <si>
    <t>-Can't cover max value of vSlipTarMinModeOffSet_OS at line #12. Because method Ps_MTC_ETR_OS_vSlipTarMinOffset() of subclass _Ps_Switcher can return value greater than 1280
Parm2D can't cover full C0/C1</t>
  </si>
  <si>
    <t>rb\as\gaig\A12ESP\dsmpr\src</t>
  </si>
  <si>
    <t>rb\as\gaig\A12ESP\dsmpr\src\RBEMM</t>
  </si>
  <si>
    <t>-Update path</t>
  </si>
  <si>
    <t>ParkFcnApbActuatorFdbck</t>
  </si>
  <si>
    <t>- Cannot cover hbbpActlevel + C_hbbActLevel &lt; -640 at line 21 because P_hbbActLevel always greater than 0 ( C_hbbActLevel = P_hbbActLevel)
- Cannot cover out range max at line 42 because hbbMaxCurrPressdiff always greater than hbbCurrMaxpMC
- Cannot cover (hbbpTargetLim -(hbbpTargetk1-hbbpTarget)) &gt; 12800 at line 88 because (hbbpTargetk1-hbbpTarget) alway greater than 0 following codition at line 26
- Cannot cover out range max min at line 40 because C_hbbMaxAllowedRed = P_hbbMaxAllowedRed *  0.01
- Cannot cover full C0/C1 because of Param1D at line 22, 43, 62</t>
  </si>
  <si>
    <t>Line #35: Can't cover out range max value assignment to ee_Whl. Because when the condition at line #33 is TRUE and variable "aRelLocF_Whl" less than variable "aWhl_Min" and max value of "aWhl_Min" is 20.
Line #41: Can't cover out range min value  assignment to ee_Whl. Because when the condition at line #39 is TRUE =&gt; variable "aRelLocF_Whl" greater than "aWhl_Max".</t>
  </si>
  <si>
    <t>Can't division by zero at line #15,#31 because T_Trigger += P_dT_TCS (value always equal to 0.02) &gt; 0
Can't cover outrange max at line #13 because if T_Trigger = 10 (max value) -&gt; line #9 false -&gt; this line never reach
Can't cover outrange max of In_Sum = In_Sum + In * P_dT_TCS; at line #30 because In_Sum always equal to 0 (at line #26)
Can't cover outrange max of Out = In_Sum / T_Trigger at line #31 because  Out = In_Sum / T_Trigger = In * P_dT_TCS/T_Trigger = In_Sum (T_Trigger = P_dT_TCS at line #29)</t>
  </si>
  <si>
    <t>206370_BYD_ESP9.3_New_Hybrid_MS15.1_BSS19</t>
  </si>
  <si>
    <t>BYD_IPB_SW_Mainstream_BL06_SP1</t>
  </si>
  <si>
    <t>rb\as\BYD\Mainstream151\app\dsm\RBVAR\src</t>
  </si>
  <si>
    <t>rb\as\gaig\core\app\net\RBScl\src</t>
  </si>
  <si>
    <t>rb\as\BYD\ipb\app\net\RBScl_TPMS\src</t>
  </si>
  <si>
    <t>RBVAR_IDDefinitionTable_PROJECT.c</t>
  </si>
  <si>
    <t>TPMS_Setting_Project.c</t>
  </si>
  <si>
    <t>BSS19</t>
  </si>
  <si>
    <t>BYD_ELRC_ESP93_Int</t>
  </si>
  <si>
    <t>MA Python (CC-AS/EVA-SW31-CN)</t>
  </si>
  <si>
    <t>GUO Sasa (CC-AS/EVA-SW3-CN)</t>
  </si>
  <si>
    <t>BYD_IPB_BL05_Int</t>
  </si>
  <si>
    <t>BL06_SP1</t>
  </si>
  <si>
    <t>Can’t cover case default for switch case "LowMuSideIs" at line #28. Because type of "LowMuSideIs" is enum</t>
  </si>
  <si>
    <t>Can't cover outrange max of Mass = P_m_Vehicle_Empty * (1-P_Co_GrossVehicleMass) + P_m_Vehicle_Loaded * P_Co_GrossVehicleMass at line #25 because Mass = 8000*(1-1) + 10000*1 = 10000 (Mass's max value)</t>
  </si>
  <si>
    <t>Line #61: Can't cover out range max value assignment to tHoldMb. Because the condition "(tHoldMb &lt; P_HoldBrakeTorque_TimeDuration)" at line #58.</t>
  </si>
  <si>
    <t>-Param1D. Can't cover full C0/C1
-Can't cover max and min value of eYr_OS_Ack at line #57 and line #67, can't cover min and max value of eYr_OS_Ay at line #58 and #68. Because when condition if (Yr &gt; 0) is TRUE =&gt; Yr is in range [0; 2], YrTar_FromAck is  in range [0; 2]; YrTar_FromAy is in range [0; 2] =&gt;eYr_OS_Ack = Yr - YrTar_FromAck is in range [0;2] and eYr_OS_Ay = Yr - YrTar_FromAy is in range [0;2]</t>
  </si>
  <si>
    <t xml:space="preserve">-Param1D. Can't cover full C0/C1
-Can't cover minimum value of Ratio_YrAckMu at line #52 . Because YrAck.abs()/Yr_FromMuSurface is always greater or equal 0
</t>
  </si>
  <si>
    <t>Can't cover division by zero of Co_BTCSymScaleRaw_Axe = (eSlow / eFast).max(0); at line #24 because eFast = (vFast - vTar).max(0.01); always &gt; 0
Can't cover outrange of Co_BTCSymScaleRaw_Axe = (eSlow / eFast).max(0) at line #24 because vFast always &lt;= vSlow -&gt; eSlow &lt;= eFast -&gt; Co_BTCSymScaleRaw_Axe max value = 1</t>
  </si>
  <si>
    <t>Case state_inactiv:
+Transition from state_inactiv to state_standard:
 In line#41 of the entry of state_standard unable to get the value of "hbbpTargetnolimit" as the result when "LDMpDriverAct.max(hbbpTargetnolimit)" due to the line#13 exit of state_inactiv "hbbpTargetnolimit = LDMpDriverAct"
 In line#41 of the entry of state_standard unable to cover the out of range min because this equaltion is the filter
Case state_rampoff:
+Transition from state_rampoff to state_standard:
 In line#41 of the entry of state_standard unable to cover the out of range min because this equaltion is the filter
+Static of state_rampoff:
 In line#63 unable to cover out range max and min because this equaltion is the filter
 In line#67 unable to cover out range max because this equaltion is the filter
 In line#34 of the entry of state_rampoff unable to cover the out of range min because this equaltion is the filter
Case state_standard:
+Entry of state_rampoff:
 In line#75 unable to cover out range max and min because this equaltion is the filter
 In line#79 unable to cover out range max because this equaltion is the filter
+Static of state_standard:
 In line#21 unable to cover out range max and min because this equaltion is the filter
 In line#40, #41 unable to cover out range min because this equaltion is the filter
 In line#62 unable to cover out range max and min because this equaltion is the filter
 In line#63 unable to cover out range min because this equaltion is the filter
 In line#101 unable to cover out range max because this equaltion is the filter
 In line#102 unable to cover out range max and min because this equaltion is the filter
_ Cannot cover MCDC for false case (hbbpTargetRaw - C_hbbThreshold_pTargetRawUp) &lt;= hbbpTargetnolimit) at Static (state "state_standard"): line #47 because when it false =&gt; codition at line 24 true =&gt; line 47 never reach</t>
  </si>
  <si>
    <t>Cannot cover para2D in Ascet 6.1.4
Line #4, with math operation " volume = C_Stroke2Volume * stroke " can not greater than 32767. Because:
 -  " stroke " with maximum value is 25600 
 -  " C_Stroke2Volume =  ( ( Pi / 4 ) * P_MC_Diameter_C2 *P_MC_Diameter_C2) * CRB_mm3_2_ml " with maximum value of " P_MC_Diameter_C2 " lead to maximum value of " C_Stroke2Volume " = 1.256637061</t>
  </si>
  <si>
    <t>-Actual ELOC is 111</t>
  </si>
  <si>
    <t>-Actual ELOC is 109</t>
  </si>
  <si>
    <t>MainstreamF30\rb\as\BYD\Mainstream151\app\dsm\RBVAR\src\RBVAR_IDDefinitionTable_PROJECT.c</t>
  </si>
  <si>
    <t>Line #21: Can't cover out range min, max value of PID_Kp. Because:
       + If "Kp_Target == PID_Kp": =&gt; At line #21: = "PID_Kp" (Local as input)
       + If "Kp_Target &gt; PID_Kp" and "Kp_Target - PID_Kp &lt;=P_BTC_KpKdSlopeLim": :=&gt; At line #21: = (Kp_Target - PID_Kp) - 0 + PID_Kp = Kp_Target
       + If "Kp_Target &gt; PID_Kp" and "Kp_Target - PID_Kp &gt; P_BTC_KpKdSlopeLim": =&gt; At line #21: = P_BTC_KpKdSlopeLim - 0 + PID_Kp &lt; Kp_Target
       + If "Kp_Target &lt; PID_Kp" and "PID_Kp - Kp_Target &lt;=P_BTC_KpKdSlopeLim": =. At line #21 = 0 - (PID_Kp - Kp_Target) + PID_Kp = Kp_Target
       + If "Kp_Target &lt; PID_Kp" and "PID_Kp - Kp_Target &gt; P_BTC_KpKdSlopeLim": =. At line #21 = 0 - P_BTC_KpKdSlopeLim + PID_Kp &lt; Kp_Target
Line #23: Can't cover out range min, max value of PID_Kd. Because:
       + If "Kd_Target == PID_Kd": =&gt; At line #23: = "PID_Kd" (Local as input)
       + If "Kd_Target &gt; PID_Kd" and "Kd_Target - PID_Kd &lt;=P_BTC_KpKdSlopeLim": :=&gt; At line #23: = (Kd_Target - PID_Kd) - 0 + PID_Kd = Kd_Target
       + If "Kd_Target &gt; PID_Kd" and "Kd_Target - PID_Kd &gt; P_BTC_KpKdSlopeLim": =&gt; At line #23: = P_BTC_KpKdSlopeLim - 0 + PID_Kd &lt; Kd_Target
       + If "Kd_Target &lt; PID_Kd" and "PID_Kd - Kd_Target &lt;=P_BTC_KpKdSlopeLim": =. At line #23 = 0 - (PID_Kd - Kd_Target) + PID_Kd = Kd_Target
       + If "Kd_Target &lt; PID_Kd" and "PID_Kd - Kd_Target &gt; P_BTC_KpKdSlopeLim": =. At line #23 = 0 - P_BTC_KpKdSlopeLim + PID_Kd &lt; Kd_Target</t>
  </si>
  <si>
    <t>HHT_VX1_iBooster_Gen2_BL2.1</t>
  </si>
  <si>
    <t>\rb\as\hht\core\app\dcom\RBAPLCust\src\ESP: RBAPLCUST_HHT_RBDI_NVM.c</t>
  </si>
  <si>
    <t>\rb\as\hht\core\app\dcom\RBAPLCust\src\iBooster: RBAPLCUST_HHT_RBDI_NVM.c</t>
  </si>
  <si>
    <t>RBAPLCUST_HHT_RBDI_NVM.c</t>
  </si>
  <si>
    <t>BB80428</t>
  </si>
  <si>
    <t>HHT_VX1_IB2_Carbon_Int</t>
  </si>
  <si>
    <t>LI Jianming (BEG/ESW-CN)</t>
  </si>
  <si>
    <t>Param 1D can't cover full C0/C1
Can't cover MCDC TXFFF of else if (    ((OpMode_Axe_K1 == Off) || (OpMode_Axe_K1 == ETR_US_TrqMode))
    &amp;&amp; ((OpMode_Axe == HotStartPID) || (OpMode_Axe == ColdStartPID) || (OpMode_Axe == Passive))) at line #97 because OpMode_Axe had only 6 value and if OpMode_Axe = ETR_US_TrqMode,Off or RampOff, this line will never reach
Can't cover outrange max and outrange min at line #104 because:
MScaled_DistRejBTC_Axe = (MRaw_DistRejBTC_Axe (range: 0 - 60000) * DistRejBTC_Gain (range : 0-1)).min(P_DistRejBTC_MUpLim(range: 0 - 10000)) -&gt; MScaled_DistRejBTC_Axe &gt; 0 -&gt; 0 &lt; MScaled_DistRejBTC_Axe&lt; 30000
 + If MScaled_DistRejBTC_Axe = 30000, M_DistRejBTC_Axe = 30000 -&gt; M_DistRejBTC_Axe = 30000 + 0 -  P_DistRej_NegGradLim (range : 5-200) &lt; 30000
 + If MScaled_DistRejBTC_Axe = 0, M_DistRejBTC_Axe = 30000 -&gt; M_DistRejBTC_Axe = 30000 + 0 -  P_DistRej_NegGradLim (range : 5-200) &lt; 30000
 + If MScaled_DistRejBTC_Axe = 30000, M_DistRejBTC_Axe = -30000 -&gt; M_DistRejBTC_Axe = -30000 + P_DistRej_PosGradLim(range : 5-200) - 0  &gt; -30000
 + If MScaled_DistRejBTC_Axe = 0, M_DistRejBTC_Axe = -30000 -&gt; M_DistRejBTC_Axe = -30000 + P_DistRej_PosGradLim(range : 5-200) - 0 &gt; -30000</t>
  </si>
  <si>
    <t>Cannot cover para2D in Ascet 6.1.4</t>
  </si>
  <si>
    <t>BYD_ELRC_ESP93_Int\MainstreamF30\rb\as\BYD\Mainstream151\app\dsm\RBVAR\src\RBVAR_SystemStateManagement_PROJECT.c</t>
  </si>
  <si>
    <t xml:space="preserve">Param 1D,2D can't cover full C0/C1
Can't cover outrange max of Grad_vGiAck_ETR at line #54 because if Grad_vGiAck_ETR &gt; 20 -&gt; Grad_vGiAck_ETR &gt; Grad_vGiAckF_ETR max value -&gt; this line never reach
Can't cover  division by zero at line at line #68 because tFil_MotRampDown = tFil_MotRampDown.max(P_TCS_dT( = 0.02 - non-calibration value))  -&gt; tFil_MotRampDown always &gt; 0
Can't cover outrange max  at line #68 because FilCo_MotRampDown (range: 0.010009765625 - 1) = P_TCS_dT/tFil_MotRampDown = 0.02/(range: 0.02-5) -&gt; max = 1. </t>
  </si>
  <si>
    <t>Can't cover outrange max at line #36 because ForceFactor_GradLim = (ForceFactor_GradLim_K1 (max : 1) + ForceFactor_MaxStep).max(ForceFactor_Tar(max: 1)) = (1+ ForceFactor_FilStepSize.min(-ForceFactor_MinCycleStep(range:0 -  0.0400390625))).max(1) = (1+1.min(0))).max(1)) = 1</t>
  </si>
  <si>
    <t>Param1D, Can't cover 100% C0/C1
Can't cover Full MCDC at line #20. Because line #27 and #28 can't be TRUE at the same time.</t>
  </si>
  <si>
    <t>-Param1D canr't cover full C0/C1
Can't cover full MCDC at line #7, line #60 and line #83. Because the conditions contain StateDrvUnit_FA are conflict</t>
  </si>
  <si>
    <t>Line #12, can't cover case (TCSPlus_DelayCounter + C_dT_TCS) &gt; C_TCSPlus_DmgCounter_Tempo_Count_Ph1 because when TCSPlus_DelayCounter = C_TCSPlus_DmgCounter_Tempo_Count_Ph1 =&gt; condition at line #10 FALSE =&gt; line #12 can't be reached.</t>
  </si>
  <si>
    <t>Entry state_1_MaxDeceleretion:
 + Line#17: cannot cover true case due to line#7
 + Line#47: cannot cover OORMax due to line#5
Entry state_3_ShutDown:
 + Line#28: cannot cover OORMax due to line#22
Entry state_2_FadeOut:
 + Line#10: cannot cover case vFzRef lower than 0 due to condition in triggerShutDownstate
 + Line#21: cannot cover true case due to line#5
 + Line#27: cannot cover true case  due to line#7
 + Line#36: cannot cover case HbatPh2max equal to 0 due to line#10 and line#34; cannot cover OORMax and OORMin because HbaPhaseTimer &lt; HbatPh2max
 + Line#59: cannot cover OORMax due to condition line#53
 + Line#62: cannot cover OORMax and OORMin due to limitation in line#36
 + Line#65: cannot cover OORMax and OORMin due to limitation in line#62
 + Line#72: cannot cover OORMax due to line#12
 + Cannot cover out maxmin  Entry (state "state_2_FadeOut"): line #36 because HbaPhaseTimer always equal to 0 at line 12
  =&gt; HbaKCpVorAx = (( HbatPh2max - HbaPhaseTimer)  / HbatPh2max) always equal to 1
Entry state_4_Adaptation:
 + Line#15: cannot cover OORMax due to line #8
 + Line#19: cannot cover true case due to line#4
 + Line#31: cannot cover OORMax and OORMin due to line#29
Entry (state "state_0_StandBy
 + cannot cover MCDC case FX at line 41 because HbaEnable always greater than 0
Static state_4_Adaptation:
 + Line#23: cannot cover OORMax and OORMin because it is a filter
Static state_2_FadeOut:
 + Line#20: cannot cover case when HbatPh2max= 0 due to condition at line#8 ; cannot cover OORMax and OORMin because HbaPhaseTimer &lt; HbatPh2max
 + Line#41: cannot cover OORMax due to condition at line#35
 + Line#44: cannot cover OORMax and OORMin due to limitation of HbaKCpVorAx in condition at line#18
 + Line#47: cannot cover OORMax and OORMin due to line#44
 + Line#52: cannot cover OORMax and OORMin because it is a filter 
Cannot cover MCDC case F-X for  Entry (state "state_0_StandBy"): line #41 because HbaEnable always greater than 0
Cannot cover full CO/C1 because of param1D</t>
  </si>
  <si>
    <t>Line #26 , value of l_CounterPhase1_total can't less than 0 and can't greater than 10000
Line #37, value of l_timer can't reach 2000, Because condition at lỉe #5 will FALSE
Line #77, value of l_TCSPlus_T_Relaxation_Counter can't greater than C_TCSPlus_RelaxationTime, Because condition at line #64 will TRUE, and line #77 can't be reached</t>
  </si>
  <si>
    <t>#line13</t>
  </si>
  <si>
    <t>Param1D can't cover full C0,C1
Line #84: Can't cover out range max value of t_BuildUp. Because max value of P_LongTimeBuildUp_tSet is 2 and imported dT_TCS non-calib.
Line #141: Can't cover out range max value of t_OnRef. Because max value of P_OnRef_tSet is 2 and  imported dT_TCS non-calib.</t>
  </si>
  <si>
    <t>Param1D,2D: can't cover full C0,C1
Line #54: Can't cover out range min value of dMzi_RA. Because the condition at line #4 (dMz &gt; 0) and max value of dMzi_FA is 15000.
Line #58: Can't cover out range min value of dMzo_FA. Because dMz &gt; 0 and max value of dMzi_FA at line #54 is equal to dMz. And "dMzi_RA.min(dMzPotentialInc_i_RA+P_dMzOffsUSI)" max value is 15000. =&gt; min value at line #58 := dMz - dMzi_FA - dMzi_RA.min(dMzPotentialInc_i_RA+P_dMzOffsUSI) = dMz - dMz - dMzi_RA = -dMzi_RA</t>
  </si>
  <si>
    <t xml:space="preserve">Double effort 
Please comment follow ASPICE Standard
Wrong database =&gt; Hai confirm =&gt; Updated Esp9wAPBCPEncapSWCust_ECU_CSW_BB95572.axl
Hai re-confirm use VLCAPA_ECU_CSW_BB00001.axl =]]]]
</t>
  </si>
  <si>
    <t>-1. Can't cover min value of VlcAxBaseMax at line 139. Limited by code.
- 2. Can't cover min value of VlcAxBaseMin at line 151. Limited by code.
Owner confirm no impact.</t>
  </si>
  <si>
    <t>- Get assignment phase 1: 12h00 - 7/6/2020 =&gt; Complete ???</t>
  </si>
  <si>
    <t>Cannot cover para1D in Ascet 6.1.4
Cannot cover out range max at line 33 due to maximum value of calculation AccuEmptying_dynamics * (Tau_AccuEmptying_Fast_Invers_Minus_Slow_Invers) + Tau_AccuEmptying_Slow_Invers</t>
  </si>
  <si>
    <t>'Param 1D can't cover full C0/C1
Line #40, Can't cover minimum value of l_wheelCircumference. Because l_wheelCircumference can't reach 0</t>
  </si>
  <si>
    <t>Can't cover case default for switch at line #196 because TargetState had only 3 value.
Can't cover outrange max for function pModel_FL because crb_in_pModel_FL (range: 0-425)  = pModel_FL (range: -20-400) -&gt; crb_in_pModel_FL max = 400
Can't cover outrange max for function pModel_FR because crb_in_pModel_FR (range: 0-425)  = pModel_FR (range: -20-400) -&gt; crb_in_pModel_FR max = 400
Can't cover outrange max for function pModel_RL because crb_in_pModel_RL (range: 0-425)  = pModel_RL (range: -20-400) -&gt; crb_in_pModel_RL max = 400
Can't cover outrange max for function pModel_RR because crb_in_pModel_RR (range: 0-425)  = pModel_RR (range: -20-400) -&gt; crb_in_pModel_RR max = 400</t>
  </si>
  <si>
    <t>Line #543 statement is not covered because type of variable l_MESG_BlaAct_B is boolean and it only 2 value is TRUE or FALSE.
Line #371, l_ESSActive_B can not be other than 0. Because :
 - This variable is local variable so that can not control.
 - From line #330 to line #371, l_ESSActive_B has not been assigned to a number other than 0.
Line #384 #493, l_BLAFailureMonPresent_B has been initial FALSE and has been assigned to TRUE at line #373 #379. So that, l_BLAFailureMonPresent_B can not be FALSE, because:
 - Can not control macros RBFS_BLAFAILUREMONITORING, RBFS_MCB, RBFS_MCB_AVAILABLE and variable l_VehicleCfg_ST to l_BLAFailureMonPresent_B has been assigned to TRUE.
 - This variable is local variable so that can not control.</t>
  </si>
  <si>
    <t>Function error</t>
  </si>
  <si>
    <t>-At line #23:
MTar_RampOff_Veh += M_HotStart_Axe;
Can't cover out of max, min value for MTar_RampOff_Vehdue to it's limit value at the line #20 (MTar_RampOff_Veh = 0.0).
- At line #45:
Can't cover TRUE case for if (FirstCycleRampOff) due to it have limit value at line #18 and #29.</t>
  </si>
  <si>
    <t>Owner confirm no impact</t>
  </si>
  <si>
    <t>Cant cover full C0/C1 because Param 1D</t>
  </si>
  <si>
    <t xml:space="preserve">+At line #30 cant cover out range max for crb_FbTargetDriverRA &gt; 250000 because (P_Fges2Fra
crb_FbTargetDriverRA =  250000.1 = 250000(max).
======
+ At line #46 cant cover max for crb_FbVehicleTargetDrv because at line #43 need condition crb_FbVehicleT
======
+At line #59 cant cover out range max for crb_FbHydTargetRaMin &gt; 250000 because (P_Fges2Fra &lt;= 1) so
crb_FbHydTargetRaMin =  250000.1 = 250000(max).
======
+ At line #160 cant cover because crb_FbTargetDriverRA and crb_FbHydTargetRA same time equal 0, so  if (ce #131.
======
+At line #180 cant cover out range max for crb_FbHydTarget_Ldm because when crb_FbHydTargetFA is max=2500
======
+At line #208 cant cover out range max for
crb_FbHydTargetFA &gt; 250000 because (P_Fges2Fra &lt;= 1) so
crb_FbHydTargetFA =  250000.1 = 250000(max).
</t>
  </si>
  <si>
    <t xml:space="preserve">+At line #56, 59, 68, 71, 74 cant cover out range min (is less than 0) because a_Veh_x, C_TimeHyst, C_Tim
========
+At line #130 cant cover out range max EndRampStartCounter &gt;255 because if C_TimeDeltaICF &gt;255 then cant
========
+At line #223 cant cover FbRegenMaxFK1 &lt; FbRegenMaxF because condition EndRampStarted_B == true.
When EndRampStarted_B == true then goto branch conditon at line #171. Line #191 : FbRegenMaxF = FbRegenMa
</t>
  </si>
  <si>
    <t xml:space="preserve"> Cant cover full C0/C1 because limited of enum (TargetStateCRB &amp; FxTargetDriverQualifier).</t>
  </si>
  <si>
    <t xml:space="preserve">Cant cover full C0/C1 because Param 1D.
</t>
  </si>
  <si>
    <t>[No1]: Line 102: tMTC_StopControl += P_dT_TCS; can not cover because limit assignment of WaitTime_StopControl: range [0, 2], tolerance 0.02; limit assignment of tMTC_StopControl: range [0, 2] tolerance 0.02; P_dT_TCS is non calib with value "0.02" =&gt; Can not cover out range max
[No2]: Line 125: tMTC_StartControl += P_dT_TCS; can not cover because limit assignment of P_eSeverityBasedActivationTime range [0, 1], limit assignment of P_SpeedBasedActivationTime range [0, 5], tMTC_StartControl range [0, 1] tolerance 0.02; P_dT_TCS is non calib with value "0.02" =&gt; Limit assignment ofWaitTime_StartControl range [0, 1]; =&gt; Can not cover out range max
[no3]: This class have param1D =&gt; Can't cover fully C0/C1 coverage</t>
  </si>
  <si>
    <t>-At line #15:
tOnRefSet += P_dT_TCS;
Can't cover out of max range for tOnRefSet due to limit at line #13: if (tOnRefSet &lt; P_OnRef_tSet) with
tOnRefSet with range [0:60], P_OnRef_tSet with range [0:5], P_dT_TCS only have default value = 0.02
-This class have param1D =&gt; Can't cover fully C0/C1 coverage
= This class don't have MCDC</t>
  </si>
  <si>
    <t>At line #20:
PID_Kp += P_MTC_Kp_SlopeLim;
Can't out of range max value for PID_Kpdue to 
+Limit value at line 18: if ((Kp_Target - PID_Kp) &gt; P_MTC_Kp_SlopeLim)
with Kp_Target range [0-100000], PID_Kp range [0-100000], P_MTC_Kp_SlopeLim[0-50]
-At line #26:
PID_Kp -= P_MTC_Kp_SlopeLim;
Can't out of range min value for PID_Kpdue to 
+Limit value at line 24: if ((PID_Kp - Kp_Target) &gt; P_MTC_Kp_SlopeLim)
with Kp_Target range [0-100000], PID_Kp range [0-100000], P_MTC_Kp_SlopeLim[0-50]</t>
  </si>
  <si>
    <t>Re-check save result</t>
  </si>
  <si>
    <t>At line #18:
vSlipTarMinTTC = vSlipTarTTC_Axe * C_TCS_TTC_Range;
Can't cover out of range max value for vSlipTarMinTTC due to:
Limit value for vSlipTarTTC_Axe at line#9 (vRef_Axe * TtcFactorDiff * 0.5)
with vRef_Axe have range [0-100], TtcFactorDiff have range [0-1], C_TCS_TTC_Range only have default value = 1.2
- This class don't have MCDC.</t>
  </si>
  <si>
    <t>At line #16:
tSteadyState += P_dT_TCS;
Can't cover out of range max value for tSteadyState due to it's limit at line #14:
if (tSteadyState &lt; P_MTC_SteadyState_tSet)
with tSteadyState have range [0-60], P_MTC_SteadyState_tSet have range [0-5], P_dT_TCS is only have default value = 0.02</t>
  </si>
  <si>
    <t>- At line #38:
vFBiased_Axe = vGeoCmp_Axe_L.min(vGeoCmp_Axe_R) + eBiasFactor * vGeoCmp_Delta;
Can't cover for out of range max, min value for vFBiased_Axe due to:
It's limit value at the line vGeoCmp_Delta = (vGeoCmp_Axe_L - vGeoCmp_Axe_R).abs;
with vGeoCmp_Axe_L have range[0-100], vGeoCmp_Axe_R have range [0-100], vFBiased_Axe have range [0-100], eBiasFactor have range [0-1].
- This class don't have MCDC.</t>
  </si>
  <si>
    <t>Line #3 #6 #9, can not cover case (C_ApbCtrldT * C_ArrSize) = 0, because:
 - Default value of C_ApbCtrldT is 0.02. Imported of C_ApbCtrldT is dT_ApbCtrl with range from 0.02 to 0.02 so that can not assign dT_ApbCtrl to 0.
 - Default value of C_ArrSize is 4 and it is noncalibration.</t>
  </si>
  <si>
    <t>At line #20: Unable to cover case the exceeds maximum and minimum value of the variable AxSensorF because PT1 Filter is applied.
- Line #28: Unable to cover case the exceeds maximum value of the variable AxSensorF because:
   + The condition in line #23 and line #26 is satisfied.
   + The range value of input AxIn: [-30;30].
   + The value of parameter C_OneBit_Ax is only 0.0009765625.
- At line #32: Unable to cover case the exceeds maximum value of the variable AxSensorF because:
   + The condition in line #23 and line #26 is satisfied.
   + The range value of input AxIn: [-30;30].
   + The value of parameter C_OneBit_Ax is only 0.0009765625.</t>
  </si>
  <si>
    <t>This class have param2D =&gt; Can't cover fully C0/C1 coverage.
This class don't have MCDC.</t>
  </si>
  <si>
    <t>cannot cover full C0/C1 because of param1d
Can't cover outrange max of vGiSoAckmod = vGiSoAckmod + temp2 * (vGiSoAckLim - vGiSoAckmod); at line #66 because:
 - vGiSoAckmod = vGiSoAckmod + temp2 * (vGiSoAckLim - vGiSoAckmod) &gt; 4 -&gt; vGiSoAckmod = 4 + 1*(vGiSoAckLim - 4) -&gt; vGiSoAckLim &gt; 4 -&gt; decision at line #45 must be TRUE
 - AyDesired =  vFzRef * vGiSoAckmod = vFzRef*4
 - vGiSoAckLim &gt; 4 -&gt; Aymod / temp1 &gt; 4 (line #50) -&gt; Aymod &gt; 4*temp1
 - if Aymod = 4*temp1
 - To reach this line: AyDesired.abs() &gt; Aymod.abs() -&gt; vFzRef * 4 &gt; 4*temp1  -&gt; vFzRef * 4 &gt; 4*P_mF * vFzRef -&gt; 1 &gt; P_mF but P_mF has range from 0 to 8000 with tolerance = 1 and P_mF &gt; 0 so 1 &gt; P_mF never occurred.
Can't cover outrange min of vGiSoAckmod = vGiSoAckmod + temp2 * (vGiSoAckLim - vGiSoAckmod); at line #66 because:
 - vGiSoAckmod = vGiSoAckmod + temp2 * (vGiSoAckLim - vGiSoAckmod) &lt; -4 -&gt; vGiSoAckmod = -4 + 1*(vGiSoAckLim - (-4)) -&gt; vGiSoAckLim &lt; -4 -&gt; decision at line #45 must be TRUE
 - AyDesired =  vFzRef * vGiSoAckmod = vFzRef*4
 - vGiSoAckLim &lt; -4 -&gt; Aymod / temp1 &lt; -4 (line #50) -&gt; Aymod &lt; -4*temp1
 - if Aymod = -4*temp1
 -To reach this line: AyDesired.abs() &gt; Aymod.abs() -&gt; vFzRef * 4 &gt; 4*temp1  -&gt; vFzRef * 4 &gt; 4*P_mF * vFzRef -&gt; 1 &gt; P_mF but P_mF has range from 0 to 8000 with tolerance = 1 and P_mF &gt; 0 so 1 &gt; P_mF never occurred.</t>
  </si>
  <si>
    <t>Line #133, can not cover for case YawStabilityIndex &gt; 0 in abs() function. Because this line (#133) is statement of condition ((YawStabilityIndex &lt; 0) &amp;&amp; (CRB_FS_Recuperation == Recuperation_Front_and_Rear)).</t>
  </si>
  <si>
    <t xml:space="preserve">+ cannot cover full C0/C1 because of Param1D
+ at HSV_MainStage_static: line #36 
cannot cover B_StartClearAccu = False because round max function at line 36
+ at HSV_PreStage_static : line #13
cannot cover out range max min at line 13 because limited condition at line 12
 Time (Time=Time+dt) at line 12 &lt;= 1 ( TimeRampComfortPreControl = HSV_TimeRampComfortPreControl = [0-1] )
 InvTimeRampComfortPreControl = 1/ HSV_TimeRampComfortPreControl 
 Istart_PreStage range is [0-5]
 PreStageCurve range is [0-5]
+ at HSV_PreStage_static: line #52 and line #56
cannot cover out range max min at line 52, 56 because (Time=Time+dt) at line 48 must &lt;= 1 (Time &lt;=1) and range of InvTimeRampComfortPreControl_HSR is [0-1] at line 52, dt is [0-1], range of Param1D is [0-5]
+  at HSV_PreStage_static: line #52 and line #69 and line #77
cannot cover &lt; 0 at line 69 and line 77 because all elements at line 69 are  [0-1]
+ at HSV_PreStage_static: line #97 
cannot cover default case because of range enum
+ at  Condition (transition from junction ("3") to state "HSV_PreStage" with prio 1) 
cannot cover false case for HSVon(self) because when it false =&gt;  Condition (transition from state "HSV_OFF" to junction ("3") with prio 1), HSVon(self) is false
=&gt; this condition line never reach
</t>
  </si>
  <si>
    <t>-Can't cover for default case of switch (TargetState) because range for this is parameter [0:2] checked by other cases 
p/s: can't cover dSD1, dSD5 =&gt; Owner comfirm not impact</t>
  </si>
  <si>
    <t>-Have issue with tolerance=&gt; owner comfirm not impact
- Check Plt Fail for parameter with type is enum because this is issue by tool</t>
  </si>
  <si>
    <r>
      <t xml:space="preserve">Double effort 
Please comment follow ASPICE Standard 
</t>
    </r>
    <r>
      <rPr>
        <sz val="11"/>
        <color rgb="FFFFFF00"/>
        <rFont val="Calibri"/>
        <family val="2"/>
      </rPr>
      <t>ignore check PLT because bug tool
waiting owner confirm</t>
    </r>
  </si>
  <si>
    <t xml:space="preserve">-Cant't cover out range max of ayFil at line #4. Because ayFil = ayFil[-30, 30] + (ay[-30, 30].abs() - ayFil[-30, 30]) * P_Co_ayFilt[0. 1] = 30 + (30 - 30)*1 = 30 never greater than 30.
-Cant't cover out range min of ayFil at line #4. Because ayFil = ayFil[-30, 30] + (ay[-30, 30].abs() - ayFil[-30, 30]) * P_Co_ayFilt[0. 1] = -30 + (-30 - (-30))*1 = -30 never less than -30.
 </t>
  </si>
  <si>
    <t>-At line #13:
Fx = P_Fn * muSurfaceEst * ForceFactor_GradLim;
Can't test for out of range max, min value for Fx due to:
+ P_Fn is caculate = m_Vehicle * g (with m_Vehicle is constant and equal 1300, g is imported parameter with non-calib and equal 9.81).
+ muSurfaceEst have range [0 - 1.5]
+ ForceFactor_GradLim have range [-1 to 1]
+ Fx have range [-150000 to 150000]
=&gt; Max, min of value for Fx is: 19128, -19128
- At line #17:
MTar_ETRTrqMode_Axe = Fx_Axe * P_l_WheelRadius;
Can't test for out of range max, min value for MTar_ETRTrqMode_Axe due to:
+ Limit value at line #15: max, min of Fx is 19128, -19128.
+ Co_MVeh_Axe have range [0 to 1].
+ P_l_wheelRadius is caculate by min(l_WheelRadius_FA,l_WheelRadius_RA) with l_WheelRadius_FA,l_WheelRadius_RA have type is constant and equal 0.29045777114269.
-This class don't have MCDC.</t>
  </si>
  <si>
    <t>#Line 193: Can't cover MCDC false case of ValidMTLong == MTLong_Emergency
Detail:
- ValidMTLong need to be equal to MTLong_None or MTLong_Reserved
- Take a look and find that only condition line#73 can do that, but due to condition line#73 =&gt; ValidMTLong must be equal to MTLong_Reserved
- Also need ValidMTLevel == MTLevel_23 but condition line#73 needs ValidMTLevel == MTLevel_12 
=&gt; can't cover MCDC
#Line 205: Can't cover MCDC case ValidMTLong == MTLong_None, because there is no condition that set ValidMTLong to MTLong_None but still keep ValidMTReq is not set to MTReq_None and ValidMTLevel is not set to MTLevel_None</t>
  </si>
  <si>
    <t>- This class have param1D =&gt; Can't cover fully C0/C1</t>
  </si>
  <si>
    <t>Can't cover division by zero at line #16 because NrSteps is non-calibration value
Can't cover outrange max at line #16 because delta = (in_SlowTask(max: 30000) - out_FastTask(min: -200))/NrSteps (min: 2) never &gt; 30000</t>
  </si>
  <si>
    <t>-Param1D can't cover full C0/C1</t>
  </si>
  <si>
    <t>Waitting for owner confirm</t>
  </si>
  <si>
    <t>Please comment LV1, Owner confirm is no impact</t>
  </si>
  <si>
    <t>1) From line #162 to #171 
v_Prm_L = v_TCS_RL;
v_Prm_R = v_TCS_RR;
v_2nd_L = v_TCS_FL;
v_2nd_R = v_TCS_FR;
vRef_Prm_L = vRef_RL;
vRef_Prm_R = vRef_RR;
vRef_2nd_L = vRef_FL;
vRef_2nd_R = vRef_FR;
When MCDC1 = FALSE, value of all output are return out of range = 511.9844</t>
  </si>
  <si>
    <t>FOTON_P203_APBMi ESP9.3_222642_BSS07</t>
  </si>
  <si>
    <t>rba\Bldr\config\ApplicationLayer\rba_BldrCmp\src</t>
  </si>
  <si>
    <t>BB99945</t>
  </si>
  <si>
    <t>BSS07</t>
  </si>
  <si>
    <t>FOTON_P203_APBMi_Int</t>
  </si>
  <si>
    <t>Chitra Chandrasekaran (RBEI/EBB7)</t>
  </si>
  <si>
    <t>-I cannot cover MCDC 0-1 at line 55, because it is blocked by the condition at line 52</t>
  </si>
  <si>
    <t>Reuse OPL
-Update path</t>
  </si>
  <si>
    <t>rba\Bldr\config\Infrastruct\rba_AS_HWProt\src\</t>
  </si>
  <si>
    <t>FOTON P203 MT RC</t>
  </si>
  <si>
    <t>rba\Bldr\config\ApplicationLayer\rba_BldrCmp\src\</t>
  </si>
  <si>
    <t>BB81777</t>
  </si>
  <si>
    <t>FOTON_P203_ESPCPI_Int</t>
  </si>
  <si>
    <t>--Can't cover for true case of if (*length_pu16 &gt; maxLength_u16) at line#91. Because *length_pu16 equal to 0.
- Can't cover for false case of if (retValue == E_OK) ,because  retValue equal to E_OK.</t>
  </si>
  <si>
    <t>No impact
-Update path</t>
  </si>
  <si>
    <t>-Wrong component
from Bldr_FOTON to Bldr</t>
  </si>
  <si>
    <t>rba\Bldr\bmgr\src\</t>
  </si>
  <si>
    <t>rba\Bldr\bldr\src\</t>
  </si>
  <si>
    <t>rba_Bldr_BackDoor.c</t>
  </si>
  <si>
    <t>rb\as\gaig\core\app\dsm\RBVAR\BB99308A20FPA\src</t>
  </si>
  <si>
    <t>-Chua peer review</t>
  </si>
  <si>
    <t>BYD_Carbon_Mainstream_BL02</t>
  </si>
  <si>
    <t>MainstreamF30\rb\as\byd\Bydcarbon\app\asw\apbmi\host\PDM\APBHostData_Project_C\SRC\ApbHostData_Project.c</t>
  </si>
  <si>
    <t>ApbHostData_Project.c</t>
  </si>
  <si>
    <t>BB81728</t>
  </si>
  <si>
    <t>BYD_Carbon_ESP93_Int</t>
  </si>
  <si>
    <t>MainstreamF30\rb\as\byd\Bydcarbon\app\dsm\RBWarningIndicator\src\Dem_PrjSpecificIndiHandling.c</t>
  </si>
  <si>
    <t>Dem_PrjSpecificIndiHandling.c</t>
  </si>
  <si>
    <t>MainstreamF30\rb\as\byd\Bydcarbon\app\dsm\RBDsmSim\RB_SimDsmCfg\PRJ_Specific\src\DSMSim_PRJ_Specific.c</t>
  </si>
  <si>
    <t>MainstreamF30\rb\as\byd\Bydcarbon\app\net\RbNetPrj\RBNet_Can\src\NET_AliveCounterLib_CNMS.c</t>
  </si>
  <si>
    <t>MainstreamF30\rb\as\byd\Bydcarbon\app\net\RbNetPrj\RBNet_Can\src\NET_CheckSumLib_CNMS.c</t>
  </si>
  <si>
    <t>NET_CheckSumLib_CNMS.c</t>
  </si>
  <si>
    <t>MainstreamF30\rb\as\byd\Bydcarbon\app\net\RbNetPrj\RBNet_Can\src\NET_ChecksumLib_CNMS_Crc1850.c</t>
  </si>
  <si>
    <t>NET_ChecksumLib_CNMS_Crc1850.c</t>
  </si>
  <si>
    <t>MainstreamF30\rb\as\byd\Bydcarbon\app\obd\ObdCvnCalId\src\Obd_CalId.c</t>
  </si>
  <si>
    <t>Obd_CalId.c</t>
  </si>
  <si>
    <t>MainstreamF30\rb\as\byd\Bydcarbon\dsmpr\src\Cubas\ESM\EcuM\src\EcuM_stub.c</t>
  </si>
  <si>
    <t>MainstreamF30\rb\as\byd\core\app\dcom\RBAPLOBD\src\RBAPLOBD_Data.c</t>
  </si>
  <si>
    <t>MainstreamF30\rb\as\byd\core\app\dcom\RBAPLOBD\src\RBAPLOBD_Global.c</t>
  </si>
  <si>
    <t>EPBExternalAvailableDiagMode</t>
  </si>
  <si>
    <t>YANG Xianlin (CC-AS/EVA-SW2-CN)</t>
  </si>
  <si>
    <t xml:space="preserve">-Can’t cover full MCDC at line#21 with case (T&amp;&amp;F) and line#25 with case (F&amp;&amp;T) because it make MCDC at line#17 is true, so two MCDCs do not appear.Can’t cover full C1 at line#29 with case (F) because all test case, which take this condition to FALSE, ,make MCDC at line#21 and line#25 are true.
</t>
  </si>
  <si>
    <t>225378_FAW_D357_High_BL50_STRFAW_C201</t>
  </si>
  <si>
    <t>FAW_MainPath_V2.0_Int\MainstreamF30\rb\as\fawMP\fawcore\app\dcom\RBAPLCust\src\common\RBAPLCUST_CNMSCORE_CallbackFun.c</t>
  </si>
  <si>
    <t>RBAPLCUST_CNMSCORE_CallbackFun.c</t>
  </si>
  <si>
    <t>Actual LOC: 42</t>
  </si>
  <si>
    <t>FAW_MainPath_V2.0_Int\MainstreamF30\rb\as\fawMP\fawcore\app\dcom\RBAPLCust\src\common\RBAPLCUST_DiagnosticSessionControl.c</t>
  </si>
  <si>
    <t>[No1]: Line #135: (RBAPLCUST_RollerBenchSessionState == RBAPLCUST_RollerBenchSessionState_NOT_ACTIVE) and (RBAPLCUST_RollerBenchSessionState != RBAPLCUST_RollerBenchSessionState_NOT_ACTIVE)
Detail: Can't cover full MCDCs at line #130 case (F&amp;&amp;?)(F&amp;&amp;?) because decision (RBAPLCUST_RollerBenchSessionState == RBAPLCUST_RollerBenchSessionState_NOT_ACTIVE) and (RBAPLCUST_RollerBenchSessionState != RBAPLCUST_RollerBenchSessionState_NOT_ACTIVE) are conflict.</t>
  </si>
  <si>
    <t>Actual LOC: 269. Reuse OPL</t>
  </si>
  <si>
    <t>FAW_MainPath_V2.0_Int\MainstreamF30\rb\as\fawMP\fawcore\app\dcom\RBAPLCust\src\common\RBAPLCUST_RDBI_InputData.c</t>
  </si>
  <si>
    <t>Actual LOC: 89</t>
  </si>
  <si>
    <t>FAW_MainPath_V2.0_Int\MainstreamF30\rb\as\fawMP\fawcore\app\dcom\RBAPLCust\src\ESP\RBAPLCUST_RoutineControl_ConditionCheck.c</t>
  </si>
  <si>
    <t>RBAPLCUST_RoutineControl_ConditionCheck.c</t>
  </si>
  <si>
    <t>Actual LOC: 62</t>
  </si>
  <si>
    <t>FAW_MainPath_V2.0_Int\MainstreamF30\rb\as\fawMP\fawcore\app\dcom\RBAPLCust\src\ESP\RBAPLCUST_WDBI_TPMS.c</t>
  </si>
  <si>
    <t>RBAPLCUST_WDBI_TPMS.c</t>
  </si>
  <si>
    <t>FAW_MainPath_V2.0_Int\MainstreamF30\rb\as\cnms_core\app\net\scl\src\Callout_Functions\RBA_NDS_HBB_Callout.c</t>
  </si>
  <si>
    <t>RBA_NDS_HBB_Callout.c</t>
  </si>
  <si>
    <t>BB99856, BB99857</t>
  </si>
  <si>
    <t>TENG Huan (CC-AS/EVA-SW33-CN)</t>
  </si>
  <si>
    <t>FAW_MainPath_V2.0_Int\MainstreamF30\rb\as\cnms_core\app\net\scl\src\Steering\SAS_Functions.c</t>
  </si>
  <si>
    <t>-can’t cover case (F || F) of decision else if ((C_OK_ValidValue_u8 != ls_SCL_OK_u8) ||(C_TRIM_ValidValue_u8 != ls_SCL_TRIM_u8)) at line #314. These conditions can not be false simultaneously</t>
  </si>
  <si>
    <t>rb\as\fawMP\fawcore\app\net\RbNetGlobal\src\</t>
  </si>
  <si>
    <t>rba_NET_Global_variable.c</t>
  </si>
  <si>
    <t>- No function to test</t>
  </si>
  <si>
    <t>rb\as\cnms_core\app\net\scl\src\Steering</t>
  </si>
  <si>
    <t>- Ower comfirm it can be ignore, Update path</t>
  </si>
  <si>
    <t>rb\as\fawMP\fawcore\app\net\RbNetPrj\RBNet_Can\src</t>
  </si>
  <si>
    <t>- Update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</si>
</sst>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yy;@"/>
    <numFmt numFmtId="165" formatCode="0.0"/>
    <numFmt numFmtId="166" formatCode="0.0%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Bosch Office Sans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FF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6" fillId="0" borderId="0"/>
    <xf numFmtId="0" fontId="8" fillId="7" borderId="0" applyNumberFormat="0" applyBorder="0" applyAlignment="0" applyProtection="0"/>
  </cellStyleXfs>
  <cellXfs count="249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3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2" fillId="0" borderId="0" xfId="0" applyFont="1" applyAlignment="1">
      <alignment vertical="center"/>
    </xf>
    <xf numFmtId="0" fontId="2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7" fillId="2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quotePrefix="1"/>
    <xf numFmtId="0" fontId="0" fillId="6" borderId="4" xfId="0" quotePrefix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5" fillId="2" borderId="1" xfId="0" applyNumberFormat="1" applyFont="1" applyFill="1" applyBorder="1" applyAlignment="1" applyProtection="1">
      <alignment horizontal="left" vertical="top"/>
    </xf>
    <xf numFmtId="0" fontId="9" fillId="0" borderId="0" xfId="0" applyFont="1"/>
    <xf numFmtId="0" fontId="0" fillId="0" borderId="1" xfId="0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0" fillId="8" borderId="1" xfId="0" quotePrefix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3" fillId="0" borderId="1" xfId="0" applyFont="1" applyBorder="1" applyAlignment="1">
      <alignment vertical="top"/>
    </xf>
    <xf numFmtId="0" fontId="3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3" fillId="0" borderId="0" xfId="0" applyFont="1" applyAlignment="1">
      <alignment vertical="top"/>
    </xf>
    <xf numFmtId="0" fontId="8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3" fillId="4" borderId="1" xfId="0" applyFont="1" applyFill="1" applyBorder="1" applyAlignment="1">
      <alignment vertical="top"/>
    </xf>
    <xf numFmtId="0" fontId="10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10" fontId="0" fillId="0" borderId="1" xfId="0" quotePrefix="1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2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11" fillId="0" borderId="1" xfId="0" applyFont="1" applyBorder="1"/>
    <xf numFmtId="0" fontId="0" fillId="5" borderId="1" xfId="0" applyFont="1" applyFill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0" fontId="0" fillId="2" borderId="0" xfId="0" applyFill="1"/>
    <xf numFmtId="0" fontId="0" fillId="0" borderId="0" xfId="0" applyFont="1" applyBorder="1" applyAlignment="1">
      <alignment horizontal="left" vertical="top"/>
    </xf>
    <xf numFmtId="0" fontId="0" fillId="11" borderId="1" xfId="0" applyFont="1" applyFill="1" applyBorder="1" applyAlignment="1">
      <alignment horizontal="left" vertical="top"/>
    </xf>
    <xf numFmtId="0" fontId="0" fillId="0" borderId="1" xfId="0" quotePrefix="1" applyFont="1" applyFill="1" applyBorder="1" applyAlignment="1">
      <alignment horizontal="left" vertical="top"/>
    </xf>
    <xf numFmtId="164" fontId="0" fillId="0" borderId="1" xfId="0" applyNumberFormat="1" applyFont="1" applyFill="1" applyBorder="1" applyAlignment="1">
      <alignment horizontal="left" vertical="top"/>
    </xf>
    <xf numFmtId="10" fontId="0" fillId="0" borderId="1" xfId="0" applyNumberFormat="1" applyFont="1" applyFill="1" applyBorder="1" applyAlignment="1">
      <alignment horizontal="left" vertical="top"/>
    </xf>
    <xf numFmtId="0" fontId="12" fillId="0" borderId="0" xfId="0" applyFont="1"/>
    <xf numFmtId="0" fontId="13" fillId="0" borderId="1" xfId="0" applyFont="1" applyFill="1" applyBorder="1" applyAlignment="1">
      <alignment horizontal="left" vertical="top"/>
    </xf>
    <xf numFmtId="0" fontId="0" fillId="0" borderId="0" xfId="0" applyFont="1" applyFill="1"/>
    <xf numFmtId="0" fontId="14" fillId="0" borderId="0" xfId="0" applyFont="1"/>
    <xf numFmtId="0" fontId="15" fillId="2" borderId="1" xfId="0" applyFont="1" applyFill="1" applyBorder="1" applyAlignment="1">
      <alignment horizontal="center" vertical="center" wrapText="1"/>
    </xf>
    <xf numFmtId="0" fontId="5" fillId="12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/>
    <xf numFmtId="0" fontId="15" fillId="0" borderId="0" xfId="0" applyFont="1"/>
    <xf numFmtId="0" fontId="0" fillId="0" borderId="1" xfId="0" applyFill="1" applyBorder="1" applyAlignment="1">
      <alignment horizontal="left" vertical="top"/>
    </xf>
    <xf numFmtId="0" fontId="0" fillId="0" borderId="1" xfId="0" quotePrefix="1" applyFill="1" applyBorder="1" applyAlignment="1"/>
    <xf numFmtId="0" fontId="5" fillId="11" borderId="1" xfId="0" applyNumberFormat="1" applyFont="1" applyFill="1" applyBorder="1" applyAlignment="1" applyProtection="1">
      <alignment horizontal="left" vertical="top"/>
    </xf>
    <xf numFmtId="10" fontId="0" fillId="0" borderId="1" xfId="0" applyNumberFormat="1" applyBorder="1" applyAlignment="1">
      <alignment horizontal="left" vertical="top"/>
    </xf>
    <xf numFmtId="0" fontId="0" fillId="0" borderId="1" xfId="0" quotePrefix="1" applyNumberForma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left" vertical="top"/>
    </xf>
    <xf numFmtId="0" fontId="3" fillId="5" borderId="1" xfId="0" quotePrefix="1" applyFont="1" applyFill="1" applyBorder="1" applyAlignment="1">
      <alignment horizontal="left" vertical="top"/>
    </xf>
    <xf numFmtId="164" fontId="0" fillId="5" borderId="1" xfId="0" applyNumberFormat="1" applyFont="1" applyFill="1" applyBorder="1" applyAlignment="1">
      <alignment horizontal="left" vertical="top"/>
    </xf>
    <xf numFmtId="0" fontId="16" fillId="4" borderId="1" xfId="0" applyFont="1" applyFill="1" applyBorder="1" applyAlignment="1">
      <alignment vertical="top"/>
    </xf>
    <xf numFmtId="0" fontId="3" fillId="0" borderId="1" xfId="0" quotePrefix="1" applyFont="1" applyFill="1" applyBorder="1" applyAlignment="1">
      <alignment horizontal="left" vertical="top"/>
    </xf>
    <xf numFmtId="0" fontId="17" fillId="0" borderId="0" xfId="0" applyFont="1"/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8" fillId="0" borderId="0" xfId="0" quotePrefix="1" applyFont="1"/>
    <xf numFmtId="0" fontId="0" fillId="0" borderId="0" xfId="0" applyFont="1" applyBorder="1" applyAlignment="1"/>
    <xf numFmtId="0" fontId="0" fillId="0" borderId="1" xfId="0" quotePrefix="1" applyBorder="1" applyAlignment="1">
      <alignment horizontal="left"/>
    </xf>
    <xf numFmtId="0" fontId="5" fillId="13" borderId="1" xfId="0" applyNumberFormat="1" applyFont="1" applyFill="1" applyBorder="1" applyAlignment="1" applyProtection="1">
      <alignment horizontal="left" vertical="top"/>
    </xf>
    <xf numFmtId="0" fontId="6" fillId="0" borderId="1" xfId="1" applyFont="1" applyBorder="1" applyAlignment="1"/>
    <xf numFmtId="0" fontId="0" fillId="0" borderId="1" xfId="0" applyFont="1" applyFill="1" applyBorder="1" applyAlignment="1">
      <alignment horizontal="left" vertical="center"/>
    </xf>
    <xf numFmtId="0" fontId="5" fillId="14" borderId="1" xfId="0" applyNumberFormat="1" applyFont="1" applyFill="1" applyBorder="1" applyAlignment="1" applyProtection="1">
      <alignment horizontal="left" vertical="top"/>
    </xf>
    <xf numFmtId="0" fontId="19" fillId="0" borderId="9" xfId="0" applyFont="1" applyFill="1" applyBorder="1" applyAlignment="1">
      <alignment vertical="top"/>
    </xf>
    <xf numFmtId="0" fontId="19" fillId="0" borderId="0" xfId="0" applyFont="1" applyFill="1" applyBorder="1" applyAlignment="1">
      <alignment vertical="top"/>
    </xf>
    <xf numFmtId="0" fontId="3" fillId="0" borderId="0" xfId="0" quotePrefix="1" applyFont="1" applyBorder="1" applyAlignment="1"/>
    <xf numFmtId="0" fontId="5" fillId="0" borderId="0" xfId="0" quotePrefix="1" applyFont="1"/>
    <xf numFmtId="0" fontId="3" fillId="0" borderId="7" xfId="0" quotePrefix="1" applyFont="1" applyBorder="1" applyAlignment="1"/>
    <xf numFmtId="0" fontId="3" fillId="0" borderId="8" xfId="0" quotePrefix="1" applyFont="1" applyBorder="1" applyAlignment="1"/>
    <xf numFmtId="0" fontId="20" fillId="0" borderId="0" xfId="0" quotePrefix="1" applyFont="1" applyAlignment="1">
      <alignment vertical="top"/>
    </xf>
    <xf numFmtId="0" fontId="3" fillId="0" borderId="5" xfId="0" quotePrefix="1" applyFont="1" applyBorder="1" applyAlignment="1"/>
    <xf numFmtId="0" fontId="0" fillId="0" borderId="0" xfId="0" applyFont="1" applyBorder="1"/>
    <xf numFmtId="0" fontId="0" fillId="10" borderId="1" xfId="0" quotePrefix="1" applyFont="1" applyFill="1" applyBorder="1" applyAlignment="1">
      <alignment horizontal="left" vertical="top"/>
    </xf>
    <xf numFmtId="0" fontId="0" fillId="16" borderId="1" xfId="0" applyFont="1" applyFill="1" applyBorder="1" applyAlignment="1">
      <alignment horizontal="left" vertical="top"/>
    </xf>
    <xf numFmtId="0" fontId="0" fillId="0" borderId="0" xfId="0" applyAlignment="1"/>
    <xf numFmtId="0" fontId="0" fillId="0" borderId="0" xfId="0" applyNumberFormat="1" applyBorder="1" applyAlignment="1"/>
    <xf numFmtId="0" fontId="0" fillId="11" borderId="1" xfId="0" quotePrefix="1" applyFont="1" applyFill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/>
    </xf>
    <xf numFmtId="164" fontId="0" fillId="0" borderId="1" xfId="0" quotePrefix="1" applyNumberFormat="1" applyFill="1" applyBorder="1" applyAlignment="1">
      <alignment horizontal="left"/>
    </xf>
    <xf numFmtId="0" fontId="0" fillId="15" borderId="1" xfId="0" applyFont="1" applyFill="1" applyBorder="1" applyAlignment="1">
      <alignment horizontal="left" vertical="top"/>
    </xf>
    <xf numFmtId="16" fontId="0" fillId="0" borderId="0" xfId="0" applyNumberFormat="1" applyAlignment="1">
      <alignment horizontal="left"/>
    </xf>
    <xf numFmtId="0" fontId="5" fillId="17" borderId="1" xfId="0" applyNumberFormat="1" applyFont="1" applyFill="1" applyBorder="1" applyAlignment="1" applyProtection="1">
      <alignment horizontal="left" vertical="top"/>
    </xf>
    <xf numFmtId="0" fontId="0" fillId="9" borderId="0" xfId="0" applyFont="1" applyFill="1"/>
    <xf numFmtId="0" fontId="0" fillId="13" borderId="0" xfId="0" applyFont="1" applyFill="1"/>
    <xf numFmtId="0" fontId="0" fillId="0" borderId="1" xfId="0" applyNumberFormat="1" applyFont="1" applyBorder="1" applyAlignment="1">
      <alignment horizontal="left" vertical="top"/>
    </xf>
    <xf numFmtId="0" fontId="5" fillId="0" borderId="1" xfId="0" applyFont="1" applyFill="1" applyBorder="1" applyAlignment="1">
      <alignment horizontal="left" vertical="top"/>
    </xf>
    <xf numFmtId="0" fontId="0" fillId="5" borderId="1" xfId="0" quotePrefix="1" applyFont="1" applyFill="1" applyBorder="1" applyAlignment="1">
      <alignment horizontal="left" vertical="top"/>
    </xf>
    <xf numFmtId="0" fontId="23" fillId="0" borderId="1" xfId="0" quotePrefix="1" applyFont="1" applyBorder="1" applyAlignment="1">
      <alignment horizontal="left" vertical="top"/>
    </xf>
    <xf numFmtId="0" fontId="6" fillId="0" borderId="1" xfId="0" quotePrefix="1" applyFont="1" applyBorder="1" applyAlignment="1"/>
    <xf numFmtId="0" fontId="0" fillId="9" borderId="1" xfId="0" applyFont="1" applyFill="1" applyBorder="1" applyAlignment="1">
      <alignment horizontal="left" vertical="top"/>
    </xf>
    <xf numFmtId="0" fontId="0" fillId="0" borderId="1" xfId="2" applyFont="1" applyFill="1" applyBorder="1" applyAlignment="1">
      <alignment horizontal="center" vertical="top"/>
    </xf>
    <xf numFmtId="0" fontId="3" fillId="0" borderId="6" xfId="0" applyFont="1" applyBorder="1"/>
    <xf numFmtId="0" fontId="0" fillId="0" borderId="6" xfId="0" applyBorder="1"/>
    <xf numFmtId="10" fontId="0" fillId="0" borderId="3" xfId="0" applyNumberFormat="1" applyBorder="1" applyAlignment="1">
      <alignment horizontal="left" vertical="top"/>
    </xf>
    <xf numFmtId="0" fontId="5" fillId="18" borderId="1" xfId="0" applyNumberFormat="1" applyFont="1" applyFill="1" applyBorder="1" applyAlignment="1" applyProtection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0" borderId="0" xfId="0" applyFill="1"/>
    <xf numFmtId="0" fontId="0" fillId="0" borderId="0" xfId="0" applyFont="1"/>
    <xf numFmtId="0" fontId="3" fillId="0" borderId="1" xfId="0" applyNumberFormat="1" applyFont="1" applyBorder="1" applyAlignment="1">
      <alignment vertical="top"/>
    </xf>
    <xf numFmtId="0" fontId="0" fillId="0" borderId="9" xfId="0" applyFont="1" applyBorder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1" xfId="0" applyNumberFormat="1" applyBorder="1" applyAlignment="1">
      <alignment vertical="top"/>
    </xf>
    <xf numFmtId="0" fontId="0" fillId="0" borderId="1" xfId="0" applyFill="1" applyBorder="1"/>
    <xf numFmtId="0" fontId="0" fillId="0" borderId="1" xfId="0" applyFont="1" applyBorder="1" applyAlignment="1">
      <alignment vertical="top"/>
    </xf>
    <xf numFmtId="0" fontId="0" fillId="0" borderId="1" xfId="0" applyFont="1" applyFill="1" applyBorder="1" applyAlignment="1">
      <alignment horizontal="center" vertical="top"/>
    </xf>
    <xf numFmtId="10" fontId="0" fillId="0" borderId="1" xfId="0" applyNumberFormat="1" applyFont="1" applyFill="1" applyBorder="1" applyAlignment="1">
      <alignment horizontal="center" vertical="top"/>
    </xf>
    <xf numFmtId="0" fontId="0" fillId="0" borderId="0" xfId="0" applyFont="1" applyFill="1" applyBorder="1" applyAlignment="1"/>
    <xf numFmtId="0" fontId="0" fillId="0" borderId="1" xfId="0" applyFont="1" applyFill="1" applyBorder="1" applyAlignment="1"/>
    <xf numFmtId="0" fontId="0" fillId="0" borderId="1" xfId="0" applyFill="1" applyBorder="1" applyAlignment="1">
      <alignment horizontal="center" vertical="top"/>
    </xf>
    <xf numFmtId="0" fontId="0" fillId="0" borderId="0" xfId="0" applyFill="1" applyBorder="1" applyAlignment="1"/>
    <xf numFmtId="0" fontId="0" fillId="0" borderId="1" xfId="0" applyFill="1" applyBorder="1" applyAlignment="1"/>
    <xf numFmtId="0" fontId="0" fillId="0" borderId="1" xfId="0" applyNumberFormat="1" applyBorder="1" applyAlignment="1">
      <alignment horizontal="center" vertical="top"/>
    </xf>
    <xf numFmtId="0" fontId="0" fillId="0" borderId="1" xfId="0" applyNumberFormat="1" applyFill="1" applyBorder="1" applyAlignment="1">
      <alignment horizontal="center" vertical="top"/>
    </xf>
    <xf numFmtId="0" fontId="0" fillId="0" borderId="1" xfId="0" applyNumberFormat="1" applyFill="1" applyBorder="1" applyAlignment="1"/>
    <xf numFmtId="10" fontId="0" fillId="0" borderId="1" xfId="0" applyNumberFormat="1" applyFill="1" applyBorder="1" applyAlignment="1">
      <alignment horizontal="center" vertical="top"/>
    </xf>
    <xf numFmtId="0" fontId="3" fillId="0" borderId="0" xfId="0" applyFont="1" applyFill="1" applyBorder="1" applyAlignment="1"/>
    <xf numFmtId="164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quotePrefix="1" applyFill="1" applyBorder="1" applyAlignment="1"/>
    <xf numFmtId="0" fontId="3" fillId="2" borderId="1" xfId="0" quotePrefix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0" fillId="13" borderId="0" xfId="0" applyFill="1"/>
    <xf numFmtId="16" fontId="0" fillId="0" borderId="0" xfId="0" applyNumberFormat="1" applyAlignment="1">
      <alignment horizontal="left" vertical="top"/>
    </xf>
    <xf numFmtId="0" fontId="5" fillId="19" borderId="1" xfId="0" applyNumberFormat="1" applyFont="1" applyFill="1" applyBorder="1" applyAlignment="1" applyProtection="1">
      <alignment horizontal="left" vertical="top"/>
    </xf>
    <xf numFmtId="165" fontId="0" fillId="0" borderId="1" xfId="0" applyNumberFormat="1" applyBorder="1"/>
    <xf numFmtId="0" fontId="24" fillId="5" borderId="3" xfId="0" applyFont="1" applyFill="1" applyBorder="1" applyAlignment="1">
      <alignment horizontal="center" vertical="center"/>
    </xf>
    <xf numFmtId="0" fontId="0" fillId="0" borderId="1" xfId="0" quotePrefix="1" applyNumberFormat="1" applyFont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/>
    </xf>
    <xf numFmtId="0" fontId="5" fillId="20" borderId="1" xfId="0" applyNumberFormat="1" applyFont="1" applyFill="1" applyBorder="1" applyAlignment="1" applyProtection="1">
      <alignment horizontal="left" vertical="top"/>
    </xf>
    <xf numFmtId="0" fontId="25" fillId="0" borderId="1" xfId="0" quotePrefix="1" applyFont="1" applyBorder="1" applyAlignment="1">
      <alignment horizontal="left" vertical="top"/>
    </xf>
    <xf numFmtId="0" fontId="0" fillId="0" borderId="1" xfId="0" applyFont="1" applyBorder="1" applyAlignment="1"/>
    <xf numFmtId="0" fontId="25" fillId="2" borderId="1" xfId="0" applyFont="1" applyFill="1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6" fillId="0" borderId="1" xfId="0" quotePrefix="1" applyFont="1" applyBorder="1" applyAlignment="1"/>
    <xf numFmtId="10" fontId="0" fillId="0" borderId="1" xfId="0" quotePrefix="1" applyNumberFormat="1" applyFont="1" applyFill="1" applyBorder="1" applyAlignment="1">
      <alignment horizontal="left" vertical="top"/>
    </xf>
    <xf numFmtId="0" fontId="0" fillId="0" borderId="1" xfId="0" quotePrefix="1" applyFont="1" applyBorder="1" applyAlignment="1">
      <alignment vertical="top"/>
    </xf>
    <xf numFmtId="0" fontId="0" fillId="0" borderId="1" xfId="0" applyFont="1" applyBorder="1" applyAlignment="1">
      <alignment horizontal="left"/>
    </xf>
    <xf numFmtId="164" fontId="0" fillId="0" borderId="1" xfId="0" applyNumberFormat="1" applyFill="1" applyBorder="1" applyAlignment="1">
      <alignment horizontal="left" vertical="top"/>
    </xf>
    <xf numFmtId="0" fontId="5" fillId="21" borderId="1" xfId="0" applyNumberFormat="1" applyFont="1" applyFill="1" applyBorder="1" applyAlignment="1" applyProtection="1">
      <alignment horizontal="left" vertical="top"/>
    </xf>
    <xf numFmtId="0" fontId="0" fillId="5" borderId="1" xfId="0" applyFont="1" applyFill="1" applyBorder="1" applyAlignment="1">
      <alignment horizontal="left" vertical="top" wrapText="1"/>
    </xf>
    <xf numFmtId="0" fontId="5" fillId="22" borderId="1" xfId="0" applyNumberFormat="1" applyFont="1" applyFill="1" applyBorder="1" applyAlignment="1" applyProtection="1">
      <alignment horizontal="left" vertical="top"/>
    </xf>
    <xf numFmtId="165" fontId="0" fillId="0" borderId="0" xfId="0" applyNumberFormat="1" applyBorder="1"/>
    <xf numFmtId="0" fontId="7" fillId="2" borderId="1" xfId="0" applyFont="1" applyFill="1" applyBorder="1" applyAlignment="1">
      <alignment horizontal="center" vertical="top"/>
    </xf>
    <xf numFmtId="0" fontId="7" fillId="2" borderId="1" xfId="0" applyNumberFormat="1" applyFont="1" applyFill="1" applyBorder="1" applyAlignment="1">
      <alignment horizontal="center" vertical="top"/>
    </xf>
    <xf numFmtId="0" fontId="5" fillId="23" borderId="1" xfId="0" applyNumberFormat="1" applyFont="1" applyFill="1" applyBorder="1" applyAlignment="1" applyProtection="1">
      <alignment horizontal="left" vertical="top"/>
    </xf>
    <xf numFmtId="0" fontId="0" fillId="0" borderId="1" xfId="0" quotePrefix="1" applyBorder="1" applyAlignment="1">
      <alignment vertical="top"/>
    </xf>
    <xf numFmtId="0" fontId="29" fillId="0" borderId="0" xfId="0" applyFont="1"/>
    <xf numFmtId="0" fontId="29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 wrapText="1"/>
    </xf>
    <xf numFmtId="0" fontId="30" fillId="0" borderId="0" xfId="0" quotePrefix="1" applyFont="1"/>
    <xf numFmtId="0" fontId="1" fillId="11" borderId="1" xfId="0" applyFont="1" applyFill="1" applyBorder="1" applyAlignment="1">
      <alignment vertical="top"/>
    </xf>
    <xf numFmtId="0" fontId="0" fillId="0" borderId="1" xfId="0" quotePrefix="1" applyFill="1" applyBorder="1" applyAlignment="1">
      <alignment horizontal="left" vertical="top"/>
    </xf>
    <xf numFmtId="0" fontId="3" fillId="11" borderId="1" xfId="0" quotePrefix="1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 wrapText="1"/>
    </xf>
    <xf numFmtId="0" fontId="0" fillId="0" borderId="7" xfId="0" applyBorder="1" applyAlignment="1"/>
    <xf numFmtId="0" fontId="0" fillId="0" borderId="5" xfId="0" applyBorder="1" applyAlignment="1"/>
    <xf numFmtId="0" fontId="0" fillId="0" borderId="8" xfId="0" applyBorder="1" applyAlignment="1"/>
    <xf numFmtId="0" fontId="1" fillId="11" borderId="1" xfId="0" applyFont="1" applyFill="1" applyBorder="1" applyAlignment="1"/>
    <xf numFmtId="0" fontId="0" fillId="2" borderId="1" xfId="0" quotePrefix="1" applyFont="1" applyFill="1" applyBorder="1" applyAlignment="1">
      <alignment horizontal="left" vertical="top"/>
    </xf>
    <xf numFmtId="0" fontId="0" fillId="11" borderId="1" xfId="0" applyFill="1" applyBorder="1" applyAlignment="1">
      <alignment horizontal="left" vertical="top"/>
    </xf>
    <xf numFmtId="0" fontId="10" fillId="0" borderId="1" xfId="0" quotePrefix="1" applyFont="1" applyBorder="1" applyAlignment="1">
      <alignment horizontal="left" vertical="top"/>
    </xf>
    <xf numFmtId="0" fontId="0" fillId="8" borderId="1" xfId="0" applyFill="1" applyBorder="1" applyAlignment="1">
      <alignment horizontal="left" vertical="top"/>
    </xf>
    <xf numFmtId="0" fontId="5" fillId="24" borderId="1" xfId="0" applyNumberFormat="1" applyFont="1" applyFill="1" applyBorder="1" applyAlignment="1" applyProtection="1">
      <alignment horizontal="left" vertical="top"/>
    </xf>
    <xf numFmtId="0" fontId="5" fillId="24" borderId="1" xfId="0" applyFont="1" applyFill="1" applyBorder="1" applyAlignment="1">
      <alignment horizontal="left" vertical="top"/>
    </xf>
    <xf numFmtId="0" fontId="5" fillId="2" borderId="1" xfId="0" quotePrefix="1" applyFont="1" applyFill="1" applyBorder="1" applyAlignment="1">
      <alignment horizontal="left" vertical="top"/>
    </xf>
    <xf numFmtId="0" fontId="0" fillId="17" borderId="1" xfId="0" applyFont="1" applyFill="1" applyBorder="1" applyAlignment="1">
      <alignment horizontal="left" vertical="top"/>
    </xf>
    <xf numFmtId="0" fontId="32" fillId="0" borderId="1" xfId="0" applyFont="1" applyFill="1" applyBorder="1" applyAlignment="1">
      <alignment horizontal="left" vertical="top"/>
    </xf>
    <xf numFmtId="0" fontId="6" fillId="0" borderId="0" xfId="0" quotePrefix="1" applyFont="1" applyAlignment="1"/>
    <xf numFmtId="0" fontId="0" fillId="13" borderId="1" xfId="0" applyFill="1" applyBorder="1" applyAlignment="1">
      <alignment horizontal="left" vertical="top"/>
    </xf>
    <xf numFmtId="0" fontId="0" fillId="0" borderId="0" xfId="0" applyFont="1" applyAlignment="1">
      <alignment vertical="top"/>
    </xf>
    <xf numFmtId="0" fontId="6" fillId="15" borderId="1" xfId="1" applyFont="1" applyFill="1" applyBorder="1" applyAlignment="1"/>
    <xf numFmtId="10" fontId="0" fillId="15" borderId="1" xfId="0" applyNumberFormat="1" applyFont="1" applyFill="1" applyBorder="1" applyAlignment="1">
      <alignment horizontal="left" vertical="top"/>
    </xf>
    <xf numFmtId="0" fontId="0" fillId="15" borderId="1" xfId="0" quotePrefix="1" applyFill="1" applyBorder="1" applyAlignment="1"/>
    <xf numFmtId="0" fontId="0" fillId="2" borderId="1" xfId="0" quotePrefix="1" applyFill="1" applyBorder="1" applyAlignment="1"/>
    <xf numFmtId="10" fontId="0" fillId="2" borderId="1" xfId="0" applyNumberFormat="1" applyFont="1" applyFill="1" applyBorder="1" applyAlignment="1">
      <alignment horizontal="left" vertical="top"/>
    </xf>
    <xf numFmtId="164" fontId="0" fillId="21" borderId="1" xfId="0" applyNumberFormat="1" applyFont="1" applyFill="1" applyBorder="1" applyAlignment="1">
      <alignment horizontal="left" vertical="top"/>
    </xf>
    <xf numFmtId="0" fontId="0" fillId="21" borderId="1" xfId="0" quotePrefix="1" applyFill="1" applyBorder="1" applyAlignment="1"/>
    <xf numFmtId="0" fontId="0" fillId="21" borderId="1" xfId="0" applyFont="1" applyFill="1" applyBorder="1" applyAlignment="1">
      <alignment horizontal="left" vertical="top"/>
    </xf>
    <xf numFmtId="10" fontId="0" fillId="0" borderId="1" xfId="0" applyNumberFormat="1" applyBorder="1" applyAlignment="1"/>
    <xf numFmtId="0" fontId="0" fillId="2" borderId="1" xfId="0" quotePrefix="1" applyFill="1" applyBorder="1"/>
    <xf numFmtId="0" fontId="6" fillId="0" borderId="1" xfId="1" quotePrefix="1" applyFont="1" applyBorder="1" applyAlignment="1"/>
    <xf numFmtId="166" fontId="6" fillId="0" borderId="1" xfId="0" applyNumberFormat="1" applyFont="1" applyFill="1" applyBorder="1" applyAlignment="1"/>
    <xf numFmtId="0" fontId="7" fillId="2" borderId="6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/>
    </xf>
    <xf numFmtId="0" fontId="0" fillId="5" borderId="1" xfId="0" quotePrefix="1" applyFill="1" applyBorder="1" applyAlignment="1">
      <alignment horizontal="left" vertical="top"/>
    </xf>
    <xf numFmtId="0" fontId="0" fillId="5" borderId="1" xfId="0" quotePrefix="1" applyFont="1" applyFill="1" applyBorder="1" applyAlignment="1">
      <alignment horizontal="left" vertical="top" wrapText="1"/>
    </xf>
  </cellXfs>
  <cellStyles count="3">
    <cellStyle name="Bad" xfId="2" builtinId="27"/>
    <cellStyle name="Normal" xfId="0" builtinId="0"/>
    <cellStyle name="Normal 3" xfId="1"/>
  </cellStyles>
  <dxfs count="1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</font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0066FF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uongnguyen/0000_Project/001_Prj/02_JOEM/Summary_JOEM_COEM_202008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ged_COEM"/>
      <sheetName val="Merged_JOEM"/>
      <sheetName val="|-&gt;"/>
      <sheetName val="Report_For_Each_Project_COEM"/>
      <sheetName val="Report_For_Each_Project_JOEM"/>
      <sheetName val="Template_Total_Report"/>
      <sheetName val="Table"/>
      <sheetName val="Check_List"/>
      <sheetName val="|--&gt;"/>
      <sheetName val="Monthly_20200720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C3" t="str">
            <v>ASW</v>
          </cell>
          <cell r="D3" t="str">
            <v>PSW</v>
          </cell>
        </row>
        <row r="4">
          <cell r="C4">
            <v>130</v>
          </cell>
          <cell r="D4">
            <v>450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1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1.bin"/><Relationship Id="rId10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0.bin"/><Relationship Id="rId9" Type="http://schemas.openxmlformats.org/officeDocument/2006/relationships/printerSettings" Target="../printerSettings/printerSettings25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4.bin"/><Relationship Id="rId13" Type="http://schemas.openxmlformats.org/officeDocument/2006/relationships/printerSettings" Target="../printerSettings/printerSettings59.bin"/><Relationship Id="rId3" Type="http://schemas.openxmlformats.org/officeDocument/2006/relationships/printerSettings" Target="../printerSettings/printerSettings49.bin"/><Relationship Id="rId7" Type="http://schemas.openxmlformats.org/officeDocument/2006/relationships/printerSettings" Target="../printerSettings/printerSettings53.bin"/><Relationship Id="rId12" Type="http://schemas.openxmlformats.org/officeDocument/2006/relationships/printerSettings" Target="../printerSettings/printerSettings58.bin"/><Relationship Id="rId2" Type="http://schemas.openxmlformats.org/officeDocument/2006/relationships/printerSettings" Target="../printerSettings/printerSettings48.bin"/><Relationship Id="rId16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47.bin"/><Relationship Id="rId6" Type="http://schemas.openxmlformats.org/officeDocument/2006/relationships/printerSettings" Target="../printerSettings/printerSettings52.bin"/><Relationship Id="rId11" Type="http://schemas.openxmlformats.org/officeDocument/2006/relationships/printerSettings" Target="../printerSettings/printerSettings57.bin"/><Relationship Id="rId5" Type="http://schemas.openxmlformats.org/officeDocument/2006/relationships/printerSettings" Target="../printerSettings/printerSettings51.bin"/><Relationship Id="rId15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56.bin"/><Relationship Id="rId4" Type="http://schemas.openxmlformats.org/officeDocument/2006/relationships/printerSettings" Target="../printerSettings/printerSettings50.bin"/><Relationship Id="rId9" Type="http://schemas.openxmlformats.org/officeDocument/2006/relationships/printerSettings" Target="../printerSettings/printerSettings55.bin"/><Relationship Id="rId14" Type="http://schemas.openxmlformats.org/officeDocument/2006/relationships/printerSettings" Target="../printerSettings/printerSettings6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0.bin"/><Relationship Id="rId3" Type="http://schemas.openxmlformats.org/officeDocument/2006/relationships/printerSettings" Target="../printerSettings/printerSettings65.bin"/><Relationship Id="rId7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Relationship Id="rId6" Type="http://schemas.openxmlformats.org/officeDocument/2006/relationships/printerSettings" Target="../printerSettings/printerSettings68.bin"/><Relationship Id="rId5" Type="http://schemas.openxmlformats.org/officeDocument/2006/relationships/printerSettings" Target="../printerSettings/printerSettings67.bin"/><Relationship Id="rId4" Type="http://schemas.openxmlformats.org/officeDocument/2006/relationships/printerSettings" Target="../printerSettings/printerSettings6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2.bin"/><Relationship Id="rId1" Type="http://schemas.openxmlformats.org/officeDocument/2006/relationships/printerSettings" Target="../printerSettings/printerSettings7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1.bin"/><Relationship Id="rId13" Type="http://schemas.openxmlformats.org/officeDocument/2006/relationships/printerSettings" Target="../printerSettings/printerSettings86.bin"/><Relationship Id="rId3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80.bin"/><Relationship Id="rId12" Type="http://schemas.openxmlformats.org/officeDocument/2006/relationships/printerSettings" Target="../printerSettings/printerSettings85.bin"/><Relationship Id="rId2" Type="http://schemas.openxmlformats.org/officeDocument/2006/relationships/printerSettings" Target="../printerSettings/printerSettings75.bin"/><Relationship Id="rId16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74.bin"/><Relationship Id="rId6" Type="http://schemas.openxmlformats.org/officeDocument/2006/relationships/printerSettings" Target="../printerSettings/printerSettings79.bin"/><Relationship Id="rId11" Type="http://schemas.openxmlformats.org/officeDocument/2006/relationships/printerSettings" Target="../printerSettings/printerSettings84.bin"/><Relationship Id="rId5" Type="http://schemas.openxmlformats.org/officeDocument/2006/relationships/printerSettings" Target="../printerSettings/printerSettings78.bin"/><Relationship Id="rId15" Type="http://schemas.openxmlformats.org/officeDocument/2006/relationships/printerSettings" Target="../printerSettings/printerSettings88.bin"/><Relationship Id="rId10" Type="http://schemas.openxmlformats.org/officeDocument/2006/relationships/printerSettings" Target="../printerSettings/printerSettings83.bin"/><Relationship Id="rId4" Type="http://schemas.openxmlformats.org/officeDocument/2006/relationships/printerSettings" Target="../printerSettings/printerSettings77.bin"/><Relationship Id="rId9" Type="http://schemas.openxmlformats.org/officeDocument/2006/relationships/printerSettings" Target="../printerSettings/printerSettings82.bin"/><Relationship Id="rId14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</sheetPr>
  <dimension ref="A1:AN426"/>
  <sheetViews>
    <sheetView topLeftCell="A16" zoomScale="70" zoomScaleNormal="85" workbookViewId="0">
      <selection activeCell="J31" sqref="J31"/>
    </sheetView>
  </sheetViews>
  <sheetFormatPr defaultRowHeight="15" x14ac:dyDescent="0.25"/>
  <cols>
    <col min="3" max="3" width="21" bestFit="1" customWidth="1"/>
    <col min="4" max="4" width="12.28515625" bestFit="1" customWidth="1"/>
    <col min="5" max="5" width="35.5703125" customWidth="1"/>
    <col min="6" max="6" width="8.7109375" customWidth="1"/>
    <col min="7" max="7" width="10.42578125" customWidth="1"/>
    <col min="8" max="8" width="14.42578125" bestFit="1" customWidth="1"/>
    <col min="9" max="9" width="22.85546875" customWidth="1"/>
    <col min="10" max="10" width="9.42578125" customWidth="1"/>
    <col min="11" max="11" width="7.42578125" customWidth="1"/>
    <col min="12" max="12" width="10.7109375" customWidth="1"/>
    <col min="13" max="13" width="13" customWidth="1"/>
    <col min="14" max="14" width="15.42578125" customWidth="1"/>
    <col min="15" max="15" width="20.42578125" bestFit="1" customWidth="1"/>
    <col min="16" max="16" width="5.42578125" customWidth="1"/>
    <col min="17" max="17" width="15.140625" bestFit="1" customWidth="1"/>
    <col min="18" max="18" width="10.42578125" customWidth="1"/>
    <col min="19" max="19" width="23.42578125" bestFit="1" customWidth="1"/>
    <col min="20" max="20" width="21.42578125" bestFit="1" customWidth="1"/>
    <col min="21" max="21" width="5.7109375" customWidth="1"/>
    <col min="22" max="22" width="5.5703125" customWidth="1"/>
    <col min="23" max="23" width="8.42578125" customWidth="1"/>
    <col min="24" max="24" width="7" customWidth="1"/>
    <col min="25" max="25" width="6.140625" customWidth="1"/>
    <col min="26" max="26" width="6.5703125" customWidth="1"/>
    <col min="27" max="27" width="19.28515625" customWidth="1"/>
    <col min="28" max="28" width="20.28515625" bestFit="1" customWidth="1"/>
    <col min="29" max="29" width="20.7109375" bestFit="1" customWidth="1"/>
    <col min="30" max="30" width="19.28515625" bestFit="1" customWidth="1"/>
    <col min="31" max="32" width="14.5703125" bestFit="1" customWidth="1"/>
    <col min="33" max="33" width="7.7109375" bestFit="1" customWidth="1"/>
    <col min="34" max="35" width="9.140625" bestFit="1" customWidth="1"/>
    <col min="36" max="36" width="9.85546875" bestFit="1" customWidth="1"/>
    <col min="37" max="37" width="37.5703125" customWidth="1"/>
    <col min="38" max="38" width="48.85546875" customWidth="1"/>
    <col min="39" max="39" width="35.85546875" bestFit="1" customWidth="1"/>
    <col min="40" max="40" width="57.140625" customWidth="1"/>
  </cols>
  <sheetData>
    <row r="1" spans="1:17" x14ac:dyDescent="0.25">
      <c r="A1" s="64" t="s">
        <v>135</v>
      </c>
    </row>
    <row r="2" spans="1:17" x14ac:dyDescent="0.25">
      <c r="B2" s="64" t="s">
        <v>49</v>
      </c>
      <c r="C2" s="22"/>
      <c r="D2" s="22"/>
      <c r="E2" s="22"/>
      <c r="F2" s="22"/>
      <c r="G2" s="22"/>
      <c r="H2" s="22"/>
    </row>
    <row r="3" spans="1:17" x14ac:dyDescent="0.25">
      <c r="B3" s="57" t="s">
        <v>0</v>
      </c>
      <c r="C3" s="57" t="s">
        <v>8</v>
      </c>
      <c r="D3" s="57" t="s">
        <v>400</v>
      </c>
      <c r="E3" s="57" t="s">
        <v>50</v>
      </c>
      <c r="F3" s="57" t="s">
        <v>125</v>
      </c>
      <c r="G3" s="57" t="s">
        <v>22</v>
      </c>
      <c r="H3" s="58" t="s">
        <v>24</v>
      </c>
      <c r="I3" s="143" t="s">
        <v>949</v>
      </c>
      <c r="J3" s="2" t="s">
        <v>950</v>
      </c>
      <c r="K3" s="2" t="s">
        <v>22</v>
      </c>
      <c r="O3" s="64" t="s">
        <v>39</v>
      </c>
    </row>
    <row r="4" spans="1:17" x14ac:dyDescent="0.25">
      <c r="B4" s="59">
        <v>1</v>
      </c>
      <c r="C4" s="69" t="s">
        <v>6</v>
      </c>
      <c r="D4" s="61">
        <f>SUMIFS($W$60:$W$412,$D$60:$D$412,Table!$D$3,$S$60:$S$412,C4)</f>
        <v>5780</v>
      </c>
      <c r="E4" s="61">
        <f>SUMIFS($X$60:$X$412,$D$60:$D$412,Table!$D$3,$S$60:$S$412,C4)-SUM(SUMIFS($X$60:$X$412,$D$60:$D$412,Table!$D$3,$S$60:$S$412,C4,$AA$60:$AA$412,{"Ongoing","N\A",""}))</f>
        <v>5780</v>
      </c>
      <c r="F4" s="61">
        <f>1/8*(SUMIFS($Z$60:$Z$412,$D$60:$D$412,Table!$D$3,$S$60:$S$412,C4)-SUM(SUMIFS($Z$60:$Z$412,$D$60:$D$412,Table!$D$3,$S$60:$S$412,C4,$AA$60:$AA$412,{"Ongoing","N/A",""})))</f>
        <v>5.9375</v>
      </c>
      <c r="G4" s="61">
        <f>IF(ISERROR(E4/(F4)),"N/A",E4/F4)</f>
        <v>973.47368421052636</v>
      </c>
      <c r="H4" s="62">
        <f>IF(ISERROR(E4/D4),"N/A",E4/D4)</f>
        <v>1</v>
      </c>
      <c r="I4" s="144">
        <v>1326</v>
      </c>
      <c r="J4" s="3">
        <f t="shared" ref="J4:J17" si="0">E4-I4</f>
        <v>4454</v>
      </c>
      <c r="K4" s="61">
        <f ca="1">IF(J4&lt;&gt;0,J4/$P$20,G4)</f>
        <v>247.44444444444446</v>
      </c>
      <c r="P4" s="64" t="s">
        <v>41</v>
      </c>
    </row>
    <row r="5" spans="1:17" x14ac:dyDescent="0.25">
      <c r="B5" s="59">
        <v>2</v>
      </c>
      <c r="C5" s="72" t="s">
        <v>61</v>
      </c>
      <c r="D5" s="61">
        <f>SUMIFS($W$60:$W$412,$D$60:$D$412,Table!$D$3,$S$60:$S$412,C5)</f>
        <v>0</v>
      </c>
      <c r="E5" s="61">
        <f>SUMIFS($X$60:$X$412,$D$60:$D$412,Table!$D$3,$S$60:$S$412,C5)-SUM(SUMIFS($X$60:$X$412,$D$60:$D$412,Table!$D$3,$S$60:$S$412,C5,$AA$60:$AA$412,{"Ongoing","N\A",""}))</f>
        <v>0</v>
      </c>
      <c r="F5" s="61">
        <f>1/8*(SUMIFS($Z$60:$Z$412,$D$60:$D$412,Table!$D$3,$S$60:$S$412,C5)-SUM(SUMIFS($Z$60:$Z$412,$D$60:$D$412,Table!$D$3,$S$60:$S$412,C5,$AA$60:$AA$412,{"Ongoing","N/A",""})))</f>
        <v>0</v>
      </c>
      <c r="G5" s="61" t="str">
        <f t="shared" ref="G5:G6" si="1">IF(ISERROR(E5/(F5)),"N/A",E5/F5)</f>
        <v>N/A</v>
      </c>
      <c r="H5" s="62" t="str">
        <f t="shared" ref="H5:H18" si="2">IF(ISERROR(E5/D5),"N/A",E5/D5)</f>
        <v>N/A</v>
      </c>
      <c r="I5" s="144">
        <v>0</v>
      </c>
      <c r="J5" s="3">
        <f t="shared" si="0"/>
        <v>0</v>
      </c>
      <c r="K5" s="61" t="str">
        <f t="shared" ref="K5:K17" si="3">IF(J5&lt;&gt;0,J5/$P$20,G5)</f>
        <v>N/A</v>
      </c>
      <c r="Q5" s="22" t="s">
        <v>40</v>
      </c>
    </row>
    <row r="6" spans="1:17" x14ac:dyDescent="0.25">
      <c r="B6" s="59">
        <v>3</v>
      </c>
      <c r="C6" s="72" t="s">
        <v>62</v>
      </c>
      <c r="D6" s="61">
        <f>SUMIFS($W$60:$W$412,$D$60:$D$412,Table!$D$3,$S$60:$S$412,C6)</f>
        <v>0</v>
      </c>
      <c r="E6" s="61">
        <f>SUMIFS($X$60:$X$412,$D$60:$D$412,Table!$D$3,$S$60:$S$412,C6)-SUM(SUMIFS($X$60:$X$412,$D$60:$D$412,Table!$D$3,$S$60:$S$412,C6,$AA$60:$AA$412,{"Ongoing","N\A",""}))</f>
        <v>0</v>
      </c>
      <c r="F6" s="61">
        <f>1/8*(SUMIFS($Z$60:$Z$412,$D$60:$D$412,Table!$D$3,$S$60:$S$412,C6)-SUM(SUMIFS($Z$60:$Z$412,$D$60:$D$412,Table!$D$3,$S$60:$S$412,C6,$AA$60:$AA$412,{"Ongoing","N/A",""})))</f>
        <v>0</v>
      </c>
      <c r="G6" s="61" t="str">
        <f t="shared" si="1"/>
        <v>N/A</v>
      </c>
      <c r="H6" s="62" t="str">
        <f t="shared" si="2"/>
        <v>N/A</v>
      </c>
      <c r="I6" s="144">
        <v>0</v>
      </c>
      <c r="J6" s="3">
        <f t="shared" si="0"/>
        <v>0</v>
      </c>
      <c r="K6" s="61" t="str">
        <f t="shared" si="3"/>
        <v>N/A</v>
      </c>
      <c r="Q6" s="22" t="s">
        <v>93</v>
      </c>
    </row>
    <row r="7" spans="1:17" x14ac:dyDescent="0.25">
      <c r="B7" s="59">
        <v>4</v>
      </c>
      <c r="C7" s="72" t="s">
        <v>63</v>
      </c>
      <c r="D7" s="61">
        <f>SUMIFS($W$60:$W$412,$D$60:$D$412,Table!$D$3,$S$60:$S$412,C7)</f>
        <v>0</v>
      </c>
      <c r="E7" s="61">
        <f>SUMIFS($X$60:$X$412,$D$60:$D$412,Table!$D$3,$S$60:$S$412,C7)-SUM(SUMIFS($X$60:$X$412,$D$60:$D$412,Table!$D$3,$S$60:$S$412,C7,$AA$60:$AA$412,{"Ongoing","N\A",""}))</f>
        <v>0</v>
      </c>
      <c r="F7" s="61">
        <f>1/8*(SUMIFS($Z$60:$Z$412,$D$60:$D$412,Table!$D$3,$S$60:$S$412,C7)-SUM(SUMIFS($Z$60:$Z$412,$D$60:$D$412,Table!$D$3,$S$60:$S$412,C7,$AA$60:$AA$412,{"Ongoing","N/A",""})))</f>
        <v>0</v>
      </c>
      <c r="G7" s="61" t="str">
        <f t="shared" ref="G7:G17" si="4">IF(ISERROR(E7/(F7)),"N/A",E7/F7)</f>
        <v>N/A</v>
      </c>
      <c r="H7" s="62" t="str">
        <f t="shared" ref="H7:H17" si="5">IF(ISERROR(E7/D7),"N/A",E7/D7)</f>
        <v>N/A</v>
      </c>
      <c r="I7" s="144">
        <v>0</v>
      </c>
      <c r="J7" s="3">
        <f t="shared" si="0"/>
        <v>0</v>
      </c>
      <c r="K7" s="61" t="str">
        <f t="shared" si="3"/>
        <v>N/A</v>
      </c>
      <c r="P7" s="64"/>
    </row>
    <row r="8" spans="1:17" x14ac:dyDescent="0.25">
      <c r="B8" s="59">
        <v>5</v>
      </c>
      <c r="C8" s="69" t="s">
        <v>925</v>
      </c>
      <c r="D8" s="61">
        <f>SUMIFS($W$60:$W$412,$D$60:$D$412,Table!$D$3,$S$60:$S$412,C8)</f>
        <v>2281</v>
      </c>
      <c r="E8" s="61">
        <f>SUMIFS($X$60:$X$412,$D$60:$D$412,Table!$D$3,$S$60:$S$412,C8)-SUM(SUMIFS($X$60:$X$412,$D$60:$D$412,Table!$D$3,$S$60:$S$412,C8,$AA$60:$AA$412,{"Ongoing","N\A",""}))</f>
        <v>2281</v>
      </c>
      <c r="F8" s="61">
        <f>1/8*(SUMIFS($Z$60:$Z$412,$D$60:$D$412,Table!$D$3,$S$60:$S$412,C8)-SUM(SUMIFS($Z$60:$Z$412,$D$60:$D$412,Table!$D$3,$S$60:$S$412,C8,$AA$60:$AA$412,{"Ongoing","N/A",""})))</f>
        <v>2.875</v>
      </c>
      <c r="G8" s="61">
        <f t="shared" si="4"/>
        <v>793.39130434782612</v>
      </c>
      <c r="H8" s="62">
        <f t="shared" si="5"/>
        <v>1</v>
      </c>
      <c r="I8" s="144">
        <v>1299</v>
      </c>
      <c r="J8" s="3">
        <f t="shared" si="0"/>
        <v>982</v>
      </c>
      <c r="K8" s="61">
        <f t="shared" ca="1" si="3"/>
        <v>54.555555555555557</v>
      </c>
      <c r="Q8" s="22"/>
    </row>
    <row r="9" spans="1:17" x14ac:dyDescent="0.25">
      <c r="B9" s="59">
        <v>6</v>
      </c>
      <c r="C9" s="69" t="s">
        <v>64</v>
      </c>
      <c r="D9" s="61">
        <f>SUMIFS($W$60:$W$412,$D$60:$D$412,Table!$D$3,$S$60:$S$412,C9)</f>
        <v>7979</v>
      </c>
      <c r="E9" s="61">
        <f>SUMIFS($X$60:$X$412,$D$60:$D$412,Table!$D$3,$S$60:$S$412,C9)-SUM(SUMIFS($X$60:$X$412,$D$60:$D$412,Table!$D$3,$S$60:$S$412,C9,$AA$60:$AA$412,{"Ongoing","N\A",""}))</f>
        <v>7979</v>
      </c>
      <c r="F9" s="61">
        <f>1/8*(SUMIFS($Z$60:$Z$412,$D$60:$D$412,Table!$D$3,$S$60:$S$412,C9)-SUM(SUMIFS($Z$60:$Z$412,$D$60:$D$412,Table!$D$3,$S$60:$S$412,C9,$AA$60:$AA$412,{"Ongoing","N/A",""})))</f>
        <v>18.7775</v>
      </c>
      <c r="G9" s="61">
        <f t="shared" si="4"/>
        <v>424.9234456131008</v>
      </c>
      <c r="H9" s="62">
        <f t="shared" si="5"/>
        <v>1</v>
      </c>
      <c r="I9" s="144">
        <v>1692</v>
      </c>
      <c r="J9" s="3">
        <f t="shared" si="0"/>
        <v>6287</v>
      </c>
      <c r="K9" s="61">
        <f t="shared" ca="1" si="3"/>
        <v>349.27777777777777</v>
      </c>
      <c r="Q9" s="22"/>
    </row>
    <row r="10" spans="1:17" x14ac:dyDescent="0.25">
      <c r="B10" s="59">
        <v>7</v>
      </c>
      <c r="C10" s="69" t="s">
        <v>65</v>
      </c>
      <c r="D10" s="61">
        <f>SUMIFS($W$60:$W$412,$D$60:$D$412,Table!$D$3,$S$60:$S$412,C10)</f>
        <v>8567</v>
      </c>
      <c r="E10" s="61">
        <f>SUMIFS($X$60:$X$412,$D$60:$D$412,Table!$D$3,$S$60:$S$412,C10)-SUM(SUMIFS($X$60:$X$412,$D$60:$D$412,Table!$D$3,$S$60:$S$412,C10,$AA$60:$AA$412,{"Ongoing","N\A",""}))</f>
        <v>8567</v>
      </c>
      <c r="F10" s="61">
        <f>1/8*(SUMIFS($Z$60:$Z$412,$D$60:$D$412,Table!$D$3,$S$60:$S$412,C10)-SUM(SUMIFS($Z$60:$Z$412,$D$60:$D$412,Table!$D$3,$S$60:$S$412,C10,$AA$60:$AA$412,{"Ongoing","N/A",""})))</f>
        <v>18.63</v>
      </c>
      <c r="G10" s="61">
        <f t="shared" si="4"/>
        <v>459.84970477724102</v>
      </c>
      <c r="H10" s="62">
        <f t="shared" si="5"/>
        <v>1</v>
      </c>
      <c r="I10" s="144">
        <v>1684</v>
      </c>
      <c r="J10" s="3">
        <f t="shared" si="0"/>
        <v>6883</v>
      </c>
      <c r="K10" s="61">
        <f t="shared" ca="1" si="3"/>
        <v>382.38888888888891</v>
      </c>
    </row>
    <row r="11" spans="1:17" x14ac:dyDescent="0.25">
      <c r="B11" s="59">
        <v>8</v>
      </c>
      <c r="C11" s="69" t="s">
        <v>66</v>
      </c>
      <c r="D11" s="61">
        <f>SUMIFS($W$60:$W$412,$D$60:$D$412,Table!$D$3,$S$60:$S$412,C11)</f>
        <v>8711</v>
      </c>
      <c r="E11" s="61">
        <f>SUMIFS($X$60:$X$412,$D$60:$D$412,Table!$D$3,$S$60:$S$412,C11)-SUM(SUMIFS($X$60:$X$412,$D$60:$D$412,Table!$D$3,$S$60:$S$412,C11,$AA$60:$AA$412,{"Ongoing","N\A",""}))</f>
        <v>8711</v>
      </c>
      <c r="F11" s="61">
        <f>1/8*(SUMIFS($Z$60:$Z$412,$D$60:$D$412,Table!$D$3,$S$60:$S$412,C11)-SUM(SUMIFS($Z$60:$Z$412,$D$60:$D$412,Table!$D$3,$S$60:$S$412,C11,$AA$60:$AA$412,{"Ongoing","N/A",""})))</f>
        <v>8.2250000000000014</v>
      </c>
      <c r="G11" s="61">
        <f t="shared" si="4"/>
        <v>1059.0881458966564</v>
      </c>
      <c r="H11" s="62">
        <f t="shared" si="5"/>
        <v>1</v>
      </c>
      <c r="I11" s="144">
        <v>2705</v>
      </c>
      <c r="J11" s="3">
        <f t="shared" si="0"/>
        <v>6006</v>
      </c>
      <c r="K11" s="61">
        <f t="shared" ca="1" si="3"/>
        <v>333.66666666666669</v>
      </c>
    </row>
    <row r="12" spans="1:17" x14ac:dyDescent="0.25">
      <c r="B12" s="59">
        <v>9</v>
      </c>
      <c r="C12" s="60" t="s">
        <v>136</v>
      </c>
      <c r="D12" s="61">
        <f>SUMIFS($W$60:$W$412,$D$60:$D$412,Table!$D$3,$S$60:$S$412,C12)</f>
        <v>0</v>
      </c>
      <c r="E12" s="61">
        <f>SUMIFS($X$60:$X$412,$D$60:$D$412,Table!$D$3,$S$60:$S$412,C12)-SUM(SUMIFS($X$60:$X$412,$D$60:$D$412,Table!$D$3,$S$60:$S$412,C12,$AA$60:$AA$412,{"Ongoing","N\A",""}))</f>
        <v>0</v>
      </c>
      <c r="F12" s="61">
        <f>1/8*(SUMIFS($Z$60:$Z$412,$D$60:$D$412,Table!$D$3,$S$60:$S$412,C12)-SUM(SUMIFS($Z$60:$Z$412,$D$60:$D$412,Table!$D$3,$S$60:$S$412,C12,$AA$60:$AA$412,{"Ongoing","N/A",""})))</f>
        <v>0</v>
      </c>
      <c r="G12" s="61" t="str">
        <f t="shared" si="4"/>
        <v>N/A</v>
      </c>
      <c r="H12" s="62" t="str">
        <f t="shared" si="5"/>
        <v>N/A</v>
      </c>
      <c r="I12" s="144">
        <v>0</v>
      </c>
      <c r="J12" s="3">
        <f t="shared" si="0"/>
        <v>0</v>
      </c>
      <c r="K12" s="61" t="str">
        <f t="shared" si="3"/>
        <v>N/A</v>
      </c>
    </row>
    <row r="13" spans="1:17" x14ac:dyDescent="0.25">
      <c r="B13" s="59">
        <v>10</v>
      </c>
      <c r="C13" s="69" t="s">
        <v>137</v>
      </c>
      <c r="D13" s="61">
        <f>SUMIFS($W$60:$W$412,$D$60:$D$412,Table!$D$3,$S$60:$S$412,C13)</f>
        <v>3229</v>
      </c>
      <c r="E13" s="61">
        <f>SUMIFS($X$60:$X$412,$D$60:$D$412,Table!$D$3,$S$60:$S$412,C13)-SUM(SUMIFS($X$60:$X$412,$D$60:$D$412,Table!$D$3,$S$60:$S$412,C13,$AA$60:$AA$412,{"Ongoing","N\A",""}))</f>
        <v>3229</v>
      </c>
      <c r="F13" s="61">
        <f>1/8*(SUMIFS($Z$60:$Z$412,$D$60:$D$412,Table!$D$3,$S$60:$S$412,C13)-SUM(SUMIFS($Z$60:$Z$412,$D$60:$D$412,Table!$D$3,$S$60:$S$412,C13,$AA$60:$AA$412,{"Ongoing","N/A",""})))</f>
        <v>3.25</v>
      </c>
      <c r="G13" s="61">
        <f t="shared" ref="G13:G16" si="6">IF(ISERROR(E13/(F13)),"N/A",E13/F13)</f>
        <v>993.53846153846155</v>
      </c>
      <c r="H13" s="62">
        <f t="shared" ref="H13:H16" si="7">IF(ISERROR(E13/D13),"N/A",E13/D13)</f>
        <v>1</v>
      </c>
      <c r="I13" s="144">
        <v>2280</v>
      </c>
      <c r="J13" s="3">
        <f t="shared" si="0"/>
        <v>949</v>
      </c>
      <c r="K13" s="61">
        <f t="shared" ca="1" si="3"/>
        <v>52.722222222222221</v>
      </c>
    </row>
    <row r="14" spans="1:17" x14ac:dyDescent="0.25">
      <c r="B14" s="59">
        <v>11</v>
      </c>
      <c r="C14" s="60" t="s">
        <v>327</v>
      </c>
      <c r="D14" s="61">
        <f>SUMIFS($W$60:$W$412,$D$60:$D$412,Table!$D$3,$S$60:$S$412,C14)</f>
        <v>0</v>
      </c>
      <c r="E14" s="61">
        <f>SUMIFS($X$60:$X$412,$D$60:$D$412,Table!$D$3,$S$60:$S$412,C14)-SUM(SUMIFS($X$60:$X$412,$D$60:$D$412,Table!$D$3,$S$60:$S$412,C14,$AA$60:$AA$412,{"Ongoing","N\A",""}))</f>
        <v>0</v>
      </c>
      <c r="F14" s="61">
        <f>1/8*(SUMIFS($Z$60:$Z$412,$D$60:$D$412,Table!$D$3,$S$60:$S$412,C14)-SUM(SUMIFS($Z$60:$Z$412,$D$60:$D$412,Table!$D$3,$S$60:$S$412,C14,$AA$60:$AA$412,{"Ongoing","N/A",""})))</f>
        <v>0</v>
      </c>
      <c r="G14" s="61" t="str">
        <f t="shared" si="6"/>
        <v>N/A</v>
      </c>
      <c r="H14" s="62" t="str">
        <f t="shared" si="7"/>
        <v>N/A</v>
      </c>
      <c r="I14" s="144">
        <v>0</v>
      </c>
      <c r="J14" s="3">
        <f t="shared" si="0"/>
        <v>0</v>
      </c>
      <c r="K14" s="61" t="str">
        <f t="shared" si="3"/>
        <v>N/A</v>
      </c>
    </row>
    <row r="15" spans="1:17" x14ac:dyDescent="0.25">
      <c r="B15" s="59">
        <v>12</v>
      </c>
      <c r="C15" s="60" t="s">
        <v>231</v>
      </c>
      <c r="D15" s="61">
        <f>SUMIFS($W$60:$W$412,$D$60:$D$412,Table!$D$3,$S$60:$S$412,C15)</f>
        <v>9297</v>
      </c>
      <c r="E15" s="61">
        <f>SUMIFS($X$60:$X$412,$D$60:$D$412,Table!$D$3,$S$60:$S$412,C15)-SUM(SUMIFS($X$60:$X$412,$D$60:$D$412,Table!$D$3,$S$60:$S$412,C15,$AA$60:$AA$412,{"Ongoing","N\A",""}))</f>
        <v>9297</v>
      </c>
      <c r="F15" s="61">
        <f>1/8*(SUMIFS($Z$60:$Z$412,$D$60:$D$412,Table!$D$3,$S$60:$S$412,C15)-SUM(SUMIFS($Z$60:$Z$412,$D$60:$D$412,Table!$D$3,$S$60:$S$412,C15,$AA$60:$AA$412,{"Ongoing","N/A",""})))</f>
        <v>19.101250000000004</v>
      </c>
      <c r="G15" s="61">
        <f t="shared" si="6"/>
        <v>486.72207316275103</v>
      </c>
      <c r="H15" s="62">
        <f t="shared" si="7"/>
        <v>1</v>
      </c>
      <c r="I15" s="144">
        <v>3862</v>
      </c>
      <c r="J15" s="3">
        <f t="shared" si="0"/>
        <v>5435</v>
      </c>
      <c r="K15" s="61">
        <f t="shared" ca="1" si="3"/>
        <v>301.94444444444446</v>
      </c>
    </row>
    <row r="16" spans="1:17" x14ac:dyDescent="0.25">
      <c r="B16" s="59">
        <v>13</v>
      </c>
      <c r="C16" s="60" t="s">
        <v>232</v>
      </c>
      <c r="D16" s="61">
        <f>SUMIFS($W$60:$W$412,$D$60:$D$412,Table!$D$3,$S$60:$S$412,C16)</f>
        <v>7687</v>
      </c>
      <c r="E16" s="61">
        <f>SUMIFS($X$60:$X$412,$D$60:$D$412,Table!$D$3,$S$60:$S$412,C16)-SUM(SUMIFS($X$60:$X$412,$D$60:$D$412,Table!$D$3,$S$60:$S$412,C16,$AA$60:$AA$412,{"Ongoing","N\A",""}))</f>
        <v>7687</v>
      </c>
      <c r="F16" s="61">
        <f>1/8*(SUMIFS($Z$60:$Z$412,$D$60:$D$412,Table!$D$3,$S$60:$S$412,C16)-SUM(SUMIFS($Z$60:$Z$412,$D$60:$D$412,Table!$D$3,$S$60:$S$412,C16,$AA$60:$AA$412,{"Ongoing","N/A",""})))</f>
        <v>11.35</v>
      </c>
      <c r="G16" s="61">
        <f t="shared" si="6"/>
        <v>677.26872246696041</v>
      </c>
      <c r="H16" s="62">
        <f t="shared" si="7"/>
        <v>1</v>
      </c>
      <c r="I16" s="144">
        <v>3631</v>
      </c>
      <c r="J16" s="3">
        <f t="shared" si="0"/>
        <v>4056</v>
      </c>
      <c r="K16" s="61">
        <f t="shared" ca="1" si="3"/>
        <v>225.33333333333334</v>
      </c>
    </row>
    <row r="17" spans="2:18" x14ac:dyDescent="0.25">
      <c r="B17" s="59">
        <v>14</v>
      </c>
      <c r="C17" s="72" t="s">
        <v>233</v>
      </c>
      <c r="D17" s="61">
        <f>SUMIFS($W$60:$W$412,$D$60:$D$412,Table!$D$3,$S$60:$S$412,C17)</f>
        <v>7901</v>
      </c>
      <c r="E17" s="61">
        <f>SUMIFS($X$60:$X$412,$D$60:$D$412,Table!$D$3,$S$60:$S$412,C17)-SUM(SUMIFS($X$60:$X$412,$D$60:$D$412,Table!$D$3,$S$60:$S$412,C17,$AA$60:$AA$412,{"Ongoing","N\A",""}))</f>
        <v>7901</v>
      </c>
      <c r="F17" s="61">
        <f>1/8*(SUMIFS($Z$60:$Z$412,$D$60:$D$412,Table!$D$3,$S$60:$S$412,C17)-SUM(SUMIFS($Z$60:$Z$412,$D$60:$D$412,Table!$D$3,$S$60:$S$412,C17,$AA$60:$AA$412,{"Ongoing","N/A",""})))</f>
        <v>10.31875</v>
      </c>
      <c r="G17" s="61">
        <f t="shared" si="4"/>
        <v>765.69351907934583</v>
      </c>
      <c r="H17" s="62">
        <f t="shared" si="5"/>
        <v>1</v>
      </c>
      <c r="I17" s="144">
        <v>2893</v>
      </c>
      <c r="J17" s="3">
        <f t="shared" si="0"/>
        <v>5008</v>
      </c>
      <c r="K17" s="61">
        <f t="shared" ca="1" si="3"/>
        <v>278.22222222222223</v>
      </c>
      <c r="O17" s="64" t="s">
        <v>38</v>
      </c>
      <c r="P17" s="66">
        <f>Template_Total_Report!B23</f>
        <v>44003</v>
      </c>
      <c r="R17" s="66">
        <f>Template_Total_Report!D23</f>
        <v>44027</v>
      </c>
    </row>
    <row r="18" spans="2:18" x14ac:dyDescent="0.25">
      <c r="B18" s="57" t="s">
        <v>102</v>
      </c>
      <c r="C18" s="63"/>
      <c r="D18" s="65">
        <f>SUMIFS($W$60:$W$412,$D$60:$D$412,Table!$D$3)</f>
        <v>61432</v>
      </c>
      <c r="E18" s="65">
        <f>SUMIFS($W$60:$W$412,$D$60:$D$412,Table!$D$3)-SUM(SUMIFS($W$60:$W$412,$D$60:$D$412,Table!$D$3,$AA$60:$AA$412,{"Ongoing","N/A",""}))</f>
        <v>61432</v>
      </c>
      <c r="F18" s="65">
        <f>1/8*(SUMIFS($Z$60:$Z$412,$D$60:$D$412,Table!$D$3)-SUM(SUMIFS($Z$60:$Z$412,$D$60:$D$412,Table!$D$3,$AA$60:$AA$412,{"Ongoing","N/A",""})))</f>
        <v>98.464999999999975</v>
      </c>
      <c r="G18" s="61">
        <f>IF(ISERROR(E18/(F18)),"N/A",E18/F18)</f>
        <v>623.89681612755817</v>
      </c>
      <c r="H18" s="62">
        <f t="shared" si="2"/>
        <v>1</v>
      </c>
      <c r="I18" s="3">
        <f>SUM(I4:I17)</f>
        <v>21372</v>
      </c>
      <c r="J18" s="3">
        <f>SUM(J4:J17)</f>
        <v>40060</v>
      </c>
      <c r="K18" s="61">
        <f ca="1">AVERAGE(K4:K17)</f>
        <v>247.28395061728395</v>
      </c>
      <c r="O18" s="64" t="s">
        <v>30</v>
      </c>
      <c r="P18" s="67">
        <f>Template_Total_Report!B24</f>
        <v>18</v>
      </c>
    </row>
    <row r="19" spans="2:18" x14ac:dyDescent="0.25">
      <c r="O19" s="64" t="s">
        <v>131</v>
      </c>
      <c r="P19" s="67">
        <f>Template_Total_Report!B25</f>
        <v>0</v>
      </c>
      <c r="Q19" s="68"/>
    </row>
    <row r="20" spans="2:18" x14ac:dyDescent="0.25">
      <c r="O20" s="64" t="s">
        <v>104</v>
      </c>
      <c r="P20" s="22">
        <f ca="1">Template_Total_Report!B26</f>
        <v>18</v>
      </c>
    </row>
    <row r="21" spans="2:18" x14ac:dyDescent="0.25">
      <c r="B21" s="64" t="s">
        <v>48</v>
      </c>
    </row>
    <row r="22" spans="2:18" x14ac:dyDescent="0.25">
      <c r="B22" s="57" t="s">
        <v>0</v>
      </c>
      <c r="C22" s="57" t="s">
        <v>8</v>
      </c>
      <c r="D22" s="57" t="s">
        <v>400</v>
      </c>
      <c r="E22" s="57" t="s">
        <v>50</v>
      </c>
      <c r="F22" s="57" t="s">
        <v>125</v>
      </c>
      <c r="G22" s="57" t="s">
        <v>22</v>
      </c>
      <c r="H22" s="58" t="s">
        <v>24</v>
      </c>
      <c r="I22" s="143" t="s">
        <v>949</v>
      </c>
      <c r="J22" s="2" t="s">
        <v>950</v>
      </c>
      <c r="K22" s="2" t="s">
        <v>22</v>
      </c>
    </row>
    <row r="23" spans="2:18" x14ac:dyDescent="0.25">
      <c r="B23" s="59">
        <v>1</v>
      </c>
      <c r="C23" s="69" t="s">
        <v>6</v>
      </c>
      <c r="D23" s="61">
        <f>SUMIFS($W$60:$W$412,$D$60:$D$412,Table!$C$3,$S$60:$S$412,C23)</f>
        <v>48</v>
      </c>
      <c r="E23" s="61">
        <f>SUMIFS($X$60:$X$412,$D$60:$D$412,Table!$C$3,$S$60:$S$412,C23)-SUM(SUMIFS($X$60:$X$412,$D$60:$D$412,Table!$C$3,$S$60:$S$412,C23,$AA$60:$AA$412,{"Ongoing","N/A",""}))</f>
        <v>48</v>
      </c>
      <c r="F23" s="61">
        <f>1/8*(SUMIFS($Z$60:$Z$412,$D$60:$D$412,Table!$C$3,$S$60:$S$412,C23)-SUM(SUMIFS($Z$60:$Z$412,$D$60:$D$412,Table!$C$3,$S$60:$S$412,C23,$AA$60:$AA$412,{"Ongoing","N/A",""})))</f>
        <v>0.375</v>
      </c>
      <c r="G23" s="61">
        <f>IF(ISERROR(E23/(F23)),"N/A",E23/F23)</f>
        <v>128</v>
      </c>
      <c r="H23" s="62">
        <f>IF(ISERROR(E23/D23),"N/A",E23/D23)</f>
        <v>1</v>
      </c>
      <c r="I23" s="144">
        <v>0</v>
      </c>
      <c r="J23" s="3">
        <f t="shared" ref="J23:J36" si="8">E23-I23</f>
        <v>48</v>
      </c>
      <c r="K23" s="61">
        <f ca="1">IF(J23&lt;&gt;0,J23/$P$20,G23)</f>
        <v>2.6666666666666665</v>
      </c>
      <c r="M23" s="66"/>
    </row>
    <row r="24" spans="2:18" x14ac:dyDescent="0.25">
      <c r="B24" s="59">
        <v>2</v>
      </c>
      <c r="C24" s="72" t="s">
        <v>61</v>
      </c>
      <c r="D24" s="61">
        <f>SUMIFS($W$60:$W$412,$D$60:$D$412,Table!$C$3,$S$60:$S$412,C24)</f>
        <v>0</v>
      </c>
      <c r="E24" s="61">
        <f>SUMIFS($X$60:$X$412,$D$60:$D$412,Table!$C$3,$S$60:$S$412,C24)-SUM(SUMIFS($X$60:$X$412,$D$60:$D$412,Table!$C$3,$S$60:$S$412,C24,$AA$60:$AA$412,{"Ongoing","N/A",""}))</f>
        <v>0</v>
      </c>
      <c r="F24" s="61">
        <f>1/8*(SUMIFS($Z$60:$Z$412,$D$60:$D$412,Table!$C$3,$S$60:$S$412,C24)-SUM(SUMIFS($Z$60:$Z$412,$D$60:$D$412,Table!$C$3,$S$60:$S$412,C24,$AA$60:$AA$412,{"Ongoing","N/A",""})))</f>
        <v>0</v>
      </c>
      <c r="G24" s="61" t="str">
        <f t="shared" ref="G24:G37" si="9">IF(ISERROR(E24/(F24)),"N/A",E24/F24)</f>
        <v>N/A</v>
      </c>
      <c r="H24" s="62" t="str">
        <f t="shared" ref="H24:H37" si="10">IF(ISERROR(E24/D24),"N/A",E24/D24)</f>
        <v>N/A</v>
      </c>
      <c r="I24" s="144">
        <v>0</v>
      </c>
      <c r="J24" s="3">
        <f t="shared" si="8"/>
        <v>0</v>
      </c>
      <c r="K24" s="61" t="str">
        <f t="shared" ref="K24:K36" si="11">IF(J24&lt;&gt;0,J24/$P$20,G24)</f>
        <v>N/A</v>
      </c>
    </row>
    <row r="25" spans="2:18" x14ac:dyDescent="0.25">
      <c r="B25" s="59">
        <v>3</v>
      </c>
      <c r="C25" s="72" t="s">
        <v>62</v>
      </c>
      <c r="D25" s="61">
        <f>SUMIFS($W$60:$W$412,$D$60:$D$412,Table!$C$3,$S$60:$S$412,C25)</f>
        <v>0</v>
      </c>
      <c r="E25" s="61">
        <f>SUMIFS($X$60:$X$412,$D$60:$D$412,Table!$C$3,$S$60:$S$412,C25)-SUM(SUMIFS($X$60:$X$412,$D$60:$D$412,Table!$C$3,$S$60:$S$412,C25,$AA$60:$AA$412,{"Ongoing","N/A",""}))</f>
        <v>0</v>
      </c>
      <c r="F25" s="61">
        <f>1/8*(SUMIFS($Z$60:$Z$412,$D$60:$D$412,Table!$C$3,$S$60:$S$412,C25)-SUM(SUMIFS($Z$60:$Z$412,$D$60:$D$412,Table!$C$3,$S$60:$S$412,C25,$AA$60:$AA$412,{"Ongoing","N/A",""})))</f>
        <v>0</v>
      </c>
      <c r="G25" s="61" t="str">
        <f t="shared" ref="G25:G31" si="12">IF(ISERROR(E25/(F25)),"N/A",E25/F25)</f>
        <v>N/A</v>
      </c>
      <c r="H25" s="62" t="str">
        <f t="shared" ref="H25:H31" si="13">IF(ISERROR(E25/D25),"N/A",E25/D25)</f>
        <v>N/A</v>
      </c>
      <c r="I25" s="144">
        <v>0</v>
      </c>
      <c r="J25" s="3">
        <f t="shared" si="8"/>
        <v>0</v>
      </c>
      <c r="K25" s="61" t="str">
        <f t="shared" si="11"/>
        <v>N/A</v>
      </c>
      <c r="L25" s="68"/>
    </row>
    <row r="26" spans="2:18" x14ac:dyDescent="0.25">
      <c r="B26" s="59">
        <v>4</v>
      </c>
      <c r="C26" s="72" t="s">
        <v>63</v>
      </c>
      <c r="D26" s="61">
        <f>SUMIFS($W$60:$W$412,$D$60:$D$412,Table!$C$3,$S$60:$S$412,C26)</f>
        <v>0</v>
      </c>
      <c r="E26" s="61">
        <f>SUMIFS($X$60:$X$412,$D$60:$D$412,Table!$C$3,$S$60:$S$412,C26)-SUM(SUMIFS($X$60:$X$412,$D$60:$D$412,Table!$C$3,$S$60:$S$412,C26,$AA$60:$AA$412,{"Ongoing","N/A",""}))</f>
        <v>0</v>
      </c>
      <c r="F26" s="61">
        <f>1/8*(SUMIFS($Z$60:$Z$412,$D$60:$D$412,Table!$C$3,$S$60:$S$412,C26)-SUM(SUMIFS($Z$60:$Z$412,$D$60:$D$412,Table!$C$3,$S$60:$S$412,C26,$AA$60:$AA$412,{"Ongoing","N/A",""})))</f>
        <v>0</v>
      </c>
      <c r="G26" s="61" t="str">
        <f t="shared" si="12"/>
        <v>N/A</v>
      </c>
      <c r="H26" s="62" t="str">
        <f t="shared" si="13"/>
        <v>N/A</v>
      </c>
      <c r="I26" s="144">
        <v>0</v>
      </c>
      <c r="J26" s="3">
        <f t="shared" si="8"/>
        <v>0</v>
      </c>
      <c r="K26" s="61" t="str">
        <f t="shared" si="11"/>
        <v>N/A</v>
      </c>
    </row>
    <row r="27" spans="2:18" x14ac:dyDescent="0.25">
      <c r="B27" s="59">
        <v>5</v>
      </c>
      <c r="C27" s="69" t="s">
        <v>925</v>
      </c>
      <c r="D27" s="61">
        <f>SUMIFS($W$60:$W$412,$D$60:$D$412,Table!$C$3,$S$60:$S$412,C27)</f>
        <v>0</v>
      </c>
      <c r="E27" s="61">
        <f>SUMIFS($X$60:$X$412,$D$60:$D$412,Table!$C$3,$S$60:$S$412,C27)-SUM(SUMIFS($X$60:$X$412,$D$60:$D$412,Table!$C$3,$S$60:$S$412,C27,$AA$60:$AA$412,{"Ongoing","N/A",""}))</f>
        <v>0</v>
      </c>
      <c r="F27" s="61">
        <f>1/8*(SUMIFS($Z$60:$Z$412,$D$60:$D$412,Table!$C$3,$S$60:$S$412,C27)-SUM(SUMIFS($Z$60:$Z$412,$D$60:$D$412,Table!$C$3,$S$60:$S$412,C27,$AA$60:$AA$412,{"Ongoing","N/A",""})))</f>
        <v>0</v>
      </c>
      <c r="G27" s="61" t="str">
        <f t="shared" si="12"/>
        <v>N/A</v>
      </c>
      <c r="H27" s="62" t="str">
        <f t="shared" si="13"/>
        <v>N/A</v>
      </c>
      <c r="I27" s="144">
        <v>0</v>
      </c>
      <c r="J27" s="3">
        <f t="shared" si="8"/>
        <v>0</v>
      </c>
      <c r="K27" s="61" t="str">
        <f t="shared" si="11"/>
        <v>N/A</v>
      </c>
    </row>
    <row r="28" spans="2:18" x14ac:dyDescent="0.25">
      <c r="B28" s="59">
        <v>6</v>
      </c>
      <c r="C28" s="69" t="s">
        <v>64</v>
      </c>
      <c r="D28" s="61">
        <f>SUMIFS($W$60:$W$412,$D$60:$D$412,Table!$C$3,$S$60:$S$412,C28)</f>
        <v>536</v>
      </c>
      <c r="E28" s="61">
        <f>SUMIFS($X$60:$X$412,$D$60:$D$412,Table!$C$3,$S$60:$S$412,C28)-SUM(SUMIFS($X$60:$X$412,$D$60:$D$412,Table!$C$3,$S$60:$S$412,C28,$AA$60:$AA$412,{"Ongoing","N/A",""}))</f>
        <v>536</v>
      </c>
      <c r="F28" s="61">
        <f>1/8*(SUMIFS($Z$60:$Z$412,$D$60:$D$412,Table!$C$3,$S$60:$S$412,C28)-SUM(SUMIFS($Z$60:$Z$412,$D$60:$D$412,Table!$C$3,$S$60:$S$412,C28,$AA$60:$AA$412,{"Ongoing","N/A",""})))</f>
        <v>4.1050000000000004</v>
      </c>
      <c r="G28" s="61">
        <f t="shared" si="12"/>
        <v>130.57247259439706</v>
      </c>
      <c r="H28" s="62">
        <f t="shared" si="13"/>
        <v>1</v>
      </c>
      <c r="I28" s="144">
        <v>100</v>
      </c>
      <c r="J28" s="3">
        <f t="shared" si="8"/>
        <v>436</v>
      </c>
      <c r="K28" s="61">
        <f t="shared" ca="1" si="11"/>
        <v>24.222222222222221</v>
      </c>
    </row>
    <row r="29" spans="2:18" x14ac:dyDescent="0.25">
      <c r="B29" s="59">
        <v>7</v>
      </c>
      <c r="C29" s="69" t="s">
        <v>65</v>
      </c>
      <c r="D29" s="61">
        <f>SUMIFS($W$60:$W$412,$D$60:$D$412,Table!$C$3,$S$60:$S$412,C29)</f>
        <v>872</v>
      </c>
      <c r="E29" s="61">
        <f>SUMIFS($X$60:$X$412,$D$60:$D$412,Table!$C$3,$S$60:$S$412,C29)-SUM(SUMIFS($X$60:$X$412,$D$60:$D$412,Table!$C$3,$S$60:$S$412,C29,$AA$60:$AA$412,{"Ongoing","N/A",""}))</f>
        <v>872</v>
      </c>
      <c r="F29" s="61">
        <f>1/8*(SUMIFS($Z$60:$Z$412,$D$60:$D$412,Table!$C$3,$S$60:$S$412,C29)-SUM(SUMIFS($Z$60:$Z$412,$D$60:$D$412,Table!$C$3,$S$60:$S$412,C29,$AA$60:$AA$412,{"Ongoing","N/A",""})))</f>
        <v>5.44625</v>
      </c>
      <c r="G29" s="61">
        <f t="shared" si="12"/>
        <v>160.11016754647693</v>
      </c>
      <c r="H29" s="62">
        <f t="shared" si="13"/>
        <v>1</v>
      </c>
      <c r="I29" s="144">
        <v>372</v>
      </c>
      <c r="J29" s="3">
        <f t="shared" si="8"/>
        <v>500</v>
      </c>
      <c r="K29" s="61">
        <f t="shared" ca="1" si="11"/>
        <v>27.777777777777779</v>
      </c>
    </row>
    <row r="30" spans="2:18" x14ac:dyDescent="0.25">
      <c r="B30" s="59">
        <v>8</v>
      </c>
      <c r="C30" s="69" t="s">
        <v>66</v>
      </c>
      <c r="D30" s="61">
        <f>SUMIFS($W$60:$W$412,$D$60:$D$412,Table!$C$3,$S$60:$S$412,C30)</f>
        <v>752</v>
      </c>
      <c r="E30" s="61">
        <f>SUMIFS($X$60:$X$412,$D$60:$D$412,Table!$C$3,$S$60:$S$412,C30)-SUM(SUMIFS($X$60:$X$412,$D$60:$D$412,Table!$C$3,$S$60:$S$412,C30,$AA$60:$AA$412,{"Ongoing","N/A",""}))</f>
        <v>752</v>
      </c>
      <c r="F30" s="61">
        <f>1/8*(SUMIFS($Z$60:$Z$412,$D$60:$D$412,Table!$C$3,$S$60:$S$412,C30)-SUM(SUMIFS($Z$60:$Z$412,$D$60:$D$412,Table!$C$3,$S$60:$S$412,C30,$AA$60:$AA$412,{"Ongoing","N/A",""})))</f>
        <v>3.5</v>
      </c>
      <c r="G30" s="61">
        <f t="shared" si="12"/>
        <v>214.85714285714286</v>
      </c>
      <c r="H30" s="62">
        <f t="shared" si="13"/>
        <v>1</v>
      </c>
      <c r="I30" s="144">
        <v>133</v>
      </c>
      <c r="J30" s="3">
        <f t="shared" si="8"/>
        <v>619</v>
      </c>
      <c r="K30" s="61">
        <f t="shared" ca="1" si="11"/>
        <v>34.388888888888886</v>
      </c>
    </row>
    <row r="31" spans="2:18" x14ac:dyDescent="0.25">
      <c r="B31" s="59">
        <v>9</v>
      </c>
      <c r="C31" s="60" t="s">
        <v>136</v>
      </c>
      <c r="D31" s="61">
        <f>SUMIFS($W$60:$W$412,$D$60:$D$412,Table!$C$3,$S$60:$S$412,C31)</f>
        <v>0</v>
      </c>
      <c r="E31" s="61">
        <f>SUMIFS($X$60:$X$412,$D$60:$D$412,Table!$C$3,$S$60:$S$412,C31)-SUM(SUMIFS($X$60:$X$412,$D$60:$D$412,Table!$C$3,$S$60:$S$412,C31,$AA$60:$AA$412,{"Ongoing","N/A",""}))</f>
        <v>0</v>
      </c>
      <c r="F31" s="61">
        <f>1/8*(SUMIFS($Z$60:$Z$412,$D$60:$D$412,Table!$C$3,$S$60:$S$412,C31)-SUM(SUMIFS($Z$60:$Z$412,$D$60:$D$412,Table!$C$3,$S$60:$S$412,C31,$AA$60:$AA$412,{"Ongoing","N/A",""})))</f>
        <v>0</v>
      </c>
      <c r="G31" s="61" t="str">
        <f t="shared" si="12"/>
        <v>N/A</v>
      </c>
      <c r="H31" s="62" t="str">
        <f t="shared" si="13"/>
        <v>N/A</v>
      </c>
      <c r="I31" s="144">
        <v>0</v>
      </c>
      <c r="J31" s="3">
        <f t="shared" si="8"/>
        <v>0</v>
      </c>
      <c r="K31" s="61" t="str">
        <f t="shared" si="11"/>
        <v>N/A</v>
      </c>
    </row>
    <row r="32" spans="2:18" x14ac:dyDescent="0.25">
      <c r="B32" s="59">
        <v>10</v>
      </c>
      <c r="C32" s="69" t="s">
        <v>137</v>
      </c>
      <c r="D32" s="61">
        <f>SUMIFS($W$60:$W$412,$D$60:$D$412,Table!$C$3,$S$60:$S$412,C32)</f>
        <v>0</v>
      </c>
      <c r="E32" s="61">
        <f>SUMIFS($X$60:$X$412,$D$60:$D$412,Table!$C$3,$S$60:$S$412,C32)-SUM(SUMIFS($X$60:$X$412,$D$60:$D$412,Table!$C$3,$S$60:$S$412,C32,$AA$60:$AA$412,{"Ongoing","N/A",""}))</f>
        <v>0</v>
      </c>
      <c r="F32" s="61">
        <f>1/8*(SUMIFS($Z$60:$Z$412,$D$60:$D$412,Table!$C$3,$S$60:$S$412,C32)-SUM(SUMIFS($Z$60:$Z$412,$D$60:$D$412,Table!$C$3,$S$60:$S$412,C32,$AA$60:$AA$412,{"Ongoing","N/A",""})))</f>
        <v>0</v>
      </c>
      <c r="G32" s="61" t="str">
        <f t="shared" ref="G32:G36" si="14">IF(ISERROR(E32/(F32)),"N/A",E32/F32)</f>
        <v>N/A</v>
      </c>
      <c r="H32" s="62" t="str">
        <f t="shared" ref="H32:H36" si="15">IF(ISERROR(E32/D32),"N/A",E32/D32)</f>
        <v>N/A</v>
      </c>
      <c r="I32" s="144">
        <v>0</v>
      </c>
      <c r="J32" s="3">
        <f t="shared" si="8"/>
        <v>0</v>
      </c>
      <c r="K32" s="61" t="str">
        <f t="shared" si="11"/>
        <v>N/A</v>
      </c>
    </row>
    <row r="33" spans="1:14" x14ac:dyDescent="0.25">
      <c r="B33" s="59">
        <v>11</v>
      </c>
      <c r="C33" s="60" t="s">
        <v>327</v>
      </c>
      <c r="D33" s="61">
        <f>SUMIFS($W$60:$W$412,$D$60:$D$412,Table!$C$3,$S$60:$S$412,C33)</f>
        <v>0</v>
      </c>
      <c r="E33" s="61">
        <f>SUMIFS($X$60:$X$412,$D$60:$D$412,Table!$C$3,$S$60:$S$412,C33)-SUM(SUMIFS($X$60:$X$412,$D$60:$D$412,Table!$C$3,$S$60:$S$412,C33,$AA$60:$AA$412,{"Ongoing","N/A",""}))</f>
        <v>0</v>
      </c>
      <c r="F33" s="61">
        <f>1/8*(SUMIFS($Z$60:$Z$412,$D$60:$D$412,Table!$C$3,$S$60:$S$412,C33)-SUM(SUMIFS($Z$60:$Z$412,$D$60:$D$412,Table!$C$3,$S$60:$S$412,C33,$AA$60:$AA$412,{"Ongoing","N/A",""})))</f>
        <v>0</v>
      </c>
      <c r="G33" s="61" t="str">
        <f t="shared" si="14"/>
        <v>N/A</v>
      </c>
      <c r="H33" s="62" t="str">
        <f t="shared" si="15"/>
        <v>N/A</v>
      </c>
      <c r="I33" s="144">
        <v>0</v>
      </c>
      <c r="J33" s="3">
        <f t="shared" si="8"/>
        <v>0</v>
      </c>
      <c r="K33" s="61" t="str">
        <f t="shared" si="11"/>
        <v>N/A</v>
      </c>
    </row>
    <row r="34" spans="1:14" x14ac:dyDescent="0.25">
      <c r="B34" s="59">
        <v>12</v>
      </c>
      <c r="C34" s="60" t="s">
        <v>231</v>
      </c>
      <c r="D34" s="61">
        <f>SUMIFS($W$60:$W$412,$D$60:$D$412,Table!$C$3,$S$60:$S$412,C34)</f>
        <v>143</v>
      </c>
      <c r="E34" s="61">
        <f>SUMIFS($X$60:$X$412,$D$60:$D$412,Table!$C$3,$S$60:$S$412,C34)-SUM(SUMIFS($X$60:$X$412,$D$60:$D$412,Table!$C$3,$S$60:$S$412,C34,$AA$60:$AA$412,{"Ongoing","N/A",""}))</f>
        <v>143</v>
      </c>
      <c r="F34" s="61">
        <f>1/8*(SUMIFS($Z$60:$Z$412,$D$60:$D$412,Table!$C$3,$S$60:$S$412,C34)-SUM(SUMIFS($Z$60:$Z$412,$D$60:$D$412,Table!$C$3,$S$60:$S$412,C34,$AA$60:$AA$412,{"Ongoing","N/A",""})))</f>
        <v>1.375</v>
      </c>
      <c r="G34" s="61">
        <f t="shared" si="14"/>
        <v>104</v>
      </c>
      <c r="H34" s="62">
        <f t="shared" si="15"/>
        <v>1</v>
      </c>
      <c r="I34" s="144">
        <v>0</v>
      </c>
      <c r="J34" s="3">
        <f t="shared" si="8"/>
        <v>143</v>
      </c>
      <c r="K34" s="61">
        <f t="shared" ca="1" si="11"/>
        <v>7.9444444444444446</v>
      </c>
    </row>
    <row r="35" spans="1:14" x14ac:dyDescent="0.25">
      <c r="B35" s="59">
        <v>13</v>
      </c>
      <c r="C35" s="60" t="s">
        <v>232</v>
      </c>
      <c r="D35" s="61">
        <f>SUMIFS($W$60:$W$412,$D$60:$D$412,Table!$C$3,$S$60:$S$412,C35)</f>
        <v>166</v>
      </c>
      <c r="E35" s="61">
        <f>SUMIFS($X$60:$X$412,$D$60:$D$412,Table!$C$3,$S$60:$S$412,C35)-SUM(SUMIFS($X$60:$X$412,$D$60:$D$412,Table!$C$3,$S$60:$S$412,C35,$AA$60:$AA$412,{"Ongoing","N/A",""}))</f>
        <v>166</v>
      </c>
      <c r="F35" s="61">
        <f>1/8*(SUMIFS($Z$60:$Z$412,$D$60:$D$412,Table!$C$3,$S$60:$S$412,C35)-SUM(SUMIFS($Z$60:$Z$412,$D$60:$D$412,Table!$C$3,$S$60:$S$412,C35,$AA$60:$AA$412,{"Ongoing","N/A",""})))</f>
        <v>1.5</v>
      </c>
      <c r="G35" s="61">
        <f t="shared" si="14"/>
        <v>110.66666666666667</v>
      </c>
      <c r="H35" s="62">
        <f t="shared" si="15"/>
        <v>1</v>
      </c>
      <c r="I35" s="144">
        <v>0</v>
      </c>
      <c r="J35" s="3">
        <f t="shared" si="8"/>
        <v>166</v>
      </c>
      <c r="K35" s="61">
        <f t="shared" ca="1" si="11"/>
        <v>9.2222222222222214</v>
      </c>
    </row>
    <row r="36" spans="1:14" x14ac:dyDescent="0.25">
      <c r="B36" s="59">
        <v>14</v>
      </c>
      <c r="C36" s="60" t="s">
        <v>233</v>
      </c>
      <c r="D36" s="61">
        <f>SUMIFS($W$60:$W$412,$D$60:$D$412,Table!$C$3,$S$60:$S$412,C36)</f>
        <v>192</v>
      </c>
      <c r="E36" s="61">
        <f>SUMIFS($X$60:$X$412,$D$60:$D$412,Table!$C$3,$S$60:$S$412,C36)-SUM(SUMIFS($X$60:$X$412,$D$60:$D$412,Table!$C$3,$S$60:$S$412,C36,$AA$60:$AA$412,{"Ongoing","N/A",""}))</f>
        <v>192</v>
      </c>
      <c r="F36" s="61">
        <f>1/8*(SUMIFS($Z$60:$Z$412,$D$60:$D$412,Table!$C$3,$S$60:$S$412,C36)-SUM(SUMIFS($Z$60:$Z$412,$D$60:$D$412,Table!$C$3,$S$60:$S$412,C36,$AA$60:$AA$412,{"Ongoing","N/A",""})))</f>
        <v>1.875</v>
      </c>
      <c r="G36" s="61">
        <f t="shared" si="14"/>
        <v>102.4</v>
      </c>
      <c r="H36" s="62">
        <f t="shared" si="15"/>
        <v>1</v>
      </c>
      <c r="I36" s="144">
        <v>0</v>
      </c>
      <c r="J36" s="3">
        <f t="shared" si="8"/>
        <v>192</v>
      </c>
      <c r="K36" s="61">
        <f t="shared" ca="1" si="11"/>
        <v>10.666666666666666</v>
      </c>
    </row>
    <row r="37" spans="1:14" x14ac:dyDescent="0.25">
      <c r="B37" s="57" t="s">
        <v>102</v>
      </c>
      <c r="C37" s="63"/>
      <c r="D37" s="65">
        <f>ROUND(SUMIFS($W$60:$W$412,$D$60:$D$412,Table!$C$3),3)</f>
        <v>2709</v>
      </c>
      <c r="E37" s="65">
        <f>ROUND(SUMIFS($W$60:$W$412,$D$60:$D$412,Table!$C$3)-SUM(SUMIFS($W$60:$W$412,$D$60:$D$412,Table!$C$3,$AA$60:$AA$412,{"Ongoing","N/A",""})),3)</f>
        <v>2709</v>
      </c>
      <c r="F37" s="142">
        <f>1/8*(SUMIFS($Z$60:$Z$412,$D$60:$D$412,Table!$C$3)-SUM(SUMIFS($Z$60:$Z$412,$D$60:$D$412,Table!$C$3,$AA$60:$AA$412,{"Ongoing","N/A",""})))</f>
        <v>18.17625</v>
      </c>
      <c r="G37" s="61">
        <f t="shared" si="9"/>
        <v>149.04064369713225</v>
      </c>
      <c r="H37" s="62">
        <f t="shared" si="10"/>
        <v>1</v>
      </c>
      <c r="I37" s="3">
        <f>SUM(I23:I36)</f>
        <v>605</v>
      </c>
      <c r="J37" s="3">
        <f>SUM(J23:J36)</f>
        <v>2104</v>
      </c>
      <c r="K37" s="61">
        <f ca="1">AVERAGE(K23:K36)</f>
        <v>16.698412698412699</v>
      </c>
      <c r="L37" s="6"/>
    </row>
    <row r="39" spans="1:14" ht="19.5" customHeight="1" x14ac:dyDescent="0.25"/>
    <row r="40" spans="1:14" x14ac:dyDescent="0.25">
      <c r="A40" s="1" t="s">
        <v>171</v>
      </c>
      <c r="B40" s="64" t="s">
        <v>103</v>
      </c>
    </row>
    <row r="41" spans="1:14" x14ac:dyDescent="0.25">
      <c r="B41" s="57" t="s">
        <v>0</v>
      </c>
      <c r="C41" s="57" t="s">
        <v>8</v>
      </c>
      <c r="D41" s="57" t="s">
        <v>400</v>
      </c>
      <c r="E41" s="57" t="s">
        <v>50</v>
      </c>
      <c r="F41" s="57" t="s">
        <v>95</v>
      </c>
      <c r="G41" s="57" t="s">
        <v>22</v>
      </c>
      <c r="H41" s="58" t="s">
        <v>24</v>
      </c>
      <c r="I41" s="2" t="s">
        <v>949</v>
      </c>
      <c r="J41" s="2" t="s">
        <v>950</v>
      </c>
      <c r="K41" s="2" t="s">
        <v>22</v>
      </c>
      <c r="L41" s="76" t="s">
        <v>134</v>
      </c>
      <c r="M41" s="77" t="s">
        <v>143</v>
      </c>
    </row>
    <row r="42" spans="1:14" ht="15.75" x14ac:dyDescent="0.25">
      <c r="B42" s="59">
        <v>1</v>
      </c>
      <c r="C42" s="69" t="s">
        <v>6</v>
      </c>
      <c r="D42" s="61">
        <f>SUM(D23*Table!$D$4/Table!$C$4,D4)</f>
        <v>5946.1538461538457</v>
      </c>
      <c r="E42" s="61">
        <f>SUM(E23*Table!$D$4/Table!$C$4,E4)</f>
        <v>5946.1538461538457</v>
      </c>
      <c r="F42" s="61">
        <f t="shared" ref="F42:F55" ca="1" si="16">$P$20</f>
        <v>18</v>
      </c>
      <c r="G42" s="61">
        <f t="shared" ref="G42" ca="1" si="17">IF(ISERROR(E42/(F42)),"N/A",E42/F42)</f>
        <v>330.34188034188031</v>
      </c>
      <c r="H42" s="62">
        <f t="shared" ref="H42:H56" si="18">IF(ISERROR(E42/D42),"N/A",E42/D42)</f>
        <v>1</v>
      </c>
      <c r="I42" s="3">
        <f>SUM(I23*Table!$D$4/Table!$C$4,I4)</f>
        <v>1326</v>
      </c>
      <c r="J42" s="3">
        <f>SUM(J23*Table!$D$4/Table!$C$4,J4)</f>
        <v>4620.1538461538457</v>
      </c>
      <c r="K42" s="61">
        <f t="shared" ref="K42:K55" ca="1" si="19">J42/$P$20</f>
        <v>256.67521367521363</v>
      </c>
      <c r="L42" s="78">
        <f>COUNTIFS($S$60:$S$412,C42,$AK$60:$AK$412,Table!$C$41)</f>
        <v>9</v>
      </c>
      <c r="M42" s="78">
        <f>COUNTIFS($S$60:$S$412,C42,$AK$60:$AK$412,Table!$C$42)</f>
        <v>0</v>
      </c>
    </row>
    <row r="43" spans="1:14" ht="15.75" x14ac:dyDescent="0.25">
      <c r="B43" s="59">
        <v>2</v>
      </c>
      <c r="C43" s="103" t="s">
        <v>61</v>
      </c>
      <c r="D43" s="61">
        <f>SUM(D24*Table!$D$4/Table!$C$4,D5)</f>
        <v>0</v>
      </c>
      <c r="E43" s="61">
        <f>SUM(E24*Table!$D$4/Table!$C$4,E5)</f>
        <v>0</v>
      </c>
      <c r="F43" s="61">
        <f t="shared" ca="1" si="16"/>
        <v>18</v>
      </c>
      <c r="G43" s="61">
        <f ca="1">IF(ISERROR(E43/(F43)),"N/A",E43/F43)</f>
        <v>0</v>
      </c>
      <c r="H43" s="62" t="str">
        <f t="shared" si="18"/>
        <v>N/A</v>
      </c>
      <c r="I43" s="3">
        <f>SUM(I24*Table!$D$4/Table!$C$4,I5)</f>
        <v>0</v>
      </c>
      <c r="J43" s="3">
        <f>SUM(J24*Table!$D$4/Table!$C$4,J5)</f>
        <v>0</v>
      </c>
      <c r="K43" s="61">
        <f t="shared" ca="1" si="19"/>
        <v>0</v>
      </c>
      <c r="L43" s="78">
        <f>COUNTIFS($S$60:$S$412,C43,$AK$60:$AK$412,Table!$C$41)</f>
        <v>0</v>
      </c>
      <c r="M43" s="78">
        <f>COUNTIFS($S$60:$S$412,C43,$AK$60:$AK$412,Table!$C$42)</f>
        <v>0</v>
      </c>
    </row>
    <row r="44" spans="1:14" ht="15.75" x14ac:dyDescent="0.25">
      <c r="B44" s="59">
        <v>3</v>
      </c>
      <c r="C44" s="103" t="s">
        <v>62</v>
      </c>
      <c r="D44" s="61">
        <f>SUM(D25*Table!$D$4/Table!$C$4,D6)</f>
        <v>0</v>
      </c>
      <c r="E44" s="61">
        <f>SUM(E25*Table!$D$4/Table!$C$4,E6)</f>
        <v>0</v>
      </c>
      <c r="F44" s="61">
        <f t="shared" ca="1" si="16"/>
        <v>18</v>
      </c>
      <c r="G44" s="61">
        <f t="shared" ref="G44:G50" ca="1" si="20">IF(ISERROR(E44/(F44)),"N/A",E44/F44)</f>
        <v>0</v>
      </c>
      <c r="H44" s="62" t="str">
        <f t="shared" ref="H44:H50" si="21">IF(ISERROR(E44/D44),"N/A",E44/D44)</f>
        <v>N/A</v>
      </c>
      <c r="I44" s="3">
        <f>SUM(I25*Table!$D$4/Table!$C$4,I6)</f>
        <v>0</v>
      </c>
      <c r="J44" s="3">
        <f>SUM(J25*Table!$D$4/Table!$C$4,J6)</f>
        <v>0</v>
      </c>
      <c r="K44" s="61">
        <f t="shared" ca="1" si="19"/>
        <v>0</v>
      </c>
      <c r="L44" s="78">
        <f>COUNTIFS($S$60:$S$412,C44,$AK$60:$AK$412,Table!$C$41)</f>
        <v>0</v>
      </c>
      <c r="M44" s="78">
        <f>COUNTIFS($S$60:$S$412,C44,$AK$60:$AK$412,Table!$C$42)</f>
        <v>0</v>
      </c>
    </row>
    <row r="45" spans="1:14" ht="15.75" x14ac:dyDescent="0.25">
      <c r="B45" s="59">
        <v>4</v>
      </c>
      <c r="C45" s="72" t="s">
        <v>63</v>
      </c>
      <c r="D45" s="61">
        <f>SUM(D26*Table!$D$4/Table!$C$4,D7)</f>
        <v>0</v>
      </c>
      <c r="E45" s="61">
        <f>SUM(E26*Table!$D$4/Table!$C$4,E7)</f>
        <v>0</v>
      </c>
      <c r="F45" s="61">
        <f t="shared" ca="1" si="16"/>
        <v>18</v>
      </c>
      <c r="G45" s="61">
        <f t="shared" ca="1" si="20"/>
        <v>0</v>
      </c>
      <c r="H45" s="62" t="str">
        <f t="shared" si="21"/>
        <v>N/A</v>
      </c>
      <c r="I45" s="3">
        <f>SUM(I26*Table!$D$4/Table!$C$4,I7)</f>
        <v>0</v>
      </c>
      <c r="J45" s="3">
        <f>SUM(J26*Table!$D$4/Table!$C$4,J7)</f>
        <v>0</v>
      </c>
      <c r="K45" s="61">
        <f t="shared" ca="1" si="19"/>
        <v>0</v>
      </c>
      <c r="L45" s="78">
        <f>COUNTIFS($S$60:$S$412,C45,$AK$60:$AK$412,Table!$C$41)</f>
        <v>0</v>
      </c>
      <c r="M45" s="78">
        <f>COUNTIFS($S$60:$S$412,C45,$AK$60:$AK$412,Table!$C$42)</f>
        <v>0</v>
      </c>
    </row>
    <row r="46" spans="1:14" ht="16.5" customHeight="1" x14ac:dyDescent="0.25">
      <c r="B46" s="59">
        <v>5</v>
      </c>
      <c r="C46" s="69" t="s">
        <v>925</v>
      </c>
      <c r="D46" s="61">
        <f>SUM(D27*Table!$D$4/Table!$C$4,D8)</f>
        <v>2281</v>
      </c>
      <c r="E46" s="61">
        <f>SUM(E27*Table!$D$4/Table!$C$4,E8)</f>
        <v>2281</v>
      </c>
      <c r="F46" s="61">
        <f t="shared" ca="1" si="16"/>
        <v>18</v>
      </c>
      <c r="G46" s="61">
        <f t="shared" ca="1" si="20"/>
        <v>126.72222222222223</v>
      </c>
      <c r="H46" s="62">
        <f t="shared" si="21"/>
        <v>1</v>
      </c>
      <c r="I46" s="3">
        <f>SUM(I27*Table!$D$4/Table!$C$4,I8)</f>
        <v>1299</v>
      </c>
      <c r="J46" s="3">
        <f>SUM(J27*Table!$D$4/Table!$C$4,J8)</f>
        <v>982</v>
      </c>
      <c r="K46" s="61">
        <f t="shared" ca="1" si="19"/>
        <v>54.555555555555557</v>
      </c>
      <c r="L46" s="78">
        <f>COUNTIFS($S$60:$S$412,C46,$AK$60:$AK$412,Table!$C$41)</f>
        <v>1</v>
      </c>
      <c r="M46" s="78">
        <f>COUNTIFS($S$60:$S$412,C46,$AK$60:$AK$412,Table!$C$42)</f>
        <v>0</v>
      </c>
      <c r="N46" s="5"/>
    </row>
    <row r="47" spans="1:14" ht="15.75" x14ac:dyDescent="0.25">
      <c r="B47" s="59">
        <v>6</v>
      </c>
      <c r="C47" s="69" t="s">
        <v>64</v>
      </c>
      <c r="D47" s="61">
        <f>SUM(D28*Table!$D$4/Table!$C$4,D9)</f>
        <v>9834.3846153846152</v>
      </c>
      <c r="E47" s="61">
        <f>SUM(E28*Table!$D$4/Table!$C$4,E9)</f>
        <v>9834.3846153846152</v>
      </c>
      <c r="F47" s="61">
        <f t="shared" ca="1" si="16"/>
        <v>18</v>
      </c>
      <c r="G47" s="61">
        <f t="shared" ca="1" si="20"/>
        <v>546.35470085470081</v>
      </c>
      <c r="H47" s="62">
        <f t="shared" si="21"/>
        <v>1</v>
      </c>
      <c r="I47" s="3">
        <f>SUM(I28*Table!$D$4/Table!$C$4,I9)</f>
        <v>2038.1538461538462</v>
      </c>
      <c r="J47" s="3">
        <f>SUM(J28*Table!$D$4/Table!$C$4,J9)</f>
        <v>7796.2307692307695</v>
      </c>
      <c r="K47" s="61">
        <f t="shared" ca="1" si="19"/>
        <v>433.12393162393164</v>
      </c>
      <c r="L47" s="78">
        <f>COUNTIFS($S$60:$S$412,C47,$AK$60:$AK$412,Table!$C$41)</f>
        <v>8</v>
      </c>
      <c r="M47" s="78">
        <f>COUNTIFS($S$60:$S$412,C47,$AK$60:$AK$412,Table!$C$42)</f>
        <v>0</v>
      </c>
      <c r="N47" s="82"/>
    </row>
    <row r="48" spans="1:14" ht="15.75" x14ac:dyDescent="0.25">
      <c r="A48" t="s">
        <v>307</v>
      </c>
      <c r="B48" s="59">
        <v>7</v>
      </c>
      <c r="C48" s="69" t="s">
        <v>65</v>
      </c>
      <c r="D48" s="61">
        <f>SUM(D29*Table!$D$4/Table!$C$4,D10)</f>
        <v>11585.461538461539</v>
      </c>
      <c r="E48" s="61">
        <f>SUM(E29*Table!$D$4/Table!$C$4,E10)</f>
        <v>11585.461538461539</v>
      </c>
      <c r="F48" s="61">
        <f t="shared" ca="1" si="16"/>
        <v>18</v>
      </c>
      <c r="G48" s="61">
        <f t="shared" ca="1" si="20"/>
        <v>643.63675213675219</v>
      </c>
      <c r="H48" s="62">
        <f t="shared" si="21"/>
        <v>1</v>
      </c>
      <c r="I48" s="3">
        <f>SUM(I29*Table!$D$4/Table!$C$4,I10)</f>
        <v>2971.6923076923076</v>
      </c>
      <c r="J48" s="3">
        <f>SUM(J29*Table!$D$4/Table!$C$4,J10)</f>
        <v>8613.7692307692305</v>
      </c>
      <c r="K48" s="61">
        <f t="shared" ca="1" si="19"/>
        <v>478.54273504273505</v>
      </c>
      <c r="L48" s="78">
        <f>COUNTIFS($S$60:$S$412,C48,$AK$60:$AK$412,Table!$C$41)</f>
        <v>14</v>
      </c>
      <c r="M48" s="78">
        <f>COUNTIFS($S$60:$S$412,C48,$AK$60:$AK$412,Table!$C$42)</f>
        <v>0</v>
      </c>
      <c r="N48" s="5"/>
    </row>
    <row r="49" spans="2:40" ht="15.75" x14ac:dyDescent="0.25">
      <c r="B49" s="59">
        <v>8</v>
      </c>
      <c r="C49" s="69" t="s">
        <v>66</v>
      </c>
      <c r="D49" s="61">
        <f>SUM(D30*Table!$D$4/Table!$C$4,D11)</f>
        <v>11314.076923076922</v>
      </c>
      <c r="E49" s="61">
        <f>SUM(E30*Table!$D$4/Table!$C$4,E11)</f>
        <v>11314.076923076922</v>
      </c>
      <c r="F49" s="61">
        <f t="shared" ca="1" si="16"/>
        <v>18</v>
      </c>
      <c r="G49" s="61">
        <f t="shared" ca="1" si="20"/>
        <v>628.55982905982899</v>
      </c>
      <c r="H49" s="62">
        <f t="shared" si="21"/>
        <v>1</v>
      </c>
      <c r="I49" s="3">
        <f>SUM(I30*Table!$D$4/Table!$C$4,I11)</f>
        <v>3165.3846153846152</v>
      </c>
      <c r="J49" s="3">
        <f>SUM(J30*Table!$D$4/Table!$C$4,J11)</f>
        <v>8148.6923076923076</v>
      </c>
      <c r="K49" s="61">
        <f t="shared" ca="1" si="19"/>
        <v>452.70512820512818</v>
      </c>
      <c r="L49" s="78">
        <f>COUNTIFS($S$60:$S$412,C49,$AK$60:$AK$412,Table!$C$41)</f>
        <v>7</v>
      </c>
      <c r="M49" s="78">
        <f>COUNTIFS($S$60:$S$412,C49,$AK$60:$AK$412,Table!$C$42)</f>
        <v>0</v>
      </c>
    </row>
    <row r="50" spans="2:40" ht="15.75" x14ac:dyDescent="0.25">
      <c r="B50" s="59">
        <v>9</v>
      </c>
      <c r="C50" s="60" t="s">
        <v>136</v>
      </c>
      <c r="D50" s="61">
        <f>SUM(D31*Table!$D$4/Table!$C$4,D12)</f>
        <v>0</v>
      </c>
      <c r="E50" s="61">
        <f>SUM(E31*Table!$D$4/Table!$C$4,E12)</f>
        <v>0</v>
      </c>
      <c r="F50" s="61">
        <f t="shared" ca="1" si="16"/>
        <v>18</v>
      </c>
      <c r="G50" s="61">
        <f t="shared" ca="1" si="20"/>
        <v>0</v>
      </c>
      <c r="H50" s="62" t="str">
        <f t="shared" si="21"/>
        <v>N/A</v>
      </c>
      <c r="I50" s="3">
        <f>SUM(I31*Table!$D$4/Table!$C$4,I12)</f>
        <v>0</v>
      </c>
      <c r="J50" s="3">
        <f>SUM(J31*Table!$D$4/Table!$C$4,J12)</f>
        <v>0</v>
      </c>
      <c r="K50" s="61">
        <f t="shared" ca="1" si="19"/>
        <v>0</v>
      </c>
      <c r="L50" s="78">
        <f>COUNTIFS($S$60:$S$412,C50,$AK$60:$AK$412,Table!$C$41)</f>
        <v>0</v>
      </c>
      <c r="M50" s="78">
        <f>COUNTIFS($S$60:$S$412,C50,$AK$60:$AK$412,Table!$C$42)</f>
        <v>0</v>
      </c>
    </row>
    <row r="51" spans="2:40" ht="15.75" x14ac:dyDescent="0.25">
      <c r="B51" s="59">
        <v>10</v>
      </c>
      <c r="C51" s="69" t="s">
        <v>137</v>
      </c>
      <c r="D51" s="61">
        <f>SUM(D32*Table!$D$4/Table!$C$4,D13)</f>
        <v>3229</v>
      </c>
      <c r="E51" s="61">
        <f>SUM(E32*Table!$D$4/Table!$C$4,E13)</f>
        <v>3229</v>
      </c>
      <c r="F51" s="61">
        <f t="shared" ca="1" si="16"/>
        <v>18</v>
      </c>
      <c r="G51" s="61">
        <f t="shared" ref="G51:G55" ca="1" si="22">IF(ISERROR(E51/(F51)),"N/A",E51/F51)</f>
        <v>179.38888888888889</v>
      </c>
      <c r="H51" s="62">
        <f t="shared" ref="H51:H55" si="23">IF(ISERROR(E51/D51),"N/A",E51/D51)</f>
        <v>1</v>
      </c>
      <c r="I51" s="3">
        <f>SUM(I32*Table!$D$4/Table!$C$4,I13)</f>
        <v>2280</v>
      </c>
      <c r="J51" s="3">
        <f>SUM(J32*Table!$D$4/Table!$C$4,J13)</f>
        <v>949</v>
      </c>
      <c r="K51" s="61">
        <f t="shared" ca="1" si="19"/>
        <v>52.722222222222221</v>
      </c>
      <c r="L51" s="78">
        <f>COUNTIFS($S$60:$S$412,C51,$AK$60:$AK$412,Table!$C$41)</f>
        <v>1</v>
      </c>
      <c r="M51" s="78">
        <f>COUNTIFS($S$60:$S$412,C51,$AK$60:$AK$412,Table!$C$42)</f>
        <v>0</v>
      </c>
    </row>
    <row r="52" spans="2:40" ht="15.75" x14ac:dyDescent="0.25">
      <c r="B52" s="59">
        <v>11</v>
      </c>
      <c r="C52" s="60" t="s">
        <v>327</v>
      </c>
      <c r="D52" s="61">
        <f>SUM(D33*Table!$D$4/Table!$C$4,D14)</f>
        <v>0</v>
      </c>
      <c r="E52" s="61">
        <f>SUM(E33*Table!$D$4/Table!$C$4,E14)</f>
        <v>0</v>
      </c>
      <c r="F52" s="61">
        <f t="shared" ca="1" si="16"/>
        <v>18</v>
      </c>
      <c r="G52" s="61">
        <f t="shared" ca="1" si="22"/>
        <v>0</v>
      </c>
      <c r="H52" s="62" t="str">
        <f t="shared" si="23"/>
        <v>N/A</v>
      </c>
      <c r="I52" s="3">
        <f>SUM(I33*Table!$D$4/Table!$C$4,I14)</f>
        <v>0</v>
      </c>
      <c r="J52" s="3">
        <f>SUM(J33*Table!$D$4/Table!$C$4,J14)</f>
        <v>0</v>
      </c>
      <c r="K52" s="61">
        <f t="shared" ca="1" si="19"/>
        <v>0</v>
      </c>
      <c r="L52" s="78">
        <f>COUNTIFS($S$60:$S$412,C52,$AK$60:$AK$412,Table!$C$41)</f>
        <v>0</v>
      </c>
      <c r="M52" s="78">
        <f>COUNTIFS($S$60:$S$412,C52,$AK$60:$AK$412,Table!$C$42)</f>
        <v>0</v>
      </c>
    </row>
    <row r="53" spans="2:40" ht="15.75" x14ac:dyDescent="0.25">
      <c r="B53" s="59">
        <v>12</v>
      </c>
      <c r="C53" s="69" t="s">
        <v>231</v>
      </c>
      <c r="D53" s="61">
        <f>SUM(D34*Table!$D$4/Table!$C$4,D15)</f>
        <v>9792</v>
      </c>
      <c r="E53" s="61">
        <f>SUM(E34*Table!$D$4/Table!$C$4,E15)</f>
        <v>9792</v>
      </c>
      <c r="F53" s="61">
        <f t="shared" ca="1" si="16"/>
        <v>18</v>
      </c>
      <c r="G53" s="61">
        <f t="shared" ca="1" si="22"/>
        <v>544</v>
      </c>
      <c r="H53" s="62">
        <f t="shared" si="23"/>
        <v>1</v>
      </c>
      <c r="I53" s="3">
        <f>SUM(I34*Table!$D$4/Table!$C$4,I15)</f>
        <v>3862</v>
      </c>
      <c r="J53" s="3">
        <f>SUM(J34*Table!$D$4/Table!$C$4,J15)</f>
        <v>5930</v>
      </c>
      <c r="K53" s="61">
        <f t="shared" ca="1" si="19"/>
        <v>329.44444444444446</v>
      </c>
      <c r="L53" s="78">
        <f>COUNTIFS($S$60:$S$412,C53,$AK$60:$AK$412,Table!$C$41)</f>
        <v>4</v>
      </c>
      <c r="M53" s="78">
        <f>COUNTIFS($S$60:$S$412,C53,$AK$60:$AK$412,Table!$C$42)</f>
        <v>0</v>
      </c>
    </row>
    <row r="54" spans="2:40" ht="15.75" x14ac:dyDescent="0.25">
      <c r="B54" s="59">
        <v>13</v>
      </c>
      <c r="C54" s="69" t="s">
        <v>232</v>
      </c>
      <c r="D54" s="61">
        <f>SUM(D35*Table!$D$4/Table!$C$4,D16)</f>
        <v>8261.6153846153848</v>
      </c>
      <c r="E54" s="61">
        <f>SUM(E35*Table!$D$4/Table!$C$4,E16)</f>
        <v>8261.6153846153848</v>
      </c>
      <c r="F54" s="61">
        <f t="shared" ca="1" si="16"/>
        <v>18</v>
      </c>
      <c r="G54" s="61">
        <f t="shared" ca="1" si="22"/>
        <v>458.97863247863251</v>
      </c>
      <c r="H54" s="62">
        <f t="shared" si="23"/>
        <v>1</v>
      </c>
      <c r="I54" s="3">
        <f>SUM(I35*Table!$D$4/Table!$C$4,I16)</f>
        <v>3631</v>
      </c>
      <c r="J54" s="3">
        <f>SUM(J35*Table!$D$4/Table!$C$4,J16)</f>
        <v>4630.6153846153848</v>
      </c>
      <c r="K54" s="61">
        <f t="shared" ca="1" si="19"/>
        <v>257.25641025641028</v>
      </c>
      <c r="L54" s="78">
        <f>COUNTIFS($S$60:$S$412,C54,$AK$60:$AK$412,Table!$C$41)</f>
        <v>3</v>
      </c>
      <c r="M54" s="78">
        <f>COUNTIFS($S$60:$S$412,C54,$AK$60:$AK$412,Table!$C$42)</f>
        <v>0</v>
      </c>
      <c r="V54" s="123"/>
      <c r="W54" s="123"/>
    </row>
    <row r="55" spans="2:40" ht="15.75" x14ac:dyDescent="0.25">
      <c r="B55" s="59">
        <v>14</v>
      </c>
      <c r="C55" s="69" t="s">
        <v>233</v>
      </c>
      <c r="D55" s="61">
        <f>SUM(D36*Table!$D$4/Table!$C$4,D17)</f>
        <v>8565.6153846153848</v>
      </c>
      <c r="E55" s="61">
        <f>SUM(E36*Table!$D$4/Table!$C$4,E17)</f>
        <v>8565.6153846153848</v>
      </c>
      <c r="F55" s="61">
        <f t="shared" ca="1" si="16"/>
        <v>18</v>
      </c>
      <c r="G55" s="61">
        <f t="shared" ca="1" si="22"/>
        <v>475.86752136752136</v>
      </c>
      <c r="H55" s="62">
        <f t="shared" si="23"/>
        <v>1</v>
      </c>
      <c r="I55" s="3">
        <f>SUM(I36*Table!$D$4/Table!$C$4,I17)</f>
        <v>2893</v>
      </c>
      <c r="J55" s="3">
        <f>SUM(J36*Table!$D$4/Table!$C$4,J17)</f>
        <v>5672.6153846153848</v>
      </c>
      <c r="K55" s="61">
        <f t="shared" ca="1" si="19"/>
        <v>315.14529914529913</v>
      </c>
      <c r="L55" s="78">
        <f>COUNTIFS($S$60:$S$412,C55,$AK$60:$AK$412,Table!$C$41)</f>
        <v>6</v>
      </c>
      <c r="M55" s="78">
        <f>COUNTIFS($S$60:$S$412,C55,$AK$60:$AK$412,Table!$C$42)</f>
        <v>0</v>
      </c>
      <c r="V55" s="5"/>
      <c r="W55" s="5"/>
    </row>
    <row r="56" spans="2:40" ht="15.75" x14ac:dyDescent="0.25">
      <c r="B56" s="57" t="s">
        <v>102</v>
      </c>
      <c r="C56" s="63"/>
      <c r="D56" s="61">
        <f>SUM(D42:D55)</f>
        <v>70809.307692307688</v>
      </c>
      <c r="E56" s="61">
        <f>SUM(E42:E55)</f>
        <v>70809.307692307688</v>
      </c>
      <c r="F56" s="61">
        <f ca="1">$P$20*COUNTA(C42:C55)</f>
        <v>252</v>
      </c>
      <c r="G56" s="61">
        <f ca="1">IF(ISERROR(E56/(F56)),"N/A",E56/F56)</f>
        <v>280.98931623931622</v>
      </c>
      <c r="H56" s="62">
        <f t="shared" si="18"/>
        <v>1</v>
      </c>
      <c r="I56" s="3">
        <f>SUM(I42:I55)</f>
        <v>23466.23076923077</v>
      </c>
      <c r="J56" s="3">
        <f>SUM(J42:J55)</f>
        <v>47343.076923076922</v>
      </c>
      <c r="K56" s="61">
        <f ca="1">AVERAGE(K42:K55)</f>
        <v>187.86935286935287</v>
      </c>
      <c r="L56" s="78">
        <f>SUM(L42:L55)</f>
        <v>53</v>
      </c>
      <c r="M56" s="78">
        <f>SUM(M42:M55)</f>
        <v>0</v>
      </c>
      <c r="V56" s="123"/>
      <c r="W56" s="123"/>
      <c r="X56" s="5"/>
      <c r="Y56" s="5"/>
      <c r="Z56" s="5"/>
    </row>
    <row r="59" spans="2:40" x14ac:dyDescent="0.25">
      <c r="B59" s="52" t="s">
        <v>0</v>
      </c>
      <c r="C59" s="52" t="s">
        <v>60</v>
      </c>
      <c r="D59" s="52" t="s">
        <v>1</v>
      </c>
      <c r="E59" s="52" t="s">
        <v>53</v>
      </c>
      <c r="F59" s="52" t="s">
        <v>54</v>
      </c>
      <c r="G59" s="52" t="s">
        <v>138</v>
      </c>
      <c r="H59" s="52" t="s">
        <v>106</v>
      </c>
      <c r="I59" s="52" t="s">
        <v>55</v>
      </c>
      <c r="J59" s="52" t="s">
        <v>105</v>
      </c>
      <c r="K59" s="52" t="s">
        <v>139</v>
      </c>
      <c r="L59" s="52" t="s">
        <v>68</v>
      </c>
      <c r="M59" s="52" t="s">
        <v>141</v>
      </c>
      <c r="N59" s="52" t="s">
        <v>67</v>
      </c>
      <c r="O59" s="52" t="s">
        <v>59</v>
      </c>
      <c r="P59" s="52" t="s">
        <v>76</v>
      </c>
      <c r="Q59" s="49" t="s">
        <v>52</v>
      </c>
      <c r="R59" s="53" t="s">
        <v>7</v>
      </c>
      <c r="S59" s="53" t="s">
        <v>8</v>
      </c>
      <c r="T59" s="53" t="s">
        <v>74</v>
      </c>
      <c r="U59" s="53" t="s">
        <v>88</v>
      </c>
      <c r="V59" s="53" t="s">
        <v>71</v>
      </c>
      <c r="W59" s="53" t="s">
        <v>72</v>
      </c>
      <c r="X59" s="53" t="s">
        <v>50</v>
      </c>
      <c r="Y59" s="53" t="s">
        <v>75</v>
      </c>
      <c r="Z59" s="53" t="s">
        <v>51</v>
      </c>
      <c r="AA59" s="53" t="s">
        <v>17</v>
      </c>
      <c r="AB59" s="53" t="s">
        <v>153</v>
      </c>
      <c r="AC59" s="53" t="s">
        <v>56</v>
      </c>
      <c r="AD59" s="53" t="s">
        <v>57</v>
      </c>
      <c r="AE59" s="52" t="s">
        <v>12</v>
      </c>
      <c r="AF59" s="52" t="s">
        <v>13</v>
      </c>
      <c r="AG59" s="52" t="s">
        <v>73</v>
      </c>
      <c r="AH59" s="52" t="s">
        <v>14</v>
      </c>
      <c r="AI59" s="52" t="s">
        <v>15</v>
      </c>
      <c r="AJ59" s="53" t="s">
        <v>16</v>
      </c>
      <c r="AK59" s="52" t="s">
        <v>140</v>
      </c>
      <c r="AL59" s="53" t="s">
        <v>133</v>
      </c>
      <c r="AM59" s="53" t="s">
        <v>132</v>
      </c>
      <c r="AN59" s="53" t="s">
        <v>77</v>
      </c>
    </row>
    <row r="60" spans="2:40" hidden="1" x14ac:dyDescent="0.25">
      <c r="B60" s="39">
        <v>1</v>
      </c>
      <c r="C60" s="16">
        <v>20200603</v>
      </c>
      <c r="D60" s="15" t="s">
        <v>2</v>
      </c>
      <c r="E60" s="15" t="s">
        <v>294</v>
      </c>
      <c r="F60" s="17" t="s">
        <v>58</v>
      </c>
      <c r="G60" s="17">
        <v>1458593</v>
      </c>
      <c r="H60" s="48" t="s">
        <v>58</v>
      </c>
      <c r="I60" s="15" t="s">
        <v>295</v>
      </c>
      <c r="J60" s="48" t="s">
        <v>58</v>
      </c>
      <c r="K60" s="15" t="s">
        <v>1070</v>
      </c>
      <c r="L60" s="15" t="s">
        <v>300</v>
      </c>
      <c r="M60" s="75" t="s">
        <v>301</v>
      </c>
      <c r="N60" s="15">
        <v>1458593</v>
      </c>
      <c r="O60" s="17" t="s">
        <v>281</v>
      </c>
      <c r="P60" s="17" t="s">
        <v>306</v>
      </c>
      <c r="Q60" s="18"/>
      <c r="R60" s="48" t="s">
        <v>58</v>
      </c>
      <c r="S60" s="15" t="s">
        <v>65</v>
      </c>
      <c r="T60" s="15"/>
      <c r="U60" s="15"/>
      <c r="V60" s="15">
        <v>80</v>
      </c>
      <c r="W60" s="15">
        <f t="shared" ref="W60:W63" si="24">V60</f>
        <v>80</v>
      </c>
      <c r="X60" s="15">
        <f>W60</f>
        <v>80</v>
      </c>
      <c r="Y60" s="15">
        <f>ROUNDDOWN(W60/HLOOKUP(D60,Table!$C$3:$D$4,2,0)*8,2)</f>
        <v>4.92</v>
      </c>
      <c r="Z60" s="15">
        <v>4</v>
      </c>
      <c r="AA60" s="15" t="s">
        <v>70</v>
      </c>
      <c r="AB60" s="19">
        <v>44004</v>
      </c>
      <c r="AC60" s="19">
        <v>43985</v>
      </c>
      <c r="AD60" s="85">
        <v>44004</v>
      </c>
      <c r="AE60" s="19">
        <v>43987</v>
      </c>
      <c r="AF60" s="19">
        <v>43987</v>
      </c>
      <c r="AG60" s="19" t="s">
        <v>165</v>
      </c>
      <c r="AH60" s="29">
        <v>0.93300000000000005</v>
      </c>
      <c r="AI60" s="29">
        <v>0.93899999999999995</v>
      </c>
      <c r="AJ60" s="29">
        <v>1</v>
      </c>
      <c r="AK60" s="19" t="s">
        <v>134</v>
      </c>
      <c r="AL60" s="15" t="s">
        <v>309</v>
      </c>
      <c r="AM60" s="15"/>
      <c r="AN60" s="15" t="s">
        <v>459</v>
      </c>
    </row>
    <row r="61" spans="2:40" hidden="1" x14ac:dyDescent="0.25">
      <c r="B61" s="39">
        <f t="shared" ref="B61:B124" si="25">B60+1</f>
        <v>2</v>
      </c>
      <c r="C61" s="16">
        <v>20200603</v>
      </c>
      <c r="D61" s="15" t="s">
        <v>2</v>
      </c>
      <c r="E61" s="15" t="s">
        <v>294</v>
      </c>
      <c r="F61" s="17" t="s">
        <v>58</v>
      </c>
      <c r="G61" s="17">
        <v>1458593</v>
      </c>
      <c r="H61" s="48" t="s">
        <v>58</v>
      </c>
      <c r="I61" s="15" t="s">
        <v>898</v>
      </c>
      <c r="J61" s="48" t="s">
        <v>58</v>
      </c>
      <c r="K61" s="15" t="s">
        <v>1070</v>
      </c>
      <c r="L61" s="15" t="s">
        <v>300</v>
      </c>
      <c r="M61" s="75" t="s">
        <v>301</v>
      </c>
      <c r="N61" s="15">
        <v>1458593</v>
      </c>
      <c r="O61" s="17" t="s">
        <v>281</v>
      </c>
      <c r="P61" s="17" t="s">
        <v>306</v>
      </c>
      <c r="Q61" s="18"/>
      <c r="R61" s="48" t="s">
        <v>58</v>
      </c>
      <c r="S61" s="15" t="s">
        <v>65</v>
      </c>
      <c r="T61" s="15"/>
      <c r="U61" s="15"/>
      <c r="V61" s="15">
        <v>20</v>
      </c>
      <c r="W61" s="15">
        <f t="shared" si="24"/>
        <v>20</v>
      </c>
      <c r="X61" s="15">
        <f>W61</f>
        <v>20</v>
      </c>
      <c r="Y61" s="15">
        <f>ROUNDDOWN(W61/HLOOKUP(D61,Table!$C$3:$D$4,2,0)*8,2)</f>
        <v>1.23</v>
      </c>
      <c r="Z61" s="15">
        <v>1</v>
      </c>
      <c r="AA61" s="15" t="s">
        <v>70</v>
      </c>
      <c r="AB61" s="19">
        <v>44004</v>
      </c>
      <c r="AC61" s="19">
        <v>43985</v>
      </c>
      <c r="AD61" s="85">
        <v>44004</v>
      </c>
      <c r="AE61" s="19">
        <v>43999</v>
      </c>
      <c r="AF61" s="19">
        <v>43999</v>
      </c>
      <c r="AG61" s="19" t="s">
        <v>164</v>
      </c>
      <c r="AH61" s="29">
        <v>1</v>
      </c>
      <c r="AI61" s="29">
        <v>1</v>
      </c>
      <c r="AJ61" s="29">
        <v>1</v>
      </c>
      <c r="AK61" s="19" t="s">
        <v>144</v>
      </c>
      <c r="AL61" s="15" t="s">
        <v>58</v>
      </c>
      <c r="AM61" s="15" t="s">
        <v>58</v>
      </c>
      <c r="AN61" s="15" t="s">
        <v>58</v>
      </c>
    </row>
    <row r="62" spans="2:40" hidden="1" x14ac:dyDescent="0.25">
      <c r="B62" s="39">
        <f t="shared" si="25"/>
        <v>3</v>
      </c>
      <c r="C62" s="16">
        <v>20200603</v>
      </c>
      <c r="D62" s="15" t="s">
        <v>2</v>
      </c>
      <c r="E62" s="15" t="s">
        <v>294</v>
      </c>
      <c r="F62" s="17" t="s">
        <v>58</v>
      </c>
      <c r="G62" s="17">
        <v>1458593</v>
      </c>
      <c r="H62" s="48" t="s">
        <v>58</v>
      </c>
      <c r="I62" s="15" t="s">
        <v>897</v>
      </c>
      <c r="J62" s="48" t="s">
        <v>58</v>
      </c>
      <c r="K62" s="15" t="s">
        <v>1070</v>
      </c>
      <c r="L62" s="15" t="s">
        <v>300</v>
      </c>
      <c r="M62" s="75" t="s">
        <v>301</v>
      </c>
      <c r="N62" s="15">
        <v>1458593</v>
      </c>
      <c r="O62" s="17" t="s">
        <v>281</v>
      </c>
      <c r="P62" s="17" t="s">
        <v>306</v>
      </c>
      <c r="Q62" s="18"/>
      <c r="R62" s="48" t="s">
        <v>58</v>
      </c>
      <c r="S62" s="15" t="s">
        <v>65</v>
      </c>
      <c r="T62" s="15"/>
      <c r="U62" s="15"/>
      <c r="V62" s="15">
        <v>12</v>
      </c>
      <c r="W62" s="15">
        <f t="shared" si="24"/>
        <v>12</v>
      </c>
      <c r="X62" s="15">
        <f>W62</f>
        <v>12</v>
      </c>
      <c r="Y62" s="15">
        <f>ROUNDDOWN(W62/HLOOKUP(D62,Table!$C$3:$D$4,2,0)*8,2)</f>
        <v>0.73</v>
      </c>
      <c r="Z62" s="15">
        <v>0.5</v>
      </c>
      <c r="AA62" s="15" t="s">
        <v>70</v>
      </c>
      <c r="AB62" s="19">
        <v>44004</v>
      </c>
      <c r="AC62" s="19">
        <v>43985</v>
      </c>
      <c r="AD62" s="85">
        <v>44004</v>
      </c>
      <c r="AE62" s="19">
        <v>43999</v>
      </c>
      <c r="AF62" s="19">
        <v>43999</v>
      </c>
      <c r="AG62" s="19" t="s">
        <v>164</v>
      </c>
      <c r="AH62" s="29">
        <v>1</v>
      </c>
      <c r="AI62" s="29">
        <v>1</v>
      </c>
      <c r="AJ62" s="29">
        <v>1</v>
      </c>
      <c r="AK62" s="19" t="s">
        <v>144</v>
      </c>
      <c r="AL62" s="15" t="s">
        <v>58</v>
      </c>
      <c r="AM62" s="15" t="s">
        <v>58</v>
      </c>
      <c r="AN62" s="15" t="s">
        <v>58</v>
      </c>
    </row>
    <row r="63" spans="2:40" hidden="1" x14ac:dyDescent="0.25">
      <c r="B63" s="39">
        <f t="shared" si="25"/>
        <v>4</v>
      </c>
      <c r="C63" s="16">
        <v>20200603</v>
      </c>
      <c r="D63" s="15" t="s">
        <v>2</v>
      </c>
      <c r="E63" s="15" t="s">
        <v>294</v>
      </c>
      <c r="F63" s="17" t="s">
        <v>58</v>
      </c>
      <c r="G63" s="17">
        <v>1458593</v>
      </c>
      <c r="H63" s="48" t="s">
        <v>58</v>
      </c>
      <c r="I63" s="15" t="s">
        <v>481</v>
      </c>
      <c r="J63" s="48" t="s">
        <v>58</v>
      </c>
      <c r="K63" s="15" t="s">
        <v>1068</v>
      </c>
      <c r="L63" s="15" t="s">
        <v>300</v>
      </c>
      <c r="M63" s="75" t="s">
        <v>301</v>
      </c>
      <c r="N63" s="15">
        <v>1458593</v>
      </c>
      <c r="O63" s="17" t="s">
        <v>302</v>
      </c>
      <c r="P63" s="17" t="s">
        <v>306</v>
      </c>
      <c r="Q63" s="18"/>
      <c r="R63" s="48" t="s">
        <v>58</v>
      </c>
      <c r="S63" s="15" t="s">
        <v>64</v>
      </c>
      <c r="T63" s="15"/>
      <c r="U63" s="15"/>
      <c r="V63" s="15">
        <v>100</v>
      </c>
      <c r="W63" s="15">
        <f t="shared" si="24"/>
        <v>100</v>
      </c>
      <c r="X63" s="15">
        <f>W63</f>
        <v>100</v>
      </c>
      <c r="Y63" s="15">
        <f>ROUNDDOWN(W63/HLOOKUP(D63,Table!$C$3:$D$4,2,0)*8,2)</f>
        <v>6.15</v>
      </c>
      <c r="Z63" s="15">
        <v>6</v>
      </c>
      <c r="AA63" s="15" t="s">
        <v>70</v>
      </c>
      <c r="AB63" s="19">
        <v>44004</v>
      </c>
      <c r="AC63" s="19">
        <v>43985</v>
      </c>
      <c r="AD63" s="85">
        <v>44004</v>
      </c>
      <c r="AE63" s="19">
        <v>44001</v>
      </c>
      <c r="AF63" s="19">
        <v>44001</v>
      </c>
      <c r="AG63" s="19" t="s">
        <v>165</v>
      </c>
      <c r="AH63" s="29">
        <v>0.98499999999999999</v>
      </c>
      <c r="AI63" s="29">
        <v>0.98599999999999999</v>
      </c>
      <c r="AJ63" s="29">
        <v>1</v>
      </c>
      <c r="AK63" s="19" t="s">
        <v>144</v>
      </c>
      <c r="AL63" s="15" t="s">
        <v>856</v>
      </c>
      <c r="AM63" s="15" t="s">
        <v>58</v>
      </c>
      <c r="AN63" s="15" t="s">
        <v>58</v>
      </c>
    </row>
    <row r="64" spans="2:40" hidden="1" x14ac:dyDescent="0.25">
      <c r="B64" s="39">
        <f t="shared" si="25"/>
        <v>5</v>
      </c>
      <c r="C64" s="16">
        <v>20200603</v>
      </c>
      <c r="D64" s="15" t="s">
        <v>2</v>
      </c>
      <c r="E64" s="15" t="s">
        <v>294</v>
      </c>
      <c r="F64" s="17" t="s">
        <v>58</v>
      </c>
      <c r="G64" s="17">
        <v>1458593</v>
      </c>
      <c r="H64" s="48" t="s">
        <v>58</v>
      </c>
      <c r="I64" s="15" t="s">
        <v>899</v>
      </c>
      <c r="J64" s="48" t="s">
        <v>58</v>
      </c>
      <c r="K64" s="15" t="s">
        <v>1067</v>
      </c>
      <c r="L64" s="15" t="s">
        <v>300</v>
      </c>
      <c r="M64" s="75" t="s">
        <v>301</v>
      </c>
      <c r="N64" s="15">
        <v>1458593</v>
      </c>
      <c r="O64" s="17" t="s">
        <v>303</v>
      </c>
      <c r="P64" s="17" t="s">
        <v>306</v>
      </c>
      <c r="Q64" s="18"/>
      <c r="R64" s="48" t="s">
        <v>58</v>
      </c>
      <c r="S64" s="15" t="s">
        <v>66</v>
      </c>
      <c r="T64" s="15"/>
      <c r="U64" s="15"/>
      <c r="V64" s="15">
        <v>1</v>
      </c>
      <c r="W64" s="79">
        <f>1-V64+23+20+20</f>
        <v>63</v>
      </c>
      <c r="X64" s="15">
        <f>W64</f>
        <v>63</v>
      </c>
      <c r="Y64" s="15">
        <f>ROUNDDOWN(W64/HLOOKUP(D64,Table!$C$3:$D$4,2,0)*8,2)</f>
        <v>3.87</v>
      </c>
      <c r="Z64" s="15">
        <v>2</v>
      </c>
      <c r="AA64" s="15" t="s">
        <v>70</v>
      </c>
      <c r="AB64" s="19">
        <v>44004</v>
      </c>
      <c r="AC64" s="19">
        <v>43985</v>
      </c>
      <c r="AD64" s="85">
        <v>44004</v>
      </c>
      <c r="AE64" s="19">
        <v>44004</v>
      </c>
      <c r="AF64" s="19">
        <v>44004</v>
      </c>
      <c r="AG64" s="19" t="s">
        <v>165</v>
      </c>
      <c r="AH64" s="29">
        <v>0.81</v>
      </c>
      <c r="AI64" s="29">
        <v>0.81</v>
      </c>
      <c r="AJ64" s="29">
        <v>0.76</v>
      </c>
      <c r="AK64" s="19" t="s">
        <v>134</v>
      </c>
      <c r="AL64" s="17" t="s">
        <v>911</v>
      </c>
      <c r="AM64" s="15" t="s">
        <v>58</v>
      </c>
      <c r="AN64" s="17" t="s">
        <v>1454</v>
      </c>
    </row>
    <row r="65" spans="2:40" hidden="1" x14ac:dyDescent="0.25">
      <c r="B65" s="39">
        <f t="shared" si="25"/>
        <v>6</v>
      </c>
      <c r="C65" s="16">
        <v>20200603</v>
      </c>
      <c r="D65" s="15" t="s">
        <v>2</v>
      </c>
      <c r="E65" s="15" t="s">
        <v>294</v>
      </c>
      <c r="F65" s="17" t="s">
        <v>58</v>
      </c>
      <c r="G65" s="17">
        <v>1458593</v>
      </c>
      <c r="H65" s="48" t="s">
        <v>58</v>
      </c>
      <c r="I65" s="15" t="s">
        <v>296</v>
      </c>
      <c r="J65" s="48" t="s">
        <v>58</v>
      </c>
      <c r="K65" s="15" t="s">
        <v>1067</v>
      </c>
      <c r="L65" s="15" t="s">
        <v>300</v>
      </c>
      <c r="M65" s="75" t="s">
        <v>301</v>
      </c>
      <c r="N65" s="15">
        <v>1458593</v>
      </c>
      <c r="O65" s="17" t="s">
        <v>304</v>
      </c>
      <c r="P65" s="17" t="s">
        <v>306</v>
      </c>
      <c r="Q65" s="18"/>
      <c r="R65" s="48" t="s">
        <v>58</v>
      </c>
      <c r="S65" s="15" t="s">
        <v>66</v>
      </c>
      <c r="T65" s="15"/>
      <c r="U65" s="15"/>
      <c r="V65" s="15">
        <v>33</v>
      </c>
      <c r="W65" s="79">
        <f>93+40</f>
        <v>133</v>
      </c>
      <c r="X65" s="15">
        <f t="shared" ref="X65" si="26">W65</f>
        <v>133</v>
      </c>
      <c r="Y65" s="15">
        <f>ROUNDDOWN(W65/HLOOKUP(D65,Table!$C$3:$D$4,2,0)*8,2)</f>
        <v>8.18</v>
      </c>
      <c r="Z65" s="15">
        <v>8</v>
      </c>
      <c r="AA65" s="15" t="s">
        <v>70</v>
      </c>
      <c r="AB65" s="19">
        <v>44004</v>
      </c>
      <c r="AC65" s="19">
        <v>43985</v>
      </c>
      <c r="AD65" s="85">
        <v>44004</v>
      </c>
      <c r="AE65" s="19">
        <v>44001</v>
      </c>
      <c r="AF65" s="19">
        <v>44001</v>
      </c>
      <c r="AG65" s="19" t="s">
        <v>165</v>
      </c>
      <c r="AH65" s="29">
        <v>0.92</v>
      </c>
      <c r="AI65" s="29">
        <v>0.92</v>
      </c>
      <c r="AJ65" s="29">
        <v>0.93</v>
      </c>
      <c r="AK65" s="19" t="s">
        <v>134</v>
      </c>
      <c r="AL65" s="17" t="s">
        <v>912</v>
      </c>
      <c r="AM65" s="15" t="s">
        <v>58</v>
      </c>
      <c r="AN65" s="17" t="s">
        <v>1454</v>
      </c>
    </row>
    <row r="66" spans="2:40" hidden="1" x14ac:dyDescent="0.25">
      <c r="B66" s="39">
        <f t="shared" si="25"/>
        <v>7</v>
      </c>
      <c r="C66" s="16">
        <v>20200603</v>
      </c>
      <c r="D66" s="15" t="s">
        <v>2</v>
      </c>
      <c r="E66" s="15" t="s">
        <v>294</v>
      </c>
      <c r="F66" s="17" t="s">
        <v>58</v>
      </c>
      <c r="G66" s="17">
        <v>1458593</v>
      </c>
      <c r="H66" s="48" t="s">
        <v>58</v>
      </c>
      <c r="I66" s="15" t="s">
        <v>297</v>
      </c>
      <c r="J66" s="48" t="s">
        <v>58</v>
      </c>
      <c r="K66" s="15" t="s">
        <v>1067</v>
      </c>
      <c r="L66" s="15" t="s">
        <v>300</v>
      </c>
      <c r="M66" s="75" t="s">
        <v>301</v>
      </c>
      <c r="N66" s="15">
        <v>1458593</v>
      </c>
      <c r="O66" s="17" t="s">
        <v>305</v>
      </c>
      <c r="P66" s="17" t="s">
        <v>306</v>
      </c>
      <c r="Q66" s="18"/>
      <c r="R66" s="48" t="s">
        <v>58</v>
      </c>
      <c r="S66" s="15" t="s">
        <v>66</v>
      </c>
      <c r="T66" s="15"/>
      <c r="U66" s="15"/>
      <c r="V66" s="15">
        <v>8</v>
      </c>
      <c r="W66" s="79">
        <f>8-V66+130</f>
        <v>130</v>
      </c>
      <c r="X66" s="15">
        <f>W66</f>
        <v>130</v>
      </c>
      <c r="Y66" s="15">
        <f>ROUNDDOWN(W66/HLOOKUP(D66,Table!$C$3:$D$4,2,0)*8,2)</f>
        <v>8</v>
      </c>
      <c r="Z66" s="15">
        <v>8</v>
      </c>
      <c r="AA66" s="15" t="s">
        <v>70</v>
      </c>
      <c r="AB66" s="19">
        <v>44004</v>
      </c>
      <c r="AC66" s="19">
        <v>43985</v>
      </c>
      <c r="AD66" s="85">
        <v>44004</v>
      </c>
      <c r="AE66" s="19">
        <v>44004</v>
      </c>
      <c r="AF66" s="19">
        <v>44004</v>
      </c>
      <c r="AG66" s="19" t="s">
        <v>165</v>
      </c>
      <c r="AH66" s="29">
        <v>0.93</v>
      </c>
      <c r="AI66" s="29">
        <v>0.94</v>
      </c>
      <c r="AJ66" s="29">
        <v>0.93</v>
      </c>
      <c r="AK66" s="19" t="s">
        <v>134</v>
      </c>
      <c r="AL66" s="17" t="s">
        <v>910</v>
      </c>
      <c r="AM66" s="15" t="s">
        <v>58</v>
      </c>
      <c r="AN66" s="17" t="s">
        <v>1454</v>
      </c>
    </row>
    <row r="67" spans="2:40" hidden="1" x14ac:dyDescent="0.25">
      <c r="B67" s="114">
        <f t="shared" si="25"/>
        <v>8</v>
      </c>
      <c r="C67" s="16">
        <v>20200609</v>
      </c>
      <c r="D67" s="15" t="s">
        <v>3</v>
      </c>
      <c r="E67" s="15" t="s">
        <v>328</v>
      </c>
      <c r="F67" s="100" t="s">
        <v>367</v>
      </c>
      <c r="G67" s="84">
        <v>1504017</v>
      </c>
      <c r="H67" s="124" t="s">
        <v>58</v>
      </c>
      <c r="I67" s="16" t="s">
        <v>180</v>
      </c>
      <c r="J67" s="124" t="s">
        <v>58</v>
      </c>
      <c r="K67" s="15" t="s">
        <v>1068</v>
      </c>
      <c r="L67" s="16" t="s">
        <v>354</v>
      </c>
      <c r="M67" s="16" t="s">
        <v>352</v>
      </c>
      <c r="N67" s="16" t="s">
        <v>358</v>
      </c>
      <c r="O67" s="84" t="s">
        <v>58</v>
      </c>
      <c r="P67" s="84" t="s">
        <v>364</v>
      </c>
      <c r="Q67" s="125"/>
      <c r="R67" s="124" t="s">
        <v>58</v>
      </c>
      <c r="S67" s="16" t="s">
        <v>64</v>
      </c>
      <c r="T67" s="16"/>
      <c r="U67" s="16"/>
      <c r="V67" s="16">
        <v>259</v>
      </c>
      <c r="W67" s="16">
        <f t="shared" ref="W67:X82" si="27">V67</f>
        <v>259</v>
      </c>
      <c r="X67" s="16">
        <f t="shared" ref="X67:X73" si="28">W67</f>
        <v>259</v>
      </c>
      <c r="Y67" s="16">
        <f>ROUNDDOWN(W67/HLOOKUP(D67,Table!$C$3:$D$4,2,0)*8,2)</f>
        <v>4.5999999999999996</v>
      </c>
      <c r="Z67" s="16">
        <f t="shared" ref="Z67:Z73" si="29">Y67</f>
        <v>4.5999999999999996</v>
      </c>
      <c r="AA67" s="15" t="s">
        <v>70</v>
      </c>
      <c r="AB67" s="85">
        <v>44004</v>
      </c>
      <c r="AC67" s="85">
        <v>43991</v>
      </c>
      <c r="AD67" s="85">
        <v>44004</v>
      </c>
      <c r="AE67" s="19">
        <v>43998</v>
      </c>
      <c r="AF67" s="19">
        <v>43998</v>
      </c>
      <c r="AG67" s="19" t="s">
        <v>165</v>
      </c>
      <c r="AH67" s="29">
        <v>1</v>
      </c>
      <c r="AI67" s="29">
        <v>1</v>
      </c>
      <c r="AJ67" s="29">
        <v>0.83</v>
      </c>
      <c r="AK67" s="19" t="s">
        <v>134</v>
      </c>
      <c r="AL67" s="15"/>
      <c r="AM67" s="15"/>
      <c r="AN67" s="17" t="s">
        <v>537</v>
      </c>
    </row>
    <row r="68" spans="2:40" hidden="1" x14ac:dyDescent="0.25">
      <c r="B68" s="114">
        <f t="shared" si="25"/>
        <v>9</v>
      </c>
      <c r="C68" s="16">
        <v>20200609</v>
      </c>
      <c r="D68" s="15" t="s">
        <v>3</v>
      </c>
      <c r="E68" s="15" t="s">
        <v>328</v>
      </c>
      <c r="F68" s="100" t="s">
        <v>368</v>
      </c>
      <c r="G68" s="84">
        <v>1504017</v>
      </c>
      <c r="H68" s="124" t="s">
        <v>58</v>
      </c>
      <c r="I68" s="16" t="s">
        <v>333</v>
      </c>
      <c r="J68" s="124" t="s">
        <v>58</v>
      </c>
      <c r="K68" s="15" t="s">
        <v>1068</v>
      </c>
      <c r="L68" s="16" t="s">
        <v>354</v>
      </c>
      <c r="M68" s="16" t="s">
        <v>352</v>
      </c>
      <c r="N68" s="16" t="s">
        <v>358</v>
      </c>
      <c r="O68" s="84" t="s">
        <v>58</v>
      </c>
      <c r="P68" s="84" t="s">
        <v>364</v>
      </c>
      <c r="Q68" s="125"/>
      <c r="R68" s="124" t="s">
        <v>58</v>
      </c>
      <c r="S68" s="16" t="s">
        <v>64</v>
      </c>
      <c r="T68" s="16"/>
      <c r="U68" s="16"/>
      <c r="V68" s="16">
        <v>28</v>
      </c>
      <c r="W68" s="16">
        <f t="shared" si="27"/>
        <v>28</v>
      </c>
      <c r="X68" s="16">
        <f t="shared" si="28"/>
        <v>28</v>
      </c>
      <c r="Y68" s="16">
        <f>ROUNDDOWN(W68/HLOOKUP(D68,Table!$C$3:$D$4,2,0)*8,2)</f>
        <v>0.49</v>
      </c>
      <c r="Z68" s="16">
        <f t="shared" si="29"/>
        <v>0.49</v>
      </c>
      <c r="AA68" s="15" t="s">
        <v>70</v>
      </c>
      <c r="AB68" s="85">
        <v>44004</v>
      </c>
      <c r="AC68" s="85">
        <v>43991</v>
      </c>
      <c r="AD68" s="85">
        <v>44004</v>
      </c>
      <c r="AE68" s="19">
        <v>43998</v>
      </c>
      <c r="AF68" s="19">
        <v>43998</v>
      </c>
      <c r="AG68" s="19" t="s">
        <v>164</v>
      </c>
      <c r="AH68" s="29">
        <v>1</v>
      </c>
      <c r="AI68" s="29">
        <v>1</v>
      </c>
      <c r="AJ68" s="29">
        <v>1</v>
      </c>
      <c r="AK68" s="19" t="s">
        <v>144</v>
      </c>
      <c r="AL68" s="15"/>
      <c r="AM68" s="15"/>
      <c r="AN68" s="15"/>
    </row>
    <row r="69" spans="2:40" hidden="1" x14ac:dyDescent="0.25">
      <c r="B69" s="114">
        <f t="shared" si="25"/>
        <v>10</v>
      </c>
      <c r="C69" s="16">
        <v>20200609</v>
      </c>
      <c r="D69" s="15" t="s">
        <v>3</v>
      </c>
      <c r="E69" s="15" t="s">
        <v>328</v>
      </c>
      <c r="F69" s="100" t="s">
        <v>369</v>
      </c>
      <c r="G69" s="84">
        <v>1504017</v>
      </c>
      <c r="H69" s="124" t="s">
        <v>58</v>
      </c>
      <c r="I69" s="16" t="s">
        <v>146</v>
      </c>
      <c r="J69" s="124" t="s">
        <v>58</v>
      </c>
      <c r="K69" s="15" t="s">
        <v>1068</v>
      </c>
      <c r="L69" s="16" t="s">
        <v>354</v>
      </c>
      <c r="M69" s="16" t="s">
        <v>352</v>
      </c>
      <c r="N69" s="16" t="s">
        <v>358</v>
      </c>
      <c r="O69" s="84" t="s">
        <v>58</v>
      </c>
      <c r="P69" s="84" t="s">
        <v>364</v>
      </c>
      <c r="Q69" s="125"/>
      <c r="R69" s="124" t="s">
        <v>58</v>
      </c>
      <c r="S69" s="16" t="s">
        <v>64</v>
      </c>
      <c r="T69" s="16"/>
      <c r="U69" s="16"/>
      <c r="V69" s="16">
        <v>175</v>
      </c>
      <c r="W69" s="16">
        <f t="shared" si="27"/>
        <v>175</v>
      </c>
      <c r="X69" s="16">
        <f t="shared" si="28"/>
        <v>175</v>
      </c>
      <c r="Y69" s="16">
        <f>ROUNDDOWN(W69/HLOOKUP(D69,Table!$C$3:$D$4,2,0)*8,2)</f>
        <v>3.11</v>
      </c>
      <c r="Z69" s="16">
        <v>3</v>
      </c>
      <c r="AA69" s="15" t="s">
        <v>70</v>
      </c>
      <c r="AB69" s="85">
        <v>44004</v>
      </c>
      <c r="AC69" s="85">
        <v>43991</v>
      </c>
      <c r="AD69" s="85">
        <v>44004</v>
      </c>
      <c r="AE69" s="19">
        <v>43998</v>
      </c>
      <c r="AF69" s="19">
        <v>43998</v>
      </c>
      <c r="AG69" s="19" t="s">
        <v>164</v>
      </c>
      <c r="AH69" s="29">
        <v>1</v>
      </c>
      <c r="AI69" s="29">
        <v>1</v>
      </c>
      <c r="AJ69" s="29">
        <v>1</v>
      </c>
      <c r="AK69" s="19" t="s">
        <v>144</v>
      </c>
      <c r="AL69" s="15"/>
      <c r="AM69" s="15"/>
      <c r="AN69" s="15"/>
    </row>
    <row r="70" spans="2:40" hidden="1" x14ac:dyDescent="0.25">
      <c r="B70" s="114">
        <f t="shared" si="25"/>
        <v>11</v>
      </c>
      <c r="C70" s="16">
        <v>20200609</v>
      </c>
      <c r="D70" s="15" t="s">
        <v>3</v>
      </c>
      <c r="E70" s="15" t="s">
        <v>328</v>
      </c>
      <c r="F70" s="100" t="s">
        <v>370</v>
      </c>
      <c r="G70" s="84">
        <v>1504017</v>
      </c>
      <c r="H70" s="124" t="s">
        <v>58</v>
      </c>
      <c r="I70" s="16" t="s">
        <v>149</v>
      </c>
      <c r="J70" s="124" t="s">
        <v>58</v>
      </c>
      <c r="K70" s="15" t="s">
        <v>1068</v>
      </c>
      <c r="L70" s="16" t="s">
        <v>354</v>
      </c>
      <c r="M70" s="16" t="s">
        <v>352</v>
      </c>
      <c r="N70" s="16" t="s">
        <v>358</v>
      </c>
      <c r="O70" s="84" t="s">
        <v>58</v>
      </c>
      <c r="P70" s="84" t="s">
        <v>364</v>
      </c>
      <c r="Q70" s="125"/>
      <c r="R70" s="124" t="s">
        <v>58</v>
      </c>
      <c r="S70" s="16" t="s">
        <v>64</v>
      </c>
      <c r="T70" s="16"/>
      <c r="U70" s="16"/>
      <c r="V70" s="16">
        <v>145</v>
      </c>
      <c r="W70" s="18">
        <v>172</v>
      </c>
      <c r="X70" s="16">
        <f t="shared" si="28"/>
        <v>172</v>
      </c>
      <c r="Y70" s="16">
        <f>ROUNDDOWN(W70/HLOOKUP(D70,Table!$C$3:$D$4,2,0)*8,2)</f>
        <v>3.05</v>
      </c>
      <c r="Z70" s="16">
        <f t="shared" si="29"/>
        <v>3.05</v>
      </c>
      <c r="AA70" s="15" t="s">
        <v>70</v>
      </c>
      <c r="AB70" s="85">
        <v>44004</v>
      </c>
      <c r="AC70" s="85">
        <v>43991</v>
      </c>
      <c r="AD70" s="85">
        <v>44004</v>
      </c>
      <c r="AE70" s="19">
        <v>43998</v>
      </c>
      <c r="AF70" s="19">
        <v>43998</v>
      </c>
      <c r="AG70" s="19" t="s">
        <v>164</v>
      </c>
      <c r="AH70" s="29">
        <v>1</v>
      </c>
      <c r="AI70" s="29">
        <v>1</v>
      </c>
      <c r="AJ70" s="29">
        <v>1</v>
      </c>
      <c r="AK70" s="19" t="s">
        <v>144</v>
      </c>
      <c r="AL70" s="15"/>
      <c r="AM70" s="15"/>
      <c r="AN70" s="15"/>
    </row>
    <row r="71" spans="2:40" hidden="1" x14ac:dyDescent="0.25">
      <c r="B71" s="114">
        <f t="shared" si="25"/>
        <v>12</v>
      </c>
      <c r="C71" s="16">
        <v>20200609</v>
      </c>
      <c r="D71" s="15" t="s">
        <v>3</v>
      </c>
      <c r="E71" s="15" t="s">
        <v>328</v>
      </c>
      <c r="F71" s="100" t="s">
        <v>371</v>
      </c>
      <c r="G71" s="84">
        <v>1504017</v>
      </c>
      <c r="H71" s="124" t="s">
        <v>58</v>
      </c>
      <c r="I71" s="16" t="s">
        <v>147</v>
      </c>
      <c r="J71" s="124" t="s">
        <v>58</v>
      </c>
      <c r="K71" s="15" t="s">
        <v>1068</v>
      </c>
      <c r="L71" s="16" t="s">
        <v>354</v>
      </c>
      <c r="M71" s="16" t="s">
        <v>352</v>
      </c>
      <c r="N71" s="16" t="s">
        <v>358</v>
      </c>
      <c r="O71" s="84" t="s">
        <v>58</v>
      </c>
      <c r="P71" s="84" t="s">
        <v>364</v>
      </c>
      <c r="Q71" s="125"/>
      <c r="R71" s="124" t="s">
        <v>58</v>
      </c>
      <c r="S71" s="16" t="s">
        <v>64</v>
      </c>
      <c r="T71" s="16"/>
      <c r="U71" s="16"/>
      <c r="V71" s="16">
        <v>124</v>
      </c>
      <c r="W71" s="18">
        <v>124</v>
      </c>
      <c r="X71" s="16">
        <f t="shared" si="28"/>
        <v>124</v>
      </c>
      <c r="Y71" s="16">
        <f>ROUNDDOWN(W71/HLOOKUP(D71,Table!$C$3:$D$4,2,0)*8,2)</f>
        <v>2.2000000000000002</v>
      </c>
      <c r="Z71" s="16">
        <f t="shared" si="29"/>
        <v>2.2000000000000002</v>
      </c>
      <c r="AA71" s="15" t="s">
        <v>70</v>
      </c>
      <c r="AB71" s="85">
        <v>44004</v>
      </c>
      <c r="AC71" s="85">
        <v>43991</v>
      </c>
      <c r="AD71" s="85">
        <v>44004</v>
      </c>
      <c r="AE71" s="19">
        <v>43998</v>
      </c>
      <c r="AF71" s="19">
        <v>43998</v>
      </c>
      <c r="AG71" s="19" t="s">
        <v>164</v>
      </c>
      <c r="AH71" s="29">
        <v>1</v>
      </c>
      <c r="AI71" s="29">
        <v>1</v>
      </c>
      <c r="AJ71" s="29">
        <v>1</v>
      </c>
      <c r="AK71" s="19" t="s">
        <v>144</v>
      </c>
      <c r="AL71" s="15"/>
      <c r="AM71" s="15"/>
      <c r="AN71" s="109"/>
    </row>
    <row r="72" spans="2:40" hidden="1" x14ac:dyDescent="0.25">
      <c r="B72" s="114">
        <f t="shared" si="25"/>
        <v>13</v>
      </c>
      <c r="C72" s="16">
        <v>20200609</v>
      </c>
      <c r="D72" s="15" t="s">
        <v>3</v>
      </c>
      <c r="E72" s="15" t="s">
        <v>328</v>
      </c>
      <c r="F72" s="100" t="s">
        <v>372</v>
      </c>
      <c r="G72" s="84">
        <v>1504017</v>
      </c>
      <c r="H72" s="124" t="s">
        <v>58</v>
      </c>
      <c r="I72" s="16" t="s">
        <v>298</v>
      </c>
      <c r="J72" s="124" t="s">
        <v>58</v>
      </c>
      <c r="K72" s="15" t="s">
        <v>1068</v>
      </c>
      <c r="L72" s="16" t="s">
        <v>354</v>
      </c>
      <c r="M72" s="16" t="s">
        <v>352</v>
      </c>
      <c r="N72" s="16" t="s">
        <v>358</v>
      </c>
      <c r="O72" s="84" t="s">
        <v>58</v>
      </c>
      <c r="P72" s="84" t="s">
        <v>364</v>
      </c>
      <c r="Q72" s="125"/>
      <c r="R72" s="124" t="s">
        <v>58</v>
      </c>
      <c r="S72" s="16" t="s">
        <v>64</v>
      </c>
      <c r="T72" s="16"/>
      <c r="U72" s="16"/>
      <c r="V72" s="16">
        <v>154</v>
      </c>
      <c r="W72" s="18">
        <v>316</v>
      </c>
      <c r="X72" s="16">
        <f t="shared" si="28"/>
        <v>316</v>
      </c>
      <c r="Y72" s="16">
        <f>ROUNDDOWN(W72/HLOOKUP(D72,Table!$C$3:$D$4,2,0)*8,2)</f>
        <v>5.61</v>
      </c>
      <c r="Z72" s="16">
        <v>5</v>
      </c>
      <c r="AA72" s="15" t="s">
        <v>70</v>
      </c>
      <c r="AB72" s="85">
        <v>44004</v>
      </c>
      <c r="AC72" s="85">
        <v>43991</v>
      </c>
      <c r="AD72" s="85">
        <v>44004</v>
      </c>
      <c r="AE72" s="19">
        <v>44004</v>
      </c>
      <c r="AF72" s="19">
        <v>44004</v>
      </c>
      <c r="AG72" s="19" t="s">
        <v>165</v>
      </c>
      <c r="AH72" s="29">
        <v>0.97</v>
      </c>
      <c r="AI72" s="29">
        <v>0.94</v>
      </c>
      <c r="AJ72" s="29">
        <v>1</v>
      </c>
      <c r="AK72" s="19" t="s">
        <v>134</v>
      </c>
      <c r="AL72" s="15"/>
      <c r="AM72" s="15"/>
      <c r="AN72" s="17" t="s">
        <v>538</v>
      </c>
    </row>
    <row r="73" spans="2:40" hidden="1" x14ac:dyDescent="0.25">
      <c r="B73" s="114">
        <f t="shared" si="25"/>
        <v>14</v>
      </c>
      <c r="C73" s="16">
        <v>20200609</v>
      </c>
      <c r="D73" s="15" t="s">
        <v>3</v>
      </c>
      <c r="E73" s="15" t="s">
        <v>328</v>
      </c>
      <c r="F73" s="100" t="s">
        <v>373</v>
      </c>
      <c r="G73" s="84">
        <v>1504017</v>
      </c>
      <c r="H73" s="124" t="s">
        <v>58</v>
      </c>
      <c r="I73" s="16" t="s">
        <v>299</v>
      </c>
      <c r="J73" s="124" t="s">
        <v>58</v>
      </c>
      <c r="K73" s="15" t="s">
        <v>1068</v>
      </c>
      <c r="L73" s="16" t="s">
        <v>354</v>
      </c>
      <c r="M73" s="16" t="s">
        <v>352</v>
      </c>
      <c r="N73" s="16" t="s">
        <v>358</v>
      </c>
      <c r="O73" s="84" t="s">
        <v>58</v>
      </c>
      <c r="P73" s="84" t="s">
        <v>364</v>
      </c>
      <c r="Q73" s="125"/>
      <c r="R73" s="124" t="s">
        <v>58</v>
      </c>
      <c r="S73" s="16" t="s">
        <v>64</v>
      </c>
      <c r="T73" s="16"/>
      <c r="U73" s="16"/>
      <c r="V73" s="16">
        <v>135</v>
      </c>
      <c r="W73" s="18">
        <v>363</v>
      </c>
      <c r="X73" s="16">
        <f t="shared" si="28"/>
        <v>363</v>
      </c>
      <c r="Y73" s="16">
        <f>ROUNDDOWN(W73/HLOOKUP(D73,Table!$C$3:$D$4,2,0)*8,2)</f>
        <v>6.45</v>
      </c>
      <c r="Z73" s="16">
        <f t="shared" si="29"/>
        <v>6.45</v>
      </c>
      <c r="AA73" s="15" t="s">
        <v>70</v>
      </c>
      <c r="AB73" s="85">
        <v>44004</v>
      </c>
      <c r="AC73" s="85">
        <v>43991</v>
      </c>
      <c r="AD73" s="85">
        <v>44004</v>
      </c>
      <c r="AE73" s="19">
        <v>43998</v>
      </c>
      <c r="AF73" s="19">
        <v>43998</v>
      </c>
      <c r="AG73" s="19" t="s">
        <v>164</v>
      </c>
      <c r="AH73" s="29">
        <v>1</v>
      </c>
      <c r="AI73" s="29">
        <v>1</v>
      </c>
      <c r="AJ73" s="29">
        <v>1</v>
      </c>
      <c r="AK73" s="19" t="s">
        <v>144</v>
      </c>
      <c r="AL73" s="15"/>
      <c r="AM73" s="15"/>
      <c r="AN73" s="15"/>
    </row>
    <row r="74" spans="2:40" hidden="1" x14ac:dyDescent="0.25">
      <c r="B74" s="114">
        <f t="shared" si="25"/>
        <v>15</v>
      </c>
      <c r="C74" s="16">
        <v>20200609</v>
      </c>
      <c r="D74" s="15" t="s">
        <v>3</v>
      </c>
      <c r="E74" s="15" t="s">
        <v>328</v>
      </c>
      <c r="F74" s="100" t="s">
        <v>374</v>
      </c>
      <c r="G74" s="17">
        <v>1504017</v>
      </c>
      <c r="H74" s="48" t="s">
        <v>58</v>
      </c>
      <c r="I74" s="15" t="s">
        <v>334</v>
      </c>
      <c r="J74" s="48" t="s">
        <v>58</v>
      </c>
      <c r="K74" s="15" t="s">
        <v>1067</v>
      </c>
      <c r="L74" s="75" t="s">
        <v>354</v>
      </c>
      <c r="M74" s="15" t="s">
        <v>352</v>
      </c>
      <c r="N74" s="15" t="s">
        <v>358</v>
      </c>
      <c r="O74" s="17" t="s">
        <v>58</v>
      </c>
      <c r="P74" s="17" t="s">
        <v>364</v>
      </c>
      <c r="Q74" s="18"/>
      <c r="R74" s="48" t="s">
        <v>58</v>
      </c>
      <c r="S74" s="15" t="s">
        <v>66</v>
      </c>
      <c r="T74" s="15"/>
      <c r="U74" s="15"/>
      <c r="V74" s="15">
        <v>168</v>
      </c>
      <c r="W74" s="15">
        <f t="shared" si="27"/>
        <v>168</v>
      </c>
      <c r="X74" s="15">
        <f t="shared" si="27"/>
        <v>168</v>
      </c>
      <c r="Y74" s="15">
        <f>ROUNDDOWN(W74/HLOOKUP(D74,Table!$C$3:$D$4,2,0)*8,2)</f>
        <v>2.98</v>
      </c>
      <c r="Z74" s="15">
        <v>1</v>
      </c>
      <c r="AA74" s="15" t="s">
        <v>70</v>
      </c>
      <c r="AB74" s="19">
        <v>44004</v>
      </c>
      <c r="AC74" s="19">
        <v>43991</v>
      </c>
      <c r="AD74" s="85">
        <v>44004</v>
      </c>
      <c r="AE74" s="19">
        <v>43994</v>
      </c>
      <c r="AF74" s="19">
        <v>43994</v>
      </c>
      <c r="AG74" s="19" t="s">
        <v>164</v>
      </c>
      <c r="AH74" s="29">
        <v>1</v>
      </c>
      <c r="AI74" s="29">
        <v>1</v>
      </c>
      <c r="AJ74" s="29">
        <v>1</v>
      </c>
      <c r="AK74" s="19" t="s">
        <v>144</v>
      </c>
      <c r="AL74" s="15" t="s">
        <v>58</v>
      </c>
      <c r="AM74" s="15" t="s">
        <v>58</v>
      </c>
      <c r="AN74" s="15" t="s">
        <v>58</v>
      </c>
    </row>
    <row r="75" spans="2:40" hidden="1" x14ac:dyDescent="0.25">
      <c r="B75" s="114">
        <f t="shared" si="25"/>
        <v>16</v>
      </c>
      <c r="C75" s="16">
        <v>20200609</v>
      </c>
      <c r="D75" s="15" t="s">
        <v>3</v>
      </c>
      <c r="E75" s="15" t="s">
        <v>328</v>
      </c>
      <c r="F75" s="100" t="s">
        <v>375</v>
      </c>
      <c r="G75" s="17">
        <v>1504017</v>
      </c>
      <c r="H75" s="48" t="s">
        <v>58</v>
      </c>
      <c r="I75" s="15" t="s">
        <v>148</v>
      </c>
      <c r="J75" s="48" t="s">
        <v>58</v>
      </c>
      <c r="K75" s="15" t="s">
        <v>1067</v>
      </c>
      <c r="L75" s="75" t="s">
        <v>354</v>
      </c>
      <c r="M75" s="15" t="s">
        <v>352</v>
      </c>
      <c r="N75" s="15" t="s">
        <v>358</v>
      </c>
      <c r="O75" s="17" t="s">
        <v>58</v>
      </c>
      <c r="P75" s="17" t="s">
        <v>364</v>
      </c>
      <c r="Q75" s="18"/>
      <c r="R75" s="48" t="s">
        <v>58</v>
      </c>
      <c r="S75" s="15" t="s">
        <v>66</v>
      </c>
      <c r="T75" s="15"/>
      <c r="U75" s="15"/>
      <c r="V75" s="15">
        <v>71</v>
      </c>
      <c r="W75" s="79">
        <v>209</v>
      </c>
      <c r="X75" s="15">
        <f t="shared" si="27"/>
        <v>209</v>
      </c>
      <c r="Y75" s="15">
        <f>ROUNDDOWN(W75/HLOOKUP(D75,Table!$C$3:$D$4,2,0)*8,2)</f>
        <v>3.71</v>
      </c>
      <c r="Z75" s="15">
        <v>1</v>
      </c>
      <c r="AA75" s="15" t="s">
        <v>70</v>
      </c>
      <c r="AB75" s="19">
        <v>44004</v>
      </c>
      <c r="AC75" s="19">
        <v>43991</v>
      </c>
      <c r="AD75" s="85">
        <v>44004</v>
      </c>
      <c r="AE75" s="19">
        <v>43994</v>
      </c>
      <c r="AF75" s="19">
        <v>43994</v>
      </c>
      <c r="AG75" s="19" t="s">
        <v>164</v>
      </c>
      <c r="AH75" s="29">
        <v>1</v>
      </c>
      <c r="AI75" s="29">
        <v>1</v>
      </c>
      <c r="AJ75" s="29">
        <v>1</v>
      </c>
      <c r="AK75" s="19" t="s">
        <v>144</v>
      </c>
      <c r="AL75" s="15" t="s">
        <v>58</v>
      </c>
      <c r="AM75" s="15" t="s">
        <v>58</v>
      </c>
      <c r="AN75" s="15" t="s">
        <v>58</v>
      </c>
    </row>
    <row r="76" spans="2:40" hidden="1" x14ac:dyDescent="0.25">
      <c r="B76" s="114">
        <f t="shared" si="25"/>
        <v>17</v>
      </c>
      <c r="C76" s="16">
        <v>20200609</v>
      </c>
      <c r="D76" s="15" t="s">
        <v>3</v>
      </c>
      <c r="E76" s="15" t="s">
        <v>328</v>
      </c>
      <c r="F76" s="101" t="s">
        <v>479</v>
      </c>
      <c r="G76" s="17">
        <v>1504017</v>
      </c>
      <c r="H76" s="48" t="s">
        <v>58</v>
      </c>
      <c r="I76" s="15" t="s">
        <v>319</v>
      </c>
      <c r="J76" s="48" t="s">
        <v>58</v>
      </c>
      <c r="K76" s="15" t="s">
        <v>1067</v>
      </c>
      <c r="L76" s="75" t="s">
        <v>354</v>
      </c>
      <c r="M76" s="15" t="s">
        <v>352</v>
      </c>
      <c r="N76" s="15" t="s">
        <v>358</v>
      </c>
      <c r="O76" s="17" t="s">
        <v>58</v>
      </c>
      <c r="P76" s="17" t="s">
        <v>364</v>
      </c>
      <c r="Q76" s="18"/>
      <c r="R76" s="48" t="s">
        <v>58</v>
      </c>
      <c r="S76" s="15" t="s">
        <v>66</v>
      </c>
      <c r="T76" s="15"/>
      <c r="U76" s="15"/>
      <c r="V76" s="15">
        <v>109</v>
      </c>
      <c r="W76" s="79">
        <v>128</v>
      </c>
      <c r="X76" s="15">
        <f t="shared" si="27"/>
        <v>128</v>
      </c>
      <c r="Y76" s="15">
        <f>ROUNDDOWN(W76/HLOOKUP(D76,Table!$C$3:$D$4,2,0)*8,2)</f>
        <v>2.27</v>
      </c>
      <c r="Z76" s="15">
        <v>1</v>
      </c>
      <c r="AA76" s="15" t="s">
        <v>70</v>
      </c>
      <c r="AB76" s="19">
        <v>44004</v>
      </c>
      <c r="AC76" s="19">
        <v>43991</v>
      </c>
      <c r="AD76" s="85">
        <v>44004</v>
      </c>
      <c r="AE76" s="19">
        <v>43994</v>
      </c>
      <c r="AF76" s="19">
        <v>43994</v>
      </c>
      <c r="AG76" s="19" t="s">
        <v>164</v>
      </c>
      <c r="AH76" s="29">
        <v>1</v>
      </c>
      <c r="AI76" s="29">
        <v>1</v>
      </c>
      <c r="AJ76" s="29">
        <v>1</v>
      </c>
      <c r="AK76" s="19" t="s">
        <v>144</v>
      </c>
      <c r="AL76" s="15" t="s">
        <v>58</v>
      </c>
      <c r="AM76" s="15" t="s">
        <v>58</v>
      </c>
      <c r="AN76" s="15" t="s">
        <v>58</v>
      </c>
    </row>
    <row r="77" spans="2:40" hidden="1" x14ac:dyDescent="0.25">
      <c r="B77" s="114">
        <f t="shared" si="25"/>
        <v>18</v>
      </c>
      <c r="C77" s="16">
        <v>20200609</v>
      </c>
      <c r="D77" s="15" t="s">
        <v>3</v>
      </c>
      <c r="E77" s="15" t="s">
        <v>328</v>
      </c>
      <c r="F77" s="100" t="s">
        <v>376</v>
      </c>
      <c r="G77" s="17">
        <v>1504017</v>
      </c>
      <c r="H77" s="48" t="s">
        <v>58</v>
      </c>
      <c r="I77" s="15" t="s">
        <v>320</v>
      </c>
      <c r="J77" s="48" t="s">
        <v>58</v>
      </c>
      <c r="K77" s="15" t="s">
        <v>1067</v>
      </c>
      <c r="L77" s="75" t="s">
        <v>354</v>
      </c>
      <c r="M77" s="15" t="s">
        <v>352</v>
      </c>
      <c r="N77" s="15" t="s">
        <v>358</v>
      </c>
      <c r="O77" s="17" t="s">
        <v>58</v>
      </c>
      <c r="P77" s="17" t="s">
        <v>364</v>
      </c>
      <c r="Q77" s="18"/>
      <c r="R77" s="48" t="s">
        <v>58</v>
      </c>
      <c r="S77" s="15" t="s">
        <v>66</v>
      </c>
      <c r="T77" s="15"/>
      <c r="U77" s="15"/>
      <c r="V77" s="15">
        <v>200</v>
      </c>
      <c r="W77" s="15">
        <f t="shared" si="27"/>
        <v>200</v>
      </c>
      <c r="X77" s="15">
        <f t="shared" si="27"/>
        <v>200</v>
      </c>
      <c r="Y77" s="15">
        <f>ROUNDDOWN(W77/HLOOKUP(D77,Table!$C$3:$D$4,2,0)*8,2)</f>
        <v>3.55</v>
      </c>
      <c r="Z77" s="15">
        <v>1</v>
      </c>
      <c r="AA77" s="15" t="s">
        <v>70</v>
      </c>
      <c r="AB77" s="19">
        <v>44004</v>
      </c>
      <c r="AC77" s="19">
        <v>43991</v>
      </c>
      <c r="AD77" s="85">
        <v>44004</v>
      </c>
      <c r="AE77" s="19">
        <v>43994</v>
      </c>
      <c r="AF77" s="19">
        <v>43994</v>
      </c>
      <c r="AG77" s="19" t="s">
        <v>164</v>
      </c>
      <c r="AH77" s="29">
        <v>1</v>
      </c>
      <c r="AI77" s="29">
        <v>1</v>
      </c>
      <c r="AJ77" s="29">
        <v>1</v>
      </c>
      <c r="AK77" s="19" t="s">
        <v>144</v>
      </c>
      <c r="AL77" s="15" t="s">
        <v>58</v>
      </c>
      <c r="AM77" s="15" t="s">
        <v>58</v>
      </c>
      <c r="AN77" s="15" t="s">
        <v>58</v>
      </c>
    </row>
    <row r="78" spans="2:40" hidden="1" x14ac:dyDescent="0.25">
      <c r="B78" s="114">
        <f t="shared" si="25"/>
        <v>19</v>
      </c>
      <c r="C78" s="16">
        <v>20200609</v>
      </c>
      <c r="D78" s="15" t="s">
        <v>3</v>
      </c>
      <c r="E78" s="15" t="s">
        <v>328</v>
      </c>
      <c r="F78" s="100" t="s">
        <v>377</v>
      </c>
      <c r="G78" s="17">
        <v>1504017</v>
      </c>
      <c r="H78" s="48" t="s">
        <v>58</v>
      </c>
      <c r="I78" s="15" t="s">
        <v>335</v>
      </c>
      <c r="J78" s="48" t="s">
        <v>58</v>
      </c>
      <c r="K78" s="15" t="s">
        <v>1067</v>
      </c>
      <c r="L78" s="75" t="s">
        <v>354</v>
      </c>
      <c r="M78" s="15" t="s">
        <v>352</v>
      </c>
      <c r="N78" s="15" t="s">
        <v>358</v>
      </c>
      <c r="O78" s="17" t="s">
        <v>58</v>
      </c>
      <c r="P78" s="17" t="s">
        <v>364</v>
      </c>
      <c r="Q78" s="18"/>
      <c r="R78" s="48" t="s">
        <v>58</v>
      </c>
      <c r="S78" s="15" t="s">
        <v>66</v>
      </c>
      <c r="T78" s="15"/>
      <c r="U78" s="15"/>
      <c r="V78" s="15">
        <v>240</v>
      </c>
      <c r="W78" s="79">
        <v>374</v>
      </c>
      <c r="X78" s="15">
        <f t="shared" si="27"/>
        <v>374</v>
      </c>
      <c r="Y78" s="15">
        <f>ROUNDDOWN(W78/HLOOKUP(D78,Table!$C$3:$D$4,2,0)*8,2)</f>
        <v>6.64</v>
      </c>
      <c r="Z78" s="15">
        <v>1</v>
      </c>
      <c r="AA78" s="15" t="s">
        <v>70</v>
      </c>
      <c r="AB78" s="19">
        <v>44004</v>
      </c>
      <c r="AC78" s="19">
        <v>43991</v>
      </c>
      <c r="AD78" s="85">
        <v>44004</v>
      </c>
      <c r="AE78" s="19">
        <v>43994</v>
      </c>
      <c r="AF78" s="19">
        <v>43994</v>
      </c>
      <c r="AG78" s="19" t="s">
        <v>165</v>
      </c>
      <c r="AH78" s="29">
        <v>1</v>
      </c>
      <c r="AI78" s="29">
        <v>1</v>
      </c>
      <c r="AJ78" s="29">
        <v>0.73</v>
      </c>
      <c r="AK78" s="19" t="s">
        <v>134</v>
      </c>
      <c r="AL78" s="15" t="s">
        <v>58</v>
      </c>
      <c r="AM78" s="15" t="s">
        <v>58</v>
      </c>
      <c r="AN78" s="17" t="s">
        <v>1455</v>
      </c>
    </row>
    <row r="79" spans="2:40" hidden="1" x14ac:dyDescent="0.25">
      <c r="B79" s="114">
        <f t="shared" si="25"/>
        <v>20</v>
      </c>
      <c r="C79" s="16">
        <v>20200609</v>
      </c>
      <c r="D79" s="15" t="s">
        <v>3</v>
      </c>
      <c r="E79" s="15" t="s">
        <v>328</v>
      </c>
      <c r="F79" s="100" t="s">
        <v>378</v>
      </c>
      <c r="G79" s="17">
        <v>1504017</v>
      </c>
      <c r="H79" s="48" t="s">
        <v>58</v>
      </c>
      <c r="I79" s="15" t="s">
        <v>336</v>
      </c>
      <c r="J79" s="48" t="s">
        <v>58</v>
      </c>
      <c r="K79" s="15" t="s">
        <v>1067</v>
      </c>
      <c r="L79" s="75" t="s">
        <v>354</v>
      </c>
      <c r="M79" s="15" t="s">
        <v>352</v>
      </c>
      <c r="N79" s="15" t="s">
        <v>358</v>
      </c>
      <c r="O79" s="17" t="s">
        <v>58</v>
      </c>
      <c r="P79" s="17" t="s">
        <v>364</v>
      </c>
      <c r="Q79" s="18"/>
      <c r="R79" s="48" t="s">
        <v>58</v>
      </c>
      <c r="S79" s="15" t="s">
        <v>66</v>
      </c>
      <c r="T79" s="15"/>
      <c r="U79" s="15"/>
      <c r="V79" s="15">
        <v>255</v>
      </c>
      <c r="W79" s="79">
        <v>265</v>
      </c>
      <c r="X79" s="15">
        <f t="shared" si="27"/>
        <v>265</v>
      </c>
      <c r="Y79" s="15">
        <f>ROUNDDOWN(W79/HLOOKUP(D79,Table!$C$3:$D$4,2,0)*8,2)</f>
        <v>4.71</v>
      </c>
      <c r="Z79" s="15">
        <v>0.5</v>
      </c>
      <c r="AA79" s="15" t="s">
        <v>70</v>
      </c>
      <c r="AB79" s="19">
        <v>44004</v>
      </c>
      <c r="AC79" s="19">
        <v>43991</v>
      </c>
      <c r="AD79" s="85">
        <v>44004</v>
      </c>
      <c r="AE79" s="19">
        <v>43994</v>
      </c>
      <c r="AF79" s="19">
        <v>43994</v>
      </c>
      <c r="AG79" s="19" t="s">
        <v>164</v>
      </c>
      <c r="AH79" s="29">
        <v>1</v>
      </c>
      <c r="AI79" s="29">
        <v>1</v>
      </c>
      <c r="AJ79" s="29">
        <v>1</v>
      </c>
      <c r="AK79" s="19" t="s">
        <v>144</v>
      </c>
      <c r="AL79" s="15" t="s">
        <v>58</v>
      </c>
      <c r="AM79" s="15" t="s">
        <v>58</v>
      </c>
      <c r="AN79" s="15" t="s">
        <v>58</v>
      </c>
    </row>
    <row r="80" spans="2:40" hidden="1" x14ac:dyDescent="0.25">
      <c r="B80" s="114">
        <f t="shared" si="25"/>
        <v>21</v>
      </c>
      <c r="C80" s="16">
        <v>20200609</v>
      </c>
      <c r="D80" s="15" t="s">
        <v>3</v>
      </c>
      <c r="E80" s="15" t="s">
        <v>328</v>
      </c>
      <c r="F80" s="100" t="s">
        <v>379</v>
      </c>
      <c r="G80" s="17">
        <v>1504017</v>
      </c>
      <c r="H80" s="48" t="s">
        <v>58</v>
      </c>
      <c r="I80" s="15" t="s">
        <v>337</v>
      </c>
      <c r="J80" s="48" t="s">
        <v>58</v>
      </c>
      <c r="K80" s="15" t="s">
        <v>1067</v>
      </c>
      <c r="L80" s="75" t="s">
        <v>354</v>
      </c>
      <c r="M80" s="15" t="s">
        <v>352</v>
      </c>
      <c r="N80" s="15" t="s">
        <v>358</v>
      </c>
      <c r="O80" s="17" t="s">
        <v>58</v>
      </c>
      <c r="P80" s="17" t="s">
        <v>364</v>
      </c>
      <c r="Q80" s="18"/>
      <c r="R80" s="48" t="s">
        <v>58</v>
      </c>
      <c r="S80" s="15" t="s">
        <v>66</v>
      </c>
      <c r="T80" s="15"/>
      <c r="U80" s="15"/>
      <c r="V80" s="15">
        <v>32</v>
      </c>
      <c r="W80" s="15">
        <f t="shared" si="27"/>
        <v>32</v>
      </c>
      <c r="X80" s="15">
        <f t="shared" si="27"/>
        <v>32</v>
      </c>
      <c r="Y80" s="15">
        <f>ROUNDDOWN(W80/HLOOKUP(D80,Table!$C$3:$D$4,2,0)*8,2)</f>
        <v>0.56000000000000005</v>
      </c>
      <c r="Z80" s="15">
        <v>1</v>
      </c>
      <c r="AA80" s="15" t="s">
        <v>70</v>
      </c>
      <c r="AB80" s="19">
        <v>44004</v>
      </c>
      <c r="AC80" s="19">
        <v>43991</v>
      </c>
      <c r="AD80" s="85">
        <v>44004</v>
      </c>
      <c r="AE80" s="19">
        <v>43994</v>
      </c>
      <c r="AF80" s="19">
        <v>43994</v>
      </c>
      <c r="AG80" s="19" t="s">
        <v>164</v>
      </c>
      <c r="AH80" s="29">
        <v>1</v>
      </c>
      <c r="AI80" s="29">
        <v>1</v>
      </c>
      <c r="AJ80" s="29">
        <v>1</v>
      </c>
      <c r="AK80" s="19" t="s">
        <v>144</v>
      </c>
      <c r="AL80" s="15" t="s">
        <v>58</v>
      </c>
      <c r="AM80" s="15" t="s">
        <v>58</v>
      </c>
      <c r="AN80" s="15" t="s">
        <v>58</v>
      </c>
    </row>
    <row r="81" spans="2:40" hidden="1" x14ac:dyDescent="0.25">
      <c r="B81" s="114">
        <f t="shared" si="25"/>
        <v>22</v>
      </c>
      <c r="C81" s="16">
        <v>20200609</v>
      </c>
      <c r="D81" s="15" t="s">
        <v>3</v>
      </c>
      <c r="E81" s="15" t="s">
        <v>328</v>
      </c>
      <c r="F81" s="100" t="s">
        <v>380</v>
      </c>
      <c r="G81" s="17">
        <v>1504017</v>
      </c>
      <c r="H81" s="48" t="s">
        <v>58</v>
      </c>
      <c r="I81" s="15" t="s">
        <v>338</v>
      </c>
      <c r="J81" s="48" t="s">
        <v>58</v>
      </c>
      <c r="K81" s="15" t="s">
        <v>1067</v>
      </c>
      <c r="L81" s="75" t="s">
        <v>354</v>
      </c>
      <c r="M81" s="15" t="s">
        <v>352</v>
      </c>
      <c r="N81" s="15" t="s">
        <v>358</v>
      </c>
      <c r="O81" s="17" t="s">
        <v>58</v>
      </c>
      <c r="P81" s="17" t="s">
        <v>364</v>
      </c>
      <c r="Q81" s="18"/>
      <c r="R81" s="48" t="s">
        <v>58</v>
      </c>
      <c r="S81" s="15" t="s">
        <v>66</v>
      </c>
      <c r="T81" s="15"/>
      <c r="U81" s="15"/>
      <c r="V81" s="15">
        <v>307</v>
      </c>
      <c r="W81" s="79">
        <v>322</v>
      </c>
      <c r="X81" s="15">
        <f t="shared" si="27"/>
        <v>322</v>
      </c>
      <c r="Y81" s="15">
        <f>ROUNDDOWN(W81/HLOOKUP(D81,Table!$C$3:$D$4,2,0)*8,2)</f>
        <v>5.72</v>
      </c>
      <c r="Z81" s="15">
        <v>1</v>
      </c>
      <c r="AA81" s="15" t="s">
        <v>70</v>
      </c>
      <c r="AB81" s="19">
        <v>44004</v>
      </c>
      <c r="AC81" s="19">
        <v>43991</v>
      </c>
      <c r="AD81" s="85">
        <v>44004</v>
      </c>
      <c r="AE81" s="19">
        <v>43994</v>
      </c>
      <c r="AF81" s="19">
        <v>43994</v>
      </c>
      <c r="AG81" s="19" t="s">
        <v>165</v>
      </c>
      <c r="AH81" s="29">
        <v>0.99</v>
      </c>
      <c r="AI81" s="29">
        <v>0.96</v>
      </c>
      <c r="AJ81" s="29">
        <v>1</v>
      </c>
      <c r="AK81" s="19" t="s">
        <v>134</v>
      </c>
      <c r="AL81" s="15" t="s">
        <v>58</v>
      </c>
      <c r="AM81" s="15" t="s">
        <v>58</v>
      </c>
      <c r="AN81" s="17" t="s">
        <v>484</v>
      </c>
    </row>
    <row r="82" spans="2:40" hidden="1" x14ac:dyDescent="0.25">
      <c r="B82" s="114">
        <f t="shared" si="25"/>
        <v>23</v>
      </c>
      <c r="C82" s="16">
        <v>20200609</v>
      </c>
      <c r="D82" s="15" t="s">
        <v>3</v>
      </c>
      <c r="E82" s="15" t="s">
        <v>328</v>
      </c>
      <c r="F82" s="100" t="s">
        <v>381</v>
      </c>
      <c r="G82" s="17">
        <v>1504017</v>
      </c>
      <c r="H82" s="48" t="s">
        <v>58</v>
      </c>
      <c r="I82" s="15" t="s">
        <v>339</v>
      </c>
      <c r="J82" s="48" t="s">
        <v>58</v>
      </c>
      <c r="K82" s="15" t="s">
        <v>1067</v>
      </c>
      <c r="L82" s="75" t="s">
        <v>354</v>
      </c>
      <c r="M82" s="15" t="s">
        <v>352</v>
      </c>
      <c r="N82" s="15" t="s">
        <v>358</v>
      </c>
      <c r="O82" s="17" t="s">
        <v>58</v>
      </c>
      <c r="P82" s="17" t="s">
        <v>364</v>
      </c>
      <c r="Q82" s="18"/>
      <c r="R82" s="48" t="s">
        <v>58</v>
      </c>
      <c r="S82" s="15" t="s">
        <v>925</v>
      </c>
      <c r="T82" s="15"/>
      <c r="U82" s="15"/>
      <c r="V82" s="15">
        <v>232</v>
      </c>
      <c r="W82" s="79">
        <f>V82-V82+277</f>
        <v>277</v>
      </c>
      <c r="X82" s="15">
        <f t="shared" si="27"/>
        <v>277</v>
      </c>
      <c r="Y82" s="15">
        <f>ROUNDDOWN(W82/HLOOKUP(D82,Table!$C$3:$D$4,2,0)*8,2)</f>
        <v>4.92</v>
      </c>
      <c r="Z82" s="15">
        <v>3</v>
      </c>
      <c r="AA82" s="15" t="s">
        <v>70</v>
      </c>
      <c r="AB82" s="19">
        <v>44004</v>
      </c>
      <c r="AC82" s="19">
        <v>43991</v>
      </c>
      <c r="AD82" s="85">
        <v>44004</v>
      </c>
      <c r="AE82" s="19">
        <v>43998</v>
      </c>
      <c r="AF82" s="19">
        <v>43998</v>
      </c>
      <c r="AG82" s="19" t="s">
        <v>164</v>
      </c>
      <c r="AH82" s="29">
        <v>1</v>
      </c>
      <c r="AI82" s="29">
        <v>1</v>
      </c>
      <c r="AJ82" s="29">
        <v>1</v>
      </c>
      <c r="AK82" s="19" t="s">
        <v>144</v>
      </c>
      <c r="AL82" s="15" t="s">
        <v>58</v>
      </c>
      <c r="AM82" s="15" t="s">
        <v>58</v>
      </c>
      <c r="AN82" s="17" t="s">
        <v>58</v>
      </c>
    </row>
    <row r="83" spans="2:40" s="126" customFormat="1" hidden="1" x14ac:dyDescent="0.25">
      <c r="B83" s="114">
        <f t="shared" si="25"/>
        <v>24</v>
      </c>
      <c r="C83" s="16">
        <v>20200609</v>
      </c>
      <c r="D83" s="15" t="s">
        <v>3</v>
      </c>
      <c r="E83" s="15" t="s">
        <v>328</v>
      </c>
      <c r="F83" s="100" t="s">
        <v>382</v>
      </c>
      <c r="G83" s="17">
        <v>1504017</v>
      </c>
      <c r="H83" s="48" t="s">
        <v>58</v>
      </c>
      <c r="I83" s="15" t="s">
        <v>340</v>
      </c>
      <c r="J83" s="48" t="s">
        <v>58</v>
      </c>
      <c r="K83" s="15" t="s">
        <v>1067</v>
      </c>
      <c r="L83" s="75" t="s">
        <v>354</v>
      </c>
      <c r="M83" s="15" t="s">
        <v>352</v>
      </c>
      <c r="N83" s="15" t="s">
        <v>358</v>
      </c>
      <c r="O83" s="17" t="s">
        <v>58</v>
      </c>
      <c r="P83" s="17" t="s">
        <v>364</v>
      </c>
      <c r="Q83" s="18"/>
      <c r="R83" s="48" t="s">
        <v>58</v>
      </c>
      <c r="S83" s="15" t="s">
        <v>925</v>
      </c>
      <c r="T83" s="15"/>
      <c r="U83" s="15"/>
      <c r="V83" s="15">
        <v>130</v>
      </c>
      <c r="W83" s="79">
        <f>V83-V83+202</f>
        <v>202</v>
      </c>
      <c r="X83" s="15">
        <f t="shared" ref="X83:X87" si="30">W83</f>
        <v>202</v>
      </c>
      <c r="Y83" s="15">
        <f>ROUNDDOWN(W83/HLOOKUP(D83,Table!$C$3:$D$4,2,0)*8,2)</f>
        <v>3.59</v>
      </c>
      <c r="Z83" s="15">
        <v>3</v>
      </c>
      <c r="AA83" s="15" t="s">
        <v>70</v>
      </c>
      <c r="AB83" s="19">
        <v>44004</v>
      </c>
      <c r="AC83" s="19">
        <v>43991</v>
      </c>
      <c r="AD83" s="85">
        <v>44004</v>
      </c>
      <c r="AE83" s="19">
        <v>43999</v>
      </c>
      <c r="AF83" s="19">
        <v>43999</v>
      </c>
      <c r="AG83" s="19" t="s">
        <v>165</v>
      </c>
      <c r="AH83" s="29">
        <v>1</v>
      </c>
      <c r="AI83" s="29">
        <v>1</v>
      </c>
      <c r="AJ83" s="29">
        <v>0.66</v>
      </c>
      <c r="AK83" s="19" t="s">
        <v>134</v>
      </c>
      <c r="AL83" s="15" t="s">
        <v>623</v>
      </c>
      <c r="AM83" s="15" t="s">
        <v>58</v>
      </c>
      <c r="AN83" s="15" t="s">
        <v>58</v>
      </c>
    </row>
    <row r="84" spans="2:40" hidden="1" x14ac:dyDescent="0.25">
      <c r="B84" s="114">
        <f t="shared" si="25"/>
        <v>25</v>
      </c>
      <c r="C84" s="16">
        <v>20200609</v>
      </c>
      <c r="D84" s="15" t="s">
        <v>3</v>
      </c>
      <c r="E84" s="15" t="s">
        <v>328</v>
      </c>
      <c r="F84" s="100" t="s">
        <v>383</v>
      </c>
      <c r="G84" s="17">
        <v>1504017</v>
      </c>
      <c r="H84" s="48" t="s">
        <v>58</v>
      </c>
      <c r="I84" s="15" t="s">
        <v>341</v>
      </c>
      <c r="J84" s="48" t="s">
        <v>58</v>
      </c>
      <c r="K84" s="15" t="s">
        <v>1067</v>
      </c>
      <c r="L84" s="75" t="s">
        <v>354</v>
      </c>
      <c r="M84" s="15" t="s">
        <v>352</v>
      </c>
      <c r="N84" s="15" t="s">
        <v>358</v>
      </c>
      <c r="O84" s="17" t="s">
        <v>58</v>
      </c>
      <c r="P84" s="17" t="s">
        <v>364</v>
      </c>
      <c r="Q84" s="18"/>
      <c r="R84" s="48" t="s">
        <v>58</v>
      </c>
      <c r="S84" s="15" t="s">
        <v>925</v>
      </c>
      <c r="T84" s="15"/>
      <c r="U84" s="15"/>
      <c r="V84" s="15">
        <v>206</v>
      </c>
      <c r="W84" s="79">
        <f>V84-V84+223</f>
        <v>223</v>
      </c>
      <c r="X84" s="15">
        <f t="shared" si="30"/>
        <v>223</v>
      </c>
      <c r="Y84" s="15">
        <f>ROUNDDOWN(W84/HLOOKUP(D84,Table!$C$3:$D$4,2,0)*8,2)</f>
        <v>3.96</v>
      </c>
      <c r="Z84" s="15">
        <v>3</v>
      </c>
      <c r="AA84" s="15" t="s">
        <v>70</v>
      </c>
      <c r="AB84" s="19">
        <v>44004</v>
      </c>
      <c r="AC84" s="19">
        <v>43991</v>
      </c>
      <c r="AD84" s="85">
        <v>44004</v>
      </c>
      <c r="AE84" s="19">
        <v>43999</v>
      </c>
      <c r="AF84" s="19">
        <v>43999</v>
      </c>
      <c r="AG84" s="19" t="s">
        <v>164</v>
      </c>
      <c r="AH84" s="29">
        <v>1</v>
      </c>
      <c r="AI84" s="29">
        <v>1</v>
      </c>
      <c r="AJ84" s="29">
        <v>1</v>
      </c>
      <c r="AK84" s="19" t="s">
        <v>144</v>
      </c>
      <c r="AL84" s="15" t="s">
        <v>58</v>
      </c>
      <c r="AM84" s="15" t="s">
        <v>58</v>
      </c>
      <c r="AN84" s="15" t="s">
        <v>58</v>
      </c>
    </row>
    <row r="85" spans="2:40" hidden="1" x14ac:dyDescent="0.25">
      <c r="B85" s="114">
        <f t="shared" si="25"/>
        <v>26</v>
      </c>
      <c r="C85" s="16">
        <v>20200609</v>
      </c>
      <c r="D85" s="15" t="s">
        <v>3</v>
      </c>
      <c r="E85" s="15" t="s">
        <v>328</v>
      </c>
      <c r="F85" s="100" t="s">
        <v>384</v>
      </c>
      <c r="G85" s="17">
        <v>1504017</v>
      </c>
      <c r="H85" s="48" t="s">
        <v>58</v>
      </c>
      <c r="I85" s="15" t="s">
        <v>321</v>
      </c>
      <c r="J85" s="48" t="s">
        <v>58</v>
      </c>
      <c r="K85" s="15" t="s">
        <v>1067</v>
      </c>
      <c r="L85" s="75" t="s">
        <v>354</v>
      </c>
      <c r="M85" s="15" t="s">
        <v>352</v>
      </c>
      <c r="N85" s="15" t="s">
        <v>358</v>
      </c>
      <c r="O85" s="17" t="s">
        <v>58</v>
      </c>
      <c r="P85" s="17" t="s">
        <v>364</v>
      </c>
      <c r="Q85" s="18"/>
      <c r="R85" s="48" t="s">
        <v>58</v>
      </c>
      <c r="S85" s="15" t="s">
        <v>925</v>
      </c>
      <c r="T85" s="15"/>
      <c r="U85" s="15"/>
      <c r="V85" s="15">
        <v>208</v>
      </c>
      <c r="W85" s="15">
        <f t="shared" ref="W85:W89" si="31">V85</f>
        <v>208</v>
      </c>
      <c r="X85" s="15">
        <f t="shared" si="30"/>
        <v>208</v>
      </c>
      <c r="Y85" s="15">
        <f>ROUNDDOWN(W85/HLOOKUP(D85,Table!$C$3:$D$4,2,0)*8,2)</f>
        <v>3.69</v>
      </c>
      <c r="Z85" s="15">
        <v>1</v>
      </c>
      <c r="AA85" s="15" t="s">
        <v>70</v>
      </c>
      <c r="AB85" s="19">
        <v>44004</v>
      </c>
      <c r="AC85" s="19">
        <v>43991</v>
      </c>
      <c r="AD85" s="85">
        <v>44004</v>
      </c>
      <c r="AE85" s="19">
        <v>43999</v>
      </c>
      <c r="AF85" s="19">
        <v>43999</v>
      </c>
      <c r="AG85" s="19" t="s">
        <v>164</v>
      </c>
      <c r="AH85" s="29">
        <v>1</v>
      </c>
      <c r="AI85" s="29">
        <v>1</v>
      </c>
      <c r="AJ85" s="29">
        <v>1</v>
      </c>
      <c r="AK85" s="19" t="s">
        <v>144</v>
      </c>
      <c r="AL85" s="15" t="s">
        <v>58</v>
      </c>
      <c r="AM85" s="15" t="s">
        <v>58</v>
      </c>
      <c r="AN85" s="15" t="s">
        <v>58</v>
      </c>
    </row>
    <row r="86" spans="2:40" hidden="1" x14ac:dyDescent="0.25">
      <c r="B86" s="114">
        <f t="shared" si="25"/>
        <v>27</v>
      </c>
      <c r="C86" s="16">
        <v>20200609</v>
      </c>
      <c r="D86" s="15" t="s">
        <v>3</v>
      </c>
      <c r="E86" s="15" t="s">
        <v>328</v>
      </c>
      <c r="F86" s="100" t="s">
        <v>385</v>
      </c>
      <c r="G86" s="17">
        <v>1504017</v>
      </c>
      <c r="H86" s="48" t="s">
        <v>58</v>
      </c>
      <c r="I86" s="15" t="s">
        <v>342</v>
      </c>
      <c r="J86" s="48" t="s">
        <v>58</v>
      </c>
      <c r="K86" s="15" t="s">
        <v>1067</v>
      </c>
      <c r="L86" s="75" t="s">
        <v>354</v>
      </c>
      <c r="M86" s="15" t="s">
        <v>352</v>
      </c>
      <c r="N86" s="15" t="s">
        <v>358</v>
      </c>
      <c r="O86" s="17" t="s">
        <v>58</v>
      </c>
      <c r="P86" s="17" t="s">
        <v>364</v>
      </c>
      <c r="Q86" s="18"/>
      <c r="R86" s="48" t="s">
        <v>58</v>
      </c>
      <c r="S86" s="15" t="s">
        <v>925</v>
      </c>
      <c r="T86" s="15"/>
      <c r="U86" s="15"/>
      <c r="V86" s="15">
        <v>259</v>
      </c>
      <c r="W86" s="15">
        <f t="shared" si="31"/>
        <v>259</v>
      </c>
      <c r="X86" s="15">
        <f t="shared" si="30"/>
        <v>259</v>
      </c>
      <c r="Y86" s="15">
        <f>ROUNDDOWN(W86/HLOOKUP(D86,Table!$C$3:$D$4,2,0)*8,2)</f>
        <v>4.5999999999999996</v>
      </c>
      <c r="Z86" s="15">
        <v>1</v>
      </c>
      <c r="AA86" s="15" t="s">
        <v>70</v>
      </c>
      <c r="AB86" s="19">
        <v>44004</v>
      </c>
      <c r="AC86" s="19">
        <v>43991</v>
      </c>
      <c r="AD86" s="85">
        <v>44004</v>
      </c>
      <c r="AE86" s="19">
        <v>43999</v>
      </c>
      <c r="AF86" s="19">
        <v>43999</v>
      </c>
      <c r="AG86" s="19" t="s">
        <v>164</v>
      </c>
      <c r="AH86" s="29">
        <v>1</v>
      </c>
      <c r="AI86" s="29">
        <v>1</v>
      </c>
      <c r="AJ86" s="29">
        <v>1</v>
      </c>
      <c r="AK86" s="19" t="s">
        <v>144</v>
      </c>
      <c r="AL86" s="15" t="s">
        <v>58</v>
      </c>
      <c r="AM86" s="15" t="s">
        <v>58</v>
      </c>
      <c r="AN86" s="15" t="s">
        <v>58</v>
      </c>
    </row>
    <row r="87" spans="2:40" hidden="1" x14ac:dyDescent="0.25">
      <c r="B87" s="114">
        <f t="shared" si="25"/>
        <v>28</v>
      </c>
      <c r="C87" s="16">
        <v>20200609</v>
      </c>
      <c r="D87" s="15" t="s">
        <v>3</v>
      </c>
      <c r="E87" s="15" t="s">
        <v>328</v>
      </c>
      <c r="F87" s="100" t="s">
        <v>386</v>
      </c>
      <c r="G87" s="17">
        <v>1504017</v>
      </c>
      <c r="H87" s="48" t="s">
        <v>58</v>
      </c>
      <c r="I87" s="15" t="s">
        <v>343</v>
      </c>
      <c r="J87" s="48" t="s">
        <v>58</v>
      </c>
      <c r="K87" s="15" t="s">
        <v>1067</v>
      </c>
      <c r="L87" s="75" t="s">
        <v>354</v>
      </c>
      <c r="M87" s="15" t="s">
        <v>352</v>
      </c>
      <c r="N87" s="15" t="s">
        <v>358</v>
      </c>
      <c r="O87" s="17" t="s">
        <v>58</v>
      </c>
      <c r="P87" s="17" t="s">
        <v>364</v>
      </c>
      <c r="Q87" s="18"/>
      <c r="R87" s="48" t="s">
        <v>58</v>
      </c>
      <c r="S87" s="15" t="s">
        <v>925</v>
      </c>
      <c r="T87" s="15"/>
      <c r="U87" s="15"/>
      <c r="V87" s="15">
        <v>110</v>
      </c>
      <c r="W87" s="79">
        <f>V87-V87+130</f>
        <v>130</v>
      </c>
      <c r="X87" s="15">
        <f t="shared" si="30"/>
        <v>130</v>
      </c>
      <c r="Y87" s="15">
        <f>ROUNDDOWN(W87/HLOOKUP(D87,Table!$C$3:$D$4,2,0)*8,2)</f>
        <v>2.31</v>
      </c>
      <c r="Z87" s="15">
        <v>1</v>
      </c>
      <c r="AA87" s="15" t="s">
        <v>70</v>
      </c>
      <c r="AB87" s="19">
        <v>44004</v>
      </c>
      <c r="AC87" s="19">
        <v>43991</v>
      </c>
      <c r="AD87" s="85">
        <v>44004</v>
      </c>
      <c r="AE87" s="19">
        <v>43999</v>
      </c>
      <c r="AF87" s="19">
        <v>43999</v>
      </c>
      <c r="AG87" s="19" t="s">
        <v>164</v>
      </c>
      <c r="AH87" s="29">
        <v>1</v>
      </c>
      <c r="AI87" s="29">
        <v>1</v>
      </c>
      <c r="AJ87" s="29">
        <v>1</v>
      </c>
      <c r="AK87" s="19" t="s">
        <v>144</v>
      </c>
      <c r="AL87" s="15" t="s">
        <v>58</v>
      </c>
      <c r="AM87" s="15" t="s">
        <v>58</v>
      </c>
      <c r="AN87" s="15" t="s">
        <v>58</v>
      </c>
    </row>
    <row r="88" spans="2:40" hidden="1" x14ac:dyDescent="0.25">
      <c r="B88" s="114">
        <f t="shared" si="25"/>
        <v>29</v>
      </c>
      <c r="C88" s="16">
        <v>20200609</v>
      </c>
      <c r="D88" s="15" t="s">
        <v>2</v>
      </c>
      <c r="E88" s="15" t="s">
        <v>329</v>
      </c>
      <c r="F88" s="17" t="s">
        <v>58</v>
      </c>
      <c r="G88" s="17">
        <v>1513868</v>
      </c>
      <c r="H88" s="48" t="s">
        <v>58</v>
      </c>
      <c r="I88" s="15" t="s">
        <v>344</v>
      </c>
      <c r="J88" s="48" t="s">
        <v>58</v>
      </c>
      <c r="K88" s="15" t="s">
        <v>1070</v>
      </c>
      <c r="L88" s="15" t="s">
        <v>144</v>
      </c>
      <c r="M88" s="15" t="s">
        <v>323</v>
      </c>
      <c r="N88" s="15" t="s">
        <v>360</v>
      </c>
      <c r="O88" s="17">
        <v>1.3</v>
      </c>
      <c r="P88" s="17" t="s">
        <v>365</v>
      </c>
      <c r="Q88" s="18"/>
      <c r="R88" s="48" t="s">
        <v>58</v>
      </c>
      <c r="S88" s="15" t="s">
        <v>65</v>
      </c>
      <c r="T88" s="15"/>
      <c r="U88" s="15"/>
      <c r="V88" s="15">
        <v>260</v>
      </c>
      <c r="W88" s="15">
        <f t="shared" si="31"/>
        <v>260</v>
      </c>
      <c r="X88" s="15">
        <f>W88</f>
        <v>260</v>
      </c>
      <c r="Y88" s="15">
        <f>ROUNDDOWN(W88/HLOOKUP(D88,Table!$C$3:$D$4,2,0)*8,2)</f>
        <v>16</v>
      </c>
      <c r="Z88" s="15">
        <v>8</v>
      </c>
      <c r="AA88" s="15" t="s">
        <v>70</v>
      </c>
      <c r="AB88" s="19">
        <v>44004</v>
      </c>
      <c r="AC88" s="19">
        <v>43991</v>
      </c>
      <c r="AD88" s="85">
        <v>44004</v>
      </c>
      <c r="AE88" s="19">
        <v>44000</v>
      </c>
      <c r="AF88" s="19">
        <v>44000</v>
      </c>
      <c r="AG88" s="19" t="s">
        <v>164</v>
      </c>
      <c r="AH88" s="29">
        <v>1</v>
      </c>
      <c r="AI88" s="29">
        <v>1</v>
      </c>
      <c r="AJ88" s="29">
        <v>1</v>
      </c>
      <c r="AK88" s="19" t="s">
        <v>144</v>
      </c>
      <c r="AL88" s="17" t="s">
        <v>58</v>
      </c>
      <c r="AM88" s="17" t="s">
        <v>58</v>
      </c>
      <c r="AN88" s="17" t="s">
        <v>58</v>
      </c>
    </row>
    <row r="89" spans="2:40" hidden="1" x14ac:dyDescent="0.25">
      <c r="B89" s="114">
        <f t="shared" si="25"/>
        <v>30</v>
      </c>
      <c r="C89" s="16">
        <v>20200609</v>
      </c>
      <c r="D89" s="15" t="s">
        <v>2</v>
      </c>
      <c r="E89" s="15" t="s">
        <v>329</v>
      </c>
      <c r="F89" s="17" t="s">
        <v>58</v>
      </c>
      <c r="G89" s="17">
        <v>1513868</v>
      </c>
      <c r="H89" s="48" t="s">
        <v>58</v>
      </c>
      <c r="I89" s="15" t="s">
        <v>308</v>
      </c>
      <c r="J89" s="48" t="s">
        <v>58</v>
      </c>
      <c r="K89" s="15" t="s">
        <v>1068</v>
      </c>
      <c r="L89" s="15" t="s">
        <v>144</v>
      </c>
      <c r="M89" s="15" t="s">
        <v>323</v>
      </c>
      <c r="N89" s="15" t="s">
        <v>361</v>
      </c>
      <c r="O89" s="17" t="s">
        <v>357</v>
      </c>
      <c r="P89" s="17" t="s">
        <v>365</v>
      </c>
      <c r="Q89" s="18"/>
      <c r="R89" s="48" t="s">
        <v>58</v>
      </c>
      <c r="S89" s="15" t="s">
        <v>64</v>
      </c>
      <c r="T89" s="15"/>
      <c r="U89" s="15"/>
      <c r="V89" s="15">
        <v>160</v>
      </c>
      <c r="W89" s="15">
        <f t="shared" si="31"/>
        <v>160</v>
      </c>
      <c r="X89" s="16">
        <f>W89</f>
        <v>160</v>
      </c>
      <c r="Y89" s="15">
        <f>ROUNDDOWN(W89/HLOOKUP(D89,Table!$C$3:$D$4,2,0)*8,2)</f>
        <v>9.84</v>
      </c>
      <c r="Z89" s="15">
        <f>Y89</f>
        <v>9.84</v>
      </c>
      <c r="AA89" s="15" t="s">
        <v>70</v>
      </c>
      <c r="AB89" s="19">
        <v>44004</v>
      </c>
      <c r="AC89" s="19">
        <v>43991</v>
      </c>
      <c r="AD89" s="85">
        <v>44004</v>
      </c>
      <c r="AE89" s="19">
        <v>44004</v>
      </c>
      <c r="AF89" s="19">
        <v>44004</v>
      </c>
      <c r="AG89" s="19" t="s">
        <v>164</v>
      </c>
      <c r="AH89" s="29">
        <v>1</v>
      </c>
      <c r="AI89" s="29">
        <v>1</v>
      </c>
      <c r="AJ89" s="29">
        <v>1</v>
      </c>
      <c r="AK89" s="19" t="s">
        <v>144</v>
      </c>
      <c r="AL89" s="17" t="s">
        <v>58</v>
      </c>
      <c r="AM89" s="17" t="s">
        <v>58</v>
      </c>
      <c r="AN89" s="17" t="s">
        <v>58</v>
      </c>
    </row>
    <row r="90" spans="2:40" x14ac:dyDescent="0.25">
      <c r="B90" s="114">
        <f t="shared" si="25"/>
        <v>31</v>
      </c>
      <c r="C90" s="16">
        <v>20200609</v>
      </c>
      <c r="D90" s="15" t="s">
        <v>3</v>
      </c>
      <c r="E90" s="15" t="s">
        <v>329</v>
      </c>
      <c r="F90" s="100" t="s">
        <v>387</v>
      </c>
      <c r="G90" s="17">
        <v>1513277</v>
      </c>
      <c r="H90" s="48" t="s">
        <v>58</v>
      </c>
      <c r="I90" s="15" t="s">
        <v>346</v>
      </c>
      <c r="J90" s="48" t="s">
        <v>58</v>
      </c>
      <c r="K90" s="15" t="s">
        <v>1067</v>
      </c>
      <c r="L90" s="75" t="s">
        <v>201</v>
      </c>
      <c r="M90" s="15" t="s">
        <v>323</v>
      </c>
      <c r="N90" s="15" t="s">
        <v>185</v>
      </c>
      <c r="O90" s="17" t="s">
        <v>58</v>
      </c>
      <c r="P90" s="17" t="s">
        <v>202</v>
      </c>
      <c r="Q90" s="18"/>
      <c r="R90" s="48" t="s">
        <v>58</v>
      </c>
      <c r="S90" s="15" t="s">
        <v>6</v>
      </c>
      <c r="T90" s="15"/>
      <c r="U90" s="15"/>
      <c r="V90" s="15">
        <v>1011</v>
      </c>
      <c r="W90" s="15">
        <f t="shared" ref="W90:X105" si="32">V90</f>
        <v>1011</v>
      </c>
      <c r="X90" s="15">
        <f t="shared" si="32"/>
        <v>1011</v>
      </c>
      <c r="Y90" s="15">
        <f>ROUNDDOWN(W90/HLOOKUP(D90,Table!$C$3:$D$4,2,0)*8,2)</f>
        <v>17.97</v>
      </c>
      <c r="Z90" s="15">
        <v>0.5</v>
      </c>
      <c r="AA90" s="15" t="s">
        <v>70</v>
      </c>
      <c r="AB90" s="19">
        <v>44004</v>
      </c>
      <c r="AC90" s="19">
        <v>43991</v>
      </c>
      <c r="AD90" s="85">
        <v>44004</v>
      </c>
      <c r="AE90" s="19">
        <v>43994</v>
      </c>
      <c r="AF90" s="19">
        <v>43994</v>
      </c>
      <c r="AG90" s="19" t="s">
        <v>164</v>
      </c>
      <c r="AH90" s="74" t="s">
        <v>58</v>
      </c>
      <c r="AI90" s="74" t="s">
        <v>58</v>
      </c>
      <c r="AJ90" s="74" t="s">
        <v>58</v>
      </c>
      <c r="AK90" s="19" t="s">
        <v>144</v>
      </c>
      <c r="AL90" s="15"/>
      <c r="AM90" s="15"/>
      <c r="AN90" s="49" t="s">
        <v>172</v>
      </c>
    </row>
    <row r="91" spans="2:40" hidden="1" x14ac:dyDescent="0.25">
      <c r="B91" s="114">
        <f t="shared" si="25"/>
        <v>32</v>
      </c>
      <c r="C91" s="16">
        <v>20200609</v>
      </c>
      <c r="D91" s="15" t="s">
        <v>3</v>
      </c>
      <c r="E91" s="15" t="s">
        <v>329</v>
      </c>
      <c r="F91" s="100" t="s">
        <v>388</v>
      </c>
      <c r="G91" s="17">
        <v>1513277</v>
      </c>
      <c r="H91" s="48" t="s">
        <v>58</v>
      </c>
      <c r="I91" s="15" t="s">
        <v>322</v>
      </c>
      <c r="J91" s="48" t="s">
        <v>58</v>
      </c>
      <c r="K91" s="15" t="s">
        <v>1067</v>
      </c>
      <c r="L91" s="75" t="s">
        <v>201</v>
      </c>
      <c r="M91" s="15" t="s">
        <v>323</v>
      </c>
      <c r="N91" s="15" t="s">
        <v>185</v>
      </c>
      <c r="O91" s="17" t="s">
        <v>58</v>
      </c>
      <c r="P91" s="17" t="s">
        <v>202</v>
      </c>
      <c r="Q91" s="18"/>
      <c r="R91" s="48" t="s">
        <v>58</v>
      </c>
      <c r="S91" s="15" t="s">
        <v>6</v>
      </c>
      <c r="T91" s="15"/>
      <c r="U91" s="15"/>
      <c r="V91" s="15">
        <v>87</v>
      </c>
      <c r="W91" s="15">
        <f t="shared" si="32"/>
        <v>87</v>
      </c>
      <c r="X91" s="15">
        <f t="shared" si="32"/>
        <v>87</v>
      </c>
      <c r="Y91" s="15">
        <f>ROUNDDOWN(W91/HLOOKUP(D91,Table!$C$3:$D$4,2,0)*8,2)</f>
        <v>1.54</v>
      </c>
      <c r="Z91" s="15">
        <v>1</v>
      </c>
      <c r="AA91" s="15" t="s">
        <v>70</v>
      </c>
      <c r="AB91" s="19">
        <v>44004</v>
      </c>
      <c r="AC91" s="19">
        <v>43991</v>
      </c>
      <c r="AD91" s="85">
        <v>44004</v>
      </c>
      <c r="AE91" s="19">
        <v>43994</v>
      </c>
      <c r="AF91" s="19">
        <v>43994</v>
      </c>
      <c r="AG91" s="19" t="s">
        <v>165</v>
      </c>
      <c r="AH91" s="29">
        <v>1</v>
      </c>
      <c r="AI91" s="29">
        <v>0.87</v>
      </c>
      <c r="AJ91" s="29">
        <v>1</v>
      </c>
      <c r="AK91" s="19" t="s">
        <v>134</v>
      </c>
      <c r="AL91" s="15" t="s">
        <v>480</v>
      </c>
      <c r="AM91" s="15"/>
      <c r="AN91" s="15" t="s">
        <v>459</v>
      </c>
    </row>
    <row r="92" spans="2:40" hidden="1" x14ac:dyDescent="0.25">
      <c r="B92" s="114">
        <f t="shared" si="25"/>
        <v>33</v>
      </c>
      <c r="C92" s="16">
        <v>20200609</v>
      </c>
      <c r="D92" s="15" t="s">
        <v>3</v>
      </c>
      <c r="E92" s="15" t="s">
        <v>329</v>
      </c>
      <c r="F92" s="100" t="s">
        <v>389</v>
      </c>
      <c r="G92" s="17">
        <v>1513277</v>
      </c>
      <c r="H92" s="48" t="s">
        <v>58</v>
      </c>
      <c r="I92" s="15" t="s">
        <v>216</v>
      </c>
      <c r="J92" s="48" t="s">
        <v>58</v>
      </c>
      <c r="K92" s="15" t="s">
        <v>1067</v>
      </c>
      <c r="L92" s="75" t="s">
        <v>201</v>
      </c>
      <c r="M92" s="15" t="s">
        <v>323</v>
      </c>
      <c r="N92" s="15" t="s">
        <v>185</v>
      </c>
      <c r="O92" s="17" t="s">
        <v>58</v>
      </c>
      <c r="P92" s="17" t="s">
        <v>202</v>
      </c>
      <c r="Q92" s="18"/>
      <c r="R92" s="48" t="s">
        <v>58</v>
      </c>
      <c r="S92" s="15" t="s">
        <v>6</v>
      </c>
      <c r="T92" s="15"/>
      <c r="U92" s="15"/>
      <c r="V92" s="15">
        <v>42</v>
      </c>
      <c r="W92" s="79">
        <v>43</v>
      </c>
      <c r="X92" s="15">
        <f t="shared" si="32"/>
        <v>43</v>
      </c>
      <c r="Y92" s="15">
        <f>ROUNDDOWN(W92/HLOOKUP(D92,Table!$C$3:$D$4,2,0)*8,2)</f>
        <v>0.76</v>
      </c>
      <c r="Z92" s="15">
        <v>0.5</v>
      </c>
      <c r="AA92" s="15" t="s">
        <v>70</v>
      </c>
      <c r="AB92" s="19">
        <v>44004</v>
      </c>
      <c r="AC92" s="19">
        <v>43991</v>
      </c>
      <c r="AD92" s="85">
        <v>44004</v>
      </c>
      <c r="AE92" s="19">
        <v>43994</v>
      </c>
      <c r="AF92" s="19">
        <v>43994</v>
      </c>
      <c r="AG92" s="19" t="s">
        <v>164</v>
      </c>
      <c r="AH92" s="29">
        <v>1</v>
      </c>
      <c r="AI92" s="29">
        <v>1</v>
      </c>
      <c r="AJ92" s="29">
        <v>1</v>
      </c>
      <c r="AK92" s="19" t="s">
        <v>144</v>
      </c>
      <c r="AL92" s="15"/>
      <c r="AM92" s="15"/>
      <c r="AN92" s="15" t="s">
        <v>457</v>
      </c>
    </row>
    <row r="93" spans="2:40" hidden="1" x14ac:dyDescent="0.25">
      <c r="B93" s="114">
        <f t="shared" si="25"/>
        <v>34</v>
      </c>
      <c r="C93" s="16">
        <v>20200609</v>
      </c>
      <c r="D93" s="15" t="s">
        <v>3</v>
      </c>
      <c r="E93" s="15" t="s">
        <v>329</v>
      </c>
      <c r="F93" s="104" t="s">
        <v>455</v>
      </c>
      <c r="G93" s="17">
        <v>1512634</v>
      </c>
      <c r="H93" s="48" t="s">
        <v>58</v>
      </c>
      <c r="I93" s="15" t="s">
        <v>347</v>
      </c>
      <c r="J93" s="48" t="s">
        <v>58</v>
      </c>
      <c r="K93" s="15" t="s">
        <v>1067</v>
      </c>
      <c r="L93" s="15" t="s">
        <v>144</v>
      </c>
      <c r="M93" s="15" t="s">
        <v>323</v>
      </c>
      <c r="N93" s="15" t="s">
        <v>185</v>
      </c>
      <c r="O93" s="17" t="s">
        <v>58</v>
      </c>
      <c r="P93" s="17" t="s">
        <v>186</v>
      </c>
      <c r="Q93" s="18"/>
      <c r="R93" s="48" t="s">
        <v>58</v>
      </c>
      <c r="S93" s="15" t="s">
        <v>6</v>
      </c>
      <c r="T93" s="15"/>
      <c r="U93" s="15"/>
      <c r="V93" s="15">
        <v>64</v>
      </c>
      <c r="W93" s="79">
        <v>78</v>
      </c>
      <c r="X93" s="15">
        <f t="shared" si="32"/>
        <v>78</v>
      </c>
      <c r="Y93" s="15">
        <f>ROUNDDOWN(W93/HLOOKUP(D93,Table!$C$3:$D$4,2,0)*8,2)</f>
        <v>1.38</v>
      </c>
      <c r="Z93" s="15">
        <v>1</v>
      </c>
      <c r="AA93" s="15" t="s">
        <v>70</v>
      </c>
      <c r="AB93" s="19">
        <v>44004</v>
      </c>
      <c r="AC93" s="19">
        <v>43991</v>
      </c>
      <c r="AD93" s="85">
        <v>44004</v>
      </c>
      <c r="AE93" s="19">
        <v>43994</v>
      </c>
      <c r="AF93" s="19">
        <v>43994</v>
      </c>
      <c r="AG93" s="19" t="s">
        <v>164</v>
      </c>
      <c r="AH93" s="29">
        <v>1</v>
      </c>
      <c r="AI93" s="29">
        <v>1</v>
      </c>
      <c r="AJ93" s="29">
        <v>1</v>
      </c>
      <c r="AK93" s="19" t="s">
        <v>144</v>
      </c>
      <c r="AL93" s="15"/>
      <c r="AM93" s="15"/>
      <c r="AN93" s="15" t="s">
        <v>458</v>
      </c>
    </row>
    <row r="94" spans="2:40" hidden="1" x14ac:dyDescent="0.25">
      <c r="B94" s="114">
        <f t="shared" si="25"/>
        <v>35</v>
      </c>
      <c r="C94" s="16">
        <v>20200609</v>
      </c>
      <c r="D94" s="15" t="s">
        <v>3</v>
      </c>
      <c r="E94" s="15" t="s">
        <v>329</v>
      </c>
      <c r="F94" s="104" t="s">
        <v>456</v>
      </c>
      <c r="G94" s="17">
        <v>1512634</v>
      </c>
      <c r="H94" s="48" t="s">
        <v>58</v>
      </c>
      <c r="I94" s="15" t="s">
        <v>348</v>
      </c>
      <c r="J94" s="48" t="s">
        <v>58</v>
      </c>
      <c r="K94" s="15" t="s">
        <v>1067</v>
      </c>
      <c r="L94" s="15" t="s">
        <v>144</v>
      </c>
      <c r="M94" s="15" t="s">
        <v>323</v>
      </c>
      <c r="N94" s="15" t="s">
        <v>185</v>
      </c>
      <c r="O94" s="17" t="s">
        <v>58</v>
      </c>
      <c r="P94" s="17" t="s">
        <v>186</v>
      </c>
      <c r="Q94" s="18"/>
      <c r="R94" s="48" t="s">
        <v>58</v>
      </c>
      <c r="S94" s="15" t="s">
        <v>6</v>
      </c>
      <c r="T94" s="15"/>
      <c r="U94" s="15"/>
      <c r="V94" s="15">
        <v>107</v>
      </c>
      <c r="W94" s="15">
        <f t="shared" si="32"/>
        <v>107</v>
      </c>
      <c r="X94" s="15">
        <f t="shared" si="32"/>
        <v>107</v>
      </c>
      <c r="Y94" s="15">
        <f>ROUNDDOWN(W94/HLOOKUP(D94,Table!$C$3:$D$4,2,0)*8,2)</f>
        <v>1.9</v>
      </c>
      <c r="Z94" s="15">
        <v>1</v>
      </c>
      <c r="AA94" s="15" t="s">
        <v>70</v>
      </c>
      <c r="AB94" s="19">
        <v>44004</v>
      </c>
      <c r="AC94" s="19">
        <v>43991</v>
      </c>
      <c r="AD94" s="85">
        <v>44004</v>
      </c>
      <c r="AE94" s="19">
        <v>43994</v>
      </c>
      <c r="AF94" s="19">
        <v>43997</v>
      </c>
      <c r="AG94" s="19" t="s">
        <v>164</v>
      </c>
      <c r="AH94" s="29">
        <v>1</v>
      </c>
      <c r="AI94" s="29">
        <v>1</v>
      </c>
      <c r="AJ94" s="29">
        <v>1</v>
      </c>
      <c r="AK94" s="19" t="s">
        <v>144</v>
      </c>
      <c r="AL94" s="15"/>
      <c r="AM94" s="15"/>
      <c r="AN94" s="15"/>
    </row>
    <row r="95" spans="2:40" hidden="1" x14ac:dyDescent="0.25">
      <c r="B95" s="114">
        <f t="shared" si="25"/>
        <v>36</v>
      </c>
      <c r="C95" s="16">
        <v>20200609</v>
      </c>
      <c r="D95" s="15" t="s">
        <v>3</v>
      </c>
      <c r="E95" s="15" t="s">
        <v>330</v>
      </c>
      <c r="F95" s="100" t="s">
        <v>390</v>
      </c>
      <c r="G95" s="17">
        <v>1493675</v>
      </c>
      <c r="H95" s="48" t="s">
        <v>58</v>
      </c>
      <c r="I95" s="16" t="s">
        <v>180</v>
      </c>
      <c r="J95" s="124" t="s">
        <v>58</v>
      </c>
      <c r="K95" s="53" t="s">
        <v>1070</v>
      </c>
      <c r="L95" s="16" t="s">
        <v>212</v>
      </c>
      <c r="M95" s="16" t="s">
        <v>353</v>
      </c>
      <c r="N95" s="16" t="s">
        <v>213</v>
      </c>
      <c r="O95" s="84" t="s">
        <v>58</v>
      </c>
      <c r="P95" s="84" t="s">
        <v>202</v>
      </c>
      <c r="Q95" s="125"/>
      <c r="R95" s="124" t="s">
        <v>58</v>
      </c>
      <c r="S95" s="16" t="s">
        <v>64</v>
      </c>
      <c r="T95" s="16"/>
      <c r="U95" s="16"/>
      <c r="V95" s="16">
        <v>276</v>
      </c>
      <c r="W95" s="16">
        <f t="shared" ref="W95:X98" si="33">V95</f>
        <v>276</v>
      </c>
      <c r="X95" s="16">
        <f t="shared" si="33"/>
        <v>276</v>
      </c>
      <c r="Y95" s="16">
        <f>ROUNDDOWN(W95/HLOOKUP(D95,Table!$C$3:$D$4,2,0)*8,2)</f>
        <v>4.9000000000000004</v>
      </c>
      <c r="Z95" s="16">
        <f>Y95</f>
        <v>4.9000000000000004</v>
      </c>
      <c r="AA95" s="15" t="s">
        <v>70</v>
      </c>
      <c r="AB95" s="85">
        <v>44004</v>
      </c>
      <c r="AC95" s="85">
        <v>43991</v>
      </c>
      <c r="AD95" s="85">
        <v>44004</v>
      </c>
      <c r="AE95" s="19">
        <v>43998</v>
      </c>
      <c r="AF95" s="19">
        <v>43998</v>
      </c>
      <c r="AG95" s="19" t="s">
        <v>165</v>
      </c>
      <c r="AH95" s="29">
        <v>1</v>
      </c>
      <c r="AI95" s="29">
        <v>1</v>
      </c>
      <c r="AJ95" s="29">
        <v>0.87</v>
      </c>
      <c r="AK95" s="19" t="s">
        <v>134</v>
      </c>
      <c r="AL95" s="17"/>
      <c r="AM95" s="15"/>
      <c r="AN95" s="79" t="s">
        <v>602</v>
      </c>
    </row>
    <row r="96" spans="2:40" hidden="1" x14ac:dyDescent="0.25">
      <c r="B96" s="114">
        <f t="shared" si="25"/>
        <v>37</v>
      </c>
      <c r="C96" s="16">
        <v>20200609</v>
      </c>
      <c r="D96" s="15" t="s">
        <v>3</v>
      </c>
      <c r="E96" s="15" t="s">
        <v>330</v>
      </c>
      <c r="F96" s="139" t="s">
        <v>908</v>
      </c>
      <c r="G96" s="17">
        <v>1493675</v>
      </c>
      <c r="H96" s="48"/>
      <c r="I96" s="15" t="s">
        <v>909</v>
      </c>
      <c r="J96" s="124" t="s">
        <v>58</v>
      </c>
      <c r="K96" s="53" t="s">
        <v>1070</v>
      </c>
      <c r="L96" s="16" t="s">
        <v>212</v>
      </c>
      <c r="M96" s="16" t="s">
        <v>353</v>
      </c>
      <c r="N96" s="16" t="s">
        <v>213</v>
      </c>
      <c r="O96" s="84" t="s">
        <v>58</v>
      </c>
      <c r="P96" s="84" t="s">
        <v>202</v>
      </c>
      <c r="Q96" s="125"/>
      <c r="R96" s="124" t="s">
        <v>58</v>
      </c>
      <c r="S96" s="16" t="s">
        <v>64</v>
      </c>
      <c r="T96" s="16"/>
      <c r="U96" s="16"/>
      <c r="V96" s="16">
        <v>150</v>
      </c>
      <c r="W96" s="16">
        <f>V96</f>
        <v>150</v>
      </c>
      <c r="X96" s="16">
        <f>W96</f>
        <v>150</v>
      </c>
      <c r="Y96" s="16">
        <f>ROUNDDOWN(W96/HLOOKUP(D96,Table!$C$3:$D$4,2,0)*8,2)</f>
        <v>2.66</v>
      </c>
      <c r="Z96" s="16">
        <v>3</v>
      </c>
      <c r="AA96" s="15" t="s">
        <v>70</v>
      </c>
      <c r="AB96" s="85">
        <v>44004</v>
      </c>
      <c r="AC96" s="85">
        <v>43991</v>
      </c>
      <c r="AD96" s="85">
        <v>44004</v>
      </c>
      <c r="AE96" s="19">
        <v>44004</v>
      </c>
      <c r="AF96" s="19">
        <v>44004</v>
      </c>
      <c r="AG96" s="19" t="s">
        <v>164</v>
      </c>
      <c r="AH96" s="29">
        <v>1</v>
      </c>
      <c r="AI96" s="29">
        <v>1</v>
      </c>
      <c r="AJ96" s="29">
        <v>1</v>
      </c>
      <c r="AK96" s="19" t="s">
        <v>144</v>
      </c>
      <c r="AL96" s="17"/>
      <c r="AM96" s="15"/>
      <c r="AN96" s="79" t="s">
        <v>363</v>
      </c>
    </row>
    <row r="97" spans="2:40" hidden="1" x14ac:dyDescent="0.25">
      <c r="B97" s="114">
        <f t="shared" si="25"/>
        <v>38</v>
      </c>
      <c r="C97" s="16">
        <v>20200609</v>
      </c>
      <c r="D97" s="15" t="s">
        <v>3</v>
      </c>
      <c r="E97" s="15" t="s">
        <v>330</v>
      </c>
      <c r="F97" s="100" t="s">
        <v>391</v>
      </c>
      <c r="G97" s="17">
        <v>1465460</v>
      </c>
      <c r="H97" s="48" t="s">
        <v>58</v>
      </c>
      <c r="I97" s="16" t="s">
        <v>349</v>
      </c>
      <c r="J97" s="124" t="s">
        <v>58</v>
      </c>
      <c r="K97" s="53" t="s">
        <v>1070</v>
      </c>
      <c r="L97" s="16" t="s">
        <v>212</v>
      </c>
      <c r="M97" s="16" t="s">
        <v>353</v>
      </c>
      <c r="N97" s="16" t="s">
        <v>213</v>
      </c>
      <c r="O97" s="84" t="s">
        <v>58</v>
      </c>
      <c r="P97" s="84" t="s">
        <v>202</v>
      </c>
      <c r="Q97" s="125"/>
      <c r="R97" s="124" t="s">
        <v>58</v>
      </c>
      <c r="S97" s="16" t="s">
        <v>64</v>
      </c>
      <c r="T97" s="16"/>
      <c r="U97" s="16"/>
      <c r="V97" s="16">
        <v>79</v>
      </c>
      <c r="W97" s="16">
        <f t="shared" si="33"/>
        <v>79</v>
      </c>
      <c r="X97" s="16">
        <f t="shared" si="33"/>
        <v>79</v>
      </c>
      <c r="Y97" s="16">
        <f>ROUNDDOWN(W97/HLOOKUP(D97,Table!$C$3:$D$4,2,0)*8,2)</f>
        <v>1.4</v>
      </c>
      <c r="Z97" s="16">
        <f>Y97</f>
        <v>1.4</v>
      </c>
      <c r="AA97" s="15" t="s">
        <v>70</v>
      </c>
      <c r="AB97" s="85">
        <v>44004</v>
      </c>
      <c r="AC97" s="85">
        <v>43991</v>
      </c>
      <c r="AD97" s="85">
        <v>44004</v>
      </c>
      <c r="AE97" s="19">
        <v>43998</v>
      </c>
      <c r="AF97" s="19">
        <v>43998</v>
      </c>
      <c r="AG97" s="19" t="s">
        <v>164</v>
      </c>
      <c r="AH97" s="29">
        <v>1</v>
      </c>
      <c r="AI97" s="29">
        <v>1</v>
      </c>
      <c r="AJ97" s="29">
        <v>1</v>
      </c>
      <c r="AK97" s="19" t="s">
        <v>144</v>
      </c>
      <c r="AL97" s="15"/>
      <c r="AM97" s="15"/>
      <c r="AN97" s="79" t="s">
        <v>363</v>
      </c>
    </row>
    <row r="98" spans="2:40" hidden="1" x14ac:dyDescent="0.25">
      <c r="B98" s="114">
        <f t="shared" si="25"/>
        <v>39</v>
      </c>
      <c r="C98" s="16">
        <v>20200609</v>
      </c>
      <c r="D98" s="15" t="s">
        <v>3</v>
      </c>
      <c r="E98" s="15" t="s">
        <v>330</v>
      </c>
      <c r="F98" s="100" t="s">
        <v>392</v>
      </c>
      <c r="G98" s="17">
        <v>1465460</v>
      </c>
      <c r="H98" s="48" t="s">
        <v>58</v>
      </c>
      <c r="I98" s="16" t="s">
        <v>350</v>
      </c>
      <c r="J98" s="124" t="s">
        <v>58</v>
      </c>
      <c r="K98" s="53" t="s">
        <v>1070</v>
      </c>
      <c r="L98" s="16" t="s">
        <v>212</v>
      </c>
      <c r="M98" s="16" t="s">
        <v>353</v>
      </c>
      <c r="N98" s="16" t="s">
        <v>213</v>
      </c>
      <c r="O98" s="84" t="s">
        <v>58</v>
      </c>
      <c r="P98" s="84" t="s">
        <v>202</v>
      </c>
      <c r="Q98" s="125"/>
      <c r="R98" s="124" t="s">
        <v>58</v>
      </c>
      <c r="S98" s="16" t="s">
        <v>64</v>
      </c>
      <c r="T98" s="16"/>
      <c r="U98" s="16"/>
      <c r="V98" s="16">
        <v>54</v>
      </c>
      <c r="W98" s="16">
        <f t="shared" si="33"/>
        <v>54</v>
      </c>
      <c r="X98" s="16">
        <f t="shared" si="33"/>
        <v>54</v>
      </c>
      <c r="Y98" s="16">
        <f>ROUNDDOWN(W98/HLOOKUP(D98,Table!$C$3:$D$4,2,0)*8,2)</f>
        <v>0.96</v>
      </c>
      <c r="Z98" s="16">
        <f>Y98</f>
        <v>0.96</v>
      </c>
      <c r="AA98" s="15" t="s">
        <v>70</v>
      </c>
      <c r="AB98" s="85">
        <v>44004</v>
      </c>
      <c r="AC98" s="85">
        <v>43991</v>
      </c>
      <c r="AD98" s="85">
        <v>44004</v>
      </c>
      <c r="AE98" s="19">
        <v>43998</v>
      </c>
      <c r="AF98" s="19">
        <v>43998</v>
      </c>
      <c r="AG98" s="19" t="s">
        <v>164</v>
      </c>
      <c r="AH98" s="29">
        <v>1</v>
      </c>
      <c r="AI98" s="29">
        <v>1</v>
      </c>
      <c r="AJ98" s="29">
        <v>1</v>
      </c>
      <c r="AK98" s="19" t="s">
        <v>144</v>
      </c>
      <c r="AL98" s="15"/>
      <c r="AM98" s="15"/>
      <c r="AN98" s="79" t="s">
        <v>363</v>
      </c>
    </row>
    <row r="99" spans="2:40" hidden="1" x14ac:dyDescent="0.25">
      <c r="B99" s="114">
        <f t="shared" si="25"/>
        <v>40</v>
      </c>
      <c r="C99" s="16">
        <v>20200609</v>
      </c>
      <c r="D99" s="15" t="s">
        <v>3</v>
      </c>
      <c r="E99" s="15" t="s">
        <v>331</v>
      </c>
      <c r="F99" s="100" t="s">
        <v>395</v>
      </c>
      <c r="G99" s="17">
        <v>1513557</v>
      </c>
      <c r="H99" s="48" t="s">
        <v>58</v>
      </c>
      <c r="I99" s="15" t="s">
        <v>335</v>
      </c>
      <c r="J99" s="48" t="s">
        <v>58</v>
      </c>
      <c r="K99" s="53" t="s">
        <v>1070</v>
      </c>
      <c r="L99" s="75" t="s">
        <v>355</v>
      </c>
      <c r="M99" s="15" t="s">
        <v>289</v>
      </c>
      <c r="N99" s="15" t="s">
        <v>359</v>
      </c>
      <c r="O99" s="17" t="s">
        <v>58</v>
      </c>
      <c r="P99" s="17" t="s">
        <v>366</v>
      </c>
      <c r="Q99" s="18"/>
      <c r="R99" s="48" t="s">
        <v>58</v>
      </c>
      <c r="S99" s="15" t="s">
        <v>65</v>
      </c>
      <c r="T99" s="15"/>
      <c r="U99" s="15"/>
      <c r="V99" s="15">
        <v>360</v>
      </c>
      <c r="W99" s="15">
        <f t="shared" si="32"/>
        <v>360</v>
      </c>
      <c r="X99" s="15">
        <f t="shared" si="32"/>
        <v>360</v>
      </c>
      <c r="Y99" s="15">
        <f>ROUNDDOWN(W99/HLOOKUP(D99,Table!$C$3:$D$4,2,0)*8,2)</f>
        <v>6.4</v>
      </c>
      <c r="Z99" s="15">
        <v>6</v>
      </c>
      <c r="AA99" s="15" t="s">
        <v>70</v>
      </c>
      <c r="AB99" s="19">
        <v>44004</v>
      </c>
      <c r="AC99" s="19">
        <v>43991</v>
      </c>
      <c r="AD99" s="85">
        <v>44004</v>
      </c>
      <c r="AE99" s="19">
        <v>43998</v>
      </c>
      <c r="AF99" s="19">
        <v>43998</v>
      </c>
      <c r="AG99" s="19" t="s">
        <v>165</v>
      </c>
      <c r="AH99" s="29">
        <v>1</v>
      </c>
      <c r="AI99" s="29">
        <v>1</v>
      </c>
      <c r="AJ99" s="29">
        <v>0.73</v>
      </c>
      <c r="AK99" s="19" t="s">
        <v>134</v>
      </c>
      <c r="AL99" s="15" t="s">
        <v>604</v>
      </c>
      <c r="AM99" s="15"/>
      <c r="AN99" s="79" t="s">
        <v>1737</v>
      </c>
    </row>
    <row r="100" spans="2:40" hidden="1" x14ac:dyDescent="0.25">
      <c r="B100" s="114">
        <f t="shared" si="25"/>
        <v>41</v>
      </c>
      <c r="C100" s="16">
        <v>20200609</v>
      </c>
      <c r="D100" s="15" t="s">
        <v>3</v>
      </c>
      <c r="E100" s="15" t="s">
        <v>331</v>
      </c>
      <c r="F100" s="100" t="s">
        <v>393</v>
      </c>
      <c r="G100" s="17">
        <v>1513557</v>
      </c>
      <c r="H100" s="48" t="s">
        <v>58</v>
      </c>
      <c r="I100" s="15" t="s">
        <v>299</v>
      </c>
      <c r="J100" s="48" t="s">
        <v>58</v>
      </c>
      <c r="K100" s="53" t="s">
        <v>1070</v>
      </c>
      <c r="L100" s="75" t="s">
        <v>355</v>
      </c>
      <c r="M100" s="15" t="s">
        <v>289</v>
      </c>
      <c r="N100" s="15" t="s">
        <v>359</v>
      </c>
      <c r="O100" s="17" t="s">
        <v>58</v>
      </c>
      <c r="P100" s="17" t="s">
        <v>366</v>
      </c>
      <c r="Q100" s="18"/>
      <c r="R100" s="48" t="s">
        <v>58</v>
      </c>
      <c r="S100" s="15" t="s">
        <v>65</v>
      </c>
      <c r="T100" s="15"/>
      <c r="U100" s="15"/>
      <c r="V100" s="15">
        <v>422</v>
      </c>
      <c r="W100" s="79">
        <f>V100+20</f>
        <v>442</v>
      </c>
      <c r="X100" s="15">
        <f>W100</f>
        <v>442</v>
      </c>
      <c r="Y100" s="15">
        <f>ROUNDDOWN(W100/HLOOKUP(D100,Table!$C$3:$D$4,2,0)*8,2)</f>
        <v>7.85</v>
      </c>
      <c r="Z100" s="15">
        <v>7</v>
      </c>
      <c r="AA100" s="15" t="s">
        <v>70</v>
      </c>
      <c r="AB100" s="19">
        <v>44004</v>
      </c>
      <c r="AC100" s="19">
        <v>43991</v>
      </c>
      <c r="AD100" s="85">
        <v>44004</v>
      </c>
      <c r="AE100" s="19">
        <v>43998</v>
      </c>
      <c r="AF100" s="19">
        <v>43998</v>
      </c>
      <c r="AG100" s="19" t="s">
        <v>164</v>
      </c>
      <c r="AH100" s="29">
        <v>1</v>
      </c>
      <c r="AI100" s="29">
        <v>1</v>
      </c>
      <c r="AJ100" s="29">
        <v>1</v>
      </c>
      <c r="AK100" s="19" t="s">
        <v>144</v>
      </c>
      <c r="AL100" s="15"/>
      <c r="AM100" s="15"/>
      <c r="AN100" s="79" t="s">
        <v>363</v>
      </c>
    </row>
    <row r="101" spans="2:40" hidden="1" x14ac:dyDescent="0.25">
      <c r="B101" s="114">
        <f t="shared" si="25"/>
        <v>42</v>
      </c>
      <c r="C101" s="16">
        <v>20200609</v>
      </c>
      <c r="D101" s="15" t="s">
        <v>3</v>
      </c>
      <c r="E101" s="15" t="s">
        <v>331</v>
      </c>
      <c r="F101" s="100" t="s">
        <v>394</v>
      </c>
      <c r="G101" s="17">
        <v>1513557</v>
      </c>
      <c r="H101" s="48" t="s">
        <v>58</v>
      </c>
      <c r="I101" s="15" t="s">
        <v>148</v>
      </c>
      <c r="J101" s="48" t="s">
        <v>58</v>
      </c>
      <c r="K101" s="53" t="s">
        <v>1070</v>
      </c>
      <c r="L101" s="75" t="s">
        <v>355</v>
      </c>
      <c r="M101" s="15" t="s">
        <v>289</v>
      </c>
      <c r="N101" s="15" t="s">
        <v>359</v>
      </c>
      <c r="O101" s="17" t="s">
        <v>58</v>
      </c>
      <c r="P101" s="17" t="s">
        <v>366</v>
      </c>
      <c r="Q101" s="18"/>
      <c r="R101" s="48" t="s">
        <v>58</v>
      </c>
      <c r="S101" s="15" t="s">
        <v>65</v>
      </c>
      <c r="T101" s="15"/>
      <c r="U101" s="15"/>
      <c r="V101" s="15">
        <v>58</v>
      </c>
      <c r="W101" s="79">
        <f>V101+50</f>
        <v>108</v>
      </c>
      <c r="X101" s="15">
        <f>W101</f>
        <v>108</v>
      </c>
      <c r="Y101" s="15">
        <f>ROUNDDOWN(W101/HLOOKUP(D101,Table!$C$3:$D$4,2,0)*8,2)</f>
        <v>1.92</v>
      </c>
      <c r="Z101" s="15">
        <v>2</v>
      </c>
      <c r="AA101" s="15" t="s">
        <v>70</v>
      </c>
      <c r="AB101" s="19">
        <v>44004</v>
      </c>
      <c r="AC101" s="19">
        <v>43991</v>
      </c>
      <c r="AD101" s="85">
        <v>44004</v>
      </c>
      <c r="AE101" s="19">
        <v>43998</v>
      </c>
      <c r="AF101" s="19">
        <v>43998</v>
      </c>
      <c r="AG101" s="19" t="s">
        <v>165</v>
      </c>
      <c r="AH101" s="29">
        <v>0.85</v>
      </c>
      <c r="AI101" s="29">
        <v>0.57999999999999996</v>
      </c>
      <c r="AJ101" s="29">
        <v>1</v>
      </c>
      <c r="AK101" s="19" t="s">
        <v>134</v>
      </c>
      <c r="AL101" s="15" t="s">
        <v>605</v>
      </c>
      <c r="AM101" s="15"/>
      <c r="AN101" s="79" t="s">
        <v>1737</v>
      </c>
    </row>
    <row r="102" spans="2:40" hidden="1" x14ac:dyDescent="0.25">
      <c r="B102" s="114">
        <f t="shared" si="25"/>
        <v>43</v>
      </c>
      <c r="C102" s="16">
        <v>20200609</v>
      </c>
      <c r="D102" s="15" t="s">
        <v>3</v>
      </c>
      <c r="E102" s="15" t="s">
        <v>331</v>
      </c>
      <c r="F102" s="100" t="s">
        <v>396</v>
      </c>
      <c r="G102" s="17">
        <v>1513557</v>
      </c>
      <c r="H102" s="48" t="s">
        <v>58</v>
      </c>
      <c r="I102" s="15" t="s">
        <v>351</v>
      </c>
      <c r="J102" s="48" t="s">
        <v>58</v>
      </c>
      <c r="K102" s="53" t="s">
        <v>1069</v>
      </c>
      <c r="L102" s="75" t="s">
        <v>355</v>
      </c>
      <c r="M102" s="15" t="s">
        <v>289</v>
      </c>
      <c r="N102" s="15" t="s">
        <v>359</v>
      </c>
      <c r="O102" s="17" t="s">
        <v>58</v>
      </c>
      <c r="P102" s="17" t="s">
        <v>366</v>
      </c>
      <c r="Q102" s="18"/>
      <c r="R102" s="48" t="s">
        <v>58</v>
      </c>
      <c r="S102" s="15" t="s">
        <v>137</v>
      </c>
      <c r="T102" s="15"/>
      <c r="U102" s="15"/>
      <c r="V102" s="15">
        <v>745</v>
      </c>
      <c r="W102" s="15">
        <f t="shared" si="32"/>
        <v>745</v>
      </c>
      <c r="X102" s="15">
        <f t="shared" si="32"/>
        <v>745</v>
      </c>
      <c r="Y102" s="15">
        <f>ROUNDDOWN(W102/HLOOKUP(D102,Table!$C$3:$D$4,2,0)*8,2)</f>
        <v>13.24</v>
      </c>
      <c r="Z102" s="15">
        <v>4</v>
      </c>
      <c r="AA102" s="15" t="s">
        <v>70</v>
      </c>
      <c r="AB102" s="19">
        <v>44004</v>
      </c>
      <c r="AC102" s="19">
        <v>43991</v>
      </c>
      <c r="AD102" s="85">
        <v>44004</v>
      </c>
      <c r="AE102" s="19">
        <v>43997</v>
      </c>
      <c r="AF102" s="19">
        <v>43997</v>
      </c>
      <c r="AG102" s="19" t="s">
        <v>164</v>
      </c>
      <c r="AH102" s="29">
        <v>1</v>
      </c>
      <c r="AI102" s="29">
        <v>1</v>
      </c>
      <c r="AJ102" s="29">
        <v>1</v>
      </c>
      <c r="AK102" s="19" t="s">
        <v>144</v>
      </c>
      <c r="AL102" s="17" t="s">
        <v>58</v>
      </c>
      <c r="AM102" s="17" t="s">
        <v>58</v>
      </c>
      <c r="AN102" s="79" t="s">
        <v>363</v>
      </c>
    </row>
    <row r="103" spans="2:40" hidden="1" x14ac:dyDescent="0.25">
      <c r="B103" s="114">
        <f t="shared" si="25"/>
        <v>44</v>
      </c>
      <c r="C103" s="16">
        <v>20200609</v>
      </c>
      <c r="D103" s="15" t="s">
        <v>3</v>
      </c>
      <c r="E103" s="15" t="s">
        <v>331</v>
      </c>
      <c r="F103" s="100" t="s">
        <v>397</v>
      </c>
      <c r="G103" s="17">
        <v>1513557</v>
      </c>
      <c r="H103" s="48" t="s">
        <v>58</v>
      </c>
      <c r="I103" s="15" t="s">
        <v>342</v>
      </c>
      <c r="J103" s="48" t="s">
        <v>58</v>
      </c>
      <c r="K103" s="53" t="s">
        <v>1069</v>
      </c>
      <c r="L103" s="75" t="s">
        <v>355</v>
      </c>
      <c r="M103" s="15" t="s">
        <v>289</v>
      </c>
      <c r="N103" s="15" t="s">
        <v>359</v>
      </c>
      <c r="O103" s="17" t="s">
        <v>58</v>
      </c>
      <c r="P103" s="17" t="s">
        <v>366</v>
      </c>
      <c r="Q103" s="18"/>
      <c r="R103" s="48" t="s">
        <v>58</v>
      </c>
      <c r="S103" s="15" t="s">
        <v>137</v>
      </c>
      <c r="T103" s="15"/>
      <c r="U103" s="15"/>
      <c r="V103" s="15">
        <v>270</v>
      </c>
      <c r="W103" s="15">
        <f t="shared" si="32"/>
        <v>270</v>
      </c>
      <c r="X103" s="15">
        <f t="shared" si="32"/>
        <v>270</v>
      </c>
      <c r="Y103" s="15">
        <f>ROUNDDOWN(W103/HLOOKUP(D103,Table!$C$3:$D$4,2,0)*8,2)</f>
        <v>4.8</v>
      </c>
      <c r="Z103" s="15">
        <v>2</v>
      </c>
      <c r="AA103" s="15" t="s">
        <v>70</v>
      </c>
      <c r="AB103" s="19">
        <v>44004</v>
      </c>
      <c r="AC103" s="19">
        <v>43991</v>
      </c>
      <c r="AD103" s="85">
        <v>44004</v>
      </c>
      <c r="AE103" s="19">
        <v>43997</v>
      </c>
      <c r="AF103" s="19">
        <v>43997</v>
      </c>
      <c r="AG103" s="19" t="s">
        <v>164</v>
      </c>
      <c r="AH103" s="29">
        <v>1</v>
      </c>
      <c r="AI103" s="29">
        <v>1</v>
      </c>
      <c r="AJ103" s="29">
        <v>1</v>
      </c>
      <c r="AK103" s="19" t="s">
        <v>144</v>
      </c>
      <c r="AL103" s="17" t="s">
        <v>58</v>
      </c>
      <c r="AM103" s="17" t="s">
        <v>58</v>
      </c>
      <c r="AN103" s="79" t="s">
        <v>363</v>
      </c>
    </row>
    <row r="104" spans="2:40" hidden="1" x14ac:dyDescent="0.25">
      <c r="B104" s="114">
        <f t="shared" si="25"/>
        <v>45</v>
      </c>
      <c r="C104" s="16">
        <v>20200609</v>
      </c>
      <c r="D104" s="15" t="s">
        <v>3</v>
      </c>
      <c r="E104" s="15" t="s">
        <v>331</v>
      </c>
      <c r="F104" s="104" t="s">
        <v>498</v>
      </c>
      <c r="G104" s="17">
        <v>1513553</v>
      </c>
      <c r="H104" s="48" t="s">
        <v>58</v>
      </c>
      <c r="I104" s="15" t="s">
        <v>180</v>
      </c>
      <c r="J104" s="48" t="s">
        <v>58</v>
      </c>
      <c r="K104" s="53" t="s">
        <v>1069</v>
      </c>
      <c r="L104" s="75" t="s">
        <v>355</v>
      </c>
      <c r="M104" s="15" t="s">
        <v>289</v>
      </c>
      <c r="N104" s="15" t="s">
        <v>359</v>
      </c>
      <c r="O104" s="17" t="s">
        <v>58</v>
      </c>
      <c r="P104" s="17" t="s">
        <v>366</v>
      </c>
      <c r="Q104" s="18"/>
      <c r="R104" s="48" t="s">
        <v>58</v>
      </c>
      <c r="S104" s="15" t="s">
        <v>137</v>
      </c>
      <c r="T104" s="15"/>
      <c r="U104" s="15"/>
      <c r="V104" s="15">
        <v>276</v>
      </c>
      <c r="W104" s="15">
        <f t="shared" si="32"/>
        <v>276</v>
      </c>
      <c r="X104" s="15">
        <f t="shared" si="32"/>
        <v>276</v>
      </c>
      <c r="Y104" s="15">
        <f>ROUNDDOWN(W104/HLOOKUP(D104,Table!$C$3:$D$4,2,0)*8,2)</f>
        <v>4.9000000000000004</v>
      </c>
      <c r="Z104" s="15">
        <v>2</v>
      </c>
      <c r="AA104" s="15" t="s">
        <v>70</v>
      </c>
      <c r="AB104" s="19">
        <v>44004</v>
      </c>
      <c r="AC104" s="19">
        <v>43991</v>
      </c>
      <c r="AD104" s="85">
        <v>44004</v>
      </c>
      <c r="AE104" s="80">
        <v>43997</v>
      </c>
      <c r="AF104" s="19">
        <v>43997</v>
      </c>
      <c r="AG104" s="19" t="s">
        <v>165</v>
      </c>
      <c r="AH104" s="29">
        <v>1</v>
      </c>
      <c r="AI104" s="29">
        <v>1</v>
      </c>
      <c r="AJ104" s="29">
        <v>0.93</v>
      </c>
      <c r="AK104" s="19" t="s">
        <v>134</v>
      </c>
      <c r="AL104" s="121" t="s">
        <v>482</v>
      </c>
      <c r="AM104" s="15"/>
      <c r="AN104" s="79" t="s">
        <v>483</v>
      </c>
    </row>
    <row r="105" spans="2:40" hidden="1" x14ac:dyDescent="0.25">
      <c r="B105" s="114">
        <f t="shared" si="25"/>
        <v>46</v>
      </c>
      <c r="C105" s="16">
        <v>20200609</v>
      </c>
      <c r="D105" s="15" t="s">
        <v>3</v>
      </c>
      <c r="E105" s="15" t="s">
        <v>332</v>
      </c>
      <c r="F105" s="100" t="s">
        <v>398</v>
      </c>
      <c r="G105" s="17">
        <v>1502025</v>
      </c>
      <c r="H105" s="48" t="s">
        <v>58</v>
      </c>
      <c r="I105" s="15" t="s">
        <v>183</v>
      </c>
      <c r="J105" s="48" t="s">
        <v>58</v>
      </c>
      <c r="K105" s="15" t="s">
        <v>1068</v>
      </c>
      <c r="L105" s="75" t="s">
        <v>356</v>
      </c>
      <c r="M105" s="15" t="s">
        <v>323</v>
      </c>
      <c r="N105" s="15" t="s">
        <v>185</v>
      </c>
      <c r="O105" s="17" t="s">
        <v>58</v>
      </c>
      <c r="P105" s="17" t="s">
        <v>200</v>
      </c>
      <c r="Q105" s="18"/>
      <c r="R105" s="48" t="s">
        <v>58</v>
      </c>
      <c r="S105" s="15" t="s">
        <v>64</v>
      </c>
      <c r="T105" s="15"/>
      <c r="U105" s="15"/>
      <c r="V105" s="15">
        <v>162</v>
      </c>
      <c r="W105" s="15">
        <f t="shared" si="32"/>
        <v>162</v>
      </c>
      <c r="X105" s="16">
        <f>W105</f>
        <v>162</v>
      </c>
      <c r="Y105" s="15">
        <f>ROUNDDOWN(W105/HLOOKUP(D105,Table!$C$3:$D$4,2,0)*8,2)</f>
        <v>2.88</v>
      </c>
      <c r="Z105" s="15">
        <f>Y105</f>
        <v>2.88</v>
      </c>
      <c r="AA105" s="15" t="s">
        <v>70</v>
      </c>
      <c r="AB105" s="19">
        <v>44004</v>
      </c>
      <c r="AC105" s="19">
        <v>43991</v>
      </c>
      <c r="AD105" s="85">
        <v>44004</v>
      </c>
      <c r="AE105" s="19">
        <v>43997</v>
      </c>
      <c r="AF105" s="19">
        <v>43997</v>
      </c>
      <c r="AG105" s="19" t="s">
        <v>164</v>
      </c>
      <c r="AH105" s="29">
        <v>1</v>
      </c>
      <c r="AI105" s="29">
        <v>1</v>
      </c>
      <c r="AJ105" s="29">
        <v>1</v>
      </c>
      <c r="AK105" s="19" t="s">
        <v>144</v>
      </c>
      <c r="AL105" s="17"/>
      <c r="AM105" s="15"/>
      <c r="AN105" s="15"/>
    </row>
    <row r="106" spans="2:40" hidden="1" x14ac:dyDescent="0.25">
      <c r="B106" s="92">
        <f t="shared" si="25"/>
        <v>47</v>
      </c>
      <c r="C106" s="16">
        <v>20200611</v>
      </c>
      <c r="D106" s="15" t="s">
        <v>3</v>
      </c>
      <c r="E106" s="75" t="s">
        <v>402</v>
      </c>
      <c r="F106" s="100" t="s">
        <v>532</v>
      </c>
      <c r="G106" s="75">
        <v>1516895</v>
      </c>
      <c r="H106" s="48" t="s">
        <v>58</v>
      </c>
      <c r="I106" s="75" t="s">
        <v>404</v>
      </c>
      <c r="J106" s="48" t="s">
        <v>58</v>
      </c>
      <c r="K106" s="15" t="s">
        <v>1067</v>
      </c>
      <c r="L106" s="75" t="s">
        <v>450</v>
      </c>
      <c r="M106" s="75" t="s">
        <v>403</v>
      </c>
      <c r="N106" s="15" t="s">
        <v>451</v>
      </c>
      <c r="O106" s="17" t="s">
        <v>58</v>
      </c>
      <c r="P106" s="17" t="s">
        <v>452</v>
      </c>
      <c r="Q106" s="18"/>
      <c r="R106" s="48" t="s">
        <v>58</v>
      </c>
      <c r="S106" s="15" t="s">
        <v>233</v>
      </c>
      <c r="T106" s="15"/>
      <c r="U106" s="15"/>
      <c r="V106" s="75">
        <v>22</v>
      </c>
      <c r="W106" s="15">
        <f t="shared" ref="W106:X137" si="34">V106</f>
        <v>22</v>
      </c>
      <c r="X106" s="15">
        <f t="shared" si="34"/>
        <v>22</v>
      </c>
      <c r="Y106" s="15">
        <f>ROUNDDOWN(W106/HLOOKUP(D106,Table!$C$3:$D$4,2,0)*8,2)</f>
        <v>0.39</v>
      </c>
      <c r="Z106" s="15">
        <v>0.3</v>
      </c>
      <c r="AA106" s="15" t="s">
        <v>70</v>
      </c>
      <c r="AB106" s="19">
        <v>44008</v>
      </c>
      <c r="AC106" s="19">
        <v>43993</v>
      </c>
      <c r="AD106" s="19">
        <v>44008</v>
      </c>
      <c r="AE106" s="19">
        <v>43994</v>
      </c>
      <c r="AF106" s="19">
        <v>43994</v>
      </c>
      <c r="AG106" s="19" t="s">
        <v>164</v>
      </c>
      <c r="AH106" s="29">
        <v>1</v>
      </c>
      <c r="AI106" s="29">
        <v>1</v>
      </c>
      <c r="AJ106" s="29">
        <v>1</v>
      </c>
      <c r="AK106" s="19" t="s">
        <v>144</v>
      </c>
      <c r="AL106" s="17" t="s">
        <v>58</v>
      </c>
      <c r="AM106" s="17" t="s">
        <v>58</v>
      </c>
      <c r="AN106" s="17" t="s">
        <v>58</v>
      </c>
    </row>
    <row r="107" spans="2:40" hidden="1" x14ac:dyDescent="0.25">
      <c r="B107" s="92">
        <f t="shared" si="25"/>
        <v>48</v>
      </c>
      <c r="C107" s="16">
        <v>20200611</v>
      </c>
      <c r="D107" s="15" t="s">
        <v>3</v>
      </c>
      <c r="E107" s="75" t="s">
        <v>402</v>
      </c>
      <c r="F107" s="100" t="s">
        <v>533</v>
      </c>
      <c r="G107" s="75">
        <v>1516895</v>
      </c>
      <c r="H107" s="48" t="s">
        <v>58</v>
      </c>
      <c r="I107" s="75" t="s">
        <v>405</v>
      </c>
      <c r="J107" s="48" t="s">
        <v>58</v>
      </c>
      <c r="K107" s="15" t="s">
        <v>1067</v>
      </c>
      <c r="L107" s="15" t="s">
        <v>450</v>
      </c>
      <c r="M107" s="75" t="s">
        <v>403</v>
      </c>
      <c r="N107" s="15" t="s">
        <v>451</v>
      </c>
      <c r="O107" s="17" t="s">
        <v>58</v>
      </c>
      <c r="P107" s="17" t="s">
        <v>452</v>
      </c>
      <c r="Q107" s="18"/>
      <c r="R107" s="48" t="s">
        <v>58</v>
      </c>
      <c r="S107" s="15" t="s">
        <v>233</v>
      </c>
      <c r="T107" s="15"/>
      <c r="U107" s="15"/>
      <c r="V107" s="75">
        <v>24</v>
      </c>
      <c r="W107" s="15">
        <f t="shared" si="34"/>
        <v>24</v>
      </c>
      <c r="X107" s="15">
        <f t="shared" si="34"/>
        <v>24</v>
      </c>
      <c r="Y107" s="15">
        <f>ROUNDDOWN(W107/HLOOKUP(D107,Table!$C$3:$D$4,2,0)*8,2)</f>
        <v>0.42</v>
      </c>
      <c r="Z107" s="15">
        <v>0.3</v>
      </c>
      <c r="AA107" s="15" t="s">
        <v>70</v>
      </c>
      <c r="AB107" s="19">
        <v>44008</v>
      </c>
      <c r="AC107" s="19">
        <v>43993</v>
      </c>
      <c r="AD107" s="19">
        <v>44008</v>
      </c>
      <c r="AE107" s="19">
        <v>43997</v>
      </c>
      <c r="AF107" s="19">
        <v>43997</v>
      </c>
      <c r="AG107" s="19" t="s">
        <v>164</v>
      </c>
      <c r="AH107" s="29">
        <v>1</v>
      </c>
      <c r="AI107" s="29">
        <v>1</v>
      </c>
      <c r="AJ107" s="29">
        <v>1</v>
      </c>
      <c r="AK107" s="19" t="s">
        <v>144</v>
      </c>
      <c r="AL107" s="17" t="s">
        <v>58</v>
      </c>
      <c r="AM107" s="17" t="s">
        <v>58</v>
      </c>
      <c r="AN107" s="17" t="s">
        <v>58</v>
      </c>
    </row>
    <row r="108" spans="2:40" hidden="1" x14ac:dyDescent="0.25">
      <c r="B108" s="92">
        <f t="shared" si="25"/>
        <v>49</v>
      </c>
      <c r="C108" s="16">
        <v>20200611</v>
      </c>
      <c r="D108" s="15" t="s">
        <v>3</v>
      </c>
      <c r="E108" s="75" t="s">
        <v>402</v>
      </c>
      <c r="F108" s="100" t="s">
        <v>534</v>
      </c>
      <c r="G108" s="75">
        <v>1516895</v>
      </c>
      <c r="H108" s="48" t="s">
        <v>58</v>
      </c>
      <c r="I108" s="75" t="s">
        <v>406</v>
      </c>
      <c r="J108" s="48" t="s">
        <v>58</v>
      </c>
      <c r="K108" s="15" t="s">
        <v>1067</v>
      </c>
      <c r="L108" s="15" t="s">
        <v>450</v>
      </c>
      <c r="M108" s="75" t="s">
        <v>403</v>
      </c>
      <c r="N108" s="15" t="s">
        <v>451</v>
      </c>
      <c r="O108" s="17" t="s">
        <v>58</v>
      </c>
      <c r="P108" s="17" t="s">
        <v>452</v>
      </c>
      <c r="Q108" s="18"/>
      <c r="R108" s="48" t="s">
        <v>58</v>
      </c>
      <c r="S108" s="15" t="s">
        <v>233</v>
      </c>
      <c r="T108" s="15"/>
      <c r="U108" s="15"/>
      <c r="V108" s="75">
        <v>26</v>
      </c>
      <c r="W108" s="15">
        <f t="shared" si="34"/>
        <v>26</v>
      </c>
      <c r="X108" s="15">
        <f t="shared" si="34"/>
        <v>26</v>
      </c>
      <c r="Y108" s="15">
        <f>ROUNDDOWN(W108/HLOOKUP(D108,Table!$C$3:$D$4,2,0)*8,2)</f>
        <v>0.46</v>
      </c>
      <c r="Z108" s="15">
        <v>0.3</v>
      </c>
      <c r="AA108" s="15" t="s">
        <v>70</v>
      </c>
      <c r="AB108" s="19">
        <v>44008</v>
      </c>
      <c r="AC108" s="19">
        <v>43993</v>
      </c>
      <c r="AD108" s="19">
        <v>44008</v>
      </c>
      <c r="AE108" s="19">
        <v>43997</v>
      </c>
      <c r="AF108" s="19">
        <v>43997</v>
      </c>
      <c r="AG108" s="19" t="s">
        <v>164</v>
      </c>
      <c r="AH108" s="29">
        <v>1</v>
      </c>
      <c r="AI108" s="29">
        <v>1</v>
      </c>
      <c r="AJ108" s="29">
        <v>1</v>
      </c>
      <c r="AK108" s="19" t="s">
        <v>144</v>
      </c>
      <c r="AL108" s="17" t="s">
        <v>58</v>
      </c>
      <c r="AM108" s="17" t="s">
        <v>58</v>
      </c>
      <c r="AN108" s="17" t="s">
        <v>58</v>
      </c>
    </row>
    <row r="109" spans="2:40" hidden="1" x14ac:dyDescent="0.25">
      <c r="B109" s="92">
        <f t="shared" si="25"/>
        <v>50</v>
      </c>
      <c r="C109" s="16">
        <v>20200611</v>
      </c>
      <c r="D109" s="15" t="s">
        <v>3</v>
      </c>
      <c r="E109" s="75" t="s">
        <v>402</v>
      </c>
      <c r="F109" s="100" t="s">
        <v>535</v>
      </c>
      <c r="G109" s="75">
        <v>1516895</v>
      </c>
      <c r="H109" s="48" t="s">
        <v>58</v>
      </c>
      <c r="I109" s="75" t="s">
        <v>407</v>
      </c>
      <c r="J109" s="48" t="s">
        <v>58</v>
      </c>
      <c r="K109" s="15" t="s">
        <v>1067</v>
      </c>
      <c r="L109" s="15" t="s">
        <v>450</v>
      </c>
      <c r="M109" s="75" t="s">
        <v>403</v>
      </c>
      <c r="N109" s="15" t="s">
        <v>451</v>
      </c>
      <c r="O109" s="17" t="s">
        <v>58</v>
      </c>
      <c r="P109" s="17" t="s">
        <v>452</v>
      </c>
      <c r="Q109" s="18"/>
      <c r="R109" s="48" t="s">
        <v>58</v>
      </c>
      <c r="S109" s="15" t="s">
        <v>233</v>
      </c>
      <c r="T109" s="15"/>
      <c r="U109" s="15"/>
      <c r="V109" s="75">
        <v>30</v>
      </c>
      <c r="W109" s="15">
        <f t="shared" si="34"/>
        <v>30</v>
      </c>
      <c r="X109" s="15">
        <f t="shared" si="34"/>
        <v>30</v>
      </c>
      <c r="Y109" s="15">
        <f>ROUNDDOWN(W109/HLOOKUP(D109,Table!$C$3:$D$4,2,0)*8,2)</f>
        <v>0.53</v>
      </c>
      <c r="Z109" s="15">
        <v>0.3</v>
      </c>
      <c r="AA109" s="15" t="s">
        <v>70</v>
      </c>
      <c r="AB109" s="19">
        <v>44008</v>
      </c>
      <c r="AC109" s="19">
        <v>43993</v>
      </c>
      <c r="AD109" s="19">
        <v>44008</v>
      </c>
      <c r="AE109" s="19">
        <v>43998</v>
      </c>
      <c r="AF109" s="19">
        <v>43998</v>
      </c>
      <c r="AG109" s="19" t="s">
        <v>164</v>
      </c>
      <c r="AH109" s="29">
        <v>1</v>
      </c>
      <c r="AI109" s="29">
        <v>1</v>
      </c>
      <c r="AJ109" s="29">
        <v>1</v>
      </c>
      <c r="AK109" s="19" t="s">
        <v>144</v>
      </c>
      <c r="AL109" s="17" t="s">
        <v>58</v>
      </c>
      <c r="AM109" s="17" t="s">
        <v>58</v>
      </c>
      <c r="AN109" s="17" t="s">
        <v>58</v>
      </c>
    </row>
    <row r="110" spans="2:40" hidden="1" x14ac:dyDescent="0.25">
      <c r="B110" s="92">
        <f t="shared" si="25"/>
        <v>51</v>
      </c>
      <c r="C110" s="16">
        <v>20200611</v>
      </c>
      <c r="D110" s="15" t="s">
        <v>3</v>
      </c>
      <c r="E110" s="75" t="s">
        <v>402</v>
      </c>
      <c r="F110" s="100" t="s">
        <v>536</v>
      </c>
      <c r="G110" s="75">
        <v>1516895</v>
      </c>
      <c r="H110" s="48" t="s">
        <v>58</v>
      </c>
      <c r="I110" s="75" t="s">
        <v>408</v>
      </c>
      <c r="J110" s="48" t="s">
        <v>58</v>
      </c>
      <c r="K110" s="15" t="s">
        <v>1067</v>
      </c>
      <c r="L110" s="15" t="s">
        <v>450</v>
      </c>
      <c r="M110" s="75" t="s">
        <v>403</v>
      </c>
      <c r="N110" s="15" t="s">
        <v>451</v>
      </c>
      <c r="O110" s="17" t="s">
        <v>58</v>
      </c>
      <c r="P110" s="17" t="s">
        <v>452</v>
      </c>
      <c r="Q110" s="18"/>
      <c r="R110" s="48" t="s">
        <v>58</v>
      </c>
      <c r="S110" s="15" t="s">
        <v>233</v>
      </c>
      <c r="T110" s="15"/>
      <c r="U110" s="15"/>
      <c r="V110" s="75">
        <v>19</v>
      </c>
      <c r="W110" s="15">
        <f t="shared" si="34"/>
        <v>19</v>
      </c>
      <c r="X110" s="15">
        <f t="shared" si="34"/>
        <v>19</v>
      </c>
      <c r="Y110" s="15">
        <f>ROUNDDOWN(W110/HLOOKUP(D110,Table!$C$3:$D$4,2,0)*8,2)</f>
        <v>0.33</v>
      </c>
      <c r="Z110" s="15">
        <v>0.2</v>
      </c>
      <c r="AA110" s="15" t="s">
        <v>70</v>
      </c>
      <c r="AB110" s="19">
        <v>44008</v>
      </c>
      <c r="AC110" s="19">
        <v>43993</v>
      </c>
      <c r="AD110" s="19">
        <v>44008</v>
      </c>
      <c r="AE110" s="19">
        <v>43997</v>
      </c>
      <c r="AF110" s="19">
        <v>43997</v>
      </c>
      <c r="AG110" s="19" t="s">
        <v>164</v>
      </c>
      <c r="AH110" s="29">
        <v>1</v>
      </c>
      <c r="AI110" s="29">
        <v>1</v>
      </c>
      <c r="AJ110" s="29">
        <v>1</v>
      </c>
      <c r="AK110" s="19" t="s">
        <v>144</v>
      </c>
      <c r="AL110" s="17" t="s">
        <v>58</v>
      </c>
      <c r="AM110" s="17" t="s">
        <v>58</v>
      </c>
      <c r="AN110" s="17" t="s">
        <v>58</v>
      </c>
    </row>
    <row r="111" spans="2:40" hidden="1" x14ac:dyDescent="0.25">
      <c r="B111" s="92">
        <f t="shared" si="25"/>
        <v>52</v>
      </c>
      <c r="C111" s="16">
        <v>20200611</v>
      </c>
      <c r="D111" s="15" t="s">
        <v>3</v>
      </c>
      <c r="E111" s="75" t="s">
        <v>402</v>
      </c>
      <c r="F111" s="100" t="s">
        <v>523</v>
      </c>
      <c r="G111" s="75">
        <v>1516895</v>
      </c>
      <c r="H111" s="48" t="s">
        <v>58</v>
      </c>
      <c r="I111" s="75" t="s">
        <v>409</v>
      </c>
      <c r="J111" s="48" t="s">
        <v>58</v>
      </c>
      <c r="K111" s="15" t="s">
        <v>1067</v>
      </c>
      <c r="L111" s="15" t="s">
        <v>450</v>
      </c>
      <c r="M111" s="75" t="s">
        <v>403</v>
      </c>
      <c r="N111" s="15" t="s">
        <v>451</v>
      </c>
      <c r="O111" s="17" t="s">
        <v>58</v>
      </c>
      <c r="P111" s="17" t="s">
        <v>452</v>
      </c>
      <c r="Q111" s="18"/>
      <c r="R111" s="48" t="s">
        <v>58</v>
      </c>
      <c r="S111" s="15" t="s">
        <v>233</v>
      </c>
      <c r="T111" s="15"/>
      <c r="U111" s="15"/>
      <c r="V111" s="75">
        <v>304</v>
      </c>
      <c r="W111" s="15">
        <f t="shared" si="34"/>
        <v>304</v>
      </c>
      <c r="X111" s="15">
        <f t="shared" si="34"/>
        <v>304</v>
      </c>
      <c r="Y111" s="15">
        <f>ROUNDDOWN(W111/HLOOKUP(D111,Table!$C$3:$D$4,2,0)*8,2)</f>
        <v>5.4</v>
      </c>
      <c r="Z111" s="15">
        <v>1.5</v>
      </c>
      <c r="AA111" s="15" t="s">
        <v>70</v>
      </c>
      <c r="AB111" s="19">
        <v>44008</v>
      </c>
      <c r="AC111" s="19">
        <v>43993</v>
      </c>
      <c r="AD111" s="19">
        <v>44008</v>
      </c>
      <c r="AE111" s="19">
        <v>43998</v>
      </c>
      <c r="AF111" s="19">
        <v>43998</v>
      </c>
      <c r="AG111" s="19" t="s">
        <v>164</v>
      </c>
      <c r="AH111" s="29">
        <v>1</v>
      </c>
      <c r="AI111" s="29">
        <v>1</v>
      </c>
      <c r="AJ111" s="29">
        <v>1</v>
      </c>
      <c r="AK111" s="19" t="s">
        <v>144</v>
      </c>
      <c r="AL111" s="17" t="s">
        <v>58</v>
      </c>
      <c r="AM111" s="17" t="s">
        <v>58</v>
      </c>
      <c r="AN111" s="17" t="s">
        <v>58</v>
      </c>
    </row>
    <row r="112" spans="2:40" hidden="1" x14ac:dyDescent="0.25">
      <c r="B112" s="92">
        <f t="shared" si="25"/>
        <v>53</v>
      </c>
      <c r="C112" s="16">
        <v>20200611</v>
      </c>
      <c r="D112" s="15" t="s">
        <v>3</v>
      </c>
      <c r="E112" s="75" t="s">
        <v>402</v>
      </c>
      <c r="F112" s="100" t="s">
        <v>524</v>
      </c>
      <c r="G112" s="75">
        <v>1516895</v>
      </c>
      <c r="H112" s="48" t="s">
        <v>58</v>
      </c>
      <c r="I112" s="75" t="s">
        <v>410</v>
      </c>
      <c r="J112" s="48" t="s">
        <v>58</v>
      </c>
      <c r="K112" s="15" t="s">
        <v>1067</v>
      </c>
      <c r="L112" s="15" t="s">
        <v>450</v>
      </c>
      <c r="M112" s="75" t="s">
        <v>403</v>
      </c>
      <c r="N112" s="15" t="s">
        <v>451</v>
      </c>
      <c r="O112" s="17" t="s">
        <v>58</v>
      </c>
      <c r="P112" s="17" t="s">
        <v>452</v>
      </c>
      <c r="Q112" s="18"/>
      <c r="R112" s="48" t="s">
        <v>58</v>
      </c>
      <c r="S112" s="15" t="s">
        <v>233</v>
      </c>
      <c r="T112" s="15"/>
      <c r="U112" s="15"/>
      <c r="V112" s="75">
        <v>192</v>
      </c>
      <c r="W112" s="15">
        <f t="shared" si="34"/>
        <v>192</v>
      </c>
      <c r="X112" s="15">
        <f t="shared" si="34"/>
        <v>192</v>
      </c>
      <c r="Y112" s="15">
        <f>ROUNDDOWN(W112/HLOOKUP(D112,Table!$C$3:$D$4,2,0)*8,2)</f>
        <v>3.41</v>
      </c>
      <c r="Z112" s="15">
        <v>3</v>
      </c>
      <c r="AA112" s="15" t="s">
        <v>70</v>
      </c>
      <c r="AB112" s="19">
        <v>44008</v>
      </c>
      <c r="AC112" s="19">
        <v>43993</v>
      </c>
      <c r="AD112" s="19">
        <v>44008</v>
      </c>
      <c r="AE112" s="19">
        <v>43997</v>
      </c>
      <c r="AF112" s="19">
        <v>43997</v>
      </c>
      <c r="AG112" s="19" t="s">
        <v>164</v>
      </c>
      <c r="AH112" s="29">
        <v>1</v>
      </c>
      <c r="AI112" s="29">
        <v>1</v>
      </c>
      <c r="AJ112" s="29">
        <v>1</v>
      </c>
      <c r="AK112" s="19" t="s">
        <v>144</v>
      </c>
      <c r="AL112" s="17" t="s">
        <v>58</v>
      </c>
      <c r="AM112" s="17" t="s">
        <v>58</v>
      </c>
      <c r="AN112" s="17" t="s">
        <v>58</v>
      </c>
    </row>
    <row r="113" spans="2:40" hidden="1" x14ac:dyDescent="0.25">
      <c r="B113" s="92">
        <f t="shared" si="25"/>
        <v>54</v>
      </c>
      <c r="C113" s="16">
        <v>20200611</v>
      </c>
      <c r="D113" s="15" t="s">
        <v>3</v>
      </c>
      <c r="E113" s="75" t="s">
        <v>402</v>
      </c>
      <c r="F113" s="100" t="s">
        <v>525</v>
      </c>
      <c r="G113" s="75">
        <v>1516895</v>
      </c>
      <c r="H113" s="48" t="s">
        <v>58</v>
      </c>
      <c r="I113" s="75" t="s">
        <v>411</v>
      </c>
      <c r="J113" s="48" t="s">
        <v>58</v>
      </c>
      <c r="K113" s="15" t="s">
        <v>1067</v>
      </c>
      <c r="L113" s="15" t="s">
        <v>450</v>
      </c>
      <c r="M113" s="75" t="s">
        <v>403</v>
      </c>
      <c r="N113" s="15" t="s">
        <v>451</v>
      </c>
      <c r="O113" s="17" t="s">
        <v>58</v>
      </c>
      <c r="P113" s="17" t="s">
        <v>452</v>
      </c>
      <c r="Q113" s="18"/>
      <c r="R113" s="48" t="s">
        <v>58</v>
      </c>
      <c r="S113" s="15" t="s">
        <v>233</v>
      </c>
      <c r="T113" s="15"/>
      <c r="U113" s="15"/>
      <c r="V113" s="75">
        <v>151</v>
      </c>
      <c r="W113" s="15">
        <f t="shared" si="34"/>
        <v>151</v>
      </c>
      <c r="X113" s="15">
        <f t="shared" si="34"/>
        <v>151</v>
      </c>
      <c r="Y113" s="15">
        <f>ROUNDDOWN(W113/HLOOKUP(D113,Table!$C$3:$D$4,2,0)*8,2)</f>
        <v>2.68</v>
      </c>
      <c r="Z113" s="15">
        <v>2.5</v>
      </c>
      <c r="AA113" s="15" t="s">
        <v>70</v>
      </c>
      <c r="AB113" s="19">
        <v>44008</v>
      </c>
      <c r="AC113" s="19">
        <v>43993</v>
      </c>
      <c r="AD113" s="19">
        <v>44008</v>
      </c>
      <c r="AE113" s="19">
        <v>43997</v>
      </c>
      <c r="AF113" s="19">
        <v>43997</v>
      </c>
      <c r="AG113" s="19" t="s">
        <v>164</v>
      </c>
      <c r="AH113" s="29">
        <v>1</v>
      </c>
      <c r="AI113" s="29">
        <v>1</v>
      </c>
      <c r="AJ113" s="29">
        <v>1</v>
      </c>
      <c r="AK113" s="19" t="s">
        <v>144</v>
      </c>
      <c r="AL113" s="17" t="s">
        <v>58</v>
      </c>
      <c r="AM113" s="17" t="s">
        <v>58</v>
      </c>
      <c r="AN113" s="17" t="s">
        <v>58</v>
      </c>
    </row>
    <row r="114" spans="2:40" hidden="1" x14ac:dyDescent="0.25">
      <c r="B114" s="92">
        <f t="shared" si="25"/>
        <v>55</v>
      </c>
      <c r="C114" s="16">
        <v>20200611</v>
      </c>
      <c r="D114" s="15" t="s">
        <v>3</v>
      </c>
      <c r="E114" s="75" t="s">
        <v>402</v>
      </c>
      <c r="F114" s="100" t="s">
        <v>526</v>
      </c>
      <c r="G114" s="75">
        <v>1516895</v>
      </c>
      <c r="H114" s="48" t="s">
        <v>58</v>
      </c>
      <c r="I114" s="75" t="s">
        <v>412</v>
      </c>
      <c r="J114" s="48" t="s">
        <v>58</v>
      </c>
      <c r="K114" s="15" t="s">
        <v>1067</v>
      </c>
      <c r="L114" s="15" t="s">
        <v>450</v>
      </c>
      <c r="M114" s="75" t="s">
        <v>403</v>
      </c>
      <c r="N114" s="15" t="s">
        <v>451</v>
      </c>
      <c r="O114" s="17" t="s">
        <v>58</v>
      </c>
      <c r="P114" s="17" t="s">
        <v>452</v>
      </c>
      <c r="Q114" s="18"/>
      <c r="R114" s="48" t="s">
        <v>58</v>
      </c>
      <c r="S114" s="15" t="s">
        <v>233</v>
      </c>
      <c r="T114" s="15"/>
      <c r="U114" s="15"/>
      <c r="V114" s="75">
        <v>149</v>
      </c>
      <c r="W114" s="15">
        <f t="shared" si="34"/>
        <v>149</v>
      </c>
      <c r="X114" s="15">
        <f t="shared" si="34"/>
        <v>149</v>
      </c>
      <c r="Y114" s="15">
        <f>ROUNDDOWN(W114/HLOOKUP(D114,Table!$C$3:$D$4,2,0)*8,2)</f>
        <v>2.64</v>
      </c>
      <c r="Z114" s="15">
        <v>2.5</v>
      </c>
      <c r="AA114" s="15" t="s">
        <v>70</v>
      </c>
      <c r="AB114" s="19">
        <v>44008</v>
      </c>
      <c r="AC114" s="19">
        <v>43993</v>
      </c>
      <c r="AD114" s="19">
        <v>44008</v>
      </c>
      <c r="AE114" s="19">
        <v>43997</v>
      </c>
      <c r="AF114" s="19">
        <v>43997</v>
      </c>
      <c r="AG114" s="19" t="s">
        <v>164</v>
      </c>
      <c r="AH114" s="29">
        <v>1</v>
      </c>
      <c r="AI114" s="29">
        <v>1</v>
      </c>
      <c r="AJ114" s="29">
        <v>1</v>
      </c>
      <c r="AK114" s="19" t="s">
        <v>144</v>
      </c>
      <c r="AL114" s="17" t="s">
        <v>58</v>
      </c>
      <c r="AM114" s="17" t="s">
        <v>58</v>
      </c>
      <c r="AN114" s="17" t="s">
        <v>58</v>
      </c>
    </row>
    <row r="115" spans="2:40" hidden="1" x14ac:dyDescent="0.25">
      <c r="B115" s="92">
        <f t="shared" si="25"/>
        <v>56</v>
      </c>
      <c r="C115" s="16">
        <v>20200611</v>
      </c>
      <c r="D115" s="15" t="s">
        <v>3</v>
      </c>
      <c r="E115" s="75" t="s">
        <v>402</v>
      </c>
      <c r="F115" s="100" t="s">
        <v>527</v>
      </c>
      <c r="G115" s="75">
        <v>1516895</v>
      </c>
      <c r="H115" s="48" t="s">
        <v>58</v>
      </c>
      <c r="I115" s="75" t="s">
        <v>413</v>
      </c>
      <c r="J115" s="48" t="s">
        <v>58</v>
      </c>
      <c r="K115" s="15" t="s">
        <v>1067</v>
      </c>
      <c r="L115" s="15" t="s">
        <v>450</v>
      </c>
      <c r="M115" s="75" t="s">
        <v>403</v>
      </c>
      <c r="N115" s="15" t="s">
        <v>451</v>
      </c>
      <c r="O115" s="17" t="s">
        <v>58</v>
      </c>
      <c r="P115" s="17" t="s">
        <v>452</v>
      </c>
      <c r="Q115" s="18"/>
      <c r="R115" s="48" t="s">
        <v>58</v>
      </c>
      <c r="S115" s="15" t="s">
        <v>233</v>
      </c>
      <c r="T115" s="15"/>
      <c r="U115" s="15"/>
      <c r="V115" s="75">
        <v>155</v>
      </c>
      <c r="W115" s="15">
        <f t="shared" si="34"/>
        <v>155</v>
      </c>
      <c r="X115" s="15">
        <f t="shared" si="34"/>
        <v>155</v>
      </c>
      <c r="Y115" s="15">
        <f>ROUNDDOWN(W115/HLOOKUP(D115,Table!$C$3:$D$4,2,0)*8,2)</f>
        <v>2.75</v>
      </c>
      <c r="Z115" s="15">
        <v>1.5</v>
      </c>
      <c r="AA115" s="15" t="s">
        <v>70</v>
      </c>
      <c r="AB115" s="19">
        <v>44008</v>
      </c>
      <c r="AC115" s="19">
        <v>43993</v>
      </c>
      <c r="AD115" s="19">
        <v>44008</v>
      </c>
      <c r="AE115" s="19">
        <v>43998</v>
      </c>
      <c r="AF115" s="19">
        <v>43998</v>
      </c>
      <c r="AG115" s="19" t="s">
        <v>164</v>
      </c>
      <c r="AH115" s="29">
        <v>1</v>
      </c>
      <c r="AI115" s="29">
        <v>1</v>
      </c>
      <c r="AJ115" s="29">
        <v>1</v>
      </c>
      <c r="AK115" s="19" t="s">
        <v>144</v>
      </c>
      <c r="AL115" s="17" t="s">
        <v>58</v>
      </c>
      <c r="AM115" s="17" t="s">
        <v>58</v>
      </c>
      <c r="AN115" s="17" t="s">
        <v>58</v>
      </c>
    </row>
    <row r="116" spans="2:40" hidden="1" x14ac:dyDescent="0.25">
      <c r="B116" s="92">
        <f t="shared" si="25"/>
        <v>57</v>
      </c>
      <c r="C116" s="16">
        <v>20200611</v>
      </c>
      <c r="D116" s="15" t="s">
        <v>3</v>
      </c>
      <c r="E116" s="75" t="s">
        <v>402</v>
      </c>
      <c r="F116" s="100" t="s">
        <v>528</v>
      </c>
      <c r="G116" s="75">
        <v>1516895</v>
      </c>
      <c r="H116" s="48" t="s">
        <v>58</v>
      </c>
      <c r="I116" s="75" t="s">
        <v>414</v>
      </c>
      <c r="J116" s="48" t="s">
        <v>58</v>
      </c>
      <c r="K116" s="15" t="s">
        <v>1067</v>
      </c>
      <c r="L116" s="15" t="s">
        <v>450</v>
      </c>
      <c r="M116" s="75" t="s">
        <v>403</v>
      </c>
      <c r="N116" s="15" t="s">
        <v>451</v>
      </c>
      <c r="O116" s="17" t="s">
        <v>58</v>
      </c>
      <c r="P116" s="17" t="s">
        <v>452</v>
      </c>
      <c r="Q116" s="18"/>
      <c r="R116" s="48" t="s">
        <v>58</v>
      </c>
      <c r="S116" s="15" t="s">
        <v>233</v>
      </c>
      <c r="T116" s="15"/>
      <c r="U116" s="15"/>
      <c r="V116" s="75">
        <v>490</v>
      </c>
      <c r="W116" s="15">
        <f t="shared" si="34"/>
        <v>490</v>
      </c>
      <c r="X116" s="15">
        <f t="shared" si="34"/>
        <v>490</v>
      </c>
      <c r="Y116" s="15">
        <f>ROUNDDOWN(W116/HLOOKUP(D116,Table!$C$3:$D$4,2,0)*8,2)</f>
        <v>8.7100000000000009</v>
      </c>
      <c r="Z116" s="15">
        <v>4</v>
      </c>
      <c r="AA116" s="15" t="s">
        <v>70</v>
      </c>
      <c r="AB116" s="19">
        <v>44008</v>
      </c>
      <c r="AC116" s="19">
        <v>43993</v>
      </c>
      <c r="AD116" s="19">
        <v>44008</v>
      </c>
      <c r="AE116" s="19">
        <v>43998</v>
      </c>
      <c r="AF116" s="19">
        <v>43998</v>
      </c>
      <c r="AG116" s="19" t="s">
        <v>164</v>
      </c>
      <c r="AH116" s="29">
        <v>1</v>
      </c>
      <c r="AI116" s="29">
        <v>1</v>
      </c>
      <c r="AJ116" s="29">
        <v>1</v>
      </c>
      <c r="AK116" s="19" t="s">
        <v>144</v>
      </c>
      <c r="AL116" s="17" t="s">
        <v>58</v>
      </c>
      <c r="AM116" s="17" t="s">
        <v>58</v>
      </c>
      <c r="AN116" s="17" t="s">
        <v>58</v>
      </c>
    </row>
    <row r="117" spans="2:40" hidden="1" x14ac:dyDescent="0.25">
      <c r="B117" s="92">
        <f t="shared" si="25"/>
        <v>58</v>
      </c>
      <c r="C117" s="16">
        <v>20200611</v>
      </c>
      <c r="D117" s="15" t="s">
        <v>3</v>
      </c>
      <c r="E117" s="75" t="s">
        <v>402</v>
      </c>
      <c r="F117" s="100" t="s">
        <v>529</v>
      </c>
      <c r="G117" s="75">
        <v>1516895</v>
      </c>
      <c r="H117" s="48" t="s">
        <v>58</v>
      </c>
      <c r="I117" s="75" t="s">
        <v>415</v>
      </c>
      <c r="J117" s="48" t="s">
        <v>58</v>
      </c>
      <c r="K117" s="15" t="s">
        <v>1067</v>
      </c>
      <c r="L117" s="15" t="s">
        <v>450</v>
      </c>
      <c r="M117" s="75" t="s">
        <v>403</v>
      </c>
      <c r="N117" s="15" t="s">
        <v>451</v>
      </c>
      <c r="O117" s="17" t="s">
        <v>58</v>
      </c>
      <c r="P117" s="17" t="s">
        <v>452</v>
      </c>
      <c r="Q117" s="18"/>
      <c r="R117" s="48" t="s">
        <v>58</v>
      </c>
      <c r="S117" s="15" t="s">
        <v>232</v>
      </c>
      <c r="T117" s="15"/>
      <c r="U117" s="15"/>
      <c r="V117" s="75">
        <v>155</v>
      </c>
      <c r="W117" s="15">
        <f t="shared" si="34"/>
        <v>155</v>
      </c>
      <c r="X117" s="15">
        <f t="shared" si="34"/>
        <v>155</v>
      </c>
      <c r="Y117" s="15">
        <f>ROUNDDOWN(W117/HLOOKUP(D117,Table!$C$3:$D$4,2,0)*8,2)</f>
        <v>2.75</v>
      </c>
      <c r="Z117" s="15">
        <v>2</v>
      </c>
      <c r="AA117" s="15" t="s">
        <v>70</v>
      </c>
      <c r="AB117" s="19">
        <v>44008</v>
      </c>
      <c r="AC117" s="19">
        <v>43993</v>
      </c>
      <c r="AD117" s="19">
        <v>44008</v>
      </c>
      <c r="AE117" s="19">
        <v>43998</v>
      </c>
      <c r="AF117" s="19">
        <v>43998</v>
      </c>
      <c r="AG117" s="19" t="s">
        <v>164</v>
      </c>
      <c r="AH117" s="29">
        <v>1</v>
      </c>
      <c r="AI117" s="29">
        <v>1</v>
      </c>
      <c r="AJ117" s="29">
        <v>1</v>
      </c>
      <c r="AK117" s="19" t="s">
        <v>144</v>
      </c>
      <c r="AL117" s="17" t="s">
        <v>58</v>
      </c>
      <c r="AM117" s="17" t="s">
        <v>58</v>
      </c>
      <c r="AN117" s="17" t="s">
        <v>58</v>
      </c>
    </row>
    <row r="118" spans="2:40" hidden="1" x14ac:dyDescent="0.25">
      <c r="B118" s="92">
        <f t="shared" si="25"/>
        <v>59</v>
      </c>
      <c r="C118" s="16">
        <v>20200611</v>
      </c>
      <c r="D118" s="15" t="s">
        <v>3</v>
      </c>
      <c r="E118" s="75" t="s">
        <v>402</v>
      </c>
      <c r="F118" s="100" t="s">
        <v>530</v>
      </c>
      <c r="G118" s="75">
        <v>1516895</v>
      </c>
      <c r="H118" s="48" t="s">
        <v>58</v>
      </c>
      <c r="I118" s="75" t="s">
        <v>416</v>
      </c>
      <c r="J118" s="48" t="s">
        <v>58</v>
      </c>
      <c r="K118" s="15" t="s">
        <v>1067</v>
      </c>
      <c r="L118" s="15" t="s">
        <v>450</v>
      </c>
      <c r="M118" s="75" t="s">
        <v>403</v>
      </c>
      <c r="N118" s="15" t="s">
        <v>451</v>
      </c>
      <c r="O118" s="17" t="s">
        <v>58</v>
      </c>
      <c r="P118" s="17" t="s">
        <v>452</v>
      </c>
      <c r="Q118" s="18"/>
      <c r="R118" s="48" t="s">
        <v>58</v>
      </c>
      <c r="S118" s="15" t="s">
        <v>232</v>
      </c>
      <c r="T118" s="15"/>
      <c r="U118" s="15"/>
      <c r="V118" s="75">
        <v>492</v>
      </c>
      <c r="W118" s="15">
        <f t="shared" si="34"/>
        <v>492</v>
      </c>
      <c r="X118" s="15">
        <f t="shared" si="34"/>
        <v>492</v>
      </c>
      <c r="Y118" s="15">
        <f>ROUNDDOWN(W118/HLOOKUP(D118,Table!$C$3:$D$4,2,0)*8,2)</f>
        <v>8.74</v>
      </c>
      <c r="Z118" s="15">
        <v>1</v>
      </c>
      <c r="AA118" s="15" t="s">
        <v>70</v>
      </c>
      <c r="AB118" s="19">
        <v>44008</v>
      </c>
      <c r="AC118" s="19">
        <v>43993</v>
      </c>
      <c r="AD118" s="19">
        <v>44008</v>
      </c>
      <c r="AE118" s="19">
        <v>43998</v>
      </c>
      <c r="AF118" s="19">
        <v>43998</v>
      </c>
      <c r="AG118" s="19" t="s">
        <v>164</v>
      </c>
      <c r="AH118" s="29">
        <v>1</v>
      </c>
      <c r="AI118" s="29">
        <v>1</v>
      </c>
      <c r="AJ118" s="29">
        <v>1</v>
      </c>
      <c r="AK118" s="19" t="s">
        <v>144</v>
      </c>
      <c r="AL118" s="17" t="s">
        <v>58</v>
      </c>
      <c r="AM118" s="17" t="s">
        <v>58</v>
      </c>
      <c r="AN118" s="17" t="s">
        <v>58</v>
      </c>
    </row>
    <row r="119" spans="2:40" hidden="1" x14ac:dyDescent="0.25">
      <c r="B119" s="92">
        <f t="shared" si="25"/>
        <v>60</v>
      </c>
      <c r="C119" s="16">
        <v>20200611</v>
      </c>
      <c r="D119" s="15" t="s">
        <v>3</v>
      </c>
      <c r="E119" s="75" t="s">
        <v>402</v>
      </c>
      <c r="F119" s="100" t="s">
        <v>531</v>
      </c>
      <c r="G119" s="75">
        <v>1516895</v>
      </c>
      <c r="H119" s="48" t="s">
        <v>58</v>
      </c>
      <c r="I119" s="75" t="s">
        <v>417</v>
      </c>
      <c r="J119" s="48" t="s">
        <v>58</v>
      </c>
      <c r="K119" s="15" t="s">
        <v>1067</v>
      </c>
      <c r="L119" s="15" t="s">
        <v>450</v>
      </c>
      <c r="M119" s="75" t="s">
        <v>403</v>
      </c>
      <c r="N119" s="15" t="s">
        <v>451</v>
      </c>
      <c r="O119" s="17" t="s">
        <v>58</v>
      </c>
      <c r="P119" s="17" t="s">
        <v>452</v>
      </c>
      <c r="Q119" s="18"/>
      <c r="R119" s="48" t="s">
        <v>58</v>
      </c>
      <c r="S119" s="15" t="s">
        <v>232</v>
      </c>
      <c r="T119" s="15"/>
      <c r="U119" s="15"/>
      <c r="V119" s="75">
        <v>69</v>
      </c>
      <c r="W119" s="15">
        <f t="shared" si="34"/>
        <v>69</v>
      </c>
      <c r="X119" s="15">
        <f t="shared" si="34"/>
        <v>69</v>
      </c>
      <c r="Y119" s="15">
        <f>ROUNDDOWN(W119/HLOOKUP(D119,Table!$C$3:$D$4,2,0)*8,2)</f>
        <v>1.22</v>
      </c>
      <c r="Z119" s="15">
        <v>2</v>
      </c>
      <c r="AA119" s="15" t="s">
        <v>70</v>
      </c>
      <c r="AB119" s="19">
        <v>44008</v>
      </c>
      <c r="AC119" s="19">
        <v>43993</v>
      </c>
      <c r="AD119" s="19">
        <v>44008</v>
      </c>
      <c r="AE119" s="19">
        <v>43997</v>
      </c>
      <c r="AF119" s="19">
        <v>43997</v>
      </c>
      <c r="AG119" s="19" t="s">
        <v>164</v>
      </c>
      <c r="AH119" s="29">
        <v>1</v>
      </c>
      <c r="AI119" s="29">
        <v>1</v>
      </c>
      <c r="AJ119" s="29">
        <v>1</v>
      </c>
      <c r="AK119" s="19" t="s">
        <v>144</v>
      </c>
      <c r="AL119" s="17" t="s">
        <v>58</v>
      </c>
      <c r="AM119" s="17" t="s">
        <v>58</v>
      </c>
      <c r="AN119" s="17" t="s">
        <v>58</v>
      </c>
    </row>
    <row r="120" spans="2:40" hidden="1" x14ac:dyDescent="0.25">
      <c r="B120" s="92">
        <f t="shared" si="25"/>
        <v>61</v>
      </c>
      <c r="C120" s="16">
        <v>20200611</v>
      </c>
      <c r="D120" s="15" t="s">
        <v>3</v>
      </c>
      <c r="E120" s="75" t="s">
        <v>402</v>
      </c>
      <c r="F120" s="119" t="s">
        <v>485</v>
      </c>
      <c r="G120" s="75">
        <v>1516895</v>
      </c>
      <c r="H120" s="48" t="s">
        <v>58</v>
      </c>
      <c r="I120" s="75" t="s">
        <v>173</v>
      </c>
      <c r="J120" s="48" t="s">
        <v>58</v>
      </c>
      <c r="K120" s="15" t="s">
        <v>1067</v>
      </c>
      <c r="L120" s="15" t="s">
        <v>450</v>
      </c>
      <c r="M120" s="75" t="s">
        <v>403</v>
      </c>
      <c r="N120" s="15" t="s">
        <v>451</v>
      </c>
      <c r="O120" s="17" t="s">
        <v>58</v>
      </c>
      <c r="P120" s="17" t="s">
        <v>452</v>
      </c>
      <c r="Q120" s="18"/>
      <c r="R120" s="48" t="s">
        <v>58</v>
      </c>
      <c r="S120" s="15" t="s">
        <v>232</v>
      </c>
      <c r="T120" s="15"/>
      <c r="U120" s="15"/>
      <c r="V120" s="75">
        <v>371</v>
      </c>
      <c r="W120" s="15">
        <f t="shared" si="34"/>
        <v>371</v>
      </c>
      <c r="X120" s="15">
        <f t="shared" si="34"/>
        <v>371</v>
      </c>
      <c r="Y120" s="15">
        <f>ROUNDDOWN(W120/HLOOKUP(D120,Table!$C$3:$D$4,2,0)*8,2)</f>
        <v>6.59</v>
      </c>
      <c r="Z120" s="15">
        <v>1.5</v>
      </c>
      <c r="AA120" s="15" t="s">
        <v>70</v>
      </c>
      <c r="AB120" s="19">
        <v>44008</v>
      </c>
      <c r="AC120" s="19">
        <v>43993</v>
      </c>
      <c r="AD120" s="19">
        <v>44008</v>
      </c>
      <c r="AE120" s="19">
        <v>43997</v>
      </c>
      <c r="AF120" s="19">
        <v>43997</v>
      </c>
      <c r="AG120" s="19" t="s">
        <v>164</v>
      </c>
      <c r="AH120" s="29">
        <v>1</v>
      </c>
      <c r="AI120" s="29">
        <v>1</v>
      </c>
      <c r="AJ120" s="29">
        <v>1</v>
      </c>
      <c r="AK120" s="19" t="s">
        <v>144</v>
      </c>
      <c r="AL120" s="17" t="s">
        <v>58</v>
      </c>
      <c r="AM120" s="17" t="s">
        <v>58</v>
      </c>
      <c r="AN120" s="17" t="s">
        <v>58</v>
      </c>
    </row>
    <row r="121" spans="2:40" hidden="1" x14ac:dyDescent="0.25">
      <c r="B121" s="92">
        <f t="shared" si="25"/>
        <v>62</v>
      </c>
      <c r="C121" s="16">
        <v>20200611</v>
      </c>
      <c r="D121" s="15" t="s">
        <v>3</v>
      </c>
      <c r="E121" s="75" t="s">
        <v>402</v>
      </c>
      <c r="F121" s="120" t="s">
        <v>486</v>
      </c>
      <c r="G121" s="75">
        <v>1516895</v>
      </c>
      <c r="H121" s="48" t="s">
        <v>58</v>
      </c>
      <c r="I121" s="75" t="s">
        <v>418</v>
      </c>
      <c r="J121" s="48" t="s">
        <v>58</v>
      </c>
      <c r="K121" s="15" t="s">
        <v>1067</v>
      </c>
      <c r="L121" s="15" t="s">
        <v>450</v>
      </c>
      <c r="M121" s="75" t="s">
        <v>403</v>
      </c>
      <c r="N121" s="15" t="s">
        <v>451</v>
      </c>
      <c r="O121" s="17" t="s">
        <v>58</v>
      </c>
      <c r="P121" s="17" t="s">
        <v>452</v>
      </c>
      <c r="Q121" s="18"/>
      <c r="R121" s="48" t="s">
        <v>58</v>
      </c>
      <c r="S121" s="15" t="s">
        <v>232</v>
      </c>
      <c r="T121" s="15"/>
      <c r="U121" s="15"/>
      <c r="V121" s="75">
        <v>32</v>
      </c>
      <c r="W121" s="79">
        <v>43</v>
      </c>
      <c r="X121" s="16">
        <f t="shared" si="34"/>
        <v>43</v>
      </c>
      <c r="Y121" s="15">
        <f>ROUNDDOWN(W121/HLOOKUP(D121,Table!$C$3:$D$4,2,0)*8,2)</f>
        <v>0.76</v>
      </c>
      <c r="Z121" s="15">
        <v>1</v>
      </c>
      <c r="AA121" s="15" t="s">
        <v>70</v>
      </c>
      <c r="AB121" s="19">
        <v>44008</v>
      </c>
      <c r="AC121" s="19">
        <v>43993</v>
      </c>
      <c r="AD121" s="19">
        <v>44008</v>
      </c>
      <c r="AE121" s="19">
        <v>43997</v>
      </c>
      <c r="AF121" s="19">
        <v>43997</v>
      </c>
      <c r="AG121" s="19" t="s">
        <v>164</v>
      </c>
      <c r="AH121" s="29">
        <v>1</v>
      </c>
      <c r="AI121" s="29">
        <v>1</v>
      </c>
      <c r="AJ121" s="29">
        <v>1</v>
      </c>
      <c r="AK121" s="19" t="s">
        <v>144</v>
      </c>
      <c r="AL121" s="17" t="s">
        <v>58</v>
      </c>
      <c r="AM121" s="17" t="s">
        <v>58</v>
      </c>
      <c r="AN121" s="15" t="s">
        <v>457</v>
      </c>
    </row>
    <row r="122" spans="2:40" hidden="1" x14ac:dyDescent="0.25">
      <c r="B122" s="92">
        <f t="shared" si="25"/>
        <v>63</v>
      </c>
      <c r="C122" s="16">
        <v>20200611</v>
      </c>
      <c r="D122" s="15" t="s">
        <v>3</v>
      </c>
      <c r="E122" s="75" t="s">
        <v>402</v>
      </c>
      <c r="F122" s="100" t="s">
        <v>499</v>
      </c>
      <c r="G122" s="75">
        <v>1516895</v>
      </c>
      <c r="H122" s="48" t="s">
        <v>58</v>
      </c>
      <c r="I122" s="75" t="s">
        <v>419</v>
      </c>
      <c r="J122" s="48" t="s">
        <v>58</v>
      </c>
      <c r="K122" s="15" t="s">
        <v>1067</v>
      </c>
      <c r="L122" s="15" t="s">
        <v>450</v>
      </c>
      <c r="M122" s="75" t="s">
        <v>403</v>
      </c>
      <c r="N122" s="15" t="s">
        <v>451</v>
      </c>
      <c r="O122" s="17" t="s">
        <v>58</v>
      </c>
      <c r="P122" s="17" t="s">
        <v>452</v>
      </c>
      <c r="Q122" s="18"/>
      <c r="R122" s="48" t="s">
        <v>58</v>
      </c>
      <c r="S122" s="15" t="s">
        <v>232</v>
      </c>
      <c r="T122" s="15"/>
      <c r="U122" s="15"/>
      <c r="V122" s="75">
        <v>17</v>
      </c>
      <c r="W122" s="15">
        <f t="shared" si="34"/>
        <v>17</v>
      </c>
      <c r="X122" s="15">
        <f t="shared" si="34"/>
        <v>17</v>
      </c>
      <c r="Y122" s="15">
        <f>ROUNDDOWN(W122/HLOOKUP(D122,Table!$C$3:$D$4,2,0)*8,2)</f>
        <v>0.3</v>
      </c>
      <c r="Z122" s="15">
        <v>1</v>
      </c>
      <c r="AA122" s="15" t="s">
        <v>70</v>
      </c>
      <c r="AB122" s="19">
        <v>44008</v>
      </c>
      <c r="AC122" s="19">
        <v>43993</v>
      </c>
      <c r="AD122" s="19">
        <v>44008</v>
      </c>
      <c r="AE122" s="19">
        <v>43997</v>
      </c>
      <c r="AF122" s="19">
        <v>43997</v>
      </c>
      <c r="AG122" s="19" t="s">
        <v>164</v>
      </c>
      <c r="AH122" s="29">
        <v>1</v>
      </c>
      <c r="AI122" s="29">
        <v>1</v>
      </c>
      <c r="AJ122" s="29">
        <v>1</v>
      </c>
      <c r="AK122" s="19" t="s">
        <v>144</v>
      </c>
      <c r="AL122" s="17" t="s">
        <v>58</v>
      </c>
      <c r="AM122" s="17" t="s">
        <v>58</v>
      </c>
      <c r="AN122" s="17" t="s">
        <v>58</v>
      </c>
    </row>
    <row r="123" spans="2:40" hidden="1" x14ac:dyDescent="0.25">
      <c r="B123" s="92">
        <f t="shared" si="25"/>
        <v>64</v>
      </c>
      <c r="C123" s="16">
        <v>20200611</v>
      </c>
      <c r="D123" s="15" t="s">
        <v>3</v>
      </c>
      <c r="E123" s="75" t="s">
        <v>402</v>
      </c>
      <c r="F123" s="100" t="s">
        <v>500</v>
      </c>
      <c r="G123" s="75">
        <v>1516895</v>
      </c>
      <c r="H123" s="48" t="s">
        <v>58</v>
      </c>
      <c r="I123" s="75" t="s">
        <v>420</v>
      </c>
      <c r="J123" s="48" t="s">
        <v>58</v>
      </c>
      <c r="K123" s="15" t="s">
        <v>1067</v>
      </c>
      <c r="L123" s="15" t="s">
        <v>450</v>
      </c>
      <c r="M123" s="75" t="s">
        <v>403</v>
      </c>
      <c r="N123" s="15" t="s">
        <v>451</v>
      </c>
      <c r="O123" s="17" t="s">
        <v>58</v>
      </c>
      <c r="P123" s="17" t="s">
        <v>452</v>
      </c>
      <c r="Q123" s="18"/>
      <c r="R123" s="48" t="s">
        <v>58</v>
      </c>
      <c r="S123" s="15" t="s">
        <v>232</v>
      </c>
      <c r="T123" s="15"/>
      <c r="U123" s="15"/>
      <c r="V123" s="75">
        <v>42</v>
      </c>
      <c r="W123" s="15">
        <f t="shared" si="34"/>
        <v>42</v>
      </c>
      <c r="X123" s="15">
        <f t="shared" si="34"/>
        <v>42</v>
      </c>
      <c r="Y123" s="15">
        <f>ROUNDDOWN(W123/HLOOKUP(D123,Table!$C$3:$D$4,2,0)*8,2)</f>
        <v>0.74</v>
      </c>
      <c r="Z123" s="15">
        <v>0.25</v>
      </c>
      <c r="AA123" s="15" t="s">
        <v>70</v>
      </c>
      <c r="AB123" s="19">
        <v>44008</v>
      </c>
      <c r="AC123" s="19">
        <v>43993</v>
      </c>
      <c r="AD123" s="19">
        <v>44008</v>
      </c>
      <c r="AE123" s="19">
        <v>43998</v>
      </c>
      <c r="AF123" s="19">
        <v>43998</v>
      </c>
      <c r="AG123" s="19" t="s">
        <v>164</v>
      </c>
      <c r="AH123" s="29">
        <v>1</v>
      </c>
      <c r="AI123" s="29">
        <v>1</v>
      </c>
      <c r="AJ123" s="29">
        <v>1</v>
      </c>
      <c r="AK123" s="19" t="s">
        <v>144</v>
      </c>
      <c r="AL123" s="17" t="s">
        <v>58</v>
      </c>
      <c r="AM123" s="17" t="s">
        <v>58</v>
      </c>
      <c r="AN123" s="17" t="s">
        <v>58</v>
      </c>
    </row>
    <row r="124" spans="2:40" hidden="1" x14ac:dyDescent="0.25">
      <c r="B124" s="92">
        <f t="shared" si="25"/>
        <v>65</v>
      </c>
      <c r="C124" s="16">
        <v>20200611</v>
      </c>
      <c r="D124" s="15" t="s">
        <v>3</v>
      </c>
      <c r="E124" s="75" t="s">
        <v>402</v>
      </c>
      <c r="F124" s="100" t="s">
        <v>501</v>
      </c>
      <c r="G124" s="75">
        <v>1516895</v>
      </c>
      <c r="H124" s="48" t="s">
        <v>58</v>
      </c>
      <c r="I124" s="75" t="s">
        <v>203</v>
      </c>
      <c r="J124" s="48" t="s">
        <v>58</v>
      </c>
      <c r="K124" s="15" t="s">
        <v>1067</v>
      </c>
      <c r="L124" s="15" t="s">
        <v>450</v>
      </c>
      <c r="M124" s="75" t="s">
        <v>403</v>
      </c>
      <c r="N124" s="15" t="s">
        <v>451</v>
      </c>
      <c r="O124" s="17" t="s">
        <v>58</v>
      </c>
      <c r="P124" s="17" t="s">
        <v>452</v>
      </c>
      <c r="Q124" s="18"/>
      <c r="R124" s="48" t="s">
        <v>58</v>
      </c>
      <c r="S124" s="15" t="s">
        <v>232</v>
      </c>
      <c r="T124" s="15"/>
      <c r="U124" s="15"/>
      <c r="V124" s="75">
        <v>313</v>
      </c>
      <c r="W124" s="15">
        <f t="shared" si="34"/>
        <v>313</v>
      </c>
      <c r="X124" s="15">
        <f t="shared" si="34"/>
        <v>313</v>
      </c>
      <c r="Y124" s="15">
        <f>ROUNDDOWN(W124/HLOOKUP(D124,Table!$C$3:$D$4,2,0)*8,2)</f>
        <v>5.56</v>
      </c>
      <c r="Z124" s="15">
        <v>1</v>
      </c>
      <c r="AA124" s="15" t="s">
        <v>70</v>
      </c>
      <c r="AB124" s="19">
        <v>44008</v>
      </c>
      <c r="AC124" s="19">
        <v>43993</v>
      </c>
      <c r="AD124" s="19">
        <v>44008</v>
      </c>
      <c r="AE124" s="19">
        <v>43998</v>
      </c>
      <c r="AF124" s="19">
        <v>43998</v>
      </c>
      <c r="AG124" s="19" t="s">
        <v>164</v>
      </c>
      <c r="AH124" s="29">
        <v>1</v>
      </c>
      <c r="AI124" s="29">
        <v>1</v>
      </c>
      <c r="AJ124" s="29">
        <v>1</v>
      </c>
      <c r="AK124" s="19" t="s">
        <v>144</v>
      </c>
      <c r="AL124" s="17" t="s">
        <v>58</v>
      </c>
      <c r="AM124" s="17" t="s">
        <v>58</v>
      </c>
      <c r="AN124" s="17" t="s">
        <v>58</v>
      </c>
    </row>
    <row r="125" spans="2:40" hidden="1" x14ac:dyDescent="0.25">
      <c r="B125" s="92">
        <f t="shared" ref="B125:B188" si="35">B124+1</f>
        <v>66</v>
      </c>
      <c r="C125" s="16">
        <v>20200611</v>
      </c>
      <c r="D125" s="15" t="s">
        <v>3</v>
      </c>
      <c r="E125" s="75" t="s">
        <v>402</v>
      </c>
      <c r="F125" s="100" t="s">
        <v>502</v>
      </c>
      <c r="G125" s="75">
        <v>1516895</v>
      </c>
      <c r="H125" s="48" t="s">
        <v>58</v>
      </c>
      <c r="I125" s="75" t="s">
        <v>204</v>
      </c>
      <c r="J125" s="48" t="s">
        <v>58</v>
      </c>
      <c r="K125" s="15" t="s">
        <v>1067</v>
      </c>
      <c r="L125" s="15" t="s">
        <v>450</v>
      </c>
      <c r="M125" s="75" t="s">
        <v>403</v>
      </c>
      <c r="N125" s="15" t="s">
        <v>451</v>
      </c>
      <c r="O125" s="17" t="s">
        <v>58</v>
      </c>
      <c r="P125" s="17" t="s">
        <v>452</v>
      </c>
      <c r="Q125" s="18"/>
      <c r="R125" s="48" t="s">
        <v>58</v>
      </c>
      <c r="S125" s="15" t="s">
        <v>232</v>
      </c>
      <c r="T125" s="15"/>
      <c r="U125" s="15"/>
      <c r="V125" s="75">
        <v>34</v>
      </c>
      <c r="W125" s="15">
        <f t="shared" si="34"/>
        <v>34</v>
      </c>
      <c r="X125" s="15">
        <f t="shared" si="34"/>
        <v>34</v>
      </c>
      <c r="Y125" s="15">
        <f>ROUNDDOWN(W125/HLOOKUP(D125,Table!$C$3:$D$4,2,0)*8,2)</f>
        <v>0.6</v>
      </c>
      <c r="Z125" s="15">
        <v>0.5</v>
      </c>
      <c r="AA125" s="15" t="s">
        <v>70</v>
      </c>
      <c r="AB125" s="19">
        <v>44008</v>
      </c>
      <c r="AC125" s="19">
        <v>43993</v>
      </c>
      <c r="AD125" s="19">
        <v>44008</v>
      </c>
      <c r="AE125" s="19">
        <v>43998</v>
      </c>
      <c r="AF125" s="19">
        <v>43998</v>
      </c>
      <c r="AG125" s="19" t="s">
        <v>164</v>
      </c>
      <c r="AH125" s="29">
        <v>1</v>
      </c>
      <c r="AI125" s="29">
        <v>1</v>
      </c>
      <c r="AJ125" s="29">
        <v>1</v>
      </c>
      <c r="AK125" s="19" t="s">
        <v>144</v>
      </c>
      <c r="AL125" s="17" t="s">
        <v>58</v>
      </c>
      <c r="AM125" s="17" t="s">
        <v>58</v>
      </c>
      <c r="AN125" s="17" t="s">
        <v>58</v>
      </c>
    </row>
    <row r="126" spans="2:40" hidden="1" x14ac:dyDescent="0.25">
      <c r="B126" s="92">
        <f t="shared" si="35"/>
        <v>67</v>
      </c>
      <c r="C126" s="16">
        <v>20200611</v>
      </c>
      <c r="D126" s="15" t="s">
        <v>3</v>
      </c>
      <c r="E126" s="75" t="s">
        <v>402</v>
      </c>
      <c r="F126" s="100" t="s">
        <v>503</v>
      </c>
      <c r="G126" s="75">
        <v>1516895</v>
      </c>
      <c r="H126" s="48" t="s">
        <v>58</v>
      </c>
      <c r="I126" s="75" t="s">
        <v>421</v>
      </c>
      <c r="J126" s="48" t="s">
        <v>58</v>
      </c>
      <c r="K126" s="15" t="s">
        <v>1067</v>
      </c>
      <c r="L126" s="15" t="s">
        <v>450</v>
      </c>
      <c r="M126" s="75" t="s">
        <v>403</v>
      </c>
      <c r="N126" s="15" t="s">
        <v>451</v>
      </c>
      <c r="O126" s="17" t="s">
        <v>58</v>
      </c>
      <c r="P126" s="17" t="s">
        <v>452</v>
      </c>
      <c r="Q126" s="18"/>
      <c r="R126" s="48" t="s">
        <v>58</v>
      </c>
      <c r="S126" s="15" t="s">
        <v>231</v>
      </c>
      <c r="T126" s="15"/>
      <c r="U126" s="15"/>
      <c r="V126" s="75">
        <v>91</v>
      </c>
      <c r="W126" s="15">
        <f t="shared" si="34"/>
        <v>91</v>
      </c>
      <c r="X126" s="15">
        <f t="shared" si="34"/>
        <v>91</v>
      </c>
      <c r="Y126" s="15">
        <f>ROUNDDOWN(W126/HLOOKUP(D126,Table!$C$3:$D$4,2,0)*8,2)</f>
        <v>1.61</v>
      </c>
      <c r="Z126" s="15">
        <v>1.5</v>
      </c>
      <c r="AA126" s="15" t="s">
        <v>70</v>
      </c>
      <c r="AB126" s="19">
        <v>44008</v>
      </c>
      <c r="AC126" s="19">
        <v>43993</v>
      </c>
      <c r="AD126" s="19">
        <v>44008</v>
      </c>
      <c r="AE126" s="19">
        <v>43997</v>
      </c>
      <c r="AF126" s="19">
        <v>43997</v>
      </c>
      <c r="AG126" s="19" t="s">
        <v>165</v>
      </c>
      <c r="AH126" s="29">
        <v>0.74</v>
      </c>
      <c r="AI126" s="29">
        <v>0.75</v>
      </c>
      <c r="AJ126" s="29">
        <v>1</v>
      </c>
      <c r="AK126" s="19" t="s">
        <v>134</v>
      </c>
      <c r="AL126" s="17" t="s">
        <v>1027</v>
      </c>
      <c r="AM126" s="17" t="s">
        <v>58</v>
      </c>
      <c r="AN126" s="15" t="s">
        <v>622</v>
      </c>
    </row>
    <row r="127" spans="2:40" hidden="1" x14ac:dyDescent="0.25">
      <c r="B127" s="92">
        <f t="shared" si="35"/>
        <v>68</v>
      </c>
      <c r="C127" s="16">
        <v>20200611</v>
      </c>
      <c r="D127" s="15" t="s">
        <v>3</v>
      </c>
      <c r="E127" s="75" t="s">
        <v>402</v>
      </c>
      <c r="F127" s="100" t="s">
        <v>504</v>
      </c>
      <c r="G127" s="75">
        <v>1516895</v>
      </c>
      <c r="H127" s="48" t="s">
        <v>58</v>
      </c>
      <c r="I127" s="75" t="s">
        <v>422</v>
      </c>
      <c r="J127" s="48" t="s">
        <v>58</v>
      </c>
      <c r="K127" s="15" t="s">
        <v>1067</v>
      </c>
      <c r="L127" s="15" t="s">
        <v>450</v>
      </c>
      <c r="M127" s="75" t="s">
        <v>403</v>
      </c>
      <c r="N127" s="15" t="s">
        <v>451</v>
      </c>
      <c r="O127" s="17" t="s">
        <v>58</v>
      </c>
      <c r="P127" s="17" t="s">
        <v>452</v>
      </c>
      <c r="Q127" s="18"/>
      <c r="R127" s="48" t="s">
        <v>58</v>
      </c>
      <c r="S127" s="15" t="s">
        <v>231</v>
      </c>
      <c r="T127" s="15"/>
      <c r="U127" s="15"/>
      <c r="V127" s="75">
        <v>18</v>
      </c>
      <c r="W127" s="15">
        <f t="shared" si="34"/>
        <v>18</v>
      </c>
      <c r="X127" s="15">
        <f t="shared" si="34"/>
        <v>18</v>
      </c>
      <c r="Y127" s="15">
        <f>ROUNDDOWN(W127/HLOOKUP(D127,Table!$C$3:$D$4,2,0)*8,2)</f>
        <v>0.32</v>
      </c>
      <c r="Z127" s="15">
        <v>0.3</v>
      </c>
      <c r="AA127" s="15" t="s">
        <v>70</v>
      </c>
      <c r="AB127" s="19">
        <v>44008</v>
      </c>
      <c r="AC127" s="19">
        <v>43993</v>
      </c>
      <c r="AD127" s="19">
        <v>44008</v>
      </c>
      <c r="AE127" s="19">
        <v>43997</v>
      </c>
      <c r="AF127" s="19">
        <v>43997</v>
      </c>
      <c r="AG127" s="19" t="s">
        <v>164</v>
      </c>
      <c r="AH127" s="29">
        <v>1</v>
      </c>
      <c r="AI127" s="29">
        <v>1</v>
      </c>
      <c r="AJ127" s="29">
        <v>1</v>
      </c>
      <c r="AK127" s="19" t="s">
        <v>144</v>
      </c>
      <c r="AL127" s="17" t="s">
        <v>58</v>
      </c>
      <c r="AM127" s="17" t="s">
        <v>58</v>
      </c>
      <c r="AN127" s="17" t="s">
        <v>58</v>
      </c>
    </row>
    <row r="128" spans="2:40" hidden="1" x14ac:dyDescent="0.25">
      <c r="B128" s="92">
        <f t="shared" si="35"/>
        <v>69</v>
      </c>
      <c r="C128" s="16">
        <v>20200611</v>
      </c>
      <c r="D128" s="15" t="s">
        <v>3</v>
      </c>
      <c r="E128" s="75" t="s">
        <v>402</v>
      </c>
      <c r="F128" s="100" t="s">
        <v>505</v>
      </c>
      <c r="G128" s="75">
        <v>1516895</v>
      </c>
      <c r="H128" s="48" t="s">
        <v>58</v>
      </c>
      <c r="I128" s="75" t="s">
        <v>423</v>
      </c>
      <c r="J128" s="48" t="s">
        <v>58</v>
      </c>
      <c r="K128" s="15" t="s">
        <v>1067</v>
      </c>
      <c r="L128" s="15" t="s">
        <v>450</v>
      </c>
      <c r="M128" s="75" t="s">
        <v>403</v>
      </c>
      <c r="N128" s="15" t="s">
        <v>451</v>
      </c>
      <c r="O128" s="17" t="s">
        <v>58</v>
      </c>
      <c r="P128" s="17" t="s">
        <v>452</v>
      </c>
      <c r="Q128" s="18"/>
      <c r="R128" s="48" t="s">
        <v>58</v>
      </c>
      <c r="S128" s="15" t="s">
        <v>231</v>
      </c>
      <c r="T128" s="15"/>
      <c r="U128" s="15"/>
      <c r="V128" s="75">
        <v>12</v>
      </c>
      <c r="W128" s="15">
        <f t="shared" si="34"/>
        <v>12</v>
      </c>
      <c r="X128" s="15">
        <f t="shared" si="34"/>
        <v>12</v>
      </c>
      <c r="Y128" s="15">
        <f>ROUNDDOWN(W128/HLOOKUP(D128,Table!$C$3:$D$4,2,0)*8,2)</f>
        <v>0.21</v>
      </c>
      <c r="Z128" s="15">
        <v>0.21</v>
      </c>
      <c r="AA128" s="15" t="s">
        <v>70</v>
      </c>
      <c r="AB128" s="19">
        <v>44008</v>
      </c>
      <c r="AC128" s="19">
        <v>43993</v>
      </c>
      <c r="AD128" s="19">
        <v>44008</v>
      </c>
      <c r="AE128" s="19">
        <v>43997</v>
      </c>
      <c r="AF128" s="19">
        <v>43997</v>
      </c>
      <c r="AG128" s="19" t="s">
        <v>164</v>
      </c>
      <c r="AH128" s="29">
        <v>1</v>
      </c>
      <c r="AI128" s="29">
        <v>1</v>
      </c>
      <c r="AJ128" s="29">
        <v>1</v>
      </c>
      <c r="AK128" s="19" t="s">
        <v>144</v>
      </c>
      <c r="AL128" s="17" t="s">
        <v>58</v>
      </c>
      <c r="AM128" s="17" t="s">
        <v>58</v>
      </c>
      <c r="AN128" s="17" t="s">
        <v>58</v>
      </c>
    </row>
    <row r="129" spans="2:40" hidden="1" x14ac:dyDescent="0.25">
      <c r="B129" s="92">
        <f t="shared" si="35"/>
        <v>70</v>
      </c>
      <c r="C129" s="16">
        <v>20200611</v>
      </c>
      <c r="D129" s="15" t="s">
        <v>3</v>
      </c>
      <c r="E129" s="75" t="s">
        <v>402</v>
      </c>
      <c r="F129" s="100" t="s">
        <v>506</v>
      </c>
      <c r="G129" s="75">
        <v>1516895</v>
      </c>
      <c r="H129" s="48" t="s">
        <v>58</v>
      </c>
      <c r="I129" s="75" t="s">
        <v>205</v>
      </c>
      <c r="J129" s="48" t="s">
        <v>58</v>
      </c>
      <c r="K129" s="15" t="s">
        <v>1067</v>
      </c>
      <c r="L129" s="15" t="s">
        <v>450</v>
      </c>
      <c r="M129" s="75" t="s">
        <v>403</v>
      </c>
      <c r="N129" s="15" t="s">
        <v>451</v>
      </c>
      <c r="O129" s="17" t="s">
        <v>58</v>
      </c>
      <c r="P129" s="17" t="s">
        <v>452</v>
      </c>
      <c r="Q129" s="18"/>
      <c r="R129" s="48" t="s">
        <v>58</v>
      </c>
      <c r="S129" s="15" t="s">
        <v>231</v>
      </c>
      <c r="T129" s="15"/>
      <c r="U129" s="15"/>
      <c r="V129" s="75">
        <v>137</v>
      </c>
      <c r="W129" s="15">
        <f t="shared" si="34"/>
        <v>137</v>
      </c>
      <c r="X129" s="15">
        <f t="shared" si="34"/>
        <v>137</v>
      </c>
      <c r="Y129" s="15">
        <f>ROUNDDOWN(W129/HLOOKUP(D129,Table!$C$3:$D$4,2,0)*8,2)</f>
        <v>2.4300000000000002</v>
      </c>
      <c r="Z129" s="15">
        <v>2.2999999999999998</v>
      </c>
      <c r="AA129" s="15" t="s">
        <v>70</v>
      </c>
      <c r="AB129" s="19">
        <v>44008</v>
      </c>
      <c r="AC129" s="19">
        <v>43993</v>
      </c>
      <c r="AD129" s="19">
        <v>44008</v>
      </c>
      <c r="AE129" s="19">
        <v>43997</v>
      </c>
      <c r="AF129" s="19">
        <v>43997</v>
      </c>
      <c r="AG129" s="19" t="s">
        <v>164</v>
      </c>
      <c r="AH129" s="29">
        <v>1</v>
      </c>
      <c r="AI129" s="29">
        <v>1</v>
      </c>
      <c r="AJ129" s="29">
        <v>1</v>
      </c>
      <c r="AK129" s="19" t="s">
        <v>144</v>
      </c>
      <c r="AL129" s="17" t="s">
        <v>58</v>
      </c>
      <c r="AM129" s="17" t="s">
        <v>58</v>
      </c>
      <c r="AN129" s="17" t="s">
        <v>58</v>
      </c>
    </row>
    <row r="130" spans="2:40" hidden="1" x14ac:dyDescent="0.25">
      <c r="B130" s="92">
        <f t="shared" si="35"/>
        <v>71</v>
      </c>
      <c r="C130" s="16">
        <v>20200611</v>
      </c>
      <c r="D130" s="15" t="s">
        <v>3</v>
      </c>
      <c r="E130" s="75" t="s">
        <v>402</v>
      </c>
      <c r="F130" s="100" t="s">
        <v>507</v>
      </c>
      <c r="G130" s="75">
        <v>1516895</v>
      </c>
      <c r="H130" s="48" t="s">
        <v>58</v>
      </c>
      <c r="I130" s="75" t="s">
        <v>424</v>
      </c>
      <c r="J130" s="48" t="s">
        <v>58</v>
      </c>
      <c r="K130" s="15" t="s">
        <v>1067</v>
      </c>
      <c r="L130" s="15" t="s">
        <v>450</v>
      </c>
      <c r="M130" s="75" t="s">
        <v>403</v>
      </c>
      <c r="N130" s="15" t="s">
        <v>451</v>
      </c>
      <c r="O130" s="17" t="s">
        <v>58</v>
      </c>
      <c r="P130" s="17" t="s">
        <v>452</v>
      </c>
      <c r="Q130" s="18"/>
      <c r="R130" s="48" t="s">
        <v>58</v>
      </c>
      <c r="S130" s="15" t="s">
        <v>231</v>
      </c>
      <c r="T130" s="15"/>
      <c r="U130" s="15"/>
      <c r="V130" s="75">
        <v>17</v>
      </c>
      <c r="W130" s="15">
        <f t="shared" si="34"/>
        <v>17</v>
      </c>
      <c r="X130" s="15">
        <f t="shared" si="34"/>
        <v>17</v>
      </c>
      <c r="Y130" s="15">
        <f>ROUNDDOWN(W130/HLOOKUP(D130,Table!$C$3:$D$4,2,0)*8,2)</f>
        <v>0.3</v>
      </c>
      <c r="Z130" s="15">
        <v>0.3</v>
      </c>
      <c r="AA130" s="15" t="s">
        <v>70</v>
      </c>
      <c r="AB130" s="19">
        <v>44008</v>
      </c>
      <c r="AC130" s="19">
        <v>43993</v>
      </c>
      <c r="AD130" s="19">
        <v>44008</v>
      </c>
      <c r="AE130" s="19">
        <v>43997</v>
      </c>
      <c r="AF130" s="19">
        <v>43997</v>
      </c>
      <c r="AG130" s="19" t="s">
        <v>164</v>
      </c>
      <c r="AH130" s="29">
        <v>1</v>
      </c>
      <c r="AI130" s="29">
        <v>1</v>
      </c>
      <c r="AJ130" s="29">
        <v>1</v>
      </c>
      <c r="AK130" s="19" t="s">
        <v>144</v>
      </c>
      <c r="AL130" s="17" t="s">
        <v>58</v>
      </c>
      <c r="AM130" s="17" t="s">
        <v>58</v>
      </c>
      <c r="AN130" s="17" t="s">
        <v>58</v>
      </c>
    </row>
    <row r="131" spans="2:40" hidden="1" x14ac:dyDescent="0.25">
      <c r="B131" s="92">
        <f t="shared" si="35"/>
        <v>72</v>
      </c>
      <c r="C131" s="16">
        <v>20200611</v>
      </c>
      <c r="D131" s="15" t="s">
        <v>3</v>
      </c>
      <c r="E131" s="75" t="s">
        <v>402</v>
      </c>
      <c r="F131" s="100" t="s">
        <v>508</v>
      </c>
      <c r="G131" s="75">
        <v>1516895</v>
      </c>
      <c r="H131" s="48" t="s">
        <v>58</v>
      </c>
      <c r="I131" s="75" t="s">
        <v>206</v>
      </c>
      <c r="J131" s="48" t="s">
        <v>58</v>
      </c>
      <c r="K131" s="15" t="s">
        <v>1067</v>
      </c>
      <c r="L131" s="15" t="s">
        <v>450</v>
      </c>
      <c r="M131" s="75" t="s">
        <v>403</v>
      </c>
      <c r="N131" s="15" t="s">
        <v>451</v>
      </c>
      <c r="O131" s="17" t="s">
        <v>58</v>
      </c>
      <c r="P131" s="17" t="s">
        <v>452</v>
      </c>
      <c r="Q131" s="18"/>
      <c r="R131" s="48" t="s">
        <v>58</v>
      </c>
      <c r="S131" s="15" t="s">
        <v>231</v>
      </c>
      <c r="T131" s="15"/>
      <c r="U131" s="15"/>
      <c r="V131" s="75">
        <v>131</v>
      </c>
      <c r="W131" s="15">
        <f t="shared" si="34"/>
        <v>131</v>
      </c>
      <c r="X131" s="15">
        <v>131</v>
      </c>
      <c r="Y131" s="15">
        <f>ROUNDDOWN(W131/HLOOKUP(D131,Table!$C$3:$D$4,2,0)*8,2)</f>
        <v>2.3199999999999998</v>
      </c>
      <c r="Z131" s="15">
        <v>2.2000000000000002</v>
      </c>
      <c r="AA131" s="15" t="s">
        <v>70</v>
      </c>
      <c r="AB131" s="19">
        <v>44008</v>
      </c>
      <c r="AC131" s="19">
        <v>43993</v>
      </c>
      <c r="AD131" s="19">
        <v>44008</v>
      </c>
      <c r="AE131" s="19">
        <v>43997</v>
      </c>
      <c r="AF131" s="19">
        <v>43997</v>
      </c>
      <c r="AG131" s="19" t="s">
        <v>164</v>
      </c>
      <c r="AH131" s="29">
        <v>1</v>
      </c>
      <c r="AI131" s="29">
        <v>1</v>
      </c>
      <c r="AJ131" s="29">
        <v>1</v>
      </c>
      <c r="AK131" s="19" t="s">
        <v>144</v>
      </c>
      <c r="AL131" s="17" t="s">
        <v>58</v>
      </c>
      <c r="AM131" s="17" t="s">
        <v>58</v>
      </c>
      <c r="AN131" s="17" t="s">
        <v>58</v>
      </c>
    </row>
    <row r="132" spans="2:40" hidden="1" x14ac:dyDescent="0.25">
      <c r="B132" s="92">
        <f t="shared" si="35"/>
        <v>73</v>
      </c>
      <c r="C132" s="16">
        <v>20200611</v>
      </c>
      <c r="D132" s="15" t="s">
        <v>3</v>
      </c>
      <c r="E132" s="75" t="s">
        <v>402</v>
      </c>
      <c r="F132" s="100" t="s">
        <v>509</v>
      </c>
      <c r="G132" s="75">
        <v>1516895</v>
      </c>
      <c r="H132" s="48" t="s">
        <v>58</v>
      </c>
      <c r="I132" s="75" t="s">
        <v>425</v>
      </c>
      <c r="J132" s="48" t="s">
        <v>58</v>
      </c>
      <c r="K132" s="15" t="s">
        <v>1067</v>
      </c>
      <c r="L132" s="15" t="s">
        <v>450</v>
      </c>
      <c r="M132" s="75" t="s">
        <v>403</v>
      </c>
      <c r="N132" s="15" t="s">
        <v>451</v>
      </c>
      <c r="O132" s="17" t="s">
        <v>58</v>
      </c>
      <c r="P132" s="17" t="s">
        <v>452</v>
      </c>
      <c r="Q132" s="18"/>
      <c r="R132" s="48" t="s">
        <v>58</v>
      </c>
      <c r="S132" s="15" t="s">
        <v>231</v>
      </c>
      <c r="T132" s="15"/>
      <c r="U132" s="15"/>
      <c r="V132" s="75">
        <v>23</v>
      </c>
      <c r="W132" s="15">
        <f t="shared" si="34"/>
        <v>23</v>
      </c>
      <c r="X132" s="15">
        <f t="shared" si="34"/>
        <v>23</v>
      </c>
      <c r="Y132" s="15">
        <f>ROUNDDOWN(W132/HLOOKUP(D132,Table!$C$3:$D$4,2,0)*8,2)</f>
        <v>0.4</v>
      </c>
      <c r="Z132" s="15">
        <v>0.4</v>
      </c>
      <c r="AA132" s="15" t="s">
        <v>70</v>
      </c>
      <c r="AB132" s="19">
        <v>44008</v>
      </c>
      <c r="AC132" s="19">
        <v>43993</v>
      </c>
      <c r="AD132" s="19">
        <v>44008</v>
      </c>
      <c r="AE132" s="19">
        <v>43998</v>
      </c>
      <c r="AF132" s="19">
        <v>43998</v>
      </c>
      <c r="AG132" s="19" t="s">
        <v>164</v>
      </c>
      <c r="AH132" s="29">
        <v>1</v>
      </c>
      <c r="AI132" s="29">
        <v>1</v>
      </c>
      <c r="AJ132" s="29">
        <v>1</v>
      </c>
      <c r="AK132" s="19" t="s">
        <v>144</v>
      </c>
      <c r="AL132" s="17" t="s">
        <v>58</v>
      </c>
      <c r="AM132" s="17" t="s">
        <v>58</v>
      </c>
      <c r="AN132" s="17" t="s">
        <v>58</v>
      </c>
    </row>
    <row r="133" spans="2:40" hidden="1" x14ac:dyDescent="0.25">
      <c r="B133" s="92">
        <f t="shared" si="35"/>
        <v>74</v>
      </c>
      <c r="C133" s="16">
        <v>20200611</v>
      </c>
      <c r="D133" s="15" t="s">
        <v>3</v>
      </c>
      <c r="E133" s="75" t="s">
        <v>402</v>
      </c>
      <c r="F133" s="100" t="s">
        <v>510</v>
      </c>
      <c r="G133" s="75">
        <v>1516895</v>
      </c>
      <c r="H133" s="48" t="s">
        <v>58</v>
      </c>
      <c r="I133" s="75" t="s">
        <v>426</v>
      </c>
      <c r="J133" s="48" t="s">
        <v>58</v>
      </c>
      <c r="K133" s="15" t="s">
        <v>1067</v>
      </c>
      <c r="L133" s="15" t="s">
        <v>450</v>
      </c>
      <c r="M133" s="75" t="s">
        <v>403</v>
      </c>
      <c r="N133" s="15" t="s">
        <v>451</v>
      </c>
      <c r="O133" s="17" t="s">
        <v>58</v>
      </c>
      <c r="P133" s="17" t="s">
        <v>452</v>
      </c>
      <c r="Q133" s="18"/>
      <c r="R133" s="48" t="s">
        <v>58</v>
      </c>
      <c r="S133" s="15" t="s">
        <v>231</v>
      </c>
      <c r="T133" s="15"/>
      <c r="U133" s="15"/>
      <c r="V133" s="75">
        <v>167</v>
      </c>
      <c r="W133" s="15">
        <f t="shared" si="34"/>
        <v>167</v>
      </c>
      <c r="X133" s="15">
        <f t="shared" si="34"/>
        <v>167</v>
      </c>
      <c r="Y133" s="15">
        <f>ROUNDDOWN(W133/HLOOKUP(D133,Table!$C$3:$D$4,2,0)*8,2)</f>
        <v>2.96</v>
      </c>
      <c r="Z133" s="15">
        <v>2.8</v>
      </c>
      <c r="AA133" s="15" t="s">
        <v>70</v>
      </c>
      <c r="AB133" s="19">
        <v>44008</v>
      </c>
      <c r="AC133" s="19">
        <v>43993</v>
      </c>
      <c r="AD133" s="19">
        <v>44008</v>
      </c>
      <c r="AE133" s="19">
        <v>43998</v>
      </c>
      <c r="AF133" s="19">
        <v>43998</v>
      </c>
      <c r="AG133" s="19" t="s">
        <v>164</v>
      </c>
      <c r="AH133" s="29">
        <v>1</v>
      </c>
      <c r="AI133" s="29">
        <v>1</v>
      </c>
      <c r="AJ133" s="29">
        <v>1</v>
      </c>
      <c r="AK133" s="19" t="s">
        <v>144</v>
      </c>
      <c r="AL133" s="17" t="s">
        <v>58</v>
      </c>
      <c r="AM133" s="17" t="s">
        <v>58</v>
      </c>
      <c r="AN133" s="17" t="s">
        <v>58</v>
      </c>
    </row>
    <row r="134" spans="2:40" hidden="1" x14ac:dyDescent="0.25">
      <c r="B134" s="92">
        <f t="shared" si="35"/>
        <v>75</v>
      </c>
      <c r="C134" s="16">
        <v>20200611</v>
      </c>
      <c r="D134" s="15" t="s">
        <v>3</v>
      </c>
      <c r="E134" s="75" t="s">
        <v>402</v>
      </c>
      <c r="F134" s="100" t="s">
        <v>511</v>
      </c>
      <c r="G134" s="75">
        <v>1516895</v>
      </c>
      <c r="H134" s="48" t="s">
        <v>58</v>
      </c>
      <c r="I134" s="75" t="s">
        <v>207</v>
      </c>
      <c r="J134" s="48" t="s">
        <v>58</v>
      </c>
      <c r="K134" s="15" t="s">
        <v>1067</v>
      </c>
      <c r="L134" s="15" t="s">
        <v>450</v>
      </c>
      <c r="M134" s="75" t="s">
        <v>403</v>
      </c>
      <c r="N134" s="15" t="s">
        <v>451</v>
      </c>
      <c r="O134" s="17" t="s">
        <v>58</v>
      </c>
      <c r="P134" s="17" t="s">
        <v>452</v>
      </c>
      <c r="Q134" s="18"/>
      <c r="R134" s="48" t="s">
        <v>58</v>
      </c>
      <c r="S134" s="15" t="s">
        <v>231</v>
      </c>
      <c r="T134" s="15"/>
      <c r="U134" s="15"/>
      <c r="V134" s="75">
        <v>186</v>
      </c>
      <c r="W134" s="15">
        <f t="shared" si="34"/>
        <v>186</v>
      </c>
      <c r="X134" s="15">
        <f t="shared" si="34"/>
        <v>186</v>
      </c>
      <c r="Y134" s="15">
        <f>ROUNDDOWN(W134/HLOOKUP(D134,Table!$C$3:$D$4,2,0)*8,2)</f>
        <v>3.3</v>
      </c>
      <c r="Z134" s="15">
        <v>3.3</v>
      </c>
      <c r="AA134" s="15" t="s">
        <v>70</v>
      </c>
      <c r="AB134" s="19">
        <v>44008</v>
      </c>
      <c r="AC134" s="19">
        <v>43993</v>
      </c>
      <c r="AD134" s="19">
        <v>44008</v>
      </c>
      <c r="AE134" s="19">
        <v>43998</v>
      </c>
      <c r="AF134" s="19">
        <v>43998</v>
      </c>
      <c r="AG134" s="19" t="s">
        <v>164</v>
      </c>
      <c r="AH134" s="29">
        <v>1</v>
      </c>
      <c r="AI134" s="29">
        <v>1</v>
      </c>
      <c r="AJ134" s="29">
        <v>1</v>
      </c>
      <c r="AK134" s="19" t="s">
        <v>144</v>
      </c>
      <c r="AL134" s="17" t="s">
        <v>58</v>
      </c>
      <c r="AM134" s="17" t="s">
        <v>58</v>
      </c>
      <c r="AN134" s="17" t="s">
        <v>58</v>
      </c>
    </row>
    <row r="135" spans="2:40" hidden="1" x14ac:dyDescent="0.25">
      <c r="B135" s="92">
        <f t="shared" si="35"/>
        <v>76</v>
      </c>
      <c r="C135" s="16">
        <v>20200611</v>
      </c>
      <c r="D135" s="15" t="s">
        <v>3</v>
      </c>
      <c r="E135" s="75" t="s">
        <v>402</v>
      </c>
      <c r="F135" s="100" t="s">
        <v>512</v>
      </c>
      <c r="G135" s="75">
        <v>1516895</v>
      </c>
      <c r="H135" s="48" t="s">
        <v>58</v>
      </c>
      <c r="I135" s="75" t="s">
        <v>427</v>
      </c>
      <c r="J135" s="48" t="s">
        <v>58</v>
      </c>
      <c r="K135" s="15" t="s">
        <v>1067</v>
      </c>
      <c r="L135" s="15" t="s">
        <v>450</v>
      </c>
      <c r="M135" s="75" t="s">
        <v>403</v>
      </c>
      <c r="N135" s="15" t="s">
        <v>451</v>
      </c>
      <c r="O135" s="17" t="s">
        <v>58</v>
      </c>
      <c r="P135" s="17" t="s">
        <v>452</v>
      </c>
      <c r="Q135" s="18"/>
      <c r="R135" s="48" t="s">
        <v>58</v>
      </c>
      <c r="S135" s="15" t="s">
        <v>231</v>
      </c>
      <c r="T135" s="15"/>
      <c r="U135" s="15"/>
      <c r="V135" s="75">
        <v>289</v>
      </c>
      <c r="W135" s="15">
        <f t="shared" si="34"/>
        <v>289</v>
      </c>
      <c r="X135" s="15">
        <f t="shared" si="34"/>
        <v>289</v>
      </c>
      <c r="Y135" s="15">
        <f>ROUNDDOWN(W135/HLOOKUP(D135,Table!$C$3:$D$4,2,0)*8,2)</f>
        <v>5.13</v>
      </c>
      <c r="Z135" s="15">
        <v>5</v>
      </c>
      <c r="AA135" s="15" t="s">
        <v>70</v>
      </c>
      <c r="AB135" s="19">
        <v>44008</v>
      </c>
      <c r="AC135" s="19">
        <v>43993</v>
      </c>
      <c r="AD135" s="19">
        <v>44008</v>
      </c>
      <c r="AE135" s="19">
        <v>43998</v>
      </c>
      <c r="AF135" s="19">
        <v>43998</v>
      </c>
      <c r="AG135" s="19" t="s">
        <v>164</v>
      </c>
      <c r="AH135" s="29">
        <v>1</v>
      </c>
      <c r="AI135" s="29">
        <v>1</v>
      </c>
      <c r="AJ135" s="29">
        <v>1</v>
      </c>
      <c r="AK135" s="19" t="s">
        <v>144</v>
      </c>
      <c r="AL135" s="17" t="s">
        <v>58</v>
      </c>
      <c r="AM135" s="17" t="s">
        <v>58</v>
      </c>
      <c r="AN135" s="17" t="s">
        <v>58</v>
      </c>
    </row>
    <row r="136" spans="2:40" hidden="1" x14ac:dyDescent="0.25">
      <c r="B136" s="92">
        <f t="shared" si="35"/>
        <v>77</v>
      </c>
      <c r="C136" s="16">
        <v>20200611</v>
      </c>
      <c r="D136" s="15" t="s">
        <v>3</v>
      </c>
      <c r="E136" s="75" t="s">
        <v>402</v>
      </c>
      <c r="F136" s="100" t="s">
        <v>513</v>
      </c>
      <c r="G136" s="75">
        <v>1516895</v>
      </c>
      <c r="H136" s="48" t="s">
        <v>58</v>
      </c>
      <c r="I136" s="75" t="s">
        <v>428</v>
      </c>
      <c r="J136" s="48" t="s">
        <v>58</v>
      </c>
      <c r="K136" s="15" t="s">
        <v>1067</v>
      </c>
      <c r="L136" s="15" t="s">
        <v>450</v>
      </c>
      <c r="M136" s="75" t="s">
        <v>403</v>
      </c>
      <c r="N136" s="15" t="s">
        <v>451</v>
      </c>
      <c r="O136" s="17" t="s">
        <v>58</v>
      </c>
      <c r="P136" s="17" t="s">
        <v>452</v>
      </c>
      <c r="Q136" s="18"/>
      <c r="R136" s="48" t="s">
        <v>58</v>
      </c>
      <c r="S136" s="15" t="s">
        <v>231</v>
      </c>
      <c r="T136" s="15"/>
      <c r="U136" s="15"/>
      <c r="V136" s="75">
        <v>109</v>
      </c>
      <c r="W136" s="15">
        <f t="shared" si="34"/>
        <v>109</v>
      </c>
      <c r="X136" s="15">
        <f t="shared" si="34"/>
        <v>109</v>
      </c>
      <c r="Y136" s="15">
        <f>ROUNDDOWN(W136/HLOOKUP(D136,Table!$C$3:$D$4,2,0)*8,2)</f>
        <v>1.93</v>
      </c>
      <c r="Z136" s="15">
        <v>1.9</v>
      </c>
      <c r="AA136" s="15" t="s">
        <v>70</v>
      </c>
      <c r="AB136" s="19">
        <v>44008</v>
      </c>
      <c r="AC136" s="19">
        <v>43993</v>
      </c>
      <c r="AD136" s="19">
        <v>44008</v>
      </c>
      <c r="AE136" s="19">
        <v>43998</v>
      </c>
      <c r="AF136" s="19">
        <v>43998</v>
      </c>
      <c r="AG136" s="19" t="s">
        <v>164</v>
      </c>
      <c r="AH136" s="29">
        <v>1</v>
      </c>
      <c r="AI136" s="29">
        <v>1</v>
      </c>
      <c r="AJ136" s="29">
        <v>1</v>
      </c>
      <c r="AK136" s="19" t="s">
        <v>144</v>
      </c>
      <c r="AL136" s="17" t="s">
        <v>58</v>
      </c>
      <c r="AM136" s="17" t="s">
        <v>58</v>
      </c>
      <c r="AN136" s="17" t="s">
        <v>58</v>
      </c>
    </row>
    <row r="137" spans="2:40" hidden="1" x14ac:dyDescent="0.25">
      <c r="B137" s="92">
        <f t="shared" si="35"/>
        <v>78</v>
      </c>
      <c r="C137" s="16">
        <v>20200611</v>
      </c>
      <c r="D137" s="15" t="s">
        <v>3</v>
      </c>
      <c r="E137" s="75" t="s">
        <v>402</v>
      </c>
      <c r="F137" s="100" t="s">
        <v>514</v>
      </c>
      <c r="G137" s="75">
        <v>1516895</v>
      </c>
      <c r="H137" s="48" t="s">
        <v>58</v>
      </c>
      <c r="I137" s="75" t="s">
        <v>208</v>
      </c>
      <c r="J137" s="48" t="s">
        <v>58</v>
      </c>
      <c r="K137" s="15" t="s">
        <v>1067</v>
      </c>
      <c r="L137" s="15" t="s">
        <v>450</v>
      </c>
      <c r="M137" s="75" t="s">
        <v>403</v>
      </c>
      <c r="N137" s="15" t="s">
        <v>451</v>
      </c>
      <c r="O137" s="17" t="s">
        <v>58</v>
      </c>
      <c r="P137" s="17" t="s">
        <v>452</v>
      </c>
      <c r="Q137" s="18"/>
      <c r="R137" s="48" t="s">
        <v>58</v>
      </c>
      <c r="S137" s="15" t="s">
        <v>231</v>
      </c>
      <c r="T137" s="15"/>
      <c r="U137" s="15"/>
      <c r="V137" s="75">
        <v>157</v>
      </c>
      <c r="W137" s="15">
        <f t="shared" si="34"/>
        <v>157</v>
      </c>
      <c r="X137" s="15">
        <f t="shared" si="34"/>
        <v>157</v>
      </c>
      <c r="Y137" s="15">
        <f>ROUNDDOWN(W137/HLOOKUP(D137,Table!$C$3:$D$4,2,0)*8,2)</f>
        <v>2.79</v>
      </c>
      <c r="Z137" s="15">
        <v>3</v>
      </c>
      <c r="AA137" s="15" t="s">
        <v>70</v>
      </c>
      <c r="AB137" s="19">
        <v>44008</v>
      </c>
      <c r="AC137" s="19">
        <v>43993</v>
      </c>
      <c r="AD137" s="19">
        <v>44008</v>
      </c>
      <c r="AE137" s="19">
        <v>43998</v>
      </c>
      <c r="AF137" s="19">
        <v>43998</v>
      </c>
      <c r="AG137" s="19" t="s">
        <v>165</v>
      </c>
      <c r="AH137" s="29">
        <v>1</v>
      </c>
      <c r="AI137" s="29">
        <v>1</v>
      </c>
      <c r="AJ137" s="29">
        <v>0.93</v>
      </c>
      <c r="AK137" s="19" t="s">
        <v>134</v>
      </c>
      <c r="AL137" s="17" t="s">
        <v>1025</v>
      </c>
      <c r="AM137" s="17" t="s">
        <v>58</v>
      </c>
      <c r="AN137" s="15" t="s">
        <v>622</v>
      </c>
    </row>
    <row r="138" spans="2:40" hidden="1" x14ac:dyDescent="0.25">
      <c r="B138" s="92">
        <f t="shared" si="35"/>
        <v>79</v>
      </c>
      <c r="C138" s="16">
        <v>20200611</v>
      </c>
      <c r="D138" s="15" t="s">
        <v>3</v>
      </c>
      <c r="E138" s="75" t="s">
        <v>402</v>
      </c>
      <c r="F138" s="100" t="s">
        <v>515</v>
      </c>
      <c r="G138" s="75">
        <v>1516895</v>
      </c>
      <c r="H138" s="48" t="s">
        <v>58</v>
      </c>
      <c r="I138" s="75" t="s">
        <v>429</v>
      </c>
      <c r="J138" s="48" t="s">
        <v>58</v>
      </c>
      <c r="K138" s="15" t="s">
        <v>1067</v>
      </c>
      <c r="L138" s="15" t="s">
        <v>450</v>
      </c>
      <c r="M138" s="75" t="s">
        <v>403</v>
      </c>
      <c r="N138" s="15" t="s">
        <v>451</v>
      </c>
      <c r="O138" s="17" t="s">
        <v>58</v>
      </c>
      <c r="P138" s="17" t="s">
        <v>452</v>
      </c>
      <c r="Q138" s="18"/>
      <c r="R138" s="48" t="s">
        <v>58</v>
      </c>
      <c r="S138" s="15" t="s">
        <v>231</v>
      </c>
      <c r="T138" s="15"/>
      <c r="U138" s="15"/>
      <c r="V138" s="75">
        <v>134</v>
      </c>
      <c r="W138" s="15">
        <f t="shared" ref="W138:X162" si="36">V138</f>
        <v>134</v>
      </c>
      <c r="X138" s="15">
        <f t="shared" si="36"/>
        <v>134</v>
      </c>
      <c r="Y138" s="15">
        <f>ROUNDDOWN(W138/HLOOKUP(D138,Table!$C$3:$D$4,2,0)*8,2)</f>
        <v>2.38</v>
      </c>
      <c r="Z138" s="15">
        <v>2.38</v>
      </c>
      <c r="AA138" s="15" t="s">
        <v>70</v>
      </c>
      <c r="AB138" s="19">
        <v>44008</v>
      </c>
      <c r="AC138" s="19">
        <v>43993</v>
      </c>
      <c r="AD138" s="19">
        <v>44008</v>
      </c>
      <c r="AE138" s="19">
        <v>43998</v>
      </c>
      <c r="AF138" s="19">
        <v>43998</v>
      </c>
      <c r="AG138" s="19" t="s">
        <v>164</v>
      </c>
      <c r="AH138" s="29">
        <v>1</v>
      </c>
      <c r="AI138" s="29">
        <v>1</v>
      </c>
      <c r="AJ138" s="29">
        <v>1</v>
      </c>
      <c r="AK138" s="19" t="s">
        <v>144</v>
      </c>
      <c r="AL138" s="17" t="s">
        <v>58</v>
      </c>
      <c r="AM138" s="17" t="s">
        <v>58</v>
      </c>
      <c r="AN138" s="17" t="s">
        <v>58</v>
      </c>
    </row>
    <row r="139" spans="2:40" hidden="1" x14ac:dyDescent="0.25">
      <c r="B139" s="92">
        <f t="shared" si="35"/>
        <v>80</v>
      </c>
      <c r="C139" s="16">
        <v>20200611</v>
      </c>
      <c r="D139" s="15" t="s">
        <v>3</v>
      </c>
      <c r="E139" s="75" t="s">
        <v>402</v>
      </c>
      <c r="F139" s="100" t="s">
        <v>516</v>
      </c>
      <c r="G139" s="75">
        <v>1516895</v>
      </c>
      <c r="H139" s="48" t="s">
        <v>58</v>
      </c>
      <c r="I139" s="75" t="s">
        <v>430</v>
      </c>
      <c r="J139" s="48" t="s">
        <v>58</v>
      </c>
      <c r="K139" s="15" t="s">
        <v>1067</v>
      </c>
      <c r="L139" s="15" t="s">
        <v>450</v>
      </c>
      <c r="M139" s="75" t="s">
        <v>403</v>
      </c>
      <c r="N139" s="15" t="s">
        <v>451</v>
      </c>
      <c r="O139" s="17" t="s">
        <v>58</v>
      </c>
      <c r="P139" s="17" t="s">
        <v>452</v>
      </c>
      <c r="Q139" s="18"/>
      <c r="R139" s="48" t="s">
        <v>58</v>
      </c>
      <c r="S139" s="15" t="s">
        <v>231</v>
      </c>
      <c r="T139" s="15"/>
      <c r="U139" s="15"/>
      <c r="V139" s="75">
        <v>113</v>
      </c>
      <c r="W139" s="15">
        <f t="shared" si="36"/>
        <v>113</v>
      </c>
      <c r="X139" s="15">
        <f t="shared" si="36"/>
        <v>113</v>
      </c>
      <c r="Y139" s="15">
        <f>ROUNDDOWN(W139/HLOOKUP(D139,Table!$C$3:$D$4,2,0)*8,2)</f>
        <v>2</v>
      </c>
      <c r="Z139" s="15">
        <v>2</v>
      </c>
      <c r="AA139" s="15" t="s">
        <v>70</v>
      </c>
      <c r="AB139" s="19">
        <v>44008</v>
      </c>
      <c r="AC139" s="19">
        <v>43993</v>
      </c>
      <c r="AD139" s="19">
        <v>44008</v>
      </c>
      <c r="AE139" s="19">
        <v>43998</v>
      </c>
      <c r="AF139" s="19">
        <v>43998</v>
      </c>
      <c r="AG139" s="19" t="s">
        <v>164</v>
      </c>
      <c r="AH139" s="29">
        <v>1</v>
      </c>
      <c r="AI139" s="29">
        <v>1</v>
      </c>
      <c r="AJ139" s="29">
        <v>1</v>
      </c>
      <c r="AK139" s="19" t="s">
        <v>144</v>
      </c>
      <c r="AL139" s="17" t="s">
        <v>58</v>
      </c>
      <c r="AM139" s="17" t="s">
        <v>58</v>
      </c>
      <c r="AN139" s="17" t="s">
        <v>58</v>
      </c>
    </row>
    <row r="140" spans="2:40" hidden="1" x14ac:dyDescent="0.25">
      <c r="B140" s="92">
        <f t="shared" si="35"/>
        <v>81</v>
      </c>
      <c r="C140" s="16">
        <v>20200611</v>
      </c>
      <c r="D140" s="15" t="s">
        <v>3</v>
      </c>
      <c r="E140" s="75" t="s">
        <v>402</v>
      </c>
      <c r="F140" s="100" t="s">
        <v>517</v>
      </c>
      <c r="G140" s="75">
        <v>1516895</v>
      </c>
      <c r="H140" s="48" t="s">
        <v>58</v>
      </c>
      <c r="I140" s="75" t="s">
        <v>431</v>
      </c>
      <c r="J140" s="48" t="s">
        <v>58</v>
      </c>
      <c r="K140" s="15" t="s">
        <v>1067</v>
      </c>
      <c r="L140" s="15" t="s">
        <v>450</v>
      </c>
      <c r="M140" s="75" t="s">
        <v>403</v>
      </c>
      <c r="N140" s="15" t="s">
        <v>451</v>
      </c>
      <c r="O140" s="17" t="s">
        <v>58</v>
      </c>
      <c r="P140" s="17" t="s">
        <v>452</v>
      </c>
      <c r="Q140" s="18"/>
      <c r="R140" s="48" t="s">
        <v>58</v>
      </c>
      <c r="S140" s="15" t="s">
        <v>231</v>
      </c>
      <c r="T140" s="15"/>
      <c r="U140" s="15"/>
      <c r="V140" s="75">
        <v>150</v>
      </c>
      <c r="W140" s="15">
        <f t="shared" si="36"/>
        <v>150</v>
      </c>
      <c r="X140" s="15">
        <f t="shared" si="36"/>
        <v>150</v>
      </c>
      <c r="Y140" s="15">
        <f>ROUNDDOWN(W140/HLOOKUP(D140,Table!$C$3:$D$4,2,0)*8,2)</f>
        <v>2.66</v>
      </c>
      <c r="Z140" s="15">
        <v>2.6</v>
      </c>
      <c r="AA140" s="15" t="s">
        <v>70</v>
      </c>
      <c r="AB140" s="19">
        <v>44008</v>
      </c>
      <c r="AC140" s="19">
        <v>43993</v>
      </c>
      <c r="AD140" s="19">
        <v>44008</v>
      </c>
      <c r="AE140" s="19">
        <v>43998</v>
      </c>
      <c r="AF140" s="19">
        <v>43998</v>
      </c>
      <c r="AG140" s="19" t="s">
        <v>164</v>
      </c>
      <c r="AH140" s="29">
        <v>1</v>
      </c>
      <c r="AI140" s="29">
        <v>1</v>
      </c>
      <c r="AJ140" s="29">
        <v>1</v>
      </c>
      <c r="AK140" s="19" t="s">
        <v>144</v>
      </c>
      <c r="AL140" s="17" t="s">
        <v>58</v>
      </c>
      <c r="AM140" s="17" t="s">
        <v>58</v>
      </c>
      <c r="AN140" s="17" t="s">
        <v>58</v>
      </c>
    </row>
    <row r="141" spans="2:40" hidden="1" x14ac:dyDescent="0.25">
      <c r="B141" s="92">
        <f t="shared" si="35"/>
        <v>82</v>
      </c>
      <c r="C141" s="16">
        <v>20200611</v>
      </c>
      <c r="D141" s="15" t="s">
        <v>3</v>
      </c>
      <c r="E141" s="75" t="s">
        <v>402</v>
      </c>
      <c r="F141" s="117" t="s">
        <v>487</v>
      </c>
      <c r="G141" s="75">
        <v>1516895</v>
      </c>
      <c r="H141" s="48" t="s">
        <v>58</v>
      </c>
      <c r="I141" s="75" t="s">
        <v>217</v>
      </c>
      <c r="J141" s="48" t="s">
        <v>58</v>
      </c>
      <c r="K141" s="15" t="s">
        <v>1068</v>
      </c>
      <c r="L141" s="15" t="s">
        <v>450</v>
      </c>
      <c r="M141" s="75" t="s">
        <v>403</v>
      </c>
      <c r="N141" s="16" t="s">
        <v>451</v>
      </c>
      <c r="O141" s="17" t="s">
        <v>58</v>
      </c>
      <c r="P141" s="17" t="s">
        <v>452</v>
      </c>
      <c r="Q141" s="18"/>
      <c r="R141" s="48" t="s">
        <v>58</v>
      </c>
      <c r="S141" s="15" t="s">
        <v>64</v>
      </c>
      <c r="T141" s="15"/>
      <c r="U141" s="15"/>
      <c r="V141" s="75">
        <v>300</v>
      </c>
      <c r="W141" s="15">
        <f t="shared" si="36"/>
        <v>300</v>
      </c>
      <c r="X141" s="16">
        <f t="shared" ref="X141:X151" si="37">W141</f>
        <v>300</v>
      </c>
      <c r="Y141" s="15">
        <f>ROUNDDOWN(W141/HLOOKUP(D141,Table!$C$3:$D$4,2,0)*8,2)</f>
        <v>5.33</v>
      </c>
      <c r="Z141" s="15">
        <f t="shared" ref="Z141:Z146" si="38">Y141</f>
        <v>5.33</v>
      </c>
      <c r="AA141" s="15" t="s">
        <v>70</v>
      </c>
      <c r="AB141" s="19">
        <v>44008</v>
      </c>
      <c r="AC141" s="19">
        <v>43993</v>
      </c>
      <c r="AD141" s="19">
        <v>44008</v>
      </c>
      <c r="AE141" s="19">
        <v>44004</v>
      </c>
      <c r="AF141" s="19">
        <v>44004</v>
      </c>
      <c r="AG141" s="19" t="s">
        <v>165</v>
      </c>
      <c r="AH141" s="29">
        <v>0.98</v>
      </c>
      <c r="AI141" s="29">
        <v>0.96</v>
      </c>
      <c r="AJ141" s="29">
        <v>1</v>
      </c>
      <c r="AK141" s="19" t="s">
        <v>144</v>
      </c>
      <c r="AL141" s="17" t="s">
        <v>876</v>
      </c>
      <c r="AM141" s="17" t="s">
        <v>58</v>
      </c>
      <c r="AN141" s="17" t="s">
        <v>58</v>
      </c>
    </row>
    <row r="142" spans="2:40" hidden="1" x14ac:dyDescent="0.25">
      <c r="B142" s="92">
        <f t="shared" si="35"/>
        <v>83</v>
      </c>
      <c r="C142" s="16">
        <v>20200611</v>
      </c>
      <c r="D142" s="15" t="s">
        <v>3</v>
      </c>
      <c r="E142" s="75" t="s">
        <v>402</v>
      </c>
      <c r="F142" s="100" t="s">
        <v>518</v>
      </c>
      <c r="G142" s="75">
        <v>1516895</v>
      </c>
      <c r="H142" s="48" t="s">
        <v>58</v>
      </c>
      <c r="I142" s="75" t="s">
        <v>209</v>
      </c>
      <c r="J142" s="48" t="s">
        <v>58</v>
      </c>
      <c r="K142" s="15" t="s">
        <v>1068</v>
      </c>
      <c r="L142" s="15" t="s">
        <v>450</v>
      </c>
      <c r="M142" s="75" t="s">
        <v>403</v>
      </c>
      <c r="N142" s="15" t="s">
        <v>451</v>
      </c>
      <c r="O142" s="17" t="s">
        <v>58</v>
      </c>
      <c r="P142" s="17" t="s">
        <v>452</v>
      </c>
      <c r="Q142" s="18"/>
      <c r="R142" s="48" t="s">
        <v>58</v>
      </c>
      <c r="S142" s="15" t="s">
        <v>64</v>
      </c>
      <c r="T142" s="15"/>
      <c r="U142" s="15"/>
      <c r="V142" s="75">
        <v>237</v>
      </c>
      <c r="W142" s="15">
        <f t="shared" si="36"/>
        <v>237</v>
      </c>
      <c r="X142" s="16">
        <f t="shared" si="37"/>
        <v>237</v>
      </c>
      <c r="Y142" s="15">
        <f>ROUNDDOWN(W142/HLOOKUP(D142,Table!$C$3:$D$4,2,0)*8,2)</f>
        <v>4.21</v>
      </c>
      <c r="Z142" s="15">
        <f t="shared" si="38"/>
        <v>4.21</v>
      </c>
      <c r="AA142" s="15" t="s">
        <v>70</v>
      </c>
      <c r="AB142" s="19">
        <v>44008</v>
      </c>
      <c r="AC142" s="19">
        <v>43993</v>
      </c>
      <c r="AD142" s="19">
        <v>44008</v>
      </c>
      <c r="AE142" s="19">
        <v>44004</v>
      </c>
      <c r="AF142" s="19">
        <v>44004</v>
      </c>
      <c r="AG142" s="19" t="s">
        <v>164</v>
      </c>
      <c r="AH142" s="29">
        <v>1</v>
      </c>
      <c r="AI142" s="29">
        <v>1</v>
      </c>
      <c r="AJ142" s="29">
        <v>1</v>
      </c>
      <c r="AK142" s="19" t="s">
        <v>144</v>
      </c>
      <c r="AL142" s="17" t="s">
        <v>58</v>
      </c>
      <c r="AM142" s="17" t="s">
        <v>58</v>
      </c>
      <c r="AN142" s="17" t="s">
        <v>58</v>
      </c>
    </row>
    <row r="143" spans="2:40" hidden="1" x14ac:dyDescent="0.25">
      <c r="B143" s="92">
        <f t="shared" si="35"/>
        <v>84</v>
      </c>
      <c r="C143" s="16">
        <v>20200611</v>
      </c>
      <c r="D143" s="15" t="s">
        <v>3</v>
      </c>
      <c r="E143" s="75" t="s">
        <v>402</v>
      </c>
      <c r="F143" s="100" t="s">
        <v>519</v>
      </c>
      <c r="G143" s="75">
        <v>1516895</v>
      </c>
      <c r="H143" s="48" t="s">
        <v>58</v>
      </c>
      <c r="I143" s="75" t="s">
        <v>432</v>
      </c>
      <c r="J143" s="48" t="s">
        <v>58</v>
      </c>
      <c r="K143" s="15" t="s">
        <v>1068</v>
      </c>
      <c r="L143" s="15" t="s">
        <v>450</v>
      </c>
      <c r="M143" s="75" t="s">
        <v>403</v>
      </c>
      <c r="N143" s="15" t="s">
        <v>451</v>
      </c>
      <c r="O143" s="17" t="s">
        <v>58</v>
      </c>
      <c r="P143" s="17" t="s">
        <v>452</v>
      </c>
      <c r="Q143" s="18"/>
      <c r="R143" s="48" t="s">
        <v>58</v>
      </c>
      <c r="S143" s="15" t="s">
        <v>64</v>
      </c>
      <c r="T143" s="15"/>
      <c r="U143" s="15"/>
      <c r="V143" s="75">
        <v>59</v>
      </c>
      <c r="W143" s="15">
        <f t="shared" si="36"/>
        <v>59</v>
      </c>
      <c r="X143" s="16">
        <f t="shared" si="37"/>
        <v>59</v>
      </c>
      <c r="Y143" s="15">
        <f>ROUNDDOWN(W143/HLOOKUP(D143,Table!$C$3:$D$4,2,0)*8,2)</f>
        <v>1.04</v>
      </c>
      <c r="Z143" s="15">
        <f t="shared" si="38"/>
        <v>1.04</v>
      </c>
      <c r="AA143" s="15" t="s">
        <v>70</v>
      </c>
      <c r="AB143" s="19">
        <v>44008</v>
      </c>
      <c r="AC143" s="19">
        <v>43993</v>
      </c>
      <c r="AD143" s="19">
        <v>44008</v>
      </c>
      <c r="AE143" s="19">
        <v>44004</v>
      </c>
      <c r="AF143" s="19">
        <v>44004</v>
      </c>
      <c r="AG143" s="19" t="s">
        <v>164</v>
      </c>
      <c r="AH143" s="29">
        <v>1</v>
      </c>
      <c r="AI143" s="29">
        <v>1</v>
      </c>
      <c r="AJ143" s="29">
        <v>1</v>
      </c>
      <c r="AK143" s="19" t="s">
        <v>144</v>
      </c>
      <c r="AL143" s="17" t="s">
        <v>58</v>
      </c>
      <c r="AM143" s="17" t="s">
        <v>58</v>
      </c>
      <c r="AN143" s="17" t="s">
        <v>58</v>
      </c>
    </row>
    <row r="144" spans="2:40" hidden="1" x14ac:dyDescent="0.25">
      <c r="B144" s="92">
        <f t="shared" si="35"/>
        <v>85</v>
      </c>
      <c r="C144" s="16">
        <v>20200611</v>
      </c>
      <c r="D144" s="15" t="s">
        <v>3</v>
      </c>
      <c r="E144" s="75" t="s">
        <v>402</v>
      </c>
      <c r="F144" s="100" t="s">
        <v>520</v>
      </c>
      <c r="G144" s="75">
        <v>1516895</v>
      </c>
      <c r="H144" s="48" t="s">
        <v>58</v>
      </c>
      <c r="I144" s="75" t="s">
        <v>433</v>
      </c>
      <c r="J144" s="48" t="s">
        <v>58</v>
      </c>
      <c r="K144" s="15" t="s">
        <v>1068</v>
      </c>
      <c r="L144" s="15" t="s">
        <v>450</v>
      </c>
      <c r="M144" s="75" t="s">
        <v>403</v>
      </c>
      <c r="N144" s="15" t="s">
        <v>451</v>
      </c>
      <c r="O144" s="17" t="s">
        <v>58</v>
      </c>
      <c r="P144" s="17" t="s">
        <v>452</v>
      </c>
      <c r="Q144" s="18"/>
      <c r="R144" s="48" t="s">
        <v>58</v>
      </c>
      <c r="S144" s="15" t="s">
        <v>64</v>
      </c>
      <c r="T144" s="15"/>
      <c r="U144" s="15"/>
      <c r="V144" s="75">
        <v>30</v>
      </c>
      <c r="W144" s="15">
        <f t="shared" si="36"/>
        <v>30</v>
      </c>
      <c r="X144" s="16">
        <f t="shared" si="37"/>
        <v>30</v>
      </c>
      <c r="Y144" s="15">
        <f>ROUNDDOWN(W144/HLOOKUP(D144,Table!$C$3:$D$4,2,0)*8,2)</f>
        <v>0.53</v>
      </c>
      <c r="Z144" s="15">
        <f t="shared" si="38"/>
        <v>0.53</v>
      </c>
      <c r="AA144" s="15" t="s">
        <v>70</v>
      </c>
      <c r="AB144" s="19">
        <v>44008</v>
      </c>
      <c r="AC144" s="19">
        <v>43993</v>
      </c>
      <c r="AD144" s="19">
        <v>44008</v>
      </c>
      <c r="AE144" s="19">
        <v>44004</v>
      </c>
      <c r="AF144" s="19">
        <v>44004</v>
      </c>
      <c r="AG144" s="19" t="s">
        <v>164</v>
      </c>
      <c r="AH144" s="29">
        <v>1</v>
      </c>
      <c r="AI144" s="29">
        <v>1</v>
      </c>
      <c r="AJ144" s="29">
        <v>1</v>
      </c>
      <c r="AK144" s="19" t="s">
        <v>144</v>
      </c>
      <c r="AL144" s="17" t="s">
        <v>58</v>
      </c>
      <c r="AM144" s="17" t="s">
        <v>58</v>
      </c>
      <c r="AN144" s="17" t="s">
        <v>58</v>
      </c>
    </row>
    <row r="145" spans="2:40" hidden="1" x14ac:dyDescent="0.25">
      <c r="B145" s="92">
        <f t="shared" si="35"/>
        <v>86</v>
      </c>
      <c r="C145" s="16">
        <v>20200611</v>
      </c>
      <c r="D145" s="15" t="s">
        <v>3</v>
      </c>
      <c r="E145" s="75" t="s">
        <v>402</v>
      </c>
      <c r="F145" s="100" t="s">
        <v>521</v>
      </c>
      <c r="G145" s="75">
        <v>1516895</v>
      </c>
      <c r="H145" s="48" t="s">
        <v>58</v>
      </c>
      <c r="I145" s="75" t="s">
        <v>434</v>
      </c>
      <c r="J145" s="48" t="s">
        <v>58</v>
      </c>
      <c r="K145" s="15" t="s">
        <v>1068</v>
      </c>
      <c r="L145" s="15" t="s">
        <v>450</v>
      </c>
      <c r="M145" s="75" t="s">
        <v>403</v>
      </c>
      <c r="N145" s="15" t="s">
        <v>451</v>
      </c>
      <c r="O145" s="17" t="s">
        <v>58</v>
      </c>
      <c r="P145" s="17" t="s">
        <v>452</v>
      </c>
      <c r="Q145" s="18"/>
      <c r="R145" s="48" t="s">
        <v>58</v>
      </c>
      <c r="S145" s="15" t="s">
        <v>64</v>
      </c>
      <c r="T145" s="15"/>
      <c r="U145" s="15"/>
      <c r="V145" s="75">
        <v>101</v>
      </c>
      <c r="W145" s="15">
        <f t="shared" si="36"/>
        <v>101</v>
      </c>
      <c r="X145" s="16">
        <f t="shared" si="37"/>
        <v>101</v>
      </c>
      <c r="Y145" s="15">
        <f>ROUNDDOWN(W145/HLOOKUP(D145,Table!$C$3:$D$4,2,0)*8,2)</f>
        <v>1.79</v>
      </c>
      <c r="Z145" s="15">
        <f t="shared" si="38"/>
        <v>1.79</v>
      </c>
      <c r="AA145" s="15" t="s">
        <v>70</v>
      </c>
      <c r="AB145" s="19">
        <v>44008</v>
      </c>
      <c r="AC145" s="19">
        <v>43993</v>
      </c>
      <c r="AD145" s="19">
        <v>44008</v>
      </c>
      <c r="AE145" s="19">
        <v>44004</v>
      </c>
      <c r="AF145" s="19">
        <v>44004</v>
      </c>
      <c r="AG145" s="19" t="s">
        <v>164</v>
      </c>
      <c r="AH145" s="29">
        <v>1</v>
      </c>
      <c r="AI145" s="29">
        <v>1</v>
      </c>
      <c r="AJ145" s="29">
        <v>1</v>
      </c>
      <c r="AK145" s="19" t="s">
        <v>144</v>
      </c>
      <c r="AL145" s="17" t="s">
        <v>58</v>
      </c>
      <c r="AM145" s="17" t="s">
        <v>58</v>
      </c>
      <c r="AN145" s="17" t="s">
        <v>58</v>
      </c>
    </row>
    <row r="146" spans="2:40" hidden="1" x14ac:dyDescent="0.25">
      <c r="B146" s="92">
        <f t="shared" si="35"/>
        <v>87</v>
      </c>
      <c r="C146" s="16">
        <v>20200611</v>
      </c>
      <c r="D146" s="15" t="s">
        <v>3</v>
      </c>
      <c r="E146" s="75" t="s">
        <v>402</v>
      </c>
      <c r="F146" s="100" t="s">
        <v>522</v>
      </c>
      <c r="G146" s="75">
        <v>1516895</v>
      </c>
      <c r="H146" s="48" t="s">
        <v>58</v>
      </c>
      <c r="I146" s="75" t="s">
        <v>435</v>
      </c>
      <c r="J146" s="48" t="s">
        <v>58</v>
      </c>
      <c r="K146" s="15" t="s">
        <v>1068</v>
      </c>
      <c r="L146" s="15" t="s">
        <v>450</v>
      </c>
      <c r="M146" s="75" t="s">
        <v>403</v>
      </c>
      <c r="N146" s="15" t="s">
        <v>451</v>
      </c>
      <c r="O146" s="17" t="s">
        <v>58</v>
      </c>
      <c r="P146" s="17" t="s">
        <v>452</v>
      </c>
      <c r="Q146" s="18"/>
      <c r="R146" s="48" t="s">
        <v>58</v>
      </c>
      <c r="S146" s="15" t="s">
        <v>64</v>
      </c>
      <c r="T146" s="15"/>
      <c r="U146" s="15"/>
      <c r="V146" s="75">
        <v>101</v>
      </c>
      <c r="W146" s="15">
        <f t="shared" si="36"/>
        <v>101</v>
      </c>
      <c r="X146" s="16">
        <f t="shared" si="37"/>
        <v>101</v>
      </c>
      <c r="Y146" s="15">
        <f>ROUNDDOWN(W146/HLOOKUP(D146,Table!$C$3:$D$4,2,0)*8,2)</f>
        <v>1.79</v>
      </c>
      <c r="Z146" s="15">
        <f t="shared" si="38"/>
        <v>1.79</v>
      </c>
      <c r="AA146" s="15" t="s">
        <v>70</v>
      </c>
      <c r="AB146" s="19">
        <v>44008</v>
      </c>
      <c r="AC146" s="19">
        <v>43993</v>
      </c>
      <c r="AD146" s="19">
        <v>44008</v>
      </c>
      <c r="AE146" s="19">
        <v>44004</v>
      </c>
      <c r="AF146" s="19">
        <v>44004</v>
      </c>
      <c r="AG146" s="19" t="s">
        <v>164</v>
      </c>
      <c r="AH146" s="29">
        <v>1</v>
      </c>
      <c r="AI146" s="29">
        <v>1</v>
      </c>
      <c r="AJ146" s="29">
        <v>1</v>
      </c>
      <c r="AK146" s="19" t="s">
        <v>144</v>
      </c>
      <c r="AL146" s="17" t="s">
        <v>58</v>
      </c>
      <c r="AM146" s="17" t="s">
        <v>58</v>
      </c>
      <c r="AN146" s="17" t="s">
        <v>58</v>
      </c>
    </row>
    <row r="147" spans="2:40" hidden="1" x14ac:dyDescent="0.25">
      <c r="B147" s="92">
        <f t="shared" si="35"/>
        <v>88</v>
      </c>
      <c r="C147" s="16">
        <v>20200611</v>
      </c>
      <c r="D147" s="15" t="s">
        <v>3</v>
      </c>
      <c r="E147" s="75" t="s">
        <v>402</v>
      </c>
      <c r="F147" s="119" t="s">
        <v>488</v>
      </c>
      <c r="G147" s="75">
        <v>1516895</v>
      </c>
      <c r="H147" s="48" t="s">
        <v>58</v>
      </c>
      <c r="I147" s="75" t="s">
        <v>436</v>
      </c>
      <c r="J147" s="48" t="s">
        <v>58</v>
      </c>
      <c r="K147" s="15" t="s">
        <v>1067</v>
      </c>
      <c r="L147" s="15" t="s">
        <v>450</v>
      </c>
      <c r="M147" s="75" t="s">
        <v>403</v>
      </c>
      <c r="N147" s="15" t="s">
        <v>451</v>
      </c>
      <c r="O147" s="17" t="s">
        <v>58</v>
      </c>
      <c r="P147" s="17" t="s">
        <v>452</v>
      </c>
      <c r="Q147" s="18"/>
      <c r="R147" s="48" t="s">
        <v>58</v>
      </c>
      <c r="S147" s="15" t="s">
        <v>233</v>
      </c>
      <c r="T147" s="15"/>
      <c r="U147" s="15"/>
      <c r="V147" s="75">
        <v>15</v>
      </c>
      <c r="W147" s="15">
        <f t="shared" si="36"/>
        <v>15</v>
      </c>
      <c r="X147" s="15">
        <f t="shared" si="37"/>
        <v>15</v>
      </c>
      <c r="Y147" s="15">
        <f>ROUNDDOWN(W147/HLOOKUP(D147,Table!$C$3:$D$4,2,0)*8,2)</f>
        <v>0.26</v>
      </c>
      <c r="Z147" s="15">
        <v>0.2</v>
      </c>
      <c r="AA147" s="15" t="s">
        <v>70</v>
      </c>
      <c r="AB147" s="19">
        <v>44008</v>
      </c>
      <c r="AC147" s="19">
        <v>43993</v>
      </c>
      <c r="AD147" s="19">
        <v>44008</v>
      </c>
      <c r="AE147" s="19">
        <v>43998</v>
      </c>
      <c r="AF147" s="19">
        <v>43998</v>
      </c>
      <c r="AG147" s="19" t="s">
        <v>164</v>
      </c>
      <c r="AH147" s="29">
        <v>1</v>
      </c>
      <c r="AI147" s="29">
        <v>1</v>
      </c>
      <c r="AJ147" s="29">
        <v>1</v>
      </c>
      <c r="AK147" s="19" t="s">
        <v>144</v>
      </c>
      <c r="AL147" s="17" t="s">
        <v>58</v>
      </c>
      <c r="AM147" s="17" t="s">
        <v>58</v>
      </c>
      <c r="AN147" s="17" t="s">
        <v>58</v>
      </c>
    </row>
    <row r="148" spans="2:40" hidden="1" x14ac:dyDescent="0.25">
      <c r="B148" s="92">
        <f t="shared" si="35"/>
        <v>89</v>
      </c>
      <c r="C148" s="16">
        <v>20200611</v>
      </c>
      <c r="D148" s="15" t="s">
        <v>3</v>
      </c>
      <c r="E148" s="75" t="s">
        <v>402</v>
      </c>
      <c r="F148" s="122" t="s">
        <v>489</v>
      </c>
      <c r="G148" s="75">
        <v>1516895</v>
      </c>
      <c r="H148" s="48" t="s">
        <v>58</v>
      </c>
      <c r="I148" s="75" t="s">
        <v>437</v>
      </c>
      <c r="J148" s="48" t="s">
        <v>58</v>
      </c>
      <c r="K148" s="15" t="s">
        <v>1067</v>
      </c>
      <c r="L148" s="15" t="s">
        <v>450</v>
      </c>
      <c r="M148" s="75" t="s">
        <v>403</v>
      </c>
      <c r="N148" s="15" t="s">
        <v>451</v>
      </c>
      <c r="O148" s="17" t="s">
        <v>58</v>
      </c>
      <c r="P148" s="17" t="s">
        <v>452</v>
      </c>
      <c r="Q148" s="18"/>
      <c r="R148" s="48" t="s">
        <v>58</v>
      </c>
      <c r="S148" s="15" t="s">
        <v>233</v>
      </c>
      <c r="T148" s="15"/>
      <c r="U148" s="15"/>
      <c r="V148" s="75">
        <v>15</v>
      </c>
      <c r="W148" s="15">
        <f t="shared" si="36"/>
        <v>15</v>
      </c>
      <c r="X148" s="15">
        <f t="shared" si="37"/>
        <v>15</v>
      </c>
      <c r="Y148" s="15">
        <f>ROUNDDOWN(W148/HLOOKUP(D148,Table!$C$3:$D$4,2,0)*8,2)</f>
        <v>0.26</v>
      </c>
      <c r="Z148" s="15">
        <v>0.2</v>
      </c>
      <c r="AA148" s="15" t="s">
        <v>70</v>
      </c>
      <c r="AB148" s="19">
        <v>44008</v>
      </c>
      <c r="AC148" s="19">
        <v>43993</v>
      </c>
      <c r="AD148" s="19">
        <v>44008</v>
      </c>
      <c r="AE148" s="19">
        <v>43998</v>
      </c>
      <c r="AF148" s="19">
        <v>43998</v>
      </c>
      <c r="AG148" s="19" t="s">
        <v>164</v>
      </c>
      <c r="AH148" s="29">
        <v>1</v>
      </c>
      <c r="AI148" s="29">
        <v>1</v>
      </c>
      <c r="AJ148" s="29">
        <v>1</v>
      </c>
      <c r="AK148" s="19" t="s">
        <v>144</v>
      </c>
      <c r="AL148" s="17" t="s">
        <v>58</v>
      </c>
      <c r="AM148" s="17" t="s">
        <v>58</v>
      </c>
      <c r="AN148" s="17" t="s">
        <v>58</v>
      </c>
    </row>
    <row r="149" spans="2:40" hidden="1" x14ac:dyDescent="0.25">
      <c r="B149" s="92">
        <f t="shared" si="35"/>
        <v>90</v>
      </c>
      <c r="C149" s="16">
        <v>20200611</v>
      </c>
      <c r="D149" s="15" t="s">
        <v>3</v>
      </c>
      <c r="E149" s="75" t="s">
        <v>402</v>
      </c>
      <c r="F149" s="122" t="s">
        <v>490</v>
      </c>
      <c r="G149" s="75">
        <v>1516895</v>
      </c>
      <c r="H149" s="48" t="s">
        <v>58</v>
      </c>
      <c r="I149" s="75" t="s">
        <v>438</v>
      </c>
      <c r="J149" s="48" t="s">
        <v>58</v>
      </c>
      <c r="K149" s="15" t="s">
        <v>1067</v>
      </c>
      <c r="L149" s="15" t="s">
        <v>450</v>
      </c>
      <c r="M149" s="75" t="s">
        <v>403</v>
      </c>
      <c r="N149" s="15" t="s">
        <v>451</v>
      </c>
      <c r="O149" s="17" t="s">
        <v>58</v>
      </c>
      <c r="P149" s="17" t="s">
        <v>452</v>
      </c>
      <c r="Q149" s="18"/>
      <c r="R149" s="48" t="s">
        <v>58</v>
      </c>
      <c r="S149" s="15" t="s">
        <v>233</v>
      </c>
      <c r="T149" s="15"/>
      <c r="U149" s="15"/>
      <c r="V149" s="75">
        <v>15</v>
      </c>
      <c r="W149" s="15">
        <f t="shared" si="36"/>
        <v>15</v>
      </c>
      <c r="X149" s="15">
        <f t="shared" si="37"/>
        <v>15</v>
      </c>
      <c r="Y149" s="15">
        <f>ROUNDDOWN(W149/HLOOKUP(D149,Table!$C$3:$D$4,2,0)*8,2)</f>
        <v>0.26</v>
      </c>
      <c r="Z149" s="15">
        <v>0.2</v>
      </c>
      <c r="AA149" s="15" t="s">
        <v>70</v>
      </c>
      <c r="AB149" s="19">
        <v>44008</v>
      </c>
      <c r="AC149" s="19">
        <v>43993</v>
      </c>
      <c r="AD149" s="19">
        <v>44008</v>
      </c>
      <c r="AE149" s="19">
        <v>43998</v>
      </c>
      <c r="AF149" s="19">
        <v>43998</v>
      </c>
      <c r="AG149" s="19" t="s">
        <v>164</v>
      </c>
      <c r="AH149" s="29">
        <v>1</v>
      </c>
      <c r="AI149" s="29">
        <v>1</v>
      </c>
      <c r="AJ149" s="29">
        <v>1</v>
      </c>
      <c r="AK149" s="19" t="s">
        <v>144</v>
      </c>
      <c r="AL149" s="17" t="s">
        <v>58</v>
      </c>
      <c r="AM149" s="17" t="s">
        <v>58</v>
      </c>
      <c r="AN149" s="17" t="s">
        <v>58</v>
      </c>
    </row>
    <row r="150" spans="2:40" hidden="1" x14ac:dyDescent="0.25">
      <c r="B150" s="92">
        <f t="shared" si="35"/>
        <v>91</v>
      </c>
      <c r="C150" s="16">
        <v>20200611</v>
      </c>
      <c r="D150" s="15" t="s">
        <v>3</v>
      </c>
      <c r="E150" s="75" t="s">
        <v>402</v>
      </c>
      <c r="F150" s="122" t="s">
        <v>491</v>
      </c>
      <c r="G150" s="75">
        <v>1516895</v>
      </c>
      <c r="H150" s="48" t="s">
        <v>58</v>
      </c>
      <c r="I150" s="75" t="s">
        <v>439</v>
      </c>
      <c r="J150" s="48" t="s">
        <v>58</v>
      </c>
      <c r="K150" s="15" t="s">
        <v>1067</v>
      </c>
      <c r="L150" s="15" t="s">
        <v>450</v>
      </c>
      <c r="M150" s="75" t="s">
        <v>403</v>
      </c>
      <c r="N150" s="15" t="s">
        <v>451</v>
      </c>
      <c r="O150" s="17" t="s">
        <v>58</v>
      </c>
      <c r="P150" s="17" t="s">
        <v>452</v>
      </c>
      <c r="Q150" s="18"/>
      <c r="R150" s="48" t="s">
        <v>58</v>
      </c>
      <c r="S150" s="15" t="s">
        <v>233</v>
      </c>
      <c r="T150" s="15"/>
      <c r="U150" s="15"/>
      <c r="V150" s="75">
        <v>75</v>
      </c>
      <c r="W150" s="15">
        <f t="shared" si="36"/>
        <v>75</v>
      </c>
      <c r="X150" s="15">
        <f t="shared" si="37"/>
        <v>75</v>
      </c>
      <c r="Y150" s="15">
        <f>ROUNDDOWN(W150/HLOOKUP(D150,Table!$C$3:$D$4,2,0)*8,2)</f>
        <v>1.33</v>
      </c>
      <c r="Z150" s="15">
        <v>0.2</v>
      </c>
      <c r="AA150" s="15" t="s">
        <v>70</v>
      </c>
      <c r="AB150" s="19">
        <v>44008</v>
      </c>
      <c r="AC150" s="19">
        <v>43993</v>
      </c>
      <c r="AD150" s="19">
        <v>44008</v>
      </c>
      <c r="AE150" s="19">
        <v>43998</v>
      </c>
      <c r="AF150" s="19">
        <v>43998</v>
      </c>
      <c r="AG150" s="19" t="s">
        <v>164</v>
      </c>
      <c r="AH150" s="29">
        <v>1</v>
      </c>
      <c r="AI150" s="29">
        <v>1</v>
      </c>
      <c r="AJ150" s="29">
        <v>1</v>
      </c>
      <c r="AK150" s="19" t="s">
        <v>144</v>
      </c>
      <c r="AL150" s="17" t="s">
        <v>58</v>
      </c>
      <c r="AM150" s="17" t="s">
        <v>58</v>
      </c>
      <c r="AN150" s="17" t="s">
        <v>58</v>
      </c>
    </row>
    <row r="151" spans="2:40" hidden="1" x14ac:dyDescent="0.25">
      <c r="B151" s="92">
        <f t="shared" si="35"/>
        <v>92</v>
      </c>
      <c r="C151" s="16">
        <v>20200611</v>
      </c>
      <c r="D151" s="15" t="s">
        <v>3</v>
      </c>
      <c r="E151" s="75" t="s">
        <v>402</v>
      </c>
      <c r="F151" s="122" t="s">
        <v>492</v>
      </c>
      <c r="G151" s="75">
        <v>1516895</v>
      </c>
      <c r="H151" s="48" t="s">
        <v>58</v>
      </c>
      <c r="I151" s="75" t="s">
        <v>440</v>
      </c>
      <c r="J151" s="48" t="s">
        <v>58</v>
      </c>
      <c r="K151" s="15" t="s">
        <v>1067</v>
      </c>
      <c r="L151" s="15" t="s">
        <v>450</v>
      </c>
      <c r="M151" s="75" t="s">
        <v>403</v>
      </c>
      <c r="N151" s="15" t="s">
        <v>451</v>
      </c>
      <c r="O151" s="17" t="s">
        <v>58</v>
      </c>
      <c r="P151" s="17" t="s">
        <v>452</v>
      </c>
      <c r="Q151" s="18"/>
      <c r="R151" s="48" t="s">
        <v>58</v>
      </c>
      <c r="S151" s="15" t="s">
        <v>233</v>
      </c>
      <c r="T151" s="15"/>
      <c r="U151" s="15"/>
      <c r="V151" s="75">
        <v>15</v>
      </c>
      <c r="W151" s="15">
        <f t="shared" si="36"/>
        <v>15</v>
      </c>
      <c r="X151" s="15">
        <f t="shared" si="37"/>
        <v>15</v>
      </c>
      <c r="Y151" s="15">
        <f>ROUNDDOWN(W151/HLOOKUP(D151,Table!$C$3:$D$4,2,0)*8,2)</f>
        <v>0.26</v>
      </c>
      <c r="Z151" s="15">
        <v>0.2</v>
      </c>
      <c r="AA151" s="15" t="s">
        <v>70</v>
      </c>
      <c r="AB151" s="19">
        <v>44008</v>
      </c>
      <c r="AC151" s="19">
        <v>43993</v>
      </c>
      <c r="AD151" s="19">
        <v>44008</v>
      </c>
      <c r="AE151" s="19">
        <v>43998</v>
      </c>
      <c r="AF151" s="19">
        <v>43998</v>
      </c>
      <c r="AG151" s="19" t="s">
        <v>164</v>
      </c>
      <c r="AH151" s="29">
        <v>1</v>
      </c>
      <c r="AI151" s="29">
        <v>1</v>
      </c>
      <c r="AJ151" s="29">
        <v>1</v>
      </c>
      <c r="AK151" s="19" t="s">
        <v>144</v>
      </c>
      <c r="AL151" s="17" t="s">
        <v>58</v>
      </c>
      <c r="AM151" s="17" t="s">
        <v>58</v>
      </c>
      <c r="AN151" s="17" t="s">
        <v>58</v>
      </c>
    </row>
    <row r="152" spans="2:40" hidden="1" x14ac:dyDescent="0.25">
      <c r="B152" s="92">
        <f t="shared" si="35"/>
        <v>93</v>
      </c>
      <c r="C152" s="16">
        <v>20200611</v>
      </c>
      <c r="D152" s="15" t="s">
        <v>3</v>
      </c>
      <c r="E152" s="75" t="s">
        <v>402</v>
      </c>
      <c r="F152" s="122" t="s">
        <v>493</v>
      </c>
      <c r="G152" s="75">
        <v>1516895</v>
      </c>
      <c r="H152" s="48" t="s">
        <v>58</v>
      </c>
      <c r="I152" s="75" t="s">
        <v>441</v>
      </c>
      <c r="J152" s="48" t="s">
        <v>58</v>
      </c>
      <c r="K152" s="15" t="s">
        <v>1067</v>
      </c>
      <c r="L152" s="15" t="s">
        <v>450</v>
      </c>
      <c r="M152" s="75" t="s">
        <v>403</v>
      </c>
      <c r="N152" s="15" t="s">
        <v>451</v>
      </c>
      <c r="O152" s="17" t="s">
        <v>58</v>
      </c>
      <c r="P152" s="17" t="s">
        <v>452</v>
      </c>
      <c r="Q152" s="18"/>
      <c r="R152" s="48" t="s">
        <v>58</v>
      </c>
      <c r="S152" s="15" t="s">
        <v>232</v>
      </c>
      <c r="T152" s="15"/>
      <c r="U152" s="15"/>
      <c r="V152" s="75">
        <v>15</v>
      </c>
      <c r="W152" s="15">
        <f t="shared" si="36"/>
        <v>15</v>
      </c>
      <c r="X152" s="15">
        <f t="shared" si="36"/>
        <v>15</v>
      </c>
      <c r="Y152" s="15">
        <f>ROUNDDOWN(W152/HLOOKUP(D152,Table!$C$3:$D$4,2,0)*8,2)</f>
        <v>0.26</v>
      </c>
      <c r="Z152" s="15">
        <v>0.15</v>
      </c>
      <c r="AA152" s="15" t="s">
        <v>70</v>
      </c>
      <c r="AB152" s="19">
        <v>44008</v>
      </c>
      <c r="AC152" s="19">
        <v>43993</v>
      </c>
      <c r="AD152" s="19">
        <v>44008</v>
      </c>
      <c r="AE152" s="19">
        <v>43998</v>
      </c>
      <c r="AF152" s="19">
        <v>43998</v>
      </c>
      <c r="AG152" s="19" t="s">
        <v>164</v>
      </c>
      <c r="AH152" s="29">
        <v>1</v>
      </c>
      <c r="AI152" s="29">
        <v>1</v>
      </c>
      <c r="AJ152" s="29">
        <v>1</v>
      </c>
      <c r="AK152" s="19" t="s">
        <v>144</v>
      </c>
      <c r="AL152" s="17" t="s">
        <v>58</v>
      </c>
      <c r="AM152" s="17" t="s">
        <v>58</v>
      </c>
      <c r="AN152" s="17" t="s">
        <v>58</v>
      </c>
    </row>
    <row r="153" spans="2:40" hidden="1" x14ac:dyDescent="0.25">
      <c r="B153" s="92">
        <f t="shared" si="35"/>
        <v>94</v>
      </c>
      <c r="C153" s="16">
        <v>20200611</v>
      </c>
      <c r="D153" s="15" t="s">
        <v>3</v>
      </c>
      <c r="E153" s="75" t="s">
        <v>402</v>
      </c>
      <c r="F153" s="122" t="s">
        <v>494</v>
      </c>
      <c r="G153" s="75">
        <v>1516895</v>
      </c>
      <c r="H153" s="48" t="s">
        <v>58</v>
      </c>
      <c r="I153" s="75" t="s">
        <v>442</v>
      </c>
      <c r="J153" s="48" t="s">
        <v>58</v>
      </c>
      <c r="K153" s="15" t="s">
        <v>1067</v>
      </c>
      <c r="L153" s="15" t="s">
        <v>450</v>
      </c>
      <c r="M153" s="75" t="s">
        <v>403</v>
      </c>
      <c r="N153" s="15" t="s">
        <v>451</v>
      </c>
      <c r="O153" s="17" t="s">
        <v>58</v>
      </c>
      <c r="P153" s="17" t="s">
        <v>452</v>
      </c>
      <c r="Q153" s="18"/>
      <c r="R153" s="48" t="s">
        <v>58</v>
      </c>
      <c r="S153" s="15" t="s">
        <v>232</v>
      </c>
      <c r="T153" s="15"/>
      <c r="U153" s="15"/>
      <c r="V153" s="75">
        <v>15</v>
      </c>
      <c r="W153" s="15">
        <f t="shared" si="36"/>
        <v>15</v>
      </c>
      <c r="X153" s="15">
        <f t="shared" si="36"/>
        <v>15</v>
      </c>
      <c r="Y153" s="15">
        <f>ROUNDDOWN(W153/HLOOKUP(D153,Table!$C$3:$D$4,2,0)*8,2)</f>
        <v>0.26</v>
      </c>
      <c r="Z153" s="15">
        <v>0.5</v>
      </c>
      <c r="AA153" s="15" t="s">
        <v>70</v>
      </c>
      <c r="AB153" s="19">
        <v>44008</v>
      </c>
      <c r="AC153" s="19">
        <v>43993</v>
      </c>
      <c r="AD153" s="19">
        <v>44008</v>
      </c>
      <c r="AE153" s="19">
        <v>43998</v>
      </c>
      <c r="AF153" s="19">
        <v>43998</v>
      </c>
      <c r="AG153" s="19" t="s">
        <v>164</v>
      </c>
      <c r="AH153" s="29">
        <v>1</v>
      </c>
      <c r="AI153" s="29">
        <v>1</v>
      </c>
      <c r="AJ153" s="29">
        <v>1</v>
      </c>
      <c r="AK153" s="19" t="s">
        <v>144</v>
      </c>
      <c r="AL153" s="17" t="s">
        <v>58</v>
      </c>
      <c r="AM153" s="17" t="s">
        <v>58</v>
      </c>
      <c r="AN153" s="17" t="s">
        <v>58</v>
      </c>
    </row>
    <row r="154" spans="2:40" hidden="1" x14ac:dyDescent="0.25">
      <c r="B154" s="92">
        <f t="shared" si="35"/>
        <v>95</v>
      </c>
      <c r="C154" s="16">
        <v>20200611</v>
      </c>
      <c r="D154" s="15" t="s">
        <v>3</v>
      </c>
      <c r="E154" s="75" t="s">
        <v>402</v>
      </c>
      <c r="F154" s="122" t="s">
        <v>1265</v>
      </c>
      <c r="G154" s="75">
        <v>1516895</v>
      </c>
      <c r="H154" s="48" t="s">
        <v>58</v>
      </c>
      <c r="I154" s="75" t="s">
        <v>443</v>
      </c>
      <c r="J154" s="48" t="s">
        <v>58</v>
      </c>
      <c r="K154" s="15" t="s">
        <v>1067</v>
      </c>
      <c r="L154" s="15" t="s">
        <v>450</v>
      </c>
      <c r="M154" s="75" t="s">
        <v>403</v>
      </c>
      <c r="N154" s="15" t="s">
        <v>451</v>
      </c>
      <c r="O154" s="17" t="s">
        <v>58</v>
      </c>
      <c r="P154" s="17" t="s">
        <v>452</v>
      </c>
      <c r="Q154" s="18"/>
      <c r="R154" s="48" t="s">
        <v>58</v>
      </c>
      <c r="S154" s="15" t="s">
        <v>232</v>
      </c>
      <c r="T154" s="15"/>
      <c r="U154" s="15"/>
      <c r="V154" s="75">
        <v>12</v>
      </c>
      <c r="W154" s="15">
        <f t="shared" si="36"/>
        <v>12</v>
      </c>
      <c r="X154" s="15">
        <f t="shared" si="36"/>
        <v>12</v>
      </c>
      <c r="Y154" s="15">
        <f>ROUNDDOWN(W154/HLOOKUP(D154,Table!$C$3:$D$4,2,0)*8,2)</f>
        <v>0.21</v>
      </c>
      <c r="Z154" s="15">
        <v>0.15</v>
      </c>
      <c r="AA154" s="15" t="s">
        <v>70</v>
      </c>
      <c r="AB154" s="19">
        <v>44008</v>
      </c>
      <c r="AC154" s="19">
        <v>43993</v>
      </c>
      <c r="AD154" s="19">
        <v>44008</v>
      </c>
      <c r="AE154" s="19">
        <v>43998</v>
      </c>
      <c r="AF154" s="19">
        <v>43998</v>
      </c>
      <c r="AG154" s="19" t="s">
        <v>164</v>
      </c>
      <c r="AH154" s="29">
        <v>1</v>
      </c>
      <c r="AI154" s="29">
        <v>1</v>
      </c>
      <c r="AJ154" s="29">
        <v>1</v>
      </c>
      <c r="AK154" s="19" t="s">
        <v>144</v>
      </c>
      <c r="AL154" s="17" t="s">
        <v>58</v>
      </c>
      <c r="AM154" s="17" t="s">
        <v>58</v>
      </c>
      <c r="AN154" s="17" t="s">
        <v>58</v>
      </c>
    </row>
    <row r="155" spans="2:40" hidden="1" x14ac:dyDescent="0.25">
      <c r="B155" s="92">
        <f t="shared" si="35"/>
        <v>96</v>
      </c>
      <c r="C155" s="16">
        <v>20200611</v>
      </c>
      <c r="D155" s="15" t="s">
        <v>3</v>
      </c>
      <c r="E155" s="75" t="s">
        <v>402</v>
      </c>
      <c r="F155" s="122" t="s">
        <v>1266</v>
      </c>
      <c r="G155" s="75">
        <v>1516895</v>
      </c>
      <c r="H155" s="48" t="s">
        <v>58</v>
      </c>
      <c r="I155" s="75" t="s">
        <v>444</v>
      </c>
      <c r="J155" s="48" t="s">
        <v>58</v>
      </c>
      <c r="K155" s="15" t="s">
        <v>1067</v>
      </c>
      <c r="L155" s="15" t="s">
        <v>450</v>
      </c>
      <c r="M155" s="75" t="s">
        <v>403</v>
      </c>
      <c r="N155" s="15" t="s">
        <v>451</v>
      </c>
      <c r="O155" s="17" t="s">
        <v>58</v>
      </c>
      <c r="P155" s="17" t="s">
        <v>452</v>
      </c>
      <c r="Q155" s="18"/>
      <c r="R155" s="48" t="s">
        <v>58</v>
      </c>
      <c r="S155" s="15" t="s">
        <v>232</v>
      </c>
      <c r="T155" s="15"/>
      <c r="U155" s="15"/>
      <c r="V155" s="75">
        <v>22</v>
      </c>
      <c r="W155" s="15">
        <f t="shared" si="36"/>
        <v>22</v>
      </c>
      <c r="X155" s="15">
        <f t="shared" si="36"/>
        <v>22</v>
      </c>
      <c r="Y155" s="15">
        <f>ROUNDDOWN(W155/HLOOKUP(D155,Table!$C$3:$D$4,2,0)*8,2)</f>
        <v>0.39</v>
      </c>
      <c r="Z155" s="15">
        <v>0.15</v>
      </c>
      <c r="AA155" s="15" t="s">
        <v>70</v>
      </c>
      <c r="AB155" s="19">
        <v>44008</v>
      </c>
      <c r="AC155" s="19">
        <v>43993</v>
      </c>
      <c r="AD155" s="19">
        <v>44008</v>
      </c>
      <c r="AE155" s="19">
        <v>43998</v>
      </c>
      <c r="AF155" s="19">
        <v>43998</v>
      </c>
      <c r="AG155" s="19" t="s">
        <v>164</v>
      </c>
      <c r="AH155" s="29">
        <v>1</v>
      </c>
      <c r="AI155" s="29">
        <v>1</v>
      </c>
      <c r="AJ155" s="29">
        <v>1</v>
      </c>
      <c r="AK155" s="19" t="s">
        <v>144</v>
      </c>
      <c r="AL155" s="17" t="s">
        <v>58</v>
      </c>
      <c r="AM155" s="17" t="s">
        <v>58</v>
      </c>
      <c r="AN155" s="17" t="s">
        <v>58</v>
      </c>
    </row>
    <row r="156" spans="2:40" hidden="1" x14ac:dyDescent="0.25">
      <c r="B156" s="92">
        <f t="shared" si="35"/>
        <v>97</v>
      </c>
      <c r="C156" s="16">
        <v>20200611</v>
      </c>
      <c r="D156" s="15" t="s">
        <v>3</v>
      </c>
      <c r="E156" s="75" t="s">
        <v>402</v>
      </c>
      <c r="F156" s="122" t="s">
        <v>1267</v>
      </c>
      <c r="G156" s="75">
        <v>1516895</v>
      </c>
      <c r="H156" s="48" t="s">
        <v>58</v>
      </c>
      <c r="I156" s="75" t="s">
        <v>445</v>
      </c>
      <c r="J156" s="48" t="s">
        <v>58</v>
      </c>
      <c r="K156" s="15" t="s">
        <v>1067</v>
      </c>
      <c r="L156" s="15" t="s">
        <v>450</v>
      </c>
      <c r="M156" s="75" t="s">
        <v>403</v>
      </c>
      <c r="N156" s="15" t="s">
        <v>451</v>
      </c>
      <c r="O156" s="17" t="s">
        <v>58</v>
      </c>
      <c r="P156" s="17" t="s">
        <v>452</v>
      </c>
      <c r="Q156" s="18"/>
      <c r="R156" s="48" t="s">
        <v>58</v>
      </c>
      <c r="S156" s="15" t="s">
        <v>232</v>
      </c>
      <c r="T156" s="15"/>
      <c r="U156" s="15"/>
      <c r="V156" s="75">
        <v>30</v>
      </c>
      <c r="W156" s="15">
        <f t="shared" si="36"/>
        <v>30</v>
      </c>
      <c r="X156" s="15">
        <f t="shared" si="36"/>
        <v>30</v>
      </c>
      <c r="Y156" s="15">
        <f>ROUNDDOWN(W156/HLOOKUP(D156,Table!$C$3:$D$4,2,0)*8,2)</f>
        <v>0.53</v>
      </c>
      <c r="Z156" s="15">
        <v>0.3</v>
      </c>
      <c r="AA156" s="15" t="s">
        <v>70</v>
      </c>
      <c r="AB156" s="19">
        <v>44008</v>
      </c>
      <c r="AC156" s="19">
        <v>43993</v>
      </c>
      <c r="AD156" s="19">
        <v>44008</v>
      </c>
      <c r="AE156" s="19">
        <v>43998</v>
      </c>
      <c r="AF156" s="19">
        <v>43998</v>
      </c>
      <c r="AG156" s="19" t="s">
        <v>164</v>
      </c>
      <c r="AH156" s="29">
        <v>1</v>
      </c>
      <c r="AI156" s="29">
        <v>1</v>
      </c>
      <c r="AJ156" s="29">
        <v>1</v>
      </c>
      <c r="AK156" s="19" t="s">
        <v>144</v>
      </c>
      <c r="AL156" s="17" t="s">
        <v>58</v>
      </c>
      <c r="AM156" s="17" t="s">
        <v>58</v>
      </c>
      <c r="AN156" s="17" t="s">
        <v>58</v>
      </c>
    </row>
    <row r="157" spans="2:40" hidden="1" x14ac:dyDescent="0.25">
      <c r="B157" s="92">
        <f t="shared" si="35"/>
        <v>98</v>
      </c>
      <c r="C157" s="16">
        <v>20200611</v>
      </c>
      <c r="D157" s="15" t="s">
        <v>3</v>
      </c>
      <c r="E157" s="75" t="s">
        <v>402</v>
      </c>
      <c r="F157" s="122" t="s">
        <v>495</v>
      </c>
      <c r="G157" s="75">
        <v>1516895</v>
      </c>
      <c r="H157" s="48" t="s">
        <v>58</v>
      </c>
      <c r="I157" s="75" t="s">
        <v>152</v>
      </c>
      <c r="J157" s="48" t="s">
        <v>58</v>
      </c>
      <c r="K157" s="15" t="s">
        <v>1067</v>
      </c>
      <c r="L157" s="15" t="s">
        <v>450</v>
      </c>
      <c r="M157" s="75" t="s">
        <v>403</v>
      </c>
      <c r="N157" s="15" t="s">
        <v>451</v>
      </c>
      <c r="O157" s="17" t="s">
        <v>58</v>
      </c>
      <c r="P157" s="17" t="s">
        <v>452</v>
      </c>
      <c r="Q157" s="18"/>
      <c r="R157" s="48" t="s">
        <v>58</v>
      </c>
      <c r="S157" s="15" t="s">
        <v>232</v>
      </c>
      <c r="T157" s="15"/>
      <c r="U157" s="15"/>
      <c r="V157" s="75">
        <v>65</v>
      </c>
      <c r="W157" s="15">
        <f t="shared" si="36"/>
        <v>65</v>
      </c>
      <c r="X157" s="15">
        <f t="shared" si="36"/>
        <v>65</v>
      </c>
      <c r="Y157" s="15">
        <f>ROUNDDOWN(W157/HLOOKUP(D157,Table!$C$3:$D$4,2,0)*8,2)</f>
        <v>1.1499999999999999</v>
      </c>
      <c r="Z157" s="15">
        <v>0.5</v>
      </c>
      <c r="AA157" s="15" t="s">
        <v>70</v>
      </c>
      <c r="AB157" s="19">
        <v>44008</v>
      </c>
      <c r="AC157" s="19">
        <v>43993</v>
      </c>
      <c r="AD157" s="19">
        <v>44008</v>
      </c>
      <c r="AE157" s="19">
        <v>43998</v>
      </c>
      <c r="AF157" s="19">
        <v>43998</v>
      </c>
      <c r="AG157" s="19" t="s">
        <v>164</v>
      </c>
      <c r="AH157" s="29">
        <v>1</v>
      </c>
      <c r="AI157" s="29">
        <v>1</v>
      </c>
      <c r="AJ157" s="29">
        <v>1</v>
      </c>
      <c r="AK157" s="19" t="s">
        <v>144</v>
      </c>
      <c r="AL157" s="17" t="s">
        <v>58</v>
      </c>
      <c r="AM157" s="17" t="s">
        <v>58</v>
      </c>
      <c r="AN157" s="17" t="s">
        <v>58</v>
      </c>
    </row>
    <row r="158" spans="2:40" hidden="1" x14ac:dyDescent="0.25">
      <c r="B158" s="92">
        <f t="shared" si="35"/>
        <v>99</v>
      </c>
      <c r="C158" s="16">
        <v>20200611</v>
      </c>
      <c r="D158" s="15" t="s">
        <v>3</v>
      </c>
      <c r="E158" s="75" t="s">
        <v>402</v>
      </c>
      <c r="F158" s="122" t="s">
        <v>496</v>
      </c>
      <c r="G158" s="75">
        <v>1516895</v>
      </c>
      <c r="H158" s="48" t="s">
        <v>58</v>
      </c>
      <c r="I158" s="75" t="s">
        <v>146</v>
      </c>
      <c r="J158" s="48" t="s">
        <v>58</v>
      </c>
      <c r="K158" s="15" t="s">
        <v>1067</v>
      </c>
      <c r="L158" s="15" t="s">
        <v>450</v>
      </c>
      <c r="M158" s="75" t="s">
        <v>403</v>
      </c>
      <c r="N158" s="15" t="s">
        <v>451</v>
      </c>
      <c r="O158" s="17" t="s">
        <v>58</v>
      </c>
      <c r="P158" s="17" t="s">
        <v>452</v>
      </c>
      <c r="Q158" s="18"/>
      <c r="R158" s="48" t="s">
        <v>58</v>
      </c>
      <c r="S158" s="15" t="s">
        <v>231</v>
      </c>
      <c r="T158" s="15"/>
      <c r="U158" s="15"/>
      <c r="V158" s="75">
        <v>34</v>
      </c>
      <c r="W158" s="79">
        <f>V158-V158+102</f>
        <v>102</v>
      </c>
      <c r="X158" s="16">
        <f>W158</f>
        <v>102</v>
      </c>
      <c r="Y158" s="15">
        <f>ROUNDDOWN(W158/HLOOKUP(D158,Table!$C$3:$D$4,2,0)*8,2)</f>
        <v>1.81</v>
      </c>
      <c r="Z158" s="15">
        <v>1</v>
      </c>
      <c r="AA158" s="15" t="s">
        <v>70</v>
      </c>
      <c r="AB158" s="19">
        <v>44008</v>
      </c>
      <c r="AC158" s="19">
        <v>43993</v>
      </c>
      <c r="AD158" s="19">
        <v>44008</v>
      </c>
      <c r="AE158" s="19">
        <v>43998</v>
      </c>
      <c r="AF158" s="19">
        <v>43998</v>
      </c>
      <c r="AG158" s="19" t="s">
        <v>164</v>
      </c>
      <c r="AH158" s="29">
        <v>1</v>
      </c>
      <c r="AI158" s="29">
        <v>1</v>
      </c>
      <c r="AJ158" s="29">
        <v>1</v>
      </c>
      <c r="AK158" s="19" t="s">
        <v>144</v>
      </c>
      <c r="AL158" s="17" t="s">
        <v>58</v>
      </c>
      <c r="AM158" s="17" t="s">
        <v>58</v>
      </c>
      <c r="AN158" s="15" t="s">
        <v>624</v>
      </c>
    </row>
    <row r="159" spans="2:40" x14ac:dyDescent="0.25">
      <c r="B159" s="92">
        <f t="shared" si="35"/>
        <v>100</v>
      </c>
      <c r="C159" s="16">
        <v>20200611</v>
      </c>
      <c r="D159" s="15" t="s">
        <v>3</v>
      </c>
      <c r="E159" s="75" t="s">
        <v>402</v>
      </c>
      <c r="F159" s="122" t="s">
        <v>1268</v>
      </c>
      <c r="G159" s="75">
        <v>1516895</v>
      </c>
      <c r="H159" s="48" t="s">
        <v>58</v>
      </c>
      <c r="I159" s="75" t="s">
        <v>446</v>
      </c>
      <c r="J159" s="48" t="s">
        <v>58</v>
      </c>
      <c r="K159" s="15" t="s">
        <v>1067</v>
      </c>
      <c r="L159" s="15" t="s">
        <v>450</v>
      </c>
      <c r="M159" s="75" t="s">
        <v>403</v>
      </c>
      <c r="N159" s="15" t="s">
        <v>451</v>
      </c>
      <c r="O159" s="17" t="s">
        <v>58</v>
      </c>
      <c r="P159" s="17" t="s">
        <v>452</v>
      </c>
      <c r="Q159" s="18"/>
      <c r="R159" s="48" t="s">
        <v>58</v>
      </c>
      <c r="S159" s="15" t="s">
        <v>231</v>
      </c>
      <c r="T159" s="15"/>
      <c r="U159" s="15"/>
      <c r="V159" s="75">
        <v>1</v>
      </c>
      <c r="W159" s="15">
        <f t="shared" si="36"/>
        <v>1</v>
      </c>
      <c r="X159" s="15">
        <f>W159</f>
        <v>1</v>
      </c>
      <c r="Y159" s="15">
        <f>ROUNDDOWN(W159/HLOOKUP(D159,Table!$C$3:$D$4,2,0)*8,2)</f>
        <v>0.01</v>
      </c>
      <c r="Z159" s="15">
        <v>0.01</v>
      </c>
      <c r="AA159" s="15" t="s">
        <v>70</v>
      </c>
      <c r="AB159" s="19">
        <v>44008</v>
      </c>
      <c r="AC159" s="19">
        <v>43993</v>
      </c>
      <c r="AD159" s="19">
        <v>44008</v>
      </c>
      <c r="AE159" s="19">
        <v>43998</v>
      </c>
      <c r="AF159" s="19">
        <v>43998</v>
      </c>
      <c r="AG159" s="19" t="s">
        <v>164</v>
      </c>
      <c r="AH159" s="187" t="s">
        <v>58</v>
      </c>
      <c r="AI159" s="187" t="s">
        <v>58</v>
      </c>
      <c r="AJ159" s="187" t="s">
        <v>58</v>
      </c>
      <c r="AK159" s="19" t="s">
        <v>144</v>
      </c>
      <c r="AL159" s="17" t="s">
        <v>58</v>
      </c>
      <c r="AM159" s="17" t="s">
        <v>58</v>
      </c>
      <c r="AN159" s="17" t="s">
        <v>401</v>
      </c>
    </row>
    <row r="160" spans="2:40" hidden="1" x14ac:dyDescent="0.25">
      <c r="B160" s="92">
        <f t="shared" si="35"/>
        <v>101</v>
      </c>
      <c r="C160" s="16">
        <v>20200611</v>
      </c>
      <c r="D160" s="15" t="s">
        <v>3</v>
      </c>
      <c r="E160" s="75" t="s">
        <v>402</v>
      </c>
      <c r="F160" s="122" t="s">
        <v>497</v>
      </c>
      <c r="G160" s="75">
        <v>1516895</v>
      </c>
      <c r="H160" s="48" t="s">
        <v>58</v>
      </c>
      <c r="I160" s="75" t="s">
        <v>447</v>
      </c>
      <c r="J160" s="48" t="s">
        <v>58</v>
      </c>
      <c r="K160" s="15" t="s">
        <v>1067</v>
      </c>
      <c r="L160" s="15" t="s">
        <v>450</v>
      </c>
      <c r="M160" s="75" t="s">
        <v>403</v>
      </c>
      <c r="N160" s="15" t="s">
        <v>451</v>
      </c>
      <c r="O160" s="17" t="s">
        <v>58</v>
      </c>
      <c r="P160" s="17" t="s">
        <v>452</v>
      </c>
      <c r="Q160" s="18"/>
      <c r="R160" s="48" t="s">
        <v>58</v>
      </c>
      <c r="S160" s="15" t="s">
        <v>231</v>
      </c>
      <c r="T160" s="15"/>
      <c r="U160" s="15"/>
      <c r="V160" s="75">
        <v>24</v>
      </c>
      <c r="W160" s="15">
        <f t="shared" si="36"/>
        <v>24</v>
      </c>
      <c r="X160" s="15">
        <f>W160</f>
        <v>24</v>
      </c>
      <c r="Y160" s="15">
        <f>ROUNDDOWN(W160/HLOOKUP(D160,Table!$C$3:$D$4,2,0)*8,2)</f>
        <v>0.42</v>
      </c>
      <c r="Z160" s="15">
        <v>0.4</v>
      </c>
      <c r="AA160" s="15" t="s">
        <v>70</v>
      </c>
      <c r="AB160" s="19">
        <v>44008</v>
      </c>
      <c r="AC160" s="19">
        <v>43993</v>
      </c>
      <c r="AD160" s="19">
        <v>44008</v>
      </c>
      <c r="AE160" s="19">
        <v>43998</v>
      </c>
      <c r="AF160" s="19">
        <v>43998</v>
      </c>
      <c r="AG160" s="19" t="s">
        <v>164</v>
      </c>
      <c r="AH160" s="29">
        <v>1</v>
      </c>
      <c r="AI160" s="29">
        <v>1</v>
      </c>
      <c r="AJ160" s="29">
        <v>1</v>
      </c>
      <c r="AK160" s="19" t="s">
        <v>144</v>
      </c>
      <c r="AL160" s="17" t="s">
        <v>58</v>
      </c>
      <c r="AM160" s="17" t="s">
        <v>58</v>
      </c>
      <c r="AN160" s="17" t="s">
        <v>58</v>
      </c>
    </row>
    <row r="161" spans="2:40" hidden="1" x14ac:dyDescent="0.25">
      <c r="B161" s="92">
        <f t="shared" si="35"/>
        <v>102</v>
      </c>
      <c r="C161" s="16">
        <v>20200611</v>
      </c>
      <c r="D161" s="15" t="s">
        <v>3</v>
      </c>
      <c r="E161" s="75" t="s">
        <v>402</v>
      </c>
      <c r="F161" s="122" t="s">
        <v>1269</v>
      </c>
      <c r="G161" s="75">
        <v>1516895</v>
      </c>
      <c r="H161" s="48" t="s">
        <v>58</v>
      </c>
      <c r="I161" s="75" t="s">
        <v>448</v>
      </c>
      <c r="J161" s="48" t="s">
        <v>58</v>
      </c>
      <c r="K161" s="15" t="s">
        <v>1067</v>
      </c>
      <c r="L161" s="15" t="s">
        <v>450</v>
      </c>
      <c r="M161" s="75" t="s">
        <v>403</v>
      </c>
      <c r="N161" s="15" t="s">
        <v>451</v>
      </c>
      <c r="O161" s="17" t="s">
        <v>58</v>
      </c>
      <c r="P161" s="17" t="s">
        <v>452</v>
      </c>
      <c r="Q161" s="18"/>
      <c r="R161" s="48" t="s">
        <v>58</v>
      </c>
      <c r="S161" s="15" t="s">
        <v>231</v>
      </c>
      <c r="T161" s="15"/>
      <c r="U161" s="15"/>
      <c r="V161" s="75">
        <v>72</v>
      </c>
      <c r="W161" s="15">
        <f t="shared" si="36"/>
        <v>72</v>
      </c>
      <c r="X161" s="15">
        <f>W161</f>
        <v>72</v>
      </c>
      <c r="Y161" s="15">
        <f>ROUNDDOWN(W161/HLOOKUP(D161,Table!$C$3:$D$4,2,0)*8,2)</f>
        <v>1.28</v>
      </c>
      <c r="Z161" s="15">
        <v>1.2</v>
      </c>
      <c r="AA161" s="15" t="s">
        <v>70</v>
      </c>
      <c r="AB161" s="19">
        <v>44008</v>
      </c>
      <c r="AC161" s="19">
        <v>43993</v>
      </c>
      <c r="AD161" s="19">
        <v>44008</v>
      </c>
      <c r="AE161" s="19">
        <v>43998</v>
      </c>
      <c r="AF161" s="19">
        <v>43998</v>
      </c>
      <c r="AG161" s="19" t="s">
        <v>164</v>
      </c>
      <c r="AH161" s="29">
        <v>1</v>
      </c>
      <c r="AI161" s="29">
        <v>1</v>
      </c>
      <c r="AJ161" s="29">
        <v>1</v>
      </c>
      <c r="AK161" s="19" t="s">
        <v>144</v>
      </c>
      <c r="AL161" s="17" t="s">
        <v>58</v>
      </c>
      <c r="AM161" s="17" t="s">
        <v>58</v>
      </c>
      <c r="AN161" s="17" t="s">
        <v>58</v>
      </c>
    </row>
    <row r="162" spans="2:40" hidden="1" x14ac:dyDescent="0.25">
      <c r="B162" s="92">
        <f t="shared" si="35"/>
        <v>103</v>
      </c>
      <c r="C162" s="16">
        <v>20200611</v>
      </c>
      <c r="D162" s="15" t="s">
        <v>3</v>
      </c>
      <c r="E162" s="75" t="s">
        <v>402</v>
      </c>
      <c r="F162" s="117" t="s">
        <v>1270</v>
      </c>
      <c r="G162" s="75">
        <v>1516895</v>
      </c>
      <c r="H162" s="48" t="s">
        <v>58</v>
      </c>
      <c r="I162" s="75" t="s">
        <v>449</v>
      </c>
      <c r="J162" s="48" t="s">
        <v>58</v>
      </c>
      <c r="K162" s="15" t="s">
        <v>1067</v>
      </c>
      <c r="L162" s="75" t="s">
        <v>450</v>
      </c>
      <c r="M162" s="75" t="s">
        <v>403</v>
      </c>
      <c r="N162" s="75" t="s">
        <v>451</v>
      </c>
      <c r="O162" s="17" t="s">
        <v>58</v>
      </c>
      <c r="P162" s="73" t="s">
        <v>452</v>
      </c>
      <c r="Q162" s="18"/>
      <c r="R162" s="48" t="s">
        <v>58</v>
      </c>
      <c r="S162" s="15" t="s">
        <v>231</v>
      </c>
      <c r="T162" s="15"/>
      <c r="U162" s="15"/>
      <c r="V162" s="75">
        <v>10</v>
      </c>
      <c r="W162" s="15">
        <f t="shared" si="36"/>
        <v>10</v>
      </c>
      <c r="X162" s="15">
        <f>W162</f>
        <v>10</v>
      </c>
      <c r="Y162" s="15">
        <f>ROUNDDOWN(W162/HLOOKUP(D162,Table!$C$3:$D$4,2,0)*8,2)</f>
        <v>0.17</v>
      </c>
      <c r="Z162" s="15">
        <v>0.16</v>
      </c>
      <c r="AA162" s="15" t="s">
        <v>70</v>
      </c>
      <c r="AB162" s="19">
        <v>44008</v>
      </c>
      <c r="AC162" s="19">
        <v>43993</v>
      </c>
      <c r="AD162" s="19">
        <v>44008</v>
      </c>
      <c r="AE162" s="19">
        <v>43998</v>
      </c>
      <c r="AF162" s="19">
        <v>43998</v>
      </c>
      <c r="AG162" s="19" t="s">
        <v>164</v>
      </c>
      <c r="AH162" s="29">
        <v>1</v>
      </c>
      <c r="AI162" s="29">
        <v>1</v>
      </c>
      <c r="AJ162" s="29">
        <v>1</v>
      </c>
      <c r="AK162" s="19" t="s">
        <v>144</v>
      </c>
      <c r="AL162" s="17" t="s">
        <v>58</v>
      </c>
      <c r="AM162" s="17" t="s">
        <v>58</v>
      </c>
      <c r="AN162" s="17" t="s">
        <v>58</v>
      </c>
    </row>
    <row r="163" spans="2:40" x14ac:dyDescent="0.25">
      <c r="B163" s="39">
        <f t="shared" si="35"/>
        <v>104</v>
      </c>
      <c r="C163" s="16">
        <v>20200615</v>
      </c>
      <c r="D163" s="15" t="s">
        <v>3</v>
      </c>
      <c r="E163" s="75" t="s">
        <v>539</v>
      </c>
      <c r="F163" s="100" t="s">
        <v>560</v>
      </c>
      <c r="G163" s="75">
        <v>1518601</v>
      </c>
      <c r="H163" s="48" t="s">
        <v>58</v>
      </c>
      <c r="I163" s="75" t="s">
        <v>283</v>
      </c>
      <c r="J163" s="48" t="s">
        <v>58</v>
      </c>
      <c r="K163" s="15" t="s">
        <v>1067</v>
      </c>
      <c r="L163" s="75" t="s">
        <v>558</v>
      </c>
      <c r="M163" s="75" t="s">
        <v>557</v>
      </c>
      <c r="N163" s="75" t="s">
        <v>556</v>
      </c>
      <c r="O163" s="17" t="s">
        <v>58</v>
      </c>
      <c r="P163" s="17" t="s">
        <v>187</v>
      </c>
      <c r="Q163" s="18"/>
      <c r="R163" s="48" t="s">
        <v>58</v>
      </c>
      <c r="S163" s="15" t="s">
        <v>66</v>
      </c>
      <c r="T163" s="15"/>
      <c r="U163" s="15"/>
      <c r="V163" s="75">
        <v>163</v>
      </c>
      <c r="W163" s="15">
        <f t="shared" ref="W163:X196" si="39">V163</f>
        <v>163</v>
      </c>
      <c r="X163" s="15">
        <f t="shared" ref="X163:X186" si="40">W163</f>
        <v>163</v>
      </c>
      <c r="Y163" s="15">
        <f>ROUNDDOWN(W163/HLOOKUP(D163,Table!$C$3:$D$4,2,0)*8,2)</f>
        <v>2.89</v>
      </c>
      <c r="Z163" s="15">
        <v>1</v>
      </c>
      <c r="AA163" s="15" t="s">
        <v>70</v>
      </c>
      <c r="AB163" s="19">
        <v>44007</v>
      </c>
      <c r="AC163" s="19">
        <v>43997</v>
      </c>
      <c r="AD163" s="19">
        <v>44007</v>
      </c>
      <c r="AE163" s="80">
        <v>43998</v>
      </c>
      <c r="AF163" s="19">
        <v>43998</v>
      </c>
      <c r="AG163" s="19" t="s">
        <v>164</v>
      </c>
      <c r="AH163" s="29" t="s">
        <v>58</v>
      </c>
      <c r="AI163" s="29" t="s">
        <v>58</v>
      </c>
      <c r="AJ163" s="29" t="s">
        <v>58</v>
      </c>
      <c r="AK163" s="19" t="s">
        <v>144</v>
      </c>
      <c r="AL163" s="15" t="s">
        <v>58</v>
      </c>
      <c r="AM163" s="15" t="s">
        <v>58</v>
      </c>
      <c r="AN163" s="17" t="s">
        <v>603</v>
      </c>
    </row>
    <row r="164" spans="2:40" x14ac:dyDescent="0.25">
      <c r="B164" s="39">
        <f t="shared" si="35"/>
        <v>105</v>
      </c>
      <c r="C164" s="16">
        <v>20200615</v>
      </c>
      <c r="D164" s="15" t="s">
        <v>3</v>
      </c>
      <c r="E164" s="75" t="s">
        <v>539</v>
      </c>
      <c r="F164" s="100" t="s">
        <v>561</v>
      </c>
      <c r="G164" s="75">
        <v>1518601</v>
      </c>
      <c r="H164" s="48" t="s">
        <v>58</v>
      </c>
      <c r="I164" s="75" t="s">
        <v>284</v>
      </c>
      <c r="J164" s="48" t="s">
        <v>58</v>
      </c>
      <c r="K164" s="15" t="s">
        <v>1067</v>
      </c>
      <c r="L164" s="15" t="s">
        <v>558</v>
      </c>
      <c r="M164" s="15" t="s">
        <v>557</v>
      </c>
      <c r="N164" s="15" t="s">
        <v>556</v>
      </c>
      <c r="O164" s="17" t="s">
        <v>58</v>
      </c>
      <c r="P164" s="17" t="s">
        <v>187</v>
      </c>
      <c r="Q164" s="18"/>
      <c r="R164" s="48" t="s">
        <v>58</v>
      </c>
      <c r="S164" s="15" t="s">
        <v>66</v>
      </c>
      <c r="T164" s="15"/>
      <c r="U164" s="15"/>
      <c r="V164" s="75">
        <v>89</v>
      </c>
      <c r="W164" s="15">
        <f t="shared" si="39"/>
        <v>89</v>
      </c>
      <c r="X164" s="15">
        <f t="shared" si="40"/>
        <v>89</v>
      </c>
      <c r="Y164" s="15">
        <f>ROUNDDOWN(W164/HLOOKUP(D164,Table!$C$3:$D$4,2,0)*8,2)</f>
        <v>1.58</v>
      </c>
      <c r="Z164" s="15">
        <v>0.5</v>
      </c>
      <c r="AA164" s="15" t="s">
        <v>70</v>
      </c>
      <c r="AB164" s="19">
        <v>44007</v>
      </c>
      <c r="AC164" s="19">
        <v>43997</v>
      </c>
      <c r="AD164" s="19">
        <v>44007</v>
      </c>
      <c r="AE164" s="80">
        <v>43998</v>
      </c>
      <c r="AF164" s="19">
        <v>43998</v>
      </c>
      <c r="AG164" s="19" t="s">
        <v>164</v>
      </c>
      <c r="AH164" s="29" t="s">
        <v>58</v>
      </c>
      <c r="AI164" s="29" t="s">
        <v>58</v>
      </c>
      <c r="AJ164" s="29" t="s">
        <v>58</v>
      </c>
      <c r="AK164" s="19" t="s">
        <v>144</v>
      </c>
      <c r="AL164" s="15" t="s">
        <v>58</v>
      </c>
      <c r="AM164" s="15" t="s">
        <v>58</v>
      </c>
      <c r="AN164" s="17" t="s">
        <v>603</v>
      </c>
    </row>
    <row r="165" spans="2:40" x14ac:dyDescent="0.25">
      <c r="B165" s="39">
        <f t="shared" si="35"/>
        <v>106</v>
      </c>
      <c r="C165" s="16">
        <v>20200615</v>
      </c>
      <c r="D165" s="15" t="s">
        <v>3</v>
      </c>
      <c r="E165" s="75" t="s">
        <v>539</v>
      </c>
      <c r="F165" s="100" t="s">
        <v>562</v>
      </c>
      <c r="G165" s="75">
        <v>1518601</v>
      </c>
      <c r="H165" s="48" t="s">
        <v>58</v>
      </c>
      <c r="I165" s="75" t="s">
        <v>285</v>
      </c>
      <c r="J165" s="48" t="s">
        <v>58</v>
      </c>
      <c r="K165" s="15" t="s">
        <v>1067</v>
      </c>
      <c r="L165" s="15" t="s">
        <v>558</v>
      </c>
      <c r="M165" s="15" t="s">
        <v>557</v>
      </c>
      <c r="N165" s="15" t="s">
        <v>556</v>
      </c>
      <c r="O165" s="17" t="s">
        <v>58</v>
      </c>
      <c r="P165" s="17" t="s">
        <v>187</v>
      </c>
      <c r="Q165" s="18"/>
      <c r="R165" s="48" t="s">
        <v>58</v>
      </c>
      <c r="S165" s="15" t="s">
        <v>66</v>
      </c>
      <c r="T165" s="15"/>
      <c r="U165" s="15"/>
      <c r="V165" s="75">
        <v>199</v>
      </c>
      <c r="W165" s="15">
        <f t="shared" si="39"/>
        <v>199</v>
      </c>
      <c r="X165" s="15">
        <f t="shared" si="40"/>
        <v>199</v>
      </c>
      <c r="Y165" s="15">
        <f>ROUNDDOWN(W165/HLOOKUP(D165,Table!$C$3:$D$4,2,0)*8,2)</f>
        <v>3.53</v>
      </c>
      <c r="Z165" s="15">
        <v>0.5</v>
      </c>
      <c r="AA165" s="15" t="s">
        <v>70</v>
      </c>
      <c r="AB165" s="19">
        <v>44007</v>
      </c>
      <c r="AC165" s="19">
        <v>43997</v>
      </c>
      <c r="AD165" s="19">
        <v>44007</v>
      </c>
      <c r="AE165" s="80">
        <v>43998</v>
      </c>
      <c r="AF165" s="19">
        <v>43998</v>
      </c>
      <c r="AG165" s="19" t="s">
        <v>164</v>
      </c>
      <c r="AH165" s="29" t="s">
        <v>58</v>
      </c>
      <c r="AI165" s="29" t="s">
        <v>58</v>
      </c>
      <c r="AJ165" s="29" t="s">
        <v>58</v>
      </c>
      <c r="AK165" s="19" t="s">
        <v>144</v>
      </c>
      <c r="AL165" s="15" t="s">
        <v>58</v>
      </c>
      <c r="AM165" s="15" t="s">
        <v>58</v>
      </c>
      <c r="AN165" s="17" t="s">
        <v>603</v>
      </c>
    </row>
    <row r="166" spans="2:40" x14ac:dyDescent="0.25">
      <c r="B166" s="39">
        <f t="shared" si="35"/>
        <v>107</v>
      </c>
      <c r="C166" s="16">
        <v>20200615</v>
      </c>
      <c r="D166" s="15" t="s">
        <v>3</v>
      </c>
      <c r="E166" s="75" t="s">
        <v>539</v>
      </c>
      <c r="F166" s="128" t="s">
        <v>628</v>
      </c>
      <c r="G166" s="75">
        <v>1518601</v>
      </c>
      <c r="H166" s="48" t="s">
        <v>58</v>
      </c>
      <c r="I166" s="75" t="s">
        <v>540</v>
      </c>
      <c r="J166" s="48" t="s">
        <v>58</v>
      </c>
      <c r="K166" s="15" t="s">
        <v>1067</v>
      </c>
      <c r="L166" s="15" t="s">
        <v>558</v>
      </c>
      <c r="M166" s="15" t="s">
        <v>557</v>
      </c>
      <c r="N166" s="15" t="s">
        <v>556</v>
      </c>
      <c r="O166" s="17" t="s">
        <v>58</v>
      </c>
      <c r="P166" s="17" t="s">
        <v>187</v>
      </c>
      <c r="Q166" s="18"/>
      <c r="R166" s="48" t="s">
        <v>58</v>
      </c>
      <c r="S166" s="15" t="s">
        <v>66</v>
      </c>
      <c r="T166" s="15"/>
      <c r="U166" s="15"/>
      <c r="V166" s="75">
        <v>0</v>
      </c>
      <c r="W166" s="15">
        <f t="shared" si="39"/>
        <v>0</v>
      </c>
      <c r="X166" s="15">
        <f t="shared" si="40"/>
        <v>0</v>
      </c>
      <c r="Y166" s="15">
        <f>ROUNDDOWN(W166/HLOOKUP(D166,Table!$C$3:$D$4,2,0)*8,2)</f>
        <v>0</v>
      </c>
      <c r="Z166" s="15">
        <v>0</v>
      </c>
      <c r="AA166" s="15" t="s">
        <v>70</v>
      </c>
      <c r="AB166" s="19">
        <v>44007</v>
      </c>
      <c r="AC166" s="19">
        <v>43997</v>
      </c>
      <c r="AD166" s="19">
        <v>44007</v>
      </c>
      <c r="AE166" s="80">
        <v>43998</v>
      </c>
      <c r="AF166" s="19">
        <v>43998</v>
      </c>
      <c r="AG166" s="19" t="s">
        <v>164</v>
      </c>
      <c r="AH166" s="29" t="s">
        <v>58</v>
      </c>
      <c r="AI166" s="29" t="s">
        <v>58</v>
      </c>
      <c r="AJ166" s="29" t="s">
        <v>58</v>
      </c>
      <c r="AK166" s="19" t="s">
        <v>144</v>
      </c>
      <c r="AL166" s="15"/>
      <c r="AM166" s="15"/>
      <c r="AN166" s="83" t="s">
        <v>627</v>
      </c>
    </row>
    <row r="167" spans="2:40" hidden="1" x14ac:dyDescent="0.25">
      <c r="B167" s="39">
        <f t="shared" si="35"/>
        <v>108</v>
      </c>
      <c r="C167" s="16">
        <v>20200615</v>
      </c>
      <c r="D167" s="15" t="s">
        <v>3</v>
      </c>
      <c r="E167" s="75" t="s">
        <v>539</v>
      </c>
      <c r="F167" s="100" t="s">
        <v>563</v>
      </c>
      <c r="G167" s="75">
        <v>1518601</v>
      </c>
      <c r="H167" s="48" t="s">
        <v>58</v>
      </c>
      <c r="I167" s="75" t="s">
        <v>282</v>
      </c>
      <c r="J167" s="48" t="s">
        <v>58</v>
      </c>
      <c r="K167" s="15" t="s">
        <v>1067</v>
      </c>
      <c r="L167" s="15" t="s">
        <v>558</v>
      </c>
      <c r="M167" s="15" t="s">
        <v>557</v>
      </c>
      <c r="N167" s="15" t="s">
        <v>556</v>
      </c>
      <c r="O167" s="17" t="s">
        <v>58</v>
      </c>
      <c r="P167" s="17" t="s">
        <v>187</v>
      </c>
      <c r="Q167" s="18"/>
      <c r="R167" s="48" t="s">
        <v>58</v>
      </c>
      <c r="S167" s="15" t="s">
        <v>66</v>
      </c>
      <c r="T167" s="15"/>
      <c r="U167" s="15"/>
      <c r="V167" s="75">
        <v>232</v>
      </c>
      <c r="W167" s="15">
        <f t="shared" si="39"/>
        <v>232</v>
      </c>
      <c r="X167" s="15">
        <f t="shared" si="40"/>
        <v>232</v>
      </c>
      <c r="Y167" s="15">
        <f>ROUNDDOWN(W167/HLOOKUP(D167,Table!$C$3:$D$4,2,0)*8,2)</f>
        <v>4.12</v>
      </c>
      <c r="Z167" s="15">
        <v>0.5</v>
      </c>
      <c r="AA167" s="15" t="s">
        <v>70</v>
      </c>
      <c r="AB167" s="19">
        <v>44007</v>
      </c>
      <c r="AC167" s="19">
        <v>43997</v>
      </c>
      <c r="AD167" s="19">
        <v>44007</v>
      </c>
      <c r="AE167" s="80">
        <v>43998</v>
      </c>
      <c r="AF167" s="19">
        <v>43998</v>
      </c>
      <c r="AG167" s="19" t="s">
        <v>164</v>
      </c>
      <c r="AH167" s="29">
        <v>1</v>
      </c>
      <c r="AI167" s="29">
        <v>1</v>
      </c>
      <c r="AJ167" s="29">
        <v>1</v>
      </c>
      <c r="AK167" s="19" t="s">
        <v>144</v>
      </c>
      <c r="AL167" s="15" t="s">
        <v>58</v>
      </c>
      <c r="AM167" s="15" t="s">
        <v>58</v>
      </c>
      <c r="AN167" s="15" t="s">
        <v>58</v>
      </c>
    </row>
    <row r="168" spans="2:40" hidden="1" x14ac:dyDescent="0.25">
      <c r="B168" s="39">
        <f t="shared" si="35"/>
        <v>109</v>
      </c>
      <c r="C168" s="16">
        <v>20200615</v>
      </c>
      <c r="D168" s="15" t="s">
        <v>3</v>
      </c>
      <c r="E168" s="75" t="s">
        <v>539</v>
      </c>
      <c r="F168" s="100" t="s">
        <v>564</v>
      </c>
      <c r="G168" s="75">
        <v>1518601</v>
      </c>
      <c r="H168" s="48" t="s">
        <v>58</v>
      </c>
      <c r="I168" s="75" t="s">
        <v>181</v>
      </c>
      <c r="J168" s="48" t="s">
        <v>58</v>
      </c>
      <c r="K168" s="15" t="s">
        <v>1067</v>
      </c>
      <c r="L168" s="15" t="s">
        <v>558</v>
      </c>
      <c r="M168" s="15" t="s">
        <v>557</v>
      </c>
      <c r="N168" s="15" t="s">
        <v>556</v>
      </c>
      <c r="O168" s="17" t="s">
        <v>58</v>
      </c>
      <c r="P168" s="17" t="s">
        <v>187</v>
      </c>
      <c r="Q168" s="18"/>
      <c r="R168" s="48" t="s">
        <v>58</v>
      </c>
      <c r="S168" s="15" t="s">
        <v>66</v>
      </c>
      <c r="T168" s="15"/>
      <c r="U168" s="15"/>
      <c r="V168" s="75">
        <v>90</v>
      </c>
      <c r="W168" s="15">
        <f t="shared" si="39"/>
        <v>90</v>
      </c>
      <c r="X168" s="15">
        <f t="shared" si="40"/>
        <v>90</v>
      </c>
      <c r="Y168" s="15">
        <f>ROUNDDOWN(W168/HLOOKUP(D168,Table!$C$3:$D$4,2,0)*8,2)</f>
        <v>1.6</v>
      </c>
      <c r="Z168" s="15">
        <v>0.5</v>
      </c>
      <c r="AA168" s="15" t="s">
        <v>70</v>
      </c>
      <c r="AB168" s="19">
        <v>44007</v>
      </c>
      <c r="AC168" s="19">
        <v>43997</v>
      </c>
      <c r="AD168" s="19">
        <v>44007</v>
      </c>
      <c r="AE168" s="80">
        <v>43998</v>
      </c>
      <c r="AF168" s="19">
        <v>43998</v>
      </c>
      <c r="AG168" s="19" t="s">
        <v>164</v>
      </c>
      <c r="AH168" s="29">
        <v>1</v>
      </c>
      <c r="AI168" s="29">
        <v>1</v>
      </c>
      <c r="AJ168" s="29">
        <v>1</v>
      </c>
      <c r="AK168" s="19" t="s">
        <v>144</v>
      </c>
      <c r="AL168" s="15" t="s">
        <v>58</v>
      </c>
      <c r="AM168" s="15" t="s">
        <v>58</v>
      </c>
      <c r="AN168" s="15" t="s">
        <v>58</v>
      </c>
    </row>
    <row r="169" spans="2:40" hidden="1" x14ac:dyDescent="0.25">
      <c r="B169" s="39">
        <f t="shared" si="35"/>
        <v>110</v>
      </c>
      <c r="C169" s="16">
        <v>20200615</v>
      </c>
      <c r="D169" s="15" t="s">
        <v>3</v>
      </c>
      <c r="E169" s="75" t="s">
        <v>539</v>
      </c>
      <c r="F169" s="100" t="s">
        <v>565</v>
      </c>
      <c r="G169" s="75">
        <v>1518601</v>
      </c>
      <c r="H169" s="48" t="s">
        <v>58</v>
      </c>
      <c r="I169" s="75" t="s">
        <v>177</v>
      </c>
      <c r="J169" s="48" t="s">
        <v>58</v>
      </c>
      <c r="K169" s="15" t="s">
        <v>1067</v>
      </c>
      <c r="L169" s="15" t="s">
        <v>558</v>
      </c>
      <c r="M169" s="15" t="s">
        <v>557</v>
      </c>
      <c r="N169" s="15" t="s">
        <v>556</v>
      </c>
      <c r="O169" s="17" t="s">
        <v>58</v>
      </c>
      <c r="P169" s="17" t="s">
        <v>187</v>
      </c>
      <c r="Q169" s="18"/>
      <c r="R169" s="48" t="s">
        <v>58</v>
      </c>
      <c r="S169" s="15" t="s">
        <v>66</v>
      </c>
      <c r="T169" s="15"/>
      <c r="U169" s="15"/>
      <c r="V169" s="75">
        <v>199</v>
      </c>
      <c r="W169" s="79">
        <v>213</v>
      </c>
      <c r="X169" s="15">
        <f t="shared" si="40"/>
        <v>213</v>
      </c>
      <c r="Y169" s="15">
        <f>ROUNDDOWN(W169/HLOOKUP(D169,Table!$C$3:$D$4,2,0)*8,2)</f>
        <v>3.78</v>
      </c>
      <c r="Z169" s="15">
        <v>0.5</v>
      </c>
      <c r="AA169" s="15" t="s">
        <v>70</v>
      </c>
      <c r="AB169" s="19">
        <v>44007</v>
      </c>
      <c r="AC169" s="19">
        <v>43997</v>
      </c>
      <c r="AD169" s="19">
        <v>44007</v>
      </c>
      <c r="AE169" s="80">
        <v>43998</v>
      </c>
      <c r="AF169" s="19">
        <v>43998</v>
      </c>
      <c r="AG169" s="19" t="s">
        <v>164</v>
      </c>
      <c r="AH169" s="29">
        <v>1</v>
      </c>
      <c r="AI169" s="29">
        <v>1</v>
      </c>
      <c r="AJ169" s="29">
        <v>1</v>
      </c>
      <c r="AK169" s="19" t="s">
        <v>144</v>
      </c>
      <c r="AL169" s="15" t="s">
        <v>58</v>
      </c>
      <c r="AM169" s="15" t="s">
        <v>58</v>
      </c>
      <c r="AN169" s="15" t="s">
        <v>58</v>
      </c>
    </row>
    <row r="170" spans="2:40" hidden="1" x14ac:dyDescent="0.25">
      <c r="B170" s="39">
        <f t="shared" si="35"/>
        <v>111</v>
      </c>
      <c r="C170" s="16">
        <v>20200615</v>
      </c>
      <c r="D170" s="15" t="s">
        <v>3</v>
      </c>
      <c r="E170" s="75" t="s">
        <v>539</v>
      </c>
      <c r="F170" s="100" t="s">
        <v>566</v>
      </c>
      <c r="G170" s="75">
        <v>1518601</v>
      </c>
      <c r="H170" s="48" t="s">
        <v>58</v>
      </c>
      <c r="I170" s="75" t="s">
        <v>541</v>
      </c>
      <c r="J170" s="48" t="s">
        <v>58</v>
      </c>
      <c r="K170" s="15" t="s">
        <v>1067</v>
      </c>
      <c r="L170" s="15" t="s">
        <v>558</v>
      </c>
      <c r="M170" s="15" t="s">
        <v>557</v>
      </c>
      <c r="N170" s="15" t="s">
        <v>556</v>
      </c>
      <c r="O170" s="17" t="s">
        <v>58</v>
      </c>
      <c r="P170" s="17" t="s">
        <v>187</v>
      </c>
      <c r="Q170" s="18"/>
      <c r="R170" s="48" t="s">
        <v>58</v>
      </c>
      <c r="S170" s="15" t="s">
        <v>66</v>
      </c>
      <c r="T170" s="15"/>
      <c r="U170" s="15"/>
      <c r="V170" s="75">
        <v>21</v>
      </c>
      <c r="W170" s="15">
        <f t="shared" si="39"/>
        <v>21</v>
      </c>
      <c r="X170" s="15">
        <f t="shared" si="40"/>
        <v>21</v>
      </c>
      <c r="Y170" s="15">
        <f>ROUNDDOWN(W170/HLOOKUP(D170,Table!$C$3:$D$4,2,0)*8,2)</f>
        <v>0.37</v>
      </c>
      <c r="Z170" s="15">
        <v>0.5</v>
      </c>
      <c r="AA170" s="15" t="s">
        <v>70</v>
      </c>
      <c r="AB170" s="19">
        <v>44007</v>
      </c>
      <c r="AC170" s="19">
        <v>43997</v>
      </c>
      <c r="AD170" s="19">
        <v>44007</v>
      </c>
      <c r="AE170" s="80">
        <v>43998</v>
      </c>
      <c r="AF170" s="19">
        <v>43998</v>
      </c>
      <c r="AG170" s="19" t="s">
        <v>164</v>
      </c>
      <c r="AH170" s="29">
        <v>1</v>
      </c>
      <c r="AI170" s="29">
        <v>1</v>
      </c>
      <c r="AJ170" s="29">
        <v>1</v>
      </c>
      <c r="AK170" s="19" t="s">
        <v>144</v>
      </c>
      <c r="AL170" s="15" t="s">
        <v>58</v>
      </c>
      <c r="AM170" s="15" t="s">
        <v>58</v>
      </c>
      <c r="AN170" s="15" t="s">
        <v>58</v>
      </c>
    </row>
    <row r="171" spans="2:40" hidden="1" x14ac:dyDescent="0.25">
      <c r="B171" s="39">
        <f t="shared" si="35"/>
        <v>112</v>
      </c>
      <c r="C171" s="16">
        <v>20200615</v>
      </c>
      <c r="D171" s="15" t="s">
        <v>3</v>
      </c>
      <c r="E171" s="75" t="s">
        <v>539</v>
      </c>
      <c r="F171" s="100" t="s">
        <v>567</v>
      </c>
      <c r="G171" s="75">
        <v>1518601</v>
      </c>
      <c r="H171" s="48" t="s">
        <v>58</v>
      </c>
      <c r="I171" s="95" t="s">
        <v>542</v>
      </c>
      <c r="J171" s="48" t="s">
        <v>58</v>
      </c>
      <c r="K171" s="15" t="s">
        <v>1067</v>
      </c>
      <c r="L171" s="15" t="s">
        <v>558</v>
      </c>
      <c r="M171" s="15" t="s">
        <v>557</v>
      </c>
      <c r="N171" s="15" t="s">
        <v>556</v>
      </c>
      <c r="O171" s="17" t="s">
        <v>58</v>
      </c>
      <c r="P171" s="17" t="s">
        <v>187</v>
      </c>
      <c r="Q171" s="18"/>
      <c r="R171" s="48" t="s">
        <v>58</v>
      </c>
      <c r="S171" s="15" t="s">
        <v>231</v>
      </c>
      <c r="T171" s="15"/>
      <c r="U171" s="15"/>
      <c r="V171" s="75">
        <v>60</v>
      </c>
      <c r="W171" s="15">
        <f t="shared" si="39"/>
        <v>60</v>
      </c>
      <c r="X171" s="15">
        <f t="shared" si="40"/>
        <v>60</v>
      </c>
      <c r="Y171" s="15">
        <f>ROUNDDOWN(W171/HLOOKUP(D171,Table!$C$3:$D$4,2,0)*8,2)</f>
        <v>1.06</v>
      </c>
      <c r="Z171" s="15">
        <v>1</v>
      </c>
      <c r="AA171" s="15" t="s">
        <v>70</v>
      </c>
      <c r="AB171" s="19">
        <v>44007</v>
      </c>
      <c r="AC171" s="19">
        <v>43997</v>
      </c>
      <c r="AD171" s="19">
        <v>44007</v>
      </c>
      <c r="AE171" s="80">
        <v>44000</v>
      </c>
      <c r="AF171" s="19">
        <v>44000</v>
      </c>
      <c r="AG171" s="19" t="s">
        <v>164</v>
      </c>
      <c r="AH171" s="29">
        <v>1</v>
      </c>
      <c r="AI171" s="29">
        <v>1</v>
      </c>
      <c r="AJ171" s="29">
        <v>1</v>
      </c>
      <c r="AK171" s="19" t="s">
        <v>144</v>
      </c>
      <c r="AL171" s="15" t="s">
        <v>58</v>
      </c>
      <c r="AM171" s="15" t="s">
        <v>58</v>
      </c>
      <c r="AN171" s="15" t="s">
        <v>58</v>
      </c>
    </row>
    <row r="172" spans="2:40" hidden="1" x14ac:dyDescent="0.25">
      <c r="B172" s="39">
        <f t="shared" si="35"/>
        <v>113</v>
      </c>
      <c r="C172" s="16">
        <v>20200615</v>
      </c>
      <c r="D172" s="15" t="s">
        <v>3</v>
      </c>
      <c r="E172" s="75" t="s">
        <v>539</v>
      </c>
      <c r="F172" s="100" t="s">
        <v>568</v>
      </c>
      <c r="G172" s="75">
        <v>1518601</v>
      </c>
      <c r="H172" s="48" t="s">
        <v>58</v>
      </c>
      <c r="I172" s="95" t="s">
        <v>543</v>
      </c>
      <c r="J172" s="48" t="s">
        <v>58</v>
      </c>
      <c r="K172" s="15" t="s">
        <v>1067</v>
      </c>
      <c r="L172" s="15" t="s">
        <v>558</v>
      </c>
      <c r="M172" s="15" t="s">
        <v>557</v>
      </c>
      <c r="N172" s="15" t="s">
        <v>556</v>
      </c>
      <c r="O172" s="17" t="s">
        <v>58</v>
      </c>
      <c r="P172" s="17" t="s">
        <v>187</v>
      </c>
      <c r="Q172" s="18"/>
      <c r="R172" s="48" t="s">
        <v>58</v>
      </c>
      <c r="S172" s="15" t="s">
        <v>231</v>
      </c>
      <c r="T172" s="15"/>
      <c r="U172" s="15"/>
      <c r="V172" s="75">
        <v>63</v>
      </c>
      <c r="W172" s="15">
        <f t="shared" si="39"/>
        <v>63</v>
      </c>
      <c r="X172" s="15">
        <f t="shared" si="40"/>
        <v>63</v>
      </c>
      <c r="Y172" s="15">
        <f>ROUNDDOWN(W172/HLOOKUP(D172,Table!$C$3:$D$4,2,0)*8,2)</f>
        <v>1.1200000000000001</v>
      </c>
      <c r="Z172" s="15">
        <v>1</v>
      </c>
      <c r="AA172" s="15" t="s">
        <v>70</v>
      </c>
      <c r="AB172" s="19">
        <v>44007</v>
      </c>
      <c r="AC172" s="19">
        <v>43997</v>
      </c>
      <c r="AD172" s="19">
        <v>44007</v>
      </c>
      <c r="AE172" s="80">
        <v>44000</v>
      </c>
      <c r="AF172" s="19">
        <v>44000</v>
      </c>
      <c r="AG172" s="19" t="s">
        <v>164</v>
      </c>
      <c r="AH172" s="29">
        <v>1</v>
      </c>
      <c r="AI172" s="29">
        <v>1</v>
      </c>
      <c r="AJ172" s="29">
        <v>1</v>
      </c>
      <c r="AK172" s="19" t="s">
        <v>144</v>
      </c>
      <c r="AL172" s="15" t="s">
        <v>58</v>
      </c>
      <c r="AM172" s="15" t="s">
        <v>58</v>
      </c>
      <c r="AN172" s="15" t="s">
        <v>58</v>
      </c>
    </row>
    <row r="173" spans="2:40" hidden="1" x14ac:dyDescent="0.25">
      <c r="B173" s="39">
        <f t="shared" si="35"/>
        <v>114</v>
      </c>
      <c r="C173" s="16">
        <v>20200615</v>
      </c>
      <c r="D173" s="15" t="s">
        <v>3</v>
      </c>
      <c r="E173" s="75" t="s">
        <v>539</v>
      </c>
      <c r="F173" s="100" t="s">
        <v>569</v>
      </c>
      <c r="G173" s="75">
        <v>1518601</v>
      </c>
      <c r="H173" s="48" t="s">
        <v>58</v>
      </c>
      <c r="I173" s="95" t="s">
        <v>544</v>
      </c>
      <c r="J173" s="48" t="s">
        <v>58</v>
      </c>
      <c r="K173" s="15" t="s">
        <v>1067</v>
      </c>
      <c r="L173" s="15" t="s">
        <v>558</v>
      </c>
      <c r="M173" s="15" t="s">
        <v>557</v>
      </c>
      <c r="N173" s="15" t="s">
        <v>556</v>
      </c>
      <c r="O173" s="17" t="s">
        <v>58</v>
      </c>
      <c r="P173" s="17" t="s">
        <v>187</v>
      </c>
      <c r="Q173" s="18"/>
      <c r="R173" s="48" t="s">
        <v>58</v>
      </c>
      <c r="S173" s="15" t="s">
        <v>231</v>
      </c>
      <c r="T173" s="15"/>
      <c r="U173" s="15"/>
      <c r="V173" s="75">
        <v>139</v>
      </c>
      <c r="W173" s="15">
        <f t="shared" si="39"/>
        <v>139</v>
      </c>
      <c r="X173" s="15">
        <f t="shared" si="40"/>
        <v>139</v>
      </c>
      <c r="Y173" s="15">
        <f>ROUNDDOWN(W173/HLOOKUP(D173,Table!$C$3:$D$4,2,0)*8,2)</f>
        <v>2.4700000000000002</v>
      </c>
      <c r="Z173" s="15">
        <v>2.2999999999999998</v>
      </c>
      <c r="AA173" s="15" t="s">
        <v>70</v>
      </c>
      <c r="AB173" s="19">
        <v>44007</v>
      </c>
      <c r="AC173" s="19">
        <v>43997</v>
      </c>
      <c r="AD173" s="19">
        <v>44007</v>
      </c>
      <c r="AE173" s="80">
        <v>44000</v>
      </c>
      <c r="AF173" s="19">
        <v>44000</v>
      </c>
      <c r="AG173" s="19" t="s">
        <v>164</v>
      </c>
      <c r="AH173" s="29">
        <v>1</v>
      </c>
      <c r="AI173" s="29">
        <v>1</v>
      </c>
      <c r="AJ173" s="29">
        <v>1</v>
      </c>
      <c r="AK173" s="19" t="s">
        <v>144</v>
      </c>
      <c r="AL173" s="15" t="s">
        <v>58</v>
      </c>
      <c r="AM173" s="15" t="s">
        <v>58</v>
      </c>
      <c r="AN173" s="15" t="s">
        <v>58</v>
      </c>
    </row>
    <row r="174" spans="2:40" hidden="1" x14ac:dyDescent="0.25">
      <c r="B174" s="39">
        <f t="shared" si="35"/>
        <v>115</v>
      </c>
      <c r="C174" s="16">
        <v>20200615</v>
      </c>
      <c r="D174" s="15" t="s">
        <v>3</v>
      </c>
      <c r="E174" s="75" t="s">
        <v>539</v>
      </c>
      <c r="F174" s="100" t="s">
        <v>570</v>
      </c>
      <c r="G174" s="75">
        <v>1518601</v>
      </c>
      <c r="H174" s="48" t="s">
        <v>58</v>
      </c>
      <c r="I174" s="95" t="s">
        <v>545</v>
      </c>
      <c r="J174" s="48" t="s">
        <v>58</v>
      </c>
      <c r="K174" s="15" t="s">
        <v>1067</v>
      </c>
      <c r="L174" s="15" t="s">
        <v>558</v>
      </c>
      <c r="M174" s="15" t="s">
        <v>557</v>
      </c>
      <c r="N174" s="15" t="s">
        <v>556</v>
      </c>
      <c r="O174" s="17" t="s">
        <v>58</v>
      </c>
      <c r="P174" s="17" t="s">
        <v>187</v>
      </c>
      <c r="Q174" s="18"/>
      <c r="R174" s="48" t="s">
        <v>58</v>
      </c>
      <c r="S174" s="15" t="s">
        <v>231</v>
      </c>
      <c r="T174" s="15"/>
      <c r="U174" s="15"/>
      <c r="V174" s="75">
        <v>75</v>
      </c>
      <c r="W174" s="15">
        <f t="shared" si="39"/>
        <v>75</v>
      </c>
      <c r="X174" s="15">
        <f t="shared" si="40"/>
        <v>75</v>
      </c>
      <c r="Y174" s="15">
        <f>ROUNDDOWN(W174/HLOOKUP(D174,Table!$C$3:$D$4,2,0)*8,2)</f>
        <v>1.33</v>
      </c>
      <c r="Z174" s="15">
        <v>1</v>
      </c>
      <c r="AA174" s="15" t="s">
        <v>70</v>
      </c>
      <c r="AB174" s="19">
        <v>44007</v>
      </c>
      <c r="AC174" s="19">
        <v>43997</v>
      </c>
      <c r="AD174" s="19">
        <v>44007</v>
      </c>
      <c r="AE174" s="80">
        <v>44000</v>
      </c>
      <c r="AF174" s="19">
        <v>44000</v>
      </c>
      <c r="AG174" s="19" t="s">
        <v>164</v>
      </c>
      <c r="AH174" s="29">
        <v>1</v>
      </c>
      <c r="AI174" s="29">
        <v>1</v>
      </c>
      <c r="AJ174" s="29">
        <v>1</v>
      </c>
      <c r="AK174" s="19" t="s">
        <v>144</v>
      </c>
      <c r="AL174" s="15" t="s">
        <v>58</v>
      </c>
      <c r="AM174" s="15" t="s">
        <v>58</v>
      </c>
      <c r="AN174" s="15" t="s">
        <v>58</v>
      </c>
    </row>
    <row r="175" spans="2:40" hidden="1" x14ac:dyDescent="0.25">
      <c r="B175" s="39">
        <f t="shared" si="35"/>
        <v>116</v>
      </c>
      <c r="C175" s="16">
        <v>20200615</v>
      </c>
      <c r="D175" s="15" t="s">
        <v>3</v>
      </c>
      <c r="E175" s="75" t="s">
        <v>539</v>
      </c>
      <c r="F175" s="100" t="s">
        <v>571</v>
      </c>
      <c r="G175" s="75">
        <v>1518601</v>
      </c>
      <c r="H175" s="48" t="s">
        <v>58</v>
      </c>
      <c r="I175" s="95" t="s">
        <v>178</v>
      </c>
      <c r="J175" s="48" t="s">
        <v>58</v>
      </c>
      <c r="K175" s="15" t="s">
        <v>1067</v>
      </c>
      <c r="L175" s="15" t="s">
        <v>558</v>
      </c>
      <c r="M175" s="15" t="s">
        <v>557</v>
      </c>
      <c r="N175" s="15" t="s">
        <v>556</v>
      </c>
      <c r="O175" s="17" t="s">
        <v>58</v>
      </c>
      <c r="P175" s="17" t="s">
        <v>187</v>
      </c>
      <c r="Q175" s="18"/>
      <c r="R175" s="48" t="s">
        <v>58</v>
      </c>
      <c r="S175" s="15" t="s">
        <v>231</v>
      </c>
      <c r="T175" s="15"/>
      <c r="U175" s="15"/>
      <c r="V175" s="75">
        <v>177</v>
      </c>
      <c r="W175" s="79">
        <f>188</f>
        <v>188</v>
      </c>
      <c r="X175" s="15">
        <f t="shared" si="40"/>
        <v>188</v>
      </c>
      <c r="Y175" s="15">
        <f>ROUNDDOWN(W175/HLOOKUP(D175,Table!$C$3:$D$4,2,0)*8,2)</f>
        <v>3.34</v>
      </c>
      <c r="Z175" s="15">
        <v>3.2</v>
      </c>
      <c r="AA175" s="15" t="s">
        <v>70</v>
      </c>
      <c r="AB175" s="19">
        <v>44007</v>
      </c>
      <c r="AC175" s="19">
        <v>43997</v>
      </c>
      <c r="AD175" s="19">
        <v>44007</v>
      </c>
      <c r="AE175" s="80">
        <v>44001</v>
      </c>
      <c r="AF175" s="19">
        <v>44001</v>
      </c>
      <c r="AG175" s="19" t="s">
        <v>164</v>
      </c>
      <c r="AH175" s="29">
        <v>1</v>
      </c>
      <c r="AI175" s="29">
        <v>1</v>
      </c>
      <c r="AJ175" s="29">
        <v>1</v>
      </c>
      <c r="AK175" s="19" t="s">
        <v>144</v>
      </c>
      <c r="AL175" s="15" t="s">
        <v>58</v>
      </c>
      <c r="AM175" s="15" t="s">
        <v>58</v>
      </c>
      <c r="AN175" s="15" t="s">
        <v>625</v>
      </c>
    </row>
    <row r="176" spans="2:40" hidden="1" x14ac:dyDescent="0.25">
      <c r="B176" s="39">
        <f t="shared" si="35"/>
        <v>117</v>
      </c>
      <c r="C176" s="16">
        <v>20200615</v>
      </c>
      <c r="D176" s="15" t="s">
        <v>3</v>
      </c>
      <c r="E176" s="75" t="s">
        <v>539</v>
      </c>
      <c r="F176" s="100" t="s">
        <v>572</v>
      </c>
      <c r="G176" s="75">
        <v>1518601</v>
      </c>
      <c r="H176" s="48" t="s">
        <v>58</v>
      </c>
      <c r="I176" s="95" t="s">
        <v>196</v>
      </c>
      <c r="J176" s="48" t="s">
        <v>58</v>
      </c>
      <c r="K176" s="15" t="s">
        <v>1067</v>
      </c>
      <c r="L176" s="15" t="s">
        <v>558</v>
      </c>
      <c r="M176" s="15" t="s">
        <v>557</v>
      </c>
      <c r="N176" s="15" t="s">
        <v>556</v>
      </c>
      <c r="O176" s="17" t="s">
        <v>58</v>
      </c>
      <c r="P176" s="17" t="s">
        <v>187</v>
      </c>
      <c r="Q176" s="18"/>
      <c r="R176" s="48" t="s">
        <v>58</v>
      </c>
      <c r="S176" s="15" t="s">
        <v>231</v>
      </c>
      <c r="T176" s="15"/>
      <c r="U176" s="15"/>
      <c r="V176" s="75">
        <v>72</v>
      </c>
      <c r="W176" s="15">
        <f t="shared" si="39"/>
        <v>72</v>
      </c>
      <c r="X176" s="15">
        <f t="shared" si="40"/>
        <v>72</v>
      </c>
      <c r="Y176" s="15">
        <f>ROUNDDOWN(W176/HLOOKUP(D176,Table!$C$3:$D$4,2,0)*8,2)</f>
        <v>1.28</v>
      </c>
      <c r="Z176" s="15">
        <v>1</v>
      </c>
      <c r="AA176" s="15" t="s">
        <v>70</v>
      </c>
      <c r="AB176" s="19">
        <v>44007</v>
      </c>
      <c r="AC176" s="19">
        <v>43997</v>
      </c>
      <c r="AD176" s="19">
        <v>44007</v>
      </c>
      <c r="AE176" s="80">
        <v>44000</v>
      </c>
      <c r="AF176" s="19">
        <v>44000</v>
      </c>
      <c r="AG176" s="19" t="s">
        <v>164</v>
      </c>
      <c r="AH176" s="29">
        <v>1</v>
      </c>
      <c r="AI176" s="29">
        <v>1</v>
      </c>
      <c r="AJ176" s="29">
        <v>1</v>
      </c>
      <c r="AK176" s="19" t="s">
        <v>144</v>
      </c>
      <c r="AL176" s="15" t="s">
        <v>58</v>
      </c>
      <c r="AM176" s="15" t="s">
        <v>58</v>
      </c>
      <c r="AN176" s="15" t="s">
        <v>58</v>
      </c>
    </row>
    <row r="177" spans="2:40" hidden="1" x14ac:dyDescent="0.25">
      <c r="B177" s="39">
        <f t="shared" si="35"/>
        <v>118</v>
      </c>
      <c r="C177" s="16">
        <v>20200615</v>
      </c>
      <c r="D177" s="15" t="s">
        <v>3</v>
      </c>
      <c r="E177" s="75" t="s">
        <v>539</v>
      </c>
      <c r="F177" s="100" t="s">
        <v>573</v>
      </c>
      <c r="G177" s="75">
        <v>1518601</v>
      </c>
      <c r="H177" s="48" t="s">
        <v>58</v>
      </c>
      <c r="I177" s="95" t="s">
        <v>546</v>
      </c>
      <c r="J177" s="48" t="s">
        <v>58</v>
      </c>
      <c r="K177" s="15" t="s">
        <v>1067</v>
      </c>
      <c r="L177" s="15" t="s">
        <v>558</v>
      </c>
      <c r="M177" s="15" t="s">
        <v>557</v>
      </c>
      <c r="N177" s="15" t="s">
        <v>556</v>
      </c>
      <c r="O177" s="17" t="s">
        <v>58</v>
      </c>
      <c r="P177" s="17" t="s">
        <v>187</v>
      </c>
      <c r="Q177" s="18"/>
      <c r="R177" s="48" t="s">
        <v>58</v>
      </c>
      <c r="S177" s="15" t="s">
        <v>231</v>
      </c>
      <c r="T177" s="15"/>
      <c r="U177" s="15"/>
      <c r="V177" s="75">
        <v>162</v>
      </c>
      <c r="W177" s="15">
        <f t="shared" si="39"/>
        <v>162</v>
      </c>
      <c r="X177" s="15">
        <f t="shared" si="40"/>
        <v>162</v>
      </c>
      <c r="Y177" s="15">
        <f>ROUNDDOWN(W177/HLOOKUP(D177,Table!$C$3:$D$4,2,0)*8,2)</f>
        <v>2.88</v>
      </c>
      <c r="Z177" s="15">
        <v>3</v>
      </c>
      <c r="AA177" s="15" t="s">
        <v>70</v>
      </c>
      <c r="AB177" s="19">
        <v>44007</v>
      </c>
      <c r="AC177" s="19">
        <v>43997</v>
      </c>
      <c r="AD177" s="19">
        <v>44007</v>
      </c>
      <c r="AE177" s="80">
        <v>44000</v>
      </c>
      <c r="AF177" s="19">
        <v>44000</v>
      </c>
      <c r="AG177" s="19" t="s">
        <v>164</v>
      </c>
      <c r="AH177" s="29">
        <v>1</v>
      </c>
      <c r="AI177" s="29">
        <v>1</v>
      </c>
      <c r="AJ177" s="74" t="s">
        <v>58</v>
      </c>
      <c r="AK177" s="19" t="s">
        <v>144</v>
      </c>
      <c r="AL177" s="15" t="s">
        <v>629</v>
      </c>
      <c r="AM177" s="15" t="s">
        <v>629</v>
      </c>
      <c r="AN177" s="15" t="s">
        <v>629</v>
      </c>
    </row>
    <row r="178" spans="2:40" hidden="1" x14ac:dyDescent="0.25">
      <c r="B178" s="39">
        <f t="shared" si="35"/>
        <v>119</v>
      </c>
      <c r="C178" s="16">
        <v>20200615</v>
      </c>
      <c r="D178" s="15" t="s">
        <v>3</v>
      </c>
      <c r="E178" s="75" t="s">
        <v>539</v>
      </c>
      <c r="F178" s="100" t="s">
        <v>574</v>
      </c>
      <c r="G178" s="75">
        <v>1518601</v>
      </c>
      <c r="H178" s="48" t="s">
        <v>58</v>
      </c>
      <c r="I178" s="95" t="s">
        <v>547</v>
      </c>
      <c r="J178" s="48" t="s">
        <v>58</v>
      </c>
      <c r="K178" s="15" t="s">
        <v>1067</v>
      </c>
      <c r="L178" s="15" t="s">
        <v>558</v>
      </c>
      <c r="M178" s="15" t="s">
        <v>557</v>
      </c>
      <c r="N178" s="15" t="s">
        <v>556</v>
      </c>
      <c r="O178" s="17" t="s">
        <v>58</v>
      </c>
      <c r="P178" s="17" t="s">
        <v>187</v>
      </c>
      <c r="Q178" s="18"/>
      <c r="R178" s="48" t="s">
        <v>58</v>
      </c>
      <c r="S178" s="15" t="s">
        <v>231</v>
      </c>
      <c r="T178" s="15"/>
      <c r="U178" s="15"/>
      <c r="V178" s="75">
        <v>38</v>
      </c>
      <c r="W178" s="15">
        <f t="shared" si="39"/>
        <v>38</v>
      </c>
      <c r="X178" s="15">
        <f t="shared" si="40"/>
        <v>38</v>
      </c>
      <c r="Y178" s="15">
        <f>ROUNDDOWN(W178/HLOOKUP(D178,Table!$C$3:$D$4,2,0)*8,2)</f>
        <v>0.67</v>
      </c>
      <c r="Z178" s="15">
        <v>1</v>
      </c>
      <c r="AA178" s="15" t="s">
        <v>70</v>
      </c>
      <c r="AB178" s="19">
        <v>44007</v>
      </c>
      <c r="AC178" s="19">
        <v>43997</v>
      </c>
      <c r="AD178" s="19">
        <v>44007</v>
      </c>
      <c r="AE178" s="80">
        <v>44000</v>
      </c>
      <c r="AF178" s="19">
        <v>44000</v>
      </c>
      <c r="AG178" s="19" t="s">
        <v>164</v>
      </c>
      <c r="AH178" s="29">
        <v>1</v>
      </c>
      <c r="AI178" s="29">
        <v>1</v>
      </c>
      <c r="AJ178" s="29">
        <v>1</v>
      </c>
      <c r="AK178" s="19" t="s">
        <v>144</v>
      </c>
      <c r="AL178" s="15" t="s">
        <v>58</v>
      </c>
      <c r="AM178" s="15" t="s">
        <v>58</v>
      </c>
      <c r="AN178" s="15" t="s">
        <v>58</v>
      </c>
    </row>
    <row r="179" spans="2:40" hidden="1" x14ac:dyDescent="0.25">
      <c r="B179" s="39">
        <f t="shared" si="35"/>
        <v>120</v>
      </c>
      <c r="C179" s="16">
        <v>20200615</v>
      </c>
      <c r="D179" s="15" t="s">
        <v>3</v>
      </c>
      <c r="E179" s="75" t="s">
        <v>539</v>
      </c>
      <c r="F179" s="100" t="s">
        <v>575</v>
      </c>
      <c r="G179" s="75">
        <v>1518601</v>
      </c>
      <c r="H179" s="48" t="s">
        <v>58</v>
      </c>
      <c r="I179" s="95" t="s">
        <v>548</v>
      </c>
      <c r="J179" s="48" t="s">
        <v>58</v>
      </c>
      <c r="K179" s="15" t="s">
        <v>1067</v>
      </c>
      <c r="L179" s="15" t="s">
        <v>558</v>
      </c>
      <c r="M179" s="15" t="s">
        <v>557</v>
      </c>
      <c r="N179" s="15" t="s">
        <v>556</v>
      </c>
      <c r="O179" s="17" t="s">
        <v>58</v>
      </c>
      <c r="P179" s="17" t="s">
        <v>187</v>
      </c>
      <c r="Q179" s="18"/>
      <c r="R179" s="48" t="s">
        <v>58</v>
      </c>
      <c r="S179" s="15" t="s">
        <v>231</v>
      </c>
      <c r="T179" s="15"/>
      <c r="U179" s="15"/>
      <c r="V179" s="75">
        <v>115</v>
      </c>
      <c r="W179" s="15">
        <f t="shared" si="39"/>
        <v>115</v>
      </c>
      <c r="X179" s="15">
        <f t="shared" si="40"/>
        <v>115</v>
      </c>
      <c r="Y179" s="15">
        <f>ROUNDDOWN(W179/HLOOKUP(D179,Table!$C$3:$D$4,2,0)*8,2)</f>
        <v>2.04</v>
      </c>
      <c r="Z179" s="15">
        <v>2</v>
      </c>
      <c r="AA179" s="15" t="s">
        <v>70</v>
      </c>
      <c r="AB179" s="19">
        <v>44007</v>
      </c>
      <c r="AC179" s="19">
        <v>43997</v>
      </c>
      <c r="AD179" s="19">
        <v>44007</v>
      </c>
      <c r="AE179" s="80">
        <v>44000</v>
      </c>
      <c r="AF179" s="19">
        <v>44000</v>
      </c>
      <c r="AG179" s="19" t="s">
        <v>164</v>
      </c>
      <c r="AH179" s="29">
        <v>1</v>
      </c>
      <c r="AI179" s="29">
        <v>1</v>
      </c>
      <c r="AJ179" s="29">
        <v>1</v>
      </c>
      <c r="AK179" s="19" t="s">
        <v>144</v>
      </c>
      <c r="AL179" s="15" t="s">
        <v>58</v>
      </c>
      <c r="AM179" s="15" t="s">
        <v>58</v>
      </c>
      <c r="AN179" s="15" t="s">
        <v>58</v>
      </c>
    </row>
    <row r="180" spans="2:40" hidden="1" x14ac:dyDescent="0.25">
      <c r="B180" s="39">
        <f t="shared" si="35"/>
        <v>121</v>
      </c>
      <c r="C180" s="16">
        <v>20200615</v>
      </c>
      <c r="D180" s="15" t="s">
        <v>3</v>
      </c>
      <c r="E180" s="75" t="s">
        <v>539</v>
      </c>
      <c r="F180" s="100" t="s">
        <v>576</v>
      </c>
      <c r="G180" s="75">
        <v>1518601</v>
      </c>
      <c r="H180" s="48" t="s">
        <v>58</v>
      </c>
      <c r="I180" s="75" t="s">
        <v>195</v>
      </c>
      <c r="J180" s="48" t="s">
        <v>58</v>
      </c>
      <c r="K180" s="15" t="s">
        <v>1067</v>
      </c>
      <c r="L180" s="15" t="s">
        <v>558</v>
      </c>
      <c r="M180" s="15" t="s">
        <v>557</v>
      </c>
      <c r="N180" s="15" t="s">
        <v>556</v>
      </c>
      <c r="O180" s="17" t="s">
        <v>58</v>
      </c>
      <c r="P180" s="17" t="s">
        <v>187</v>
      </c>
      <c r="Q180" s="18"/>
      <c r="R180" s="48" t="s">
        <v>58</v>
      </c>
      <c r="S180" s="15" t="s">
        <v>233</v>
      </c>
      <c r="T180" s="15"/>
      <c r="U180" s="15"/>
      <c r="V180" s="75">
        <v>59</v>
      </c>
      <c r="W180" s="15">
        <f t="shared" si="39"/>
        <v>59</v>
      </c>
      <c r="X180" s="15">
        <f t="shared" si="40"/>
        <v>59</v>
      </c>
      <c r="Y180" s="15">
        <f>ROUNDDOWN(W180/HLOOKUP(D180,Table!$C$3:$D$4,2,0)*8,2)</f>
        <v>1.04</v>
      </c>
      <c r="Z180" s="15">
        <v>1</v>
      </c>
      <c r="AA180" s="15" t="s">
        <v>70</v>
      </c>
      <c r="AB180" s="19">
        <v>44007</v>
      </c>
      <c r="AC180" s="19">
        <v>43997</v>
      </c>
      <c r="AD180" s="19">
        <v>44007</v>
      </c>
      <c r="AE180" s="80">
        <v>44000</v>
      </c>
      <c r="AF180" s="19">
        <v>44000</v>
      </c>
      <c r="AG180" s="19" t="s">
        <v>164</v>
      </c>
      <c r="AH180" s="29">
        <v>1</v>
      </c>
      <c r="AI180" s="29">
        <v>1</v>
      </c>
      <c r="AJ180" s="29">
        <v>1</v>
      </c>
      <c r="AK180" s="19" t="s">
        <v>144</v>
      </c>
      <c r="AL180" s="15" t="s">
        <v>58</v>
      </c>
      <c r="AM180" s="15" t="s">
        <v>58</v>
      </c>
      <c r="AN180" s="15" t="s">
        <v>58</v>
      </c>
    </row>
    <row r="181" spans="2:40" hidden="1" x14ac:dyDescent="0.25">
      <c r="B181" s="39">
        <f t="shared" si="35"/>
        <v>122</v>
      </c>
      <c r="C181" s="16">
        <v>20200615</v>
      </c>
      <c r="D181" s="15" t="s">
        <v>3</v>
      </c>
      <c r="E181" s="75" t="s">
        <v>539</v>
      </c>
      <c r="F181" s="100" t="s">
        <v>577</v>
      </c>
      <c r="G181" s="75">
        <v>1518601</v>
      </c>
      <c r="H181" s="48" t="s">
        <v>58</v>
      </c>
      <c r="I181" s="75" t="s">
        <v>194</v>
      </c>
      <c r="J181" s="48" t="s">
        <v>58</v>
      </c>
      <c r="K181" s="15" t="s">
        <v>1067</v>
      </c>
      <c r="L181" s="15" t="s">
        <v>558</v>
      </c>
      <c r="M181" s="15" t="s">
        <v>557</v>
      </c>
      <c r="N181" s="15" t="s">
        <v>556</v>
      </c>
      <c r="O181" s="17" t="s">
        <v>58</v>
      </c>
      <c r="P181" s="17" t="s">
        <v>187</v>
      </c>
      <c r="Q181" s="18"/>
      <c r="R181" s="48" t="s">
        <v>58</v>
      </c>
      <c r="S181" s="15" t="s">
        <v>233</v>
      </c>
      <c r="T181" s="15"/>
      <c r="U181" s="15"/>
      <c r="V181" s="75">
        <v>59</v>
      </c>
      <c r="W181" s="15">
        <f t="shared" si="39"/>
        <v>59</v>
      </c>
      <c r="X181" s="15">
        <f t="shared" si="40"/>
        <v>59</v>
      </c>
      <c r="Y181" s="15">
        <f>ROUNDDOWN(W181/HLOOKUP(D181,Table!$C$3:$D$4,2,0)*8,2)</f>
        <v>1.04</v>
      </c>
      <c r="Z181" s="15">
        <v>1</v>
      </c>
      <c r="AA181" s="15" t="s">
        <v>70</v>
      </c>
      <c r="AB181" s="19">
        <v>44007</v>
      </c>
      <c r="AC181" s="19">
        <v>43997</v>
      </c>
      <c r="AD181" s="19">
        <v>44007</v>
      </c>
      <c r="AE181" s="80">
        <v>44000</v>
      </c>
      <c r="AF181" s="19">
        <v>44000</v>
      </c>
      <c r="AG181" s="19" t="s">
        <v>164</v>
      </c>
      <c r="AH181" s="29">
        <v>1</v>
      </c>
      <c r="AI181" s="29">
        <v>1</v>
      </c>
      <c r="AJ181" s="29">
        <v>1</v>
      </c>
      <c r="AK181" s="19" t="s">
        <v>144</v>
      </c>
      <c r="AL181" s="15" t="s">
        <v>58</v>
      </c>
      <c r="AM181" s="15" t="s">
        <v>58</v>
      </c>
      <c r="AN181" s="15" t="s">
        <v>58</v>
      </c>
    </row>
    <row r="182" spans="2:40" hidden="1" x14ac:dyDescent="0.25">
      <c r="B182" s="39">
        <f t="shared" si="35"/>
        <v>123</v>
      </c>
      <c r="C182" s="16">
        <v>20200615</v>
      </c>
      <c r="D182" s="15" t="s">
        <v>3</v>
      </c>
      <c r="E182" s="75" t="s">
        <v>539</v>
      </c>
      <c r="F182" s="100" t="s">
        <v>578</v>
      </c>
      <c r="G182" s="75">
        <v>1518601</v>
      </c>
      <c r="H182" s="48" t="s">
        <v>58</v>
      </c>
      <c r="I182" s="75" t="s">
        <v>191</v>
      </c>
      <c r="J182" s="48" t="s">
        <v>58</v>
      </c>
      <c r="K182" s="15" t="s">
        <v>1067</v>
      </c>
      <c r="L182" s="15" t="s">
        <v>558</v>
      </c>
      <c r="M182" s="15" t="s">
        <v>557</v>
      </c>
      <c r="N182" s="15" t="s">
        <v>556</v>
      </c>
      <c r="O182" s="17" t="s">
        <v>58</v>
      </c>
      <c r="P182" s="17" t="s">
        <v>187</v>
      </c>
      <c r="Q182" s="18"/>
      <c r="R182" s="48" t="s">
        <v>58</v>
      </c>
      <c r="S182" s="15" t="s">
        <v>233</v>
      </c>
      <c r="T182" s="15"/>
      <c r="U182" s="15"/>
      <c r="V182" s="75">
        <v>58</v>
      </c>
      <c r="W182" s="15">
        <f t="shared" si="39"/>
        <v>58</v>
      </c>
      <c r="X182" s="15">
        <f t="shared" si="40"/>
        <v>58</v>
      </c>
      <c r="Y182" s="15">
        <f>ROUNDDOWN(W182/HLOOKUP(D182,Table!$C$3:$D$4,2,0)*8,2)</f>
        <v>1.03</v>
      </c>
      <c r="Z182" s="15">
        <v>0.5</v>
      </c>
      <c r="AA182" s="15" t="s">
        <v>70</v>
      </c>
      <c r="AB182" s="19">
        <v>44007</v>
      </c>
      <c r="AC182" s="19">
        <v>43997</v>
      </c>
      <c r="AD182" s="19">
        <v>44007</v>
      </c>
      <c r="AE182" s="80">
        <v>44000</v>
      </c>
      <c r="AF182" s="19">
        <v>44000</v>
      </c>
      <c r="AG182" s="19" t="s">
        <v>164</v>
      </c>
      <c r="AH182" s="29">
        <v>1</v>
      </c>
      <c r="AI182" s="29">
        <v>1</v>
      </c>
      <c r="AJ182" s="29">
        <v>1</v>
      </c>
      <c r="AK182" s="19" t="s">
        <v>144</v>
      </c>
      <c r="AL182" s="15" t="s">
        <v>58</v>
      </c>
      <c r="AM182" s="15" t="s">
        <v>58</v>
      </c>
      <c r="AN182" s="15" t="s">
        <v>58</v>
      </c>
    </row>
    <row r="183" spans="2:40" hidden="1" x14ac:dyDescent="0.25">
      <c r="B183" s="39">
        <f t="shared" si="35"/>
        <v>124</v>
      </c>
      <c r="C183" s="16">
        <v>20200615</v>
      </c>
      <c r="D183" s="15" t="s">
        <v>3</v>
      </c>
      <c r="E183" s="75" t="s">
        <v>539</v>
      </c>
      <c r="F183" s="100" t="s">
        <v>579</v>
      </c>
      <c r="G183" s="75">
        <v>1518601</v>
      </c>
      <c r="H183" s="48" t="s">
        <v>58</v>
      </c>
      <c r="I183" s="75" t="s">
        <v>549</v>
      </c>
      <c r="J183" s="48" t="s">
        <v>58</v>
      </c>
      <c r="K183" s="15" t="s">
        <v>1067</v>
      </c>
      <c r="L183" s="15" t="s">
        <v>558</v>
      </c>
      <c r="M183" s="15" t="s">
        <v>557</v>
      </c>
      <c r="N183" s="15" t="s">
        <v>556</v>
      </c>
      <c r="O183" s="17" t="s">
        <v>58</v>
      </c>
      <c r="P183" s="17" t="s">
        <v>187</v>
      </c>
      <c r="Q183" s="18"/>
      <c r="R183" s="48" t="s">
        <v>58</v>
      </c>
      <c r="S183" s="15" t="s">
        <v>233</v>
      </c>
      <c r="T183" s="15"/>
      <c r="U183" s="15"/>
      <c r="V183" s="75">
        <v>40</v>
      </c>
      <c r="W183" s="15">
        <f t="shared" si="39"/>
        <v>40</v>
      </c>
      <c r="X183" s="15">
        <f t="shared" si="40"/>
        <v>40</v>
      </c>
      <c r="Y183" s="15">
        <f>ROUNDDOWN(W183/HLOOKUP(D183,Table!$C$3:$D$4,2,0)*8,2)</f>
        <v>0.71</v>
      </c>
      <c r="Z183" s="15">
        <v>0.5</v>
      </c>
      <c r="AA183" s="15" t="s">
        <v>70</v>
      </c>
      <c r="AB183" s="19">
        <v>44007</v>
      </c>
      <c r="AC183" s="19">
        <v>43997</v>
      </c>
      <c r="AD183" s="19">
        <v>44007</v>
      </c>
      <c r="AE183" s="80">
        <v>44000</v>
      </c>
      <c r="AF183" s="19">
        <v>44000</v>
      </c>
      <c r="AG183" s="19" t="s">
        <v>164</v>
      </c>
      <c r="AH183" s="29">
        <v>1</v>
      </c>
      <c r="AI183" s="29">
        <v>1</v>
      </c>
      <c r="AJ183" s="29">
        <v>1</v>
      </c>
      <c r="AK183" s="19" t="s">
        <v>144</v>
      </c>
      <c r="AL183" s="15" t="s">
        <v>58</v>
      </c>
      <c r="AM183" s="15" t="s">
        <v>58</v>
      </c>
      <c r="AN183" s="15" t="s">
        <v>58</v>
      </c>
    </row>
    <row r="184" spans="2:40" hidden="1" x14ac:dyDescent="0.25">
      <c r="B184" s="39">
        <f t="shared" si="35"/>
        <v>125</v>
      </c>
      <c r="C184" s="16">
        <v>20200615</v>
      </c>
      <c r="D184" s="15" t="s">
        <v>3</v>
      </c>
      <c r="E184" s="75" t="s">
        <v>539</v>
      </c>
      <c r="F184" s="100" t="s">
        <v>580</v>
      </c>
      <c r="G184" s="75">
        <v>1518601</v>
      </c>
      <c r="H184" s="48" t="s">
        <v>58</v>
      </c>
      <c r="I184" s="75" t="s">
        <v>190</v>
      </c>
      <c r="J184" s="48" t="s">
        <v>58</v>
      </c>
      <c r="K184" s="15" t="s">
        <v>1067</v>
      </c>
      <c r="L184" s="15" t="s">
        <v>558</v>
      </c>
      <c r="M184" s="15" t="s">
        <v>557</v>
      </c>
      <c r="N184" s="15" t="s">
        <v>556</v>
      </c>
      <c r="O184" s="17" t="s">
        <v>58</v>
      </c>
      <c r="P184" s="17" t="s">
        <v>187</v>
      </c>
      <c r="Q184" s="18"/>
      <c r="R184" s="48" t="s">
        <v>58</v>
      </c>
      <c r="S184" s="15" t="s">
        <v>233</v>
      </c>
      <c r="T184" s="15"/>
      <c r="U184" s="15"/>
      <c r="V184" s="75">
        <v>200</v>
      </c>
      <c r="W184" s="15">
        <f t="shared" si="39"/>
        <v>200</v>
      </c>
      <c r="X184" s="15">
        <f t="shared" si="40"/>
        <v>200</v>
      </c>
      <c r="Y184" s="15">
        <f>ROUNDDOWN(W184/HLOOKUP(D184,Table!$C$3:$D$4,2,0)*8,2)</f>
        <v>3.55</v>
      </c>
      <c r="Z184" s="15">
        <v>3</v>
      </c>
      <c r="AA184" s="15" t="s">
        <v>70</v>
      </c>
      <c r="AB184" s="19">
        <v>44007</v>
      </c>
      <c r="AC184" s="19">
        <v>43997</v>
      </c>
      <c r="AD184" s="19">
        <v>44007</v>
      </c>
      <c r="AE184" s="80">
        <v>44000</v>
      </c>
      <c r="AF184" s="19">
        <v>44000</v>
      </c>
      <c r="AG184" s="19" t="s">
        <v>164</v>
      </c>
      <c r="AH184" s="29">
        <v>1</v>
      </c>
      <c r="AI184" s="29">
        <v>1</v>
      </c>
      <c r="AJ184" s="29">
        <v>1</v>
      </c>
      <c r="AK184" s="19" t="s">
        <v>144</v>
      </c>
      <c r="AL184" s="15" t="s">
        <v>58</v>
      </c>
      <c r="AM184" s="15" t="s">
        <v>58</v>
      </c>
      <c r="AN184" s="15" t="s">
        <v>58</v>
      </c>
    </row>
    <row r="185" spans="2:40" hidden="1" x14ac:dyDescent="0.25">
      <c r="B185" s="39">
        <f t="shared" si="35"/>
        <v>126</v>
      </c>
      <c r="C185" s="16">
        <v>20200615</v>
      </c>
      <c r="D185" s="15" t="s">
        <v>3</v>
      </c>
      <c r="E185" s="75" t="s">
        <v>539</v>
      </c>
      <c r="F185" s="100" t="s">
        <v>581</v>
      </c>
      <c r="G185" s="75">
        <v>1518601</v>
      </c>
      <c r="H185" s="48" t="s">
        <v>58</v>
      </c>
      <c r="I185" s="75" t="s">
        <v>550</v>
      </c>
      <c r="J185" s="48" t="s">
        <v>58</v>
      </c>
      <c r="K185" s="15" t="s">
        <v>1067</v>
      </c>
      <c r="L185" s="15" t="s">
        <v>558</v>
      </c>
      <c r="M185" s="15" t="s">
        <v>557</v>
      </c>
      <c r="N185" s="15" t="s">
        <v>556</v>
      </c>
      <c r="O185" s="17" t="s">
        <v>58</v>
      </c>
      <c r="P185" s="17" t="s">
        <v>187</v>
      </c>
      <c r="Q185" s="18"/>
      <c r="R185" s="48" t="s">
        <v>58</v>
      </c>
      <c r="S185" s="15" t="s">
        <v>233</v>
      </c>
      <c r="T185" s="15"/>
      <c r="U185" s="15"/>
      <c r="V185" s="75">
        <v>90</v>
      </c>
      <c r="W185" s="15">
        <f t="shared" si="39"/>
        <v>90</v>
      </c>
      <c r="X185" s="15">
        <f t="shared" si="40"/>
        <v>90</v>
      </c>
      <c r="Y185" s="15">
        <f>ROUNDDOWN(W185/HLOOKUP(D185,Table!$C$3:$D$4,2,0)*8,2)</f>
        <v>1.6</v>
      </c>
      <c r="Z185" s="15">
        <v>1.5</v>
      </c>
      <c r="AA185" s="15" t="s">
        <v>70</v>
      </c>
      <c r="AB185" s="19">
        <v>44007</v>
      </c>
      <c r="AC185" s="19">
        <v>43997</v>
      </c>
      <c r="AD185" s="19">
        <v>44007</v>
      </c>
      <c r="AE185" s="80">
        <v>44001</v>
      </c>
      <c r="AF185" s="19">
        <v>44001</v>
      </c>
      <c r="AG185" s="19" t="s">
        <v>164</v>
      </c>
      <c r="AH185" s="29">
        <v>1</v>
      </c>
      <c r="AI185" s="29">
        <v>1</v>
      </c>
      <c r="AJ185" s="29">
        <v>1</v>
      </c>
      <c r="AK185" s="19" t="s">
        <v>144</v>
      </c>
      <c r="AL185" s="15" t="s">
        <v>58</v>
      </c>
      <c r="AM185" s="15" t="s">
        <v>58</v>
      </c>
      <c r="AN185" s="15" t="s">
        <v>58</v>
      </c>
    </row>
    <row r="186" spans="2:40" hidden="1" x14ac:dyDescent="0.25">
      <c r="B186" s="39">
        <f t="shared" si="35"/>
        <v>127</v>
      </c>
      <c r="C186" s="16">
        <v>20200615</v>
      </c>
      <c r="D186" s="15" t="s">
        <v>3</v>
      </c>
      <c r="E186" s="75" t="s">
        <v>539</v>
      </c>
      <c r="F186" s="100" t="s">
        <v>582</v>
      </c>
      <c r="G186" s="75">
        <v>1518601</v>
      </c>
      <c r="H186" s="48" t="s">
        <v>58</v>
      </c>
      <c r="I186" s="95" t="s">
        <v>551</v>
      </c>
      <c r="J186" s="48" t="s">
        <v>58</v>
      </c>
      <c r="K186" s="15" t="s">
        <v>1067</v>
      </c>
      <c r="L186" s="15" t="s">
        <v>558</v>
      </c>
      <c r="M186" s="15" t="s">
        <v>557</v>
      </c>
      <c r="N186" s="15" t="s">
        <v>556</v>
      </c>
      <c r="O186" s="17" t="s">
        <v>58</v>
      </c>
      <c r="P186" s="17" t="s">
        <v>187</v>
      </c>
      <c r="Q186" s="18"/>
      <c r="R186" s="48" t="s">
        <v>58</v>
      </c>
      <c r="S186" s="15" t="s">
        <v>231</v>
      </c>
      <c r="T186" s="15"/>
      <c r="U186" s="15"/>
      <c r="V186" s="75">
        <v>148</v>
      </c>
      <c r="W186" s="15">
        <f t="shared" si="39"/>
        <v>148</v>
      </c>
      <c r="X186" s="15">
        <f t="shared" si="40"/>
        <v>148</v>
      </c>
      <c r="Y186" s="15">
        <f>ROUNDDOWN(W186/HLOOKUP(D186,Table!$C$3:$D$4,2,0)*8,2)</f>
        <v>2.63</v>
      </c>
      <c r="Z186" s="15">
        <v>2.5</v>
      </c>
      <c r="AA186" s="15" t="s">
        <v>70</v>
      </c>
      <c r="AB186" s="19">
        <v>44007</v>
      </c>
      <c r="AC186" s="19">
        <v>43997</v>
      </c>
      <c r="AD186" s="19">
        <v>44007</v>
      </c>
      <c r="AE186" s="80">
        <v>44000</v>
      </c>
      <c r="AF186" s="19">
        <v>44000</v>
      </c>
      <c r="AG186" s="19" t="s">
        <v>164</v>
      </c>
      <c r="AH186" s="29">
        <v>1</v>
      </c>
      <c r="AI186" s="29">
        <v>1</v>
      </c>
      <c r="AJ186" s="29">
        <v>1</v>
      </c>
      <c r="AK186" s="19" t="s">
        <v>144</v>
      </c>
      <c r="AL186" s="15" t="s">
        <v>58</v>
      </c>
      <c r="AM186" s="15" t="s">
        <v>58</v>
      </c>
      <c r="AN186" s="15" t="s">
        <v>58</v>
      </c>
    </row>
    <row r="187" spans="2:40" hidden="1" x14ac:dyDescent="0.25">
      <c r="B187" s="39">
        <f t="shared" si="35"/>
        <v>128</v>
      </c>
      <c r="C187" s="16">
        <v>20200615</v>
      </c>
      <c r="D187" s="15" t="s">
        <v>3</v>
      </c>
      <c r="E187" s="75" t="s">
        <v>539</v>
      </c>
      <c r="F187" s="100" t="s">
        <v>583</v>
      </c>
      <c r="G187" s="75">
        <v>1518601</v>
      </c>
      <c r="H187" s="48" t="s">
        <v>58</v>
      </c>
      <c r="I187" s="75" t="s">
        <v>286</v>
      </c>
      <c r="J187" s="48" t="s">
        <v>58</v>
      </c>
      <c r="K187" s="15" t="s">
        <v>1067</v>
      </c>
      <c r="L187" s="15" t="s">
        <v>558</v>
      </c>
      <c r="M187" s="15" t="s">
        <v>557</v>
      </c>
      <c r="N187" s="15" t="s">
        <v>556</v>
      </c>
      <c r="O187" s="17" t="s">
        <v>58</v>
      </c>
      <c r="P187" s="17" t="s">
        <v>187</v>
      </c>
      <c r="Q187" s="18"/>
      <c r="R187" s="48" t="s">
        <v>58</v>
      </c>
      <c r="S187" s="15" t="s">
        <v>233</v>
      </c>
      <c r="T187" s="15"/>
      <c r="U187" s="15"/>
      <c r="V187" s="75">
        <v>330</v>
      </c>
      <c r="W187" s="15">
        <f t="shared" si="39"/>
        <v>330</v>
      </c>
      <c r="X187" s="15">
        <f t="shared" ref="X187:X194" si="41">W187</f>
        <v>330</v>
      </c>
      <c r="Y187" s="15">
        <f>ROUNDDOWN(W187/HLOOKUP(D187,Table!$C$3:$D$4,2,0)*8,2)</f>
        <v>5.86</v>
      </c>
      <c r="Z187" s="15">
        <v>5.5</v>
      </c>
      <c r="AA187" s="15" t="s">
        <v>70</v>
      </c>
      <c r="AB187" s="19">
        <v>44007</v>
      </c>
      <c r="AC187" s="19">
        <v>43997</v>
      </c>
      <c r="AD187" s="19">
        <v>44007</v>
      </c>
      <c r="AE187" s="80">
        <v>44001</v>
      </c>
      <c r="AF187" s="19">
        <v>44001</v>
      </c>
      <c r="AG187" s="19" t="s">
        <v>165</v>
      </c>
      <c r="AH187" s="29">
        <v>0.96</v>
      </c>
      <c r="AI187" s="29">
        <v>0.93</v>
      </c>
      <c r="AJ187" s="29">
        <v>0.41</v>
      </c>
      <c r="AK187" s="19" t="s">
        <v>134</v>
      </c>
      <c r="AL187" s="15" t="s">
        <v>874</v>
      </c>
      <c r="AM187" s="15"/>
      <c r="AN187" s="17" t="s">
        <v>875</v>
      </c>
    </row>
    <row r="188" spans="2:40" hidden="1" x14ac:dyDescent="0.25">
      <c r="B188" s="39">
        <f t="shared" si="35"/>
        <v>129</v>
      </c>
      <c r="C188" s="16">
        <v>20200615</v>
      </c>
      <c r="D188" s="15" t="s">
        <v>3</v>
      </c>
      <c r="E188" s="75" t="s">
        <v>539</v>
      </c>
      <c r="F188" s="100" t="s">
        <v>584</v>
      </c>
      <c r="G188" s="75">
        <v>1518601</v>
      </c>
      <c r="H188" s="48" t="s">
        <v>58</v>
      </c>
      <c r="I188" s="75" t="s">
        <v>189</v>
      </c>
      <c r="J188" s="48" t="s">
        <v>58</v>
      </c>
      <c r="K188" s="15" t="s">
        <v>1067</v>
      </c>
      <c r="L188" s="15" t="s">
        <v>558</v>
      </c>
      <c r="M188" s="15" t="s">
        <v>557</v>
      </c>
      <c r="N188" s="15" t="s">
        <v>556</v>
      </c>
      <c r="O188" s="17" t="s">
        <v>58</v>
      </c>
      <c r="P188" s="17" t="s">
        <v>187</v>
      </c>
      <c r="Q188" s="18"/>
      <c r="R188" s="48" t="s">
        <v>58</v>
      </c>
      <c r="S188" s="15" t="s">
        <v>137</v>
      </c>
      <c r="T188" s="15"/>
      <c r="U188" s="15"/>
      <c r="V188" s="75">
        <v>164</v>
      </c>
      <c r="W188" s="15">
        <f t="shared" si="39"/>
        <v>164</v>
      </c>
      <c r="X188" s="15">
        <f t="shared" si="41"/>
        <v>164</v>
      </c>
      <c r="Y188" s="15">
        <f>ROUNDDOWN(W188/HLOOKUP(D188,Table!$C$3:$D$4,2,0)*8,2)</f>
        <v>2.91</v>
      </c>
      <c r="Z188" s="15">
        <v>2</v>
      </c>
      <c r="AA188" s="15" t="s">
        <v>70</v>
      </c>
      <c r="AB188" s="19">
        <v>44007</v>
      </c>
      <c r="AC188" s="19">
        <v>43997</v>
      </c>
      <c r="AD188" s="19">
        <v>44007</v>
      </c>
      <c r="AE188" s="80">
        <v>43998</v>
      </c>
      <c r="AF188" s="19">
        <v>43998</v>
      </c>
      <c r="AG188" s="19" t="s">
        <v>164</v>
      </c>
      <c r="AH188" s="29">
        <v>1</v>
      </c>
      <c r="AI188" s="29">
        <v>1</v>
      </c>
      <c r="AJ188" s="29">
        <v>1</v>
      </c>
      <c r="AK188" s="19" t="s">
        <v>144</v>
      </c>
      <c r="AL188" s="17" t="s">
        <v>58</v>
      </c>
      <c r="AM188" s="17" t="s">
        <v>58</v>
      </c>
      <c r="AN188" s="17" t="s">
        <v>58</v>
      </c>
    </row>
    <row r="189" spans="2:40" hidden="1" x14ac:dyDescent="0.25">
      <c r="B189" s="39">
        <f t="shared" ref="B189:B252" si="42">B188+1</f>
        <v>130</v>
      </c>
      <c r="C189" s="16">
        <v>20200615</v>
      </c>
      <c r="D189" s="15" t="s">
        <v>3</v>
      </c>
      <c r="E189" s="75" t="s">
        <v>539</v>
      </c>
      <c r="F189" s="100" t="s">
        <v>585</v>
      </c>
      <c r="G189" s="75">
        <v>1518601</v>
      </c>
      <c r="H189" s="48" t="s">
        <v>58</v>
      </c>
      <c r="I189" s="75" t="s">
        <v>552</v>
      </c>
      <c r="J189" s="48" t="s">
        <v>58</v>
      </c>
      <c r="K189" s="15" t="s">
        <v>1067</v>
      </c>
      <c r="L189" s="15" t="s">
        <v>558</v>
      </c>
      <c r="M189" s="15" t="s">
        <v>557</v>
      </c>
      <c r="N189" s="15" t="s">
        <v>556</v>
      </c>
      <c r="O189" s="17" t="s">
        <v>58</v>
      </c>
      <c r="P189" s="17" t="s">
        <v>187</v>
      </c>
      <c r="Q189" s="18"/>
      <c r="R189" s="48" t="s">
        <v>58</v>
      </c>
      <c r="S189" s="15" t="s">
        <v>137</v>
      </c>
      <c r="T189" s="15"/>
      <c r="U189" s="15"/>
      <c r="V189" s="75">
        <v>825</v>
      </c>
      <c r="W189" s="15">
        <f t="shared" si="39"/>
        <v>825</v>
      </c>
      <c r="X189" s="15">
        <f t="shared" si="41"/>
        <v>825</v>
      </c>
      <c r="Y189" s="15">
        <f>ROUNDDOWN(W189/HLOOKUP(D189,Table!$C$3:$D$4,2,0)*8,2)</f>
        <v>14.66</v>
      </c>
      <c r="Z189" s="15">
        <v>6</v>
      </c>
      <c r="AA189" s="15" t="s">
        <v>70</v>
      </c>
      <c r="AB189" s="19">
        <v>44007</v>
      </c>
      <c r="AC189" s="19">
        <v>43997</v>
      </c>
      <c r="AD189" s="19">
        <v>44007</v>
      </c>
      <c r="AE189" s="80">
        <v>43998</v>
      </c>
      <c r="AF189" s="19">
        <v>43999</v>
      </c>
      <c r="AG189" s="19" t="s">
        <v>164</v>
      </c>
      <c r="AH189" s="29">
        <v>1</v>
      </c>
      <c r="AI189" s="29">
        <v>1</v>
      </c>
      <c r="AJ189" s="29">
        <v>1</v>
      </c>
      <c r="AK189" s="19" t="s">
        <v>144</v>
      </c>
      <c r="AL189" s="17" t="s">
        <v>58</v>
      </c>
      <c r="AM189" s="17" t="s">
        <v>58</v>
      </c>
      <c r="AN189" s="17" t="s">
        <v>58</v>
      </c>
    </row>
    <row r="190" spans="2:40" x14ac:dyDescent="0.25">
      <c r="B190" s="39">
        <f t="shared" si="42"/>
        <v>131</v>
      </c>
      <c r="C190" s="16">
        <v>20200615</v>
      </c>
      <c r="D190" s="15" t="s">
        <v>3</v>
      </c>
      <c r="E190" s="75" t="s">
        <v>539</v>
      </c>
      <c r="F190" s="100" t="s">
        <v>586</v>
      </c>
      <c r="G190" s="75">
        <v>1518601</v>
      </c>
      <c r="H190" s="48" t="s">
        <v>58</v>
      </c>
      <c r="I190" s="75" t="s">
        <v>553</v>
      </c>
      <c r="J190" s="48" t="s">
        <v>58</v>
      </c>
      <c r="K190" s="15" t="s">
        <v>1067</v>
      </c>
      <c r="L190" s="15" t="s">
        <v>558</v>
      </c>
      <c r="M190" s="15" t="s">
        <v>557</v>
      </c>
      <c r="N190" s="15" t="s">
        <v>556</v>
      </c>
      <c r="O190" s="17" t="s">
        <v>58</v>
      </c>
      <c r="P190" s="17" t="s">
        <v>187</v>
      </c>
      <c r="Q190" s="18"/>
      <c r="R190" s="48" t="s">
        <v>58</v>
      </c>
      <c r="S190" s="15" t="s">
        <v>233</v>
      </c>
      <c r="T190" s="15"/>
      <c r="U190" s="15"/>
      <c r="V190" s="75">
        <v>12</v>
      </c>
      <c r="W190" s="15">
        <f t="shared" si="39"/>
        <v>12</v>
      </c>
      <c r="X190" s="15">
        <f t="shared" si="41"/>
        <v>12</v>
      </c>
      <c r="Y190" s="15">
        <f>ROUNDDOWN(W190/HLOOKUP(D190,Table!$C$3:$D$4,2,0)*8,2)</f>
        <v>0.21</v>
      </c>
      <c r="Z190" s="15">
        <v>0.1</v>
      </c>
      <c r="AA190" s="15" t="s">
        <v>70</v>
      </c>
      <c r="AB190" s="19">
        <v>44007</v>
      </c>
      <c r="AC190" s="19">
        <v>43997</v>
      </c>
      <c r="AD190" s="19">
        <v>44007</v>
      </c>
      <c r="AE190" s="80">
        <v>43998</v>
      </c>
      <c r="AF190" s="19">
        <v>43998</v>
      </c>
      <c r="AG190" s="19" t="s">
        <v>164</v>
      </c>
      <c r="AH190" s="74" t="s">
        <v>58</v>
      </c>
      <c r="AI190" s="74" t="s">
        <v>58</v>
      </c>
      <c r="AJ190" s="74" t="s">
        <v>58</v>
      </c>
      <c r="AK190" s="19" t="s">
        <v>144</v>
      </c>
      <c r="AL190" s="17" t="s">
        <v>58</v>
      </c>
      <c r="AM190" s="17" t="s">
        <v>58</v>
      </c>
      <c r="AN190" s="17" t="s">
        <v>222</v>
      </c>
    </row>
    <row r="191" spans="2:40" hidden="1" x14ac:dyDescent="0.25">
      <c r="B191" s="39">
        <f t="shared" si="42"/>
        <v>132</v>
      </c>
      <c r="C191" s="16">
        <v>20200615</v>
      </c>
      <c r="D191" s="15" t="s">
        <v>3</v>
      </c>
      <c r="E191" s="75" t="s">
        <v>539</v>
      </c>
      <c r="F191" s="100" t="s">
        <v>587</v>
      </c>
      <c r="G191" s="75">
        <v>1518601</v>
      </c>
      <c r="H191" s="48" t="s">
        <v>58</v>
      </c>
      <c r="I191" s="75" t="s">
        <v>174</v>
      </c>
      <c r="J191" s="48" t="s">
        <v>58</v>
      </c>
      <c r="K191" s="15" t="s">
        <v>1067</v>
      </c>
      <c r="L191" s="15" t="s">
        <v>558</v>
      </c>
      <c r="M191" s="15" t="s">
        <v>557</v>
      </c>
      <c r="N191" s="15" t="s">
        <v>556</v>
      </c>
      <c r="O191" s="17" t="s">
        <v>58</v>
      </c>
      <c r="P191" s="17" t="s">
        <v>187</v>
      </c>
      <c r="Q191" s="18"/>
      <c r="R191" s="48" t="s">
        <v>58</v>
      </c>
      <c r="S191" s="15" t="s">
        <v>233</v>
      </c>
      <c r="T191" s="15"/>
      <c r="U191" s="15"/>
      <c r="V191" s="75">
        <v>18</v>
      </c>
      <c r="W191" s="15">
        <f t="shared" si="39"/>
        <v>18</v>
      </c>
      <c r="X191" s="15">
        <f t="shared" si="41"/>
        <v>18</v>
      </c>
      <c r="Y191" s="15">
        <f>ROUNDDOWN(W191/HLOOKUP(D191,Table!$C$3:$D$4,2,0)*8,2)</f>
        <v>0.32</v>
      </c>
      <c r="Z191" s="15">
        <v>0.1</v>
      </c>
      <c r="AA191" s="15" t="s">
        <v>70</v>
      </c>
      <c r="AB191" s="19">
        <v>44007</v>
      </c>
      <c r="AC191" s="19">
        <v>43997</v>
      </c>
      <c r="AD191" s="19">
        <v>44007</v>
      </c>
      <c r="AE191" s="80">
        <v>43998</v>
      </c>
      <c r="AF191" s="19">
        <v>43998</v>
      </c>
      <c r="AG191" s="19" t="s">
        <v>164</v>
      </c>
      <c r="AH191" s="29">
        <v>1</v>
      </c>
      <c r="AI191" s="29">
        <v>1</v>
      </c>
      <c r="AJ191" s="29">
        <v>1</v>
      </c>
      <c r="AK191" s="19" t="s">
        <v>144</v>
      </c>
      <c r="AL191" s="17" t="s">
        <v>58</v>
      </c>
      <c r="AM191" s="17" t="s">
        <v>58</v>
      </c>
      <c r="AN191" s="17" t="s">
        <v>58</v>
      </c>
    </row>
    <row r="192" spans="2:40" hidden="1" x14ac:dyDescent="0.25">
      <c r="B192" s="39">
        <f t="shared" si="42"/>
        <v>133</v>
      </c>
      <c r="C192" s="16">
        <v>20200615</v>
      </c>
      <c r="D192" s="15" t="s">
        <v>3</v>
      </c>
      <c r="E192" s="75" t="s">
        <v>539</v>
      </c>
      <c r="F192" s="100" t="s">
        <v>588</v>
      </c>
      <c r="G192" s="75">
        <v>1518601</v>
      </c>
      <c r="H192" s="48" t="s">
        <v>58</v>
      </c>
      <c r="I192" s="75" t="s">
        <v>220</v>
      </c>
      <c r="J192" s="48" t="s">
        <v>58</v>
      </c>
      <c r="K192" s="15" t="s">
        <v>1067</v>
      </c>
      <c r="L192" s="15" t="s">
        <v>558</v>
      </c>
      <c r="M192" s="15" t="s">
        <v>557</v>
      </c>
      <c r="N192" s="15" t="s">
        <v>556</v>
      </c>
      <c r="O192" s="17" t="s">
        <v>58</v>
      </c>
      <c r="P192" s="17" t="s">
        <v>187</v>
      </c>
      <c r="Q192" s="18"/>
      <c r="R192" s="48" t="s">
        <v>58</v>
      </c>
      <c r="S192" s="15" t="s">
        <v>233</v>
      </c>
      <c r="T192" s="15"/>
      <c r="U192" s="15"/>
      <c r="V192" s="75">
        <v>71</v>
      </c>
      <c r="W192" s="15">
        <f t="shared" si="39"/>
        <v>71</v>
      </c>
      <c r="X192" s="15">
        <f t="shared" si="41"/>
        <v>71</v>
      </c>
      <c r="Y192" s="15">
        <f>ROUNDDOWN(W192/HLOOKUP(D192,Table!$C$3:$D$4,2,0)*8,2)</f>
        <v>1.26</v>
      </c>
      <c r="Z192" s="15">
        <v>0.5</v>
      </c>
      <c r="AA192" s="15" t="s">
        <v>70</v>
      </c>
      <c r="AB192" s="19">
        <v>44007</v>
      </c>
      <c r="AC192" s="19">
        <v>43997</v>
      </c>
      <c r="AD192" s="19">
        <v>44007</v>
      </c>
      <c r="AE192" s="80">
        <v>43998</v>
      </c>
      <c r="AF192" s="19">
        <v>43998</v>
      </c>
      <c r="AG192" s="19" t="s">
        <v>164</v>
      </c>
      <c r="AH192" s="29">
        <v>1</v>
      </c>
      <c r="AI192" s="29">
        <v>1</v>
      </c>
      <c r="AJ192" s="29">
        <v>1</v>
      </c>
      <c r="AK192" s="19" t="s">
        <v>144</v>
      </c>
      <c r="AL192" s="17" t="s">
        <v>58</v>
      </c>
      <c r="AM192" s="17" t="s">
        <v>58</v>
      </c>
      <c r="AN192" s="17" t="s">
        <v>58</v>
      </c>
    </row>
    <row r="193" spans="2:40" hidden="1" x14ac:dyDescent="0.25">
      <c r="B193" s="39">
        <f t="shared" si="42"/>
        <v>134</v>
      </c>
      <c r="C193" s="16">
        <v>20200615</v>
      </c>
      <c r="D193" s="15" t="s">
        <v>3</v>
      </c>
      <c r="E193" s="75" t="s">
        <v>539</v>
      </c>
      <c r="F193" s="100" t="s">
        <v>589</v>
      </c>
      <c r="G193" s="75">
        <v>1518601</v>
      </c>
      <c r="H193" s="48" t="s">
        <v>58</v>
      </c>
      <c r="I193" s="75" t="s">
        <v>184</v>
      </c>
      <c r="J193" s="48" t="s">
        <v>58</v>
      </c>
      <c r="K193" s="15" t="s">
        <v>1067</v>
      </c>
      <c r="L193" s="15" t="s">
        <v>558</v>
      </c>
      <c r="M193" s="15" t="s">
        <v>557</v>
      </c>
      <c r="N193" s="15" t="s">
        <v>556</v>
      </c>
      <c r="O193" s="17" t="s">
        <v>58</v>
      </c>
      <c r="P193" s="17" t="s">
        <v>187</v>
      </c>
      <c r="Q193" s="18"/>
      <c r="R193" s="48" t="s">
        <v>58</v>
      </c>
      <c r="S193" s="15" t="s">
        <v>233</v>
      </c>
      <c r="T193" s="15"/>
      <c r="U193" s="15"/>
      <c r="V193" s="75">
        <v>109</v>
      </c>
      <c r="W193" s="79">
        <v>258</v>
      </c>
      <c r="X193" s="15">
        <f t="shared" si="41"/>
        <v>258</v>
      </c>
      <c r="Y193" s="15">
        <f>ROUNDDOWN(W193/HLOOKUP(D193,Table!$C$3:$D$4,2,0)*8,2)</f>
        <v>4.58</v>
      </c>
      <c r="Z193" s="15">
        <v>2</v>
      </c>
      <c r="AA193" s="15" t="s">
        <v>70</v>
      </c>
      <c r="AB193" s="19">
        <v>44007</v>
      </c>
      <c r="AC193" s="19">
        <v>43997</v>
      </c>
      <c r="AD193" s="19">
        <v>44007</v>
      </c>
      <c r="AE193" s="80">
        <v>44002</v>
      </c>
      <c r="AF193" s="19">
        <v>44002</v>
      </c>
      <c r="AG193" s="19" t="s">
        <v>164</v>
      </c>
      <c r="AH193" s="29">
        <v>1</v>
      </c>
      <c r="AI193" s="29">
        <v>1</v>
      </c>
      <c r="AJ193" s="29">
        <v>1</v>
      </c>
      <c r="AK193" s="19" t="s">
        <v>144</v>
      </c>
      <c r="AL193" s="15" t="s">
        <v>58</v>
      </c>
      <c r="AM193" s="15" t="s">
        <v>58</v>
      </c>
      <c r="AN193" s="17" t="s">
        <v>58</v>
      </c>
    </row>
    <row r="194" spans="2:40" hidden="1" x14ac:dyDescent="0.25">
      <c r="B194" s="39">
        <f t="shared" si="42"/>
        <v>135</v>
      </c>
      <c r="C194" s="16">
        <v>20200615</v>
      </c>
      <c r="D194" s="15" t="s">
        <v>3</v>
      </c>
      <c r="E194" s="75" t="s">
        <v>539</v>
      </c>
      <c r="F194" s="100" t="s">
        <v>590</v>
      </c>
      <c r="G194" s="75">
        <v>1518601</v>
      </c>
      <c r="H194" s="48" t="s">
        <v>58</v>
      </c>
      <c r="I194" s="75" t="s">
        <v>219</v>
      </c>
      <c r="J194" s="48" t="s">
        <v>58</v>
      </c>
      <c r="K194" s="15" t="s">
        <v>1067</v>
      </c>
      <c r="L194" s="15" t="s">
        <v>558</v>
      </c>
      <c r="M194" s="15" t="s">
        <v>557</v>
      </c>
      <c r="N194" s="15" t="s">
        <v>556</v>
      </c>
      <c r="O194" s="17" t="s">
        <v>58</v>
      </c>
      <c r="P194" s="73" t="s">
        <v>187</v>
      </c>
      <c r="Q194" s="18"/>
      <c r="R194" s="48" t="s">
        <v>58</v>
      </c>
      <c r="S194" s="15" t="s">
        <v>232</v>
      </c>
      <c r="T194" s="15"/>
      <c r="U194" s="15"/>
      <c r="V194" s="75">
        <v>51</v>
      </c>
      <c r="W194" s="18">
        <v>188</v>
      </c>
      <c r="X194" s="16">
        <f t="shared" si="41"/>
        <v>188</v>
      </c>
      <c r="Y194" s="15">
        <f>ROUNDDOWN(W194/HLOOKUP(D194,Table!$C$3:$D$4,2,0)*8,2)</f>
        <v>3.34</v>
      </c>
      <c r="Z194" s="15">
        <v>1</v>
      </c>
      <c r="AA194" s="15" t="s">
        <v>70</v>
      </c>
      <c r="AB194" s="19">
        <v>44007</v>
      </c>
      <c r="AC194" s="19">
        <v>43997</v>
      </c>
      <c r="AD194" s="19">
        <v>44007</v>
      </c>
      <c r="AE194" s="80">
        <v>43999</v>
      </c>
      <c r="AF194" s="19">
        <v>43999</v>
      </c>
      <c r="AG194" s="19" t="s">
        <v>164</v>
      </c>
      <c r="AH194" s="29">
        <v>1</v>
      </c>
      <c r="AI194" s="29">
        <v>1</v>
      </c>
      <c r="AJ194" s="29">
        <v>1</v>
      </c>
      <c r="AK194" s="19" t="s">
        <v>144</v>
      </c>
      <c r="AL194" s="15" t="s">
        <v>58</v>
      </c>
      <c r="AM194" s="15" t="s">
        <v>58</v>
      </c>
      <c r="AN194" s="15" t="s">
        <v>625</v>
      </c>
    </row>
    <row r="195" spans="2:40" hidden="1" x14ac:dyDescent="0.25">
      <c r="B195" s="39">
        <f t="shared" si="42"/>
        <v>136</v>
      </c>
      <c r="C195" s="16">
        <v>20200615</v>
      </c>
      <c r="D195" s="15" t="s">
        <v>3</v>
      </c>
      <c r="E195" s="75" t="s">
        <v>539</v>
      </c>
      <c r="F195" s="100" t="s">
        <v>626</v>
      </c>
      <c r="G195" s="75">
        <v>1518646</v>
      </c>
      <c r="H195" s="48" t="s">
        <v>58</v>
      </c>
      <c r="I195" s="75" t="s">
        <v>180</v>
      </c>
      <c r="J195" s="48" t="s">
        <v>58</v>
      </c>
      <c r="K195" s="15" t="s">
        <v>1067</v>
      </c>
      <c r="L195" s="15" t="s">
        <v>558</v>
      </c>
      <c r="M195" s="15" t="s">
        <v>557</v>
      </c>
      <c r="N195" s="15" t="s">
        <v>556</v>
      </c>
      <c r="O195" s="17" t="s">
        <v>58</v>
      </c>
      <c r="P195" s="73" t="s">
        <v>188</v>
      </c>
      <c r="Q195" s="18"/>
      <c r="R195" s="48" t="s">
        <v>58</v>
      </c>
      <c r="S195" s="15" t="s">
        <v>233</v>
      </c>
      <c r="T195" s="15"/>
      <c r="U195" s="15"/>
      <c r="V195" s="75">
        <v>259</v>
      </c>
      <c r="W195" s="15">
        <f t="shared" si="39"/>
        <v>259</v>
      </c>
      <c r="X195" s="15">
        <f>259</f>
        <v>259</v>
      </c>
      <c r="Y195" s="15">
        <f>ROUNDDOWN(W195/HLOOKUP(D195,Table!$C$3:$D$4,2,0)*8,2)</f>
        <v>4.5999999999999996</v>
      </c>
      <c r="Z195" s="15">
        <v>4</v>
      </c>
      <c r="AA195" s="15" t="s">
        <v>70</v>
      </c>
      <c r="AB195" s="19">
        <v>44007</v>
      </c>
      <c r="AC195" s="19">
        <v>43997</v>
      </c>
      <c r="AD195" s="19">
        <v>44007</v>
      </c>
      <c r="AE195" s="80">
        <v>44001</v>
      </c>
      <c r="AF195" s="80">
        <v>44001</v>
      </c>
      <c r="AG195" s="19" t="s">
        <v>165</v>
      </c>
      <c r="AH195" s="29">
        <v>1</v>
      </c>
      <c r="AI195" s="29">
        <v>1</v>
      </c>
      <c r="AJ195" s="29">
        <v>0.9</v>
      </c>
      <c r="AK195" s="19" t="s">
        <v>134</v>
      </c>
      <c r="AL195" s="15" t="s">
        <v>877</v>
      </c>
      <c r="AM195" s="15"/>
      <c r="AN195" s="17" t="s">
        <v>1023</v>
      </c>
    </row>
    <row r="196" spans="2:40" hidden="1" x14ac:dyDescent="0.25">
      <c r="B196" s="39">
        <f t="shared" si="42"/>
        <v>137</v>
      </c>
      <c r="C196" s="16">
        <v>20200615</v>
      </c>
      <c r="D196" s="15" t="s">
        <v>3</v>
      </c>
      <c r="E196" s="75" t="s">
        <v>539</v>
      </c>
      <c r="F196" s="100" t="s">
        <v>591</v>
      </c>
      <c r="G196" s="75">
        <v>1518646</v>
      </c>
      <c r="H196" s="48" t="s">
        <v>58</v>
      </c>
      <c r="I196" s="75" t="s">
        <v>554</v>
      </c>
      <c r="J196" s="48" t="s">
        <v>58</v>
      </c>
      <c r="K196" s="15" t="s">
        <v>1067</v>
      </c>
      <c r="L196" s="15" t="s">
        <v>558</v>
      </c>
      <c r="M196" s="15" t="s">
        <v>557</v>
      </c>
      <c r="N196" s="15" t="s">
        <v>556</v>
      </c>
      <c r="O196" s="17" t="s">
        <v>58</v>
      </c>
      <c r="P196" s="17" t="s">
        <v>188</v>
      </c>
      <c r="Q196" s="18"/>
      <c r="R196" s="48" t="s">
        <v>58</v>
      </c>
      <c r="S196" s="15" t="s">
        <v>232</v>
      </c>
      <c r="T196" s="15"/>
      <c r="U196" s="15"/>
      <c r="V196" s="75">
        <v>54</v>
      </c>
      <c r="W196" s="15">
        <f t="shared" si="39"/>
        <v>54</v>
      </c>
      <c r="X196" s="15">
        <f t="shared" si="39"/>
        <v>54</v>
      </c>
      <c r="Y196" s="15">
        <f>ROUNDDOWN(W196/HLOOKUP(D196,Table!$C$3:$D$4,2,0)*8,2)</f>
        <v>0.96</v>
      </c>
      <c r="Z196" s="15">
        <v>0.5</v>
      </c>
      <c r="AA196" s="15" t="s">
        <v>70</v>
      </c>
      <c r="AB196" s="19">
        <v>44007</v>
      </c>
      <c r="AC196" s="19">
        <v>43997</v>
      </c>
      <c r="AD196" s="19">
        <v>44007</v>
      </c>
      <c r="AE196" s="80">
        <v>43999</v>
      </c>
      <c r="AF196" s="19">
        <v>43999</v>
      </c>
      <c r="AG196" s="19" t="s">
        <v>164</v>
      </c>
      <c r="AH196" s="29">
        <v>1</v>
      </c>
      <c r="AI196" s="29">
        <v>1</v>
      </c>
      <c r="AJ196" s="29">
        <v>1</v>
      </c>
      <c r="AK196" s="19" t="s">
        <v>144</v>
      </c>
      <c r="AL196" s="15" t="s">
        <v>58</v>
      </c>
      <c r="AM196" s="15" t="s">
        <v>58</v>
      </c>
      <c r="AN196" s="17" t="s">
        <v>58</v>
      </c>
    </row>
    <row r="197" spans="2:40" hidden="1" x14ac:dyDescent="0.25">
      <c r="B197" s="39">
        <f t="shared" si="42"/>
        <v>138</v>
      </c>
      <c r="C197" s="16">
        <v>20200615</v>
      </c>
      <c r="D197" s="15" t="s">
        <v>3</v>
      </c>
      <c r="E197" s="75" t="s">
        <v>539</v>
      </c>
      <c r="F197" s="100" t="s">
        <v>592</v>
      </c>
      <c r="G197" s="75">
        <v>1518646</v>
      </c>
      <c r="H197" s="48" t="s">
        <v>58</v>
      </c>
      <c r="I197" s="75" t="s">
        <v>183</v>
      </c>
      <c r="J197" s="48" t="s">
        <v>58</v>
      </c>
      <c r="K197" s="15" t="s">
        <v>1067</v>
      </c>
      <c r="L197" s="15" t="s">
        <v>558</v>
      </c>
      <c r="M197" s="15" t="s">
        <v>557</v>
      </c>
      <c r="N197" s="15" t="s">
        <v>556</v>
      </c>
      <c r="O197" s="17" t="s">
        <v>58</v>
      </c>
      <c r="P197" s="17" t="s">
        <v>188</v>
      </c>
      <c r="Q197" s="18"/>
      <c r="R197" s="48" t="s">
        <v>58</v>
      </c>
      <c r="S197" s="15" t="s">
        <v>232</v>
      </c>
      <c r="T197" s="15"/>
      <c r="U197" s="15"/>
      <c r="V197" s="75">
        <v>162</v>
      </c>
      <c r="W197" s="18">
        <v>165</v>
      </c>
      <c r="X197" s="15">
        <f t="shared" ref="X197:X204" si="43">W197</f>
        <v>165</v>
      </c>
      <c r="Y197" s="15">
        <f>ROUNDDOWN(W197/HLOOKUP(D197,Table!$C$3:$D$4,2,0)*8,2)</f>
        <v>2.93</v>
      </c>
      <c r="Z197" s="15">
        <v>1</v>
      </c>
      <c r="AA197" s="15" t="s">
        <v>70</v>
      </c>
      <c r="AB197" s="19">
        <v>44007</v>
      </c>
      <c r="AC197" s="19">
        <v>43997</v>
      </c>
      <c r="AD197" s="19">
        <v>44007</v>
      </c>
      <c r="AE197" s="80">
        <v>44000</v>
      </c>
      <c r="AF197" s="19">
        <v>44000</v>
      </c>
      <c r="AG197" s="19" t="s">
        <v>164</v>
      </c>
      <c r="AH197" s="29">
        <v>1</v>
      </c>
      <c r="AI197" s="29">
        <v>1</v>
      </c>
      <c r="AJ197" s="29">
        <v>1</v>
      </c>
      <c r="AK197" s="19" t="s">
        <v>144</v>
      </c>
      <c r="AL197" s="15" t="s">
        <v>58</v>
      </c>
      <c r="AM197" s="15" t="s">
        <v>58</v>
      </c>
      <c r="AN197" s="15" t="s">
        <v>630</v>
      </c>
    </row>
    <row r="198" spans="2:40" hidden="1" x14ac:dyDescent="0.25">
      <c r="B198" s="39">
        <f t="shared" si="42"/>
        <v>139</v>
      </c>
      <c r="C198" s="16">
        <v>20200615</v>
      </c>
      <c r="D198" s="15" t="s">
        <v>3</v>
      </c>
      <c r="E198" s="75" t="s">
        <v>539</v>
      </c>
      <c r="F198" s="100" t="s">
        <v>593</v>
      </c>
      <c r="G198" s="75">
        <v>1518646</v>
      </c>
      <c r="H198" s="48" t="s">
        <v>58</v>
      </c>
      <c r="I198" s="75" t="s">
        <v>555</v>
      </c>
      <c r="J198" s="48" t="s">
        <v>58</v>
      </c>
      <c r="K198" s="15" t="s">
        <v>1067</v>
      </c>
      <c r="L198" s="15" t="s">
        <v>558</v>
      </c>
      <c r="M198" s="15" t="s">
        <v>557</v>
      </c>
      <c r="N198" s="15" t="s">
        <v>556</v>
      </c>
      <c r="O198" s="17" t="s">
        <v>58</v>
      </c>
      <c r="P198" s="17" t="s">
        <v>188</v>
      </c>
      <c r="Q198" s="18"/>
      <c r="R198" s="48" t="s">
        <v>58</v>
      </c>
      <c r="S198" s="15" t="s">
        <v>232</v>
      </c>
      <c r="T198" s="15"/>
      <c r="U198" s="15"/>
      <c r="V198" s="75">
        <v>141</v>
      </c>
      <c r="W198" s="15">
        <f t="shared" ref="W198:W205" si="44">V198</f>
        <v>141</v>
      </c>
      <c r="X198" s="15">
        <f t="shared" si="43"/>
        <v>141</v>
      </c>
      <c r="Y198" s="15">
        <f>ROUNDDOWN(W198/HLOOKUP(D198,Table!$C$3:$D$4,2,0)*8,2)</f>
        <v>2.5</v>
      </c>
      <c r="Z198" s="15">
        <v>1.2</v>
      </c>
      <c r="AA198" s="15" t="s">
        <v>70</v>
      </c>
      <c r="AB198" s="19">
        <v>44007</v>
      </c>
      <c r="AC198" s="19">
        <v>43997</v>
      </c>
      <c r="AD198" s="19">
        <v>44007</v>
      </c>
      <c r="AE198" s="80">
        <v>44000</v>
      </c>
      <c r="AF198" s="19">
        <v>44000</v>
      </c>
      <c r="AG198" s="19" t="s">
        <v>164</v>
      </c>
      <c r="AH198" s="29">
        <v>1</v>
      </c>
      <c r="AI198" s="29">
        <v>1</v>
      </c>
      <c r="AJ198" s="29">
        <v>1</v>
      </c>
      <c r="AK198" s="19" t="s">
        <v>144</v>
      </c>
      <c r="AL198" s="15" t="s">
        <v>58</v>
      </c>
      <c r="AM198" s="15" t="s">
        <v>58</v>
      </c>
      <c r="AN198" s="17" t="s">
        <v>58</v>
      </c>
    </row>
    <row r="199" spans="2:40" hidden="1" x14ac:dyDescent="0.25">
      <c r="B199" s="39">
        <f t="shared" si="42"/>
        <v>140</v>
      </c>
      <c r="C199" s="16">
        <v>20200615</v>
      </c>
      <c r="D199" s="15" t="s">
        <v>3</v>
      </c>
      <c r="E199" s="75" t="s">
        <v>539</v>
      </c>
      <c r="F199" s="100" t="s">
        <v>594</v>
      </c>
      <c r="G199" s="75">
        <v>1518646</v>
      </c>
      <c r="H199" s="48" t="s">
        <v>58</v>
      </c>
      <c r="I199" s="75" t="s">
        <v>333</v>
      </c>
      <c r="J199" s="48" t="s">
        <v>58</v>
      </c>
      <c r="K199" s="15" t="s">
        <v>1067</v>
      </c>
      <c r="L199" s="15" t="s">
        <v>558</v>
      </c>
      <c r="M199" s="15" t="s">
        <v>557</v>
      </c>
      <c r="N199" s="15" t="s">
        <v>556</v>
      </c>
      <c r="O199" s="17" t="s">
        <v>58</v>
      </c>
      <c r="P199" s="17" t="s">
        <v>188</v>
      </c>
      <c r="Q199" s="18"/>
      <c r="R199" s="48" t="s">
        <v>58</v>
      </c>
      <c r="S199" s="15" t="s">
        <v>232</v>
      </c>
      <c r="T199" s="15"/>
      <c r="U199" s="15"/>
      <c r="V199" s="75">
        <v>28</v>
      </c>
      <c r="W199" s="18">
        <v>30</v>
      </c>
      <c r="X199" s="15">
        <f t="shared" si="43"/>
        <v>30</v>
      </c>
      <c r="Y199" s="15">
        <f>ROUNDDOWN(W199/HLOOKUP(D199,Table!$C$3:$D$4,2,0)*8,2)</f>
        <v>0.53</v>
      </c>
      <c r="Z199" s="15">
        <v>0.5</v>
      </c>
      <c r="AA199" s="15" t="s">
        <v>70</v>
      </c>
      <c r="AB199" s="19">
        <v>44007</v>
      </c>
      <c r="AC199" s="19">
        <v>43997</v>
      </c>
      <c r="AD199" s="19">
        <v>44007</v>
      </c>
      <c r="AE199" s="80">
        <v>44000</v>
      </c>
      <c r="AF199" s="19">
        <v>44000</v>
      </c>
      <c r="AG199" s="19" t="s">
        <v>164</v>
      </c>
      <c r="AH199" s="29">
        <v>1</v>
      </c>
      <c r="AI199" s="29">
        <v>1</v>
      </c>
      <c r="AJ199" s="29">
        <v>1</v>
      </c>
      <c r="AK199" s="19" t="s">
        <v>144</v>
      </c>
      <c r="AL199" s="15" t="s">
        <v>58</v>
      </c>
      <c r="AM199" s="15" t="s">
        <v>58</v>
      </c>
      <c r="AN199" s="15" t="s">
        <v>631</v>
      </c>
    </row>
    <row r="200" spans="2:40" hidden="1" x14ac:dyDescent="0.25">
      <c r="B200" s="39">
        <f t="shared" si="42"/>
        <v>141</v>
      </c>
      <c r="C200" s="16">
        <v>20200615</v>
      </c>
      <c r="D200" s="15" t="s">
        <v>3</v>
      </c>
      <c r="E200" s="75" t="s">
        <v>539</v>
      </c>
      <c r="F200" s="100" t="s">
        <v>595</v>
      </c>
      <c r="G200" s="75">
        <v>1518646</v>
      </c>
      <c r="H200" s="48" t="s">
        <v>58</v>
      </c>
      <c r="I200" s="75" t="s">
        <v>210</v>
      </c>
      <c r="J200" s="48" t="s">
        <v>58</v>
      </c>
      <c r="K200" s="15" t="s">
        <v>1067</v>
      </c>
      <c r="L200" s="15" t="s">
        <v>558</v>
      </c>
      <c r="M200" s="15" t="s">
        <v>557</v>
      </c>
      <c r="N200" s="15" t="s">
        <v>556</v>
      </c>
      <c r="O200" s="17" t="s">
        <v>58</v>
      </c>
      <c r="P200" s="17" t="s">
        <v>188</v>
      </c>
      <c r="Q200" s="18"/>
      <c r="R200" s="48" t="s">
        <v>58</v>
      </c>
      <c r="S200" s="15" t="s">
        <v>232</v>
      </c>
      <c r="T200" s="15"/>
      <c r="U200" s="15"/>
      <c r="V200" s="75">
        <v>175</v>
      </c>
      <c r="W200" s="18">
        <v>199</v>
      </c>
      <c r="X200" s="15">
        <f t="shared" si="43"/>
        <v>199</v>
      </c>
      <c r="Y200" s="15">
        <f>ROUNDDOWN(W200/HLOOKUP(D200,Table!$C$3:$D$4,2,0)*8,2)</f>
        <v>3.53</v>
      </c>
      <c r="Z200" s="15">
        <v>1</v>
      </c>
      <c r="AA200" s="15" t="s">
        <v>70</v>
      </c>
      <c r="AB200" s="19">
        <v>44007</v>
      </c>
      <c r="AC200" s="19">
        <v>43997</v>
      </c>
      <c r="AD200" s="19">
        <v>44007</v>
      </c>
      <c r="AE200" s="80">
        <v>44000</v>
      </c>
      <c r="AF200" s="19">
        <v>44000</v>
      </c>
      <c r="AG200" s="19" t="s">
        <v>164</v>
      </c>
      <c r="AH200" s="29">
        <v>1</v>
      </c>
      <c r="AI200" s="29">
        <v>1</v>
      </c>
      <c r="AJ200" s="29">
        <v>1</v>
      </c>
      <c r="AK200" s="19" t="s">
        <v>144</v>
      </c>
      <c r="AL200" s="15" t="s">
        <v>58</v>
      </c>
      <c r="AM200" s="15" t="s">
        <v>58</v>
      </c>
      <c r="AN200" s="15" t="s">
        <v>632</v>
      </c>
    </row>
    <row r="201" spans="2:40" x14ac:dyDescent="0.25">
      <c r="B201" s="39">
        <f t="shared" si="42"/>
        <v>142</v>
      </c>
      <c r="C201" s="16">
        <v>20200615</v>
      </c>
      <c r="D201" s="15" t="s">
        <v>3</v>
      </c>
      <c r="E201" s="75" t="s">
        <v>539</v>
      </c>
      <c r="F201" s="100" t="s">
        <v>596</v>
      </c>
      <c r="G201" s="75">
        <v>1518646</v>
      </c>
      <c r="H201" s="48" t="s">
        <v>58</v>
      </c>
      <c r="I201" s="75" t="s">
        <v>211</v>
      </c>
      <c r="J201" s="48" t="s">
        <v>58</v>
      </c>
      <c r="K201" s="15" t="s">
        <v>1067</v>
      </c>
      <c r="L201" s="15" t="s">
        <v>558</v>
      </c>
      <c r="M201" s="15" t="s">
        <v>557</v>
      </c>
      <c r="N201" s="15" t="s">
        <v>556</v>
      </c>
      <c r="O201" s="17" t="s">
        <v>58</v>
      </c>
      <c r="P201" s="17" t="s">
        <v>188</v>
      </c>
      <c r="Q201" s="18"/>
      <c r="R201" s="48" t="s">
        <v>58</v>
      </c>
      <c r="S201" s="15" t="s">
        <v>232</v>
      </c>
      <c r="T201" s="15"/>
      <c r="U201" s="15"/>
      <c r="V201" s="75">
        <v>6</v>
      </c>
      <c r="W201" s="15">
        <f t="shared" si="44"/>
        <v>6</v>
      </c>
      <c r="X201" s="15">
        <f t="shared" si="43"/>
        <v>6</v>
      </c>
      <c r="Y201" s="15">
        <f>ROUNDDOWN(W201/HLOOKUP(D201,Table!$C$3:$D$4,2,0)*8,2)</f>
        <v>0.1</v>
      </c>
      <c r="Z201" s="15">
        <v>0.1</v>
      </c>
      <c r="AA201" s="15" t="s">
        <v>70</v>
      </c>
      <c r="AB201" s="19">
        <v>44007</v>
      </c>
      <c r="AC201" s="19">
        <v>43997</v>
      </c>
      <c r="AD201" s="19">
        <v>44007</v>
      </c>
      <c r="AE201" s="80">
        <v>44000</v>
      </c>
      <c r="AF201" s="19">
        <v>44000</v>
      </c>
      <c r="AG201" s="19" t="s">
        <v>164</v>
      </c>
      <c r="AH201" s="74" t="s">
        <v>58</v>
      </c>
      <c r="AI201" s="74" t="s">
        <v>58</v>
      </c>
      <c r="AJ201" s="74" t="s">
        <v>58</v>
      </c>
      <c r="AK201" s="19" t="s">
        <v>144</v>
      </c>
      <c r="AL201" s="15" t="s">
        <v>58</v>
      </c>
      <c r="AM201" s="15" t="s">
        <v>58</v>
      </c>
      <c r="AN201" s="49" t="s">
        <v>401</v>
      </c>
    </row>
    <row r="202" spans="2:40" hidden="1" x14ac:dyDescent="0.25">
      <c r="B202" s="39">
        <f t="shared" si="42"/>
        <v>143</v>
      </c>
      <c r="C202" s="16">
        <v>20200615</v>
      </c>
      <c r="D202" s="15" t="s">
        <v>3</v>
      </c>
      <c r="E202" s="75" t="s">
        <v>539</v>
      </c>
      <c r="F202" s="100" t="s">
        <v>597</v>
      </c>
      <c r="G202" s="75">
        <v>1518969</v>
      </c>
      <c r="H202" s="48" t="s">
        <v>58</v>
      </c>
      <c r="I202" s="75" t="s">
        <v>221</v>
      </c>
      <c r="J202" s="48" t="s">
        <v>58</v>
      </c>
      <c r="K202" s="15" t="s">
        <v>1067</v>
      </c>
      <c r="L202" s="15" t="s">
        <v>558</v>
      </c>
      <c r="M202" s="15" t="s">
        <v>557</v>
      </c>
      <c r="N202" s="15" t="s">
        <v>556</v>
      </c>
      <c r="O202" s="17" t="s">
        <v>58</v>
      </c>
      <c r="P202" s="73" t="s">
        <v>559</v>
      </c>
      <c r="Q202" s="18"/>
      <c r="R202" s="48" t="s">
        <v>58</v>
      </c>
      <c r="S202" s="15" t="s">
        <v>232</v>
      </c>
      <c r="T202" s="15"/>
      <c r="U202" s="15"/>
      <c r="V202" s="75">
        <v>12</v>
      </c>
      <c r="W202" s="15">
        <f t="shared" si="44"/>
        <v>12</v>
      </c>
      <c r="X202" s="15">
        <f t="shared" si="43"/>
        <v>12</v>
      </c>
      <c r="Y202" s="15">
        <f>ROUNDDOWN(W202/HLOOKUP(D202,Table!$C$3:$D$4,2,0)*8,2)</f>
        <v>0.21</v>
      </c>
      <c r="Z202" s="15">
        <v>0.15</v>
      </c>
      <c r="AA202" s="15" t="s">
        <v>70</v>
      </c>
      <c r="AB202" s="19">
        <v>44007</v>
      </c>
      <c r="AC202" s="19">
        <v>43997</v>
      </c>
      <c r="AD202" s="19">
        <v>44007</v>
      </c>
      <c r="AE202" s="80">
        <v>43999</v>
      </c>
      <c r="AF202" s="19">
        <v>43999</v>
      </c>
      <c r="AG202" s="19" t="s">
        <v>164</v>
      </c>
      <c r="AH202" s="29">
        <v>1</v>
      </c>
      <c r="AI202" s="29">
        <v>1</v>
      </c>
      <c r="AJ202" s="29">
        <v>1</v>
      </c>
      <c r="AK202" s="19" t="s">
        <v>144</v>
      </c>
      <c r="AL202" s="15" t="s">
        <v>58</v>
      </c>
      <c r="AM202" s="15" t="s">
        <v>58</v>
      </c>
      <c r="AN202" s="17" t="s">
        <v>58</v>
      </c>
    </row>
    <row r="203" spans="2:40" hidden="1" x14ac:dyDescent="0.25">
      <c r="B203" s="39">
        <f t="shared" si="42"/>
        <v>144</v>
      </c>
      <c r="C203" s="16">
        <v>20200615</v>
      </c>
      <c r="D203" s="15" t="s">
        <v>3</v>
      </c>
      <c r="E203" s="75" t="s">
        <v>539</v>
      </c>
      <c r="F203" s="100" t="s">
        <v>598</v>
      </c>
      <c r="G203" s="75">
        <v>1518969</v>
      </c>
      <c r="H203" s="48" t="s">
        <v>58</v>
      </c>
      <c r="I203" s="75" t="s">
        <v>182</v>
      </c>
      <c r="J203" s="48" t="s">
        <v>58</v>
      </c>
      <c r="K203" s="15" t="s">
        <v>1067</v>
      </c>
      <c r="L203" s="15" t="s">
        <v>558</v>
      </c>
      <c r="M203" s="15" t="s">
        <v>557</v>
      </c>
      <c r="N203" s="15" t="s">
        <v>556</v>
      </c>
      <c r="O203" s="17" t="s">
        <v>58</v>
      </c>
      <c r="P203" s="17" t="s">
        <v>559</v>
      </c>
      <c r="Q203" s="18"/>
      <c r="R203" s="48" t="s">
        <v>58</v>
      </c>
      <c r="S203" s="15" t="s">
        <v>232</v>
      </c>
      <c r="T203" s="15"/>
      <c r="U203" s="15"/>
      <c r="V203" s="75">
        <v>280</v>
      </c>
      <c r="W203" s="15">
        <f t="shared" si="44"/>
        <v>280</v>
      </c>
      <c r="X203" s="15">
        <f t="shared" si="43"/>
        <v>280</v>
      </c>
      <c r="Y203" s="15">
        <f>ROUNDDOWN(W203/HLOOKUP(D203,Table!$C$3:$D$4,2,0)*8,2)</f>
        <v>4.97</v>
      </c>
      <c r="Z203" s="15">
        <v>1.5</v>
      </c>
      <c r="AA203" s="15" t="s">
        <v>70</v>
      </c>
      <c r="AB203" s="19">
        <v>44007</v>
      </c>
      <c r="AC203" s="19">
        <v>43997</v>
      </c>
      <c r="AD203" s="19">
        <v>44007</v>
      </c>
      <c r="AE203" s="80">
        <v>44000</v>
      </c>
      <c r="AF203" s="19">
        <v>44000</v>
      </c>
      <c r="AG203" s="19" t="s">
        <v>164</v>
      </c>
      <c r="AH203" s="29">
        <v>1</v>
      </c>
      <c r="AI203" s="29">
        <v>1</v>
      </c>
      <c r="AJ203" s="29">
        <v>1</v>
      </c>
      <c r="AK203" s="19" t="s">
        <v>144</v>
      </c>
      <c r="AL203" s="15" t="s">
        <v>58</v>
      </c>
      <c r="AM203" s="15" t="s">
        <v>58</v>
      </c>
      <c r="AN203" s="17" t="s">
        <v>58</v>
      </c>
    </row>
    <row r="204" spans="2:40" hidden="1" x14ac:dyDescent="0.25">
      <c r="B204" s="39">
        <f t="shared" si="42"/>
        <v>145</v>
      </c>
      <c r="C204" s="16">
        <v>20200615</v>
      </c>
      <c r="D204" s="15" t="s">
        <v>3</v>
      </c>
      <c r="E204" s="75" t="s">
        <v>539</v>
      </c>
      <c r="F204" s="100" t="s">
        <v>599</v>
      </c>
      <c r="G204" s="75">
        <v>1518969</v>
      </c>
      <c r="H204" s="48" t="s">
        <v>58</v>
      </c>
      <c r="I204" s="75" t="s">
        <v>152</v>
      </c>
      <c r="J204" s="48" t="s">
        <v>58</v>
      </c>
      <c r="K204" s="15" t="s">
        <v>1067</v>
      </c>
      <c r="L204" s="15" t="s">
        <v>558</v>
      </c>
      <c r="M204" s="15" t="s">
        <v>557</v>
      </c>
      <c r="N204" s="15" t="s">
        <v>556</v>
      </c>
      <c r="O204" s="17" t="s">
        <v>58</v>
      </c>
      <c r="P204" s="17" t="s">
        <v>559</v>
      </c>
      <c r="Q204" s="18"/>
      <c r="R204" s="48" t="s">
        <v>58</v>
      </c>
      <c r="S204" s="15" t="s">
        <v>232</v>
      </c>
      <c r="T204" s="15"/>
      <c r="U204" s="15"/>
      <c r="V204" s="75">
        <v>65</v>
      </c>
      <c r="W204" s="15">
        <f t="shared" si="44"/>
        <v>65</v>
      </c>
      <c r="X204" s="15">
        <f t="shared" si="43"/>
        <v>65</v>
      </c>
      <c r="Y204" s="15">
        <f>ROUNDDOWN(W204/HLOOKUP(D204,Table!$C$3:$D$4,2,0)*8,2)</f>
        <v>1.1499999999999999</v>
      </c>
      <c r="Z204" s="15">
        <v>1.5</v>
      </c>
      <c r="AA204" s="15" t="s">
        <v>70</v>
      </c>
      <c r="AB204" s="19">
        <v>44007</v>
      </c>
      <c r="AC204" s="19">
        <v>43997</v>
      </c>
      <c r="AD204" s="19">
        <v>44007</v>
      </c>
      <c r="AE204" s="80">
        <v>44000</v>
      </c>
      <c r="AF204" s="19">
        <v>44000</v>
      </c>
      <c r="AG204" s="19" t="s">
        <v>164</v>
      </c>
      <c r="AH204" s="29">
        <v>1</v>
      </c>
      <c r="AI204" s="29">
        <v>1</v>
      </c>
      <c r="AJ204" s="29">
        <v>1</v>
      </c>
      <c r="AK204" s="19" t="s">
        <v>144</v>
      </c>
      <c r="AL204" s="15" t="s">
        <v>58</v>
      </c>
      <c r="AM204" s="15" t="s">
        <v>58</v>
      </c>
      <c r="AN204" s="17" t="s">
        <v>58</v>
      </c>
    </row>
    <row r="205" spans="2:40" hidden="1" x14ac:dyDescent="0.25">
      <c r="B205" s="39">
        <f t="shared" si="42"/>
        <v>146</v>
      </c>
      <c r="C205" s="16">
        <v>20200615</v>
      </c>
      <c r="D205" s="15" t="s">
        <v>3</v>
      </c>
      <c r="E205" s="75" t="s">
        <v>539</v>
      </c>
      <c r="F205" s="100" t="s">
        <v>600</v>
      </c>
      <c r="G205" s="75">
        <v>1518969</v>
      </c>
      <c r="H205" s="48" t="s">
        <v>58</v>
      </c>
      <c r="I205" s="75" t="s">
        <v>146</v>
      </c>
      <c r="J205" s="48" t="s">
        <v>58</v>
      </c>
      <c r="K205" s="15" t="s">
        <v>1067</v>
      </c>
      <c r="L205" s="15" t="s">
        <v>558</v>
      </c>
      <c r="M205" s="15" t="s">
        <v>557</v>
      </c>
      <c r="N205" s="15" t="s">
        <v>556</v>
      </c>
      <c r="O205" s="17" t="s">
        <v>58</v>
      </c>
      <c r="P205" s="17" t="s">
        <v>559</v>
      </c>
      <c r="Q205" s="18"/>
      <c r="R205" s="48" t="s">
        <v>58</v>
      </c>
      <c r="S205" s="75" t="s">
        <v>925</v>
      </c>
      <c r="T205" s="15"/>
      <c r="U205" s="15"/>
      <c r="V205" s="75">
        <v>175</v>
      </c>
      <c r="W205" s="15">
        <f t="shared" si="44"/>
        <v>175</v>
      </c>
      <c r="X205" s="15">
        <f>W205</f>
        <v>175</v>
      </c>
      <c r="Y205" s="15">
        <f>ROUNDDOWN(W205/HLOOKUP(D205,Table!$C$3:$D$4,2,0)*8,2)</f>
        <v>3.11</v>
      </c>
      <c r="Z205" s="15">
        <v>2</v>
      </c>
      <c r="AA205" s="15" t="s">
        <v>70</v>
      </c>
      <c r="AB205" s="19">
        <v>44007</v>
      </c>
      <c r="AC205" s="19">
        <v>43997</v>
      </c>
      <c r="AD205" s="19">
        <v>44007</v>
      </c>
      <c r="AE205" s="80">
        <v>44006</v>
      </c>
      <c r="AF205" s="19">
        <v>44006</v>
      </c>
      <c r="AG205" s="19" t="s">
        <v>164</v>
      </c>
      <c r="AH205" s="29">
        <v>1</v>
      </c>
      <c r="AI205" s="29">
        <v>1</v>
      </c>
      <c r="AJ205" s="29">
        <v>1</v>
      </c>
      <c r="AK205" s="19" t="s">
        <v>144</v>
      </c>
      <c r="AL205" s="15" t="s">
        <v>58</v>
      </c>
      <c r="AM205" s="15" t="s">
        <v>58</v>
      </c>
      <c r="AN205" s="17" t="s">
        <v>58</v>
      </c>
    </row>
    <row r="206" spans="2:40" hidden="1" x14ac:dyDescent="0.25">
      <c r="B206" s="39">
        <f t="shared" si="42"/>
        <v>147</v>
      </c>
      <c r="C206" s="16">
        <v>20200615</v>
      </c>
      <c r="D206" s="15" t="s">
        <v>3</v>
      </c>
      <c r="E206" s="75" t="s">
        <v>539</v>
      </c>
      <c r="F206" s="100" t="s">
        <v>601</v>
      </c>
      <c r="G206" s="75">
        <v>1518969</v>
      </c>
      <c r="H206" s="48" t="s">
        <v>58</v>
      </c>
      <c r="I206" s="75" t="s">
        <v>175</v>
      </c>
      <c r="J206" s="48" t="s">
        <v>58</v>
      </c>
      <c r="K206" s="15" t="s">
        <v>1067</v>
      </c>
      <c r="L206" s="15" t="s">
        <v>558</v>
      </c>
      <c r="M206" s="15" t="s">
        <v>557</v>
      </c>
      <c r="N206" s="15" t="s">
        <v>556</v>
      </c>
      <c r="O206" s="17" t="s">
        <v>58</v>
      </c>
      <c r="P206" s="17" t="s">
        <v>559</v>
      </c>
      <c r="Q206" s="18"/>
      <c r="R206" s="48" t="s">
        <v>58</v>
      </c>
      <c r="S206" s="75" t="s">
        <v>925</v>
      </c>
      <c r="T206" s="15"/>
      <c r="U206" s="15"/>
      <c r="V206" s="75">
        <v>220</v>
      </c>
      <c r="W206" s="79">
        <f>V206-V206+280</f>
        <v>280</v>
      </c>
      <c r="X206" s="15">
        <f>W206</f>
        <v>280</v>
      </c>
      <c r="Y206" s="15">
        <f>ROUNDDOWN(W206/HLOOKUP(D206,Table!$C$3:$D$4,2,0)*8,2)</f>
        <v>4.97</v>
      </c>
      <c r="Z206" s="15">
        <v>2</v>
      </c>
      <c r="AA206" s="15" t="s">
        <v>70</v>
      </c>
      <c r="AB206" s="19">
        <v>44007</v>
      </c>
      <c r="AC206" s="19">
        <v>43997</v>
      </c>
      <c r="AD206" s="19">
        <v>44007</v>
      </c>
      <c r="AE206" s="80">
        <v>44006</v>
      </c>
      <c r="AF206" s="19">
        <v>44006</v>
      </c>
      <c r="AG206" s="19" t="s">
        <v>164</v>
      </c>
      <c r="AH206" s="29">
        <v>1</v>
      </c>
      <c r="AI206" s="29">
        <v>1</v>
      </c>
      <c r="AJ206" s="29">
        <v>1</v>
      </c>
      <c r="AK206" s="19" t="s">
        <v>144</v>
      </c>
      <c r="AL206" s="15" t="s">
        <v>58</v>
      </c>
      <c r="AM206" s="15" t="s">
        <v>58</v>
      </c>
      <c r="AN206" s="17" t="s">
        <v>58</v>
      </c>
    </row>
    <row r="207" spans="2:40" hidden="1" x14ac:dyDescent="0.25">
      <c r="B207" s="97">
        <f t="shared" si="42"/>
        <v>148</v>
      </c>
      <c r="C207" s="16">
        <v>20200618</v>
      </c>
      <c r="D207" s="15" t="s">
        <v>3</v>
      </c>
      <c r="E207" s="75" t="s">
        <v>633</v>
      </c>
      <c r="F207" s="100" t="s">
        <v>928</v>
      </c>
      <c r="G207" s="17">
        <v>1517707</v>
      </c>
      <c r="H207" s="48" t="s">
        <v>58</v>
      </c>
      <c r="I207" s="15" t="s">
        <v>215</v>
      </c>
      <c r="J207" s="48" t="s">
        <v>58</v>
      </c>
      <c r="K207" s="15" t="s">
        <v>1067</v>
      </c>
      <c r="L207" s="15" t="s">
        <v>656</v>
      </c>
      <c r="M207" s="15" t="s">
        <v>403</v>
      </c>
      <c r="N207" s="15" t="s">
        <v>648</v>
      </c>
      <c r="O207" s="17" t="s">
        <v>58</v>
      </c>
      <c r="P207" s="17" t="s">
        <v>661</v>
      </c>
      <c r="Q207" s="18"/>
      <c r="R207" s="48" t="s">
        <v>58</v>
      </c>
      <c r="S207" s="75" t="s">
        <v>232</v>
      </c>
      <c r="T207" s="15"/>
      <c r="U207" s="15"/>
      <c r="V207" s="15">
        <v>66</v>
      </c>
      <c r="W207" s="15">
        <f t="shared" ref="W207:X219" si="45">V207</f>
        <v>66</v>
      </c>
      <c r="X207" s="15">
        <f t="shared" si="45"/>
        <v>66</v>
      </c>
      <c r="Y207" s="15">
        <f>ROUNDDOWN(W207/HLOOKUP(D207,Table!$C$3:$D$4,2,0)*8,2)</f>
        <v>1.17</v>
      </c>
      <c r="Z207" s="15">
        <v>1</v>
      </c>
      <c r="AA207" s="15" t="s">
        <v>70</v>
      </c>
      <c r="AB207" s="19">
        <v>44004</v>
      </c>
      <c r="AC207" s="19">
        <v>44001</v>
      </c>
      <c r="AD207" s="85">
        <v>44005</v>
      </c>
      <c r="AE207" s="19">
        <v>44001</v>
      </c>
      <c r="AF207" s="19">
        <v>44001</v>
      </c>
      <c r="AG207" s="19" t="s">
        <v>164</v>
      </c>
      <c r="AH207" s="29">
        <v>1</v>
      </c>
      <c r="AI207" s="29">
        <v>1</v>
      </c>
      <c r="AJ207" s="29">
        <v>1</v>
      </c>
      <c r="AK207" s="19" t="s">
        <v>144</v>
      </c>
      <c r="AL207" s="17" t="s">
        <v>58</v>
      </c>
      <c r="AM207" s="17" t="s">
        <v>58</v>
      </c>
      <c r="AN207" s="17" t="s">
        <v>58</v>
      </c>
    </row>
    <row r="208" spans="2:40" hidden="1" x14ac:dyDescent="0.25">
      <c r="B208" s="97">
        <f t="shared" si="42"/>
        <v>149</v>
      </c>
      <c r="C208" s="16">
        <v>20200618</v>
      </c>
      <c r="D208" s="15" t="s">
        <v>3</v>
      </c>
      <c r="E208" s="75" t="s">
        <v>634</v>
      </c>
      <c r="F208" s="100" t="s">
        <v>927</v>
      </c>
      <c r="G208" s="17">
        <v>1514322</v>
      </c>
      <c r="H208" s="48" t="s">
        <v>58</v>
      </c>
      <c r="I208" s="15" t="s">
        <v>177</v>
      </c>
      <c r="J208" s="48" t="s">
        <v>58</v>
      </c>
      <c r="K208" s="15" t="s">
        <v>1067</v>
      </c>
      <c r="L208" s="15" t="s">
        <v>144</v>
      </c>
      <c r="M208" s="15" t="s">
        <v>650</v>
      </c>
      <c r="N208" s="15" t="s">
        <v>649</v>
      </c>
      <c r="O208" s="17" t="s">
        <v>58</v>
      </c>
      <c r="P208" s="17" t="s">
        <v>662</v>
      </c>
      <c r="Q208" s="18"/>
      <c r="R208" s="48" t="s">
        <v>58</v>
      </c>
      <c r="S208" s="75" t="s">
        <v>232</v>
      </c>
      <c r="T208" s="15"/>
      <c r="U208" s="15"/>
      <c r="V208" s="15">
        <v>454</v>
      </c>
      <c r="W208" s="79">
        <v>577</v>
      </c>
      <c r="X208" s="15">
        <f t="shared" si="45"/>
        <v>577</v>
      </c>
      <c r="Y208" s="15">
        <f>ROUNDDOWN(W208/HLOOKUP(D208,Table!$C$3:$D$4,2,0)*8,2)</f>
        <v>10.25</v>
      </c>
      <c r="Z208" s="15">
        <v>3</v>
      </c>
      <c r="AA208" s="15" t="s">
        <v>70</v>
      </c>
      <c r="AB208" s="19">
        <v>44005</v>
      </c>
      <c r="AC208" s="19">
        <v>44001</v>
      </c>
      <c r="AD208" s="85">
        <v>44005</v>
      </c>
      <c r="AE208" s="19">
        <v>44001</v>
      </c>
      <c r="AF208" s="19">
        <v>44001</v>
      </c>
      <c r="AG208" s="19" t="s">
        <v>164</v>
      </c>
      <c r="AH208" s="29">
        <v>1</v>
      </c>
      <c r="AI208" s="29">
        <v>1</v>
      </c>
      <c r="AJ208" s="29">
        <v>1</v>
      </c>
      <c r="AK208" s="19" t="s">
        <v>144</v>
      </c>
      <c r="AL208" s="17"/>
      <c r="AM208" s="17"/>
      <c r="AN208" s="17"/>
    </row>
    <row r="209" spans="2:40" hidden="1" x14ac:dyDescent="0.25">
      <c r="B209" s="97">
        <f t="shared" si="42"/>
        <v>150</v>
      </c>
      <c r="C209" s="16">
        <v>20200618</v>
      </c>
      <c r="D209" s="15" t="s">
        <v>3</v>
      </c>
      <c r="E209" s="75" t="s">
        <v>635</v>
      </c>
      <c r="F209" s="100" t="s">
        <v>933</v>
      </c>
      <c r="G209" s="17">
        <v>1509318</v>
      </c>
      <c r="H209" s="48" t="s">
        <v>58</v>
      </c>
      <c r="I209" s="15" t="s">
        <v>640</v>
      </c>
      <c r="J209" s="48" t="s">
        <v>58</v>
      </c>
      <c r="K209" s="15" t="s">
        <v>1067</v>
      </c>
      <c r="L209" s="15" t="s">
        <v>657</v>
      </c>
      <c r="M209" s="15" t="s">
        <v>199</v>
      </c>
      <c r="N209" s="15" t="s">
        <v>218</v>
      </c>
      <c r="O209" s="17" t="s">
        <v>58</v>
      </c>
      <c r="P209" s="17" t="s">
        <v>288</v>
      </c>
      <c r="Q209" s="18"/>
      <c r="R209" s="48" t="s">
        <v>58</v>
      </c>
      <c r="S209" s="75" t="s">
        <v>232</v>
      </c>
      <c r="T209" s="15"/>
      <c r="U209" s="15"/>
      <c r="V209" s="15">
        <v>70</v>
      </c>
      <c r="W209" s="15">
        <f t="shared" si="45"/>
        <v>70</v>
      </c>
      <c r="X209" s="15">
        <f t="shared" ref="X209:X229" si="46">W209</f>
        <v>70</v>
      </c>
      <c r="Y209" s="15">
        <f>ROUNDDOWN(W209/HLOOKUP(D209,Table!$C$3:$D$4,2,0)*8,2)</f>
        <v>1.24</v>
      </c>
      <c r="Z209" s="15">
        <v>1</v>
      </c>
      <c r="AA209" s="15" t="s">
        <v>70</v>
      </c>
      <c r="AB209" s="19">
        <v>44005</v>
      </c>
      <c r="AC209" s="19">
        <v>44001</v>
      </c>
      <c r="AD209" s="85">
        <v>44005</v>
      </c>
      <c r="AE209" s="19">
        <v>44001</v>
      </c>
      <c r="AF209" s="19">
        <v>44001</v>
      </c>
      <c r="AG209" s="19" t="s">
        <v>164</v>
      </c>
      <c r="AH209" s="29">
        <v>1</v>
      </c>
      <c r="AI209" s="29">
        <v>1</v>
      </c>
      <c r="AJ209" s="29">
        <v>1</v>
      </c>
      <c r="AK209" s="19" t="s">
        <v>144</v>
      </c>
      <c r="AL209" s="17" t="s">
        <v>58</v>
      </c>
      <c r="AM209" s="17" t="s">
        <v>58</v>
      </c>
      <c r="AN209" s="17" t="s">
        <v>58</v>
      </c>
    </row>
    <row r="210" spans="2:40" hidden="1" x14ac:dyDescent="0.25">
      <c r="B210" s="97">
        <f t="shared" si="42"/>
        <v>151</v>
      </c>
      <c r="C210" s="16">
        <v>20200618</v>
      </c>
      <c r="D210" s="15" t="s">
        <v>3</v>
      </c>
      <c r="E210" s="75" t="s">
        <v>635</v>
      </c>
      <c r="F210" s="100" t="s">
        <v>933</v>
      </c>
      <c r="G210" s="17">
        <v>1509318</v>
      </c>
      <c r="H210" s="48" t="s">
        <v>58</v>
      </c>
      <c r="I210" s="131" t="s">
        <v>287</v>
      </c>
      <c r="J210" s="48" t="s">
        <v>58</v>
      </c>
      <c r="K210" s="15" t="s">
        <v>1067</v>
      </c>
      <c r="L210" s="15" t="s">
        <v>657</v>
      </c>
      <c r="M210" s="15" t="s">
        <v>199</v>
      </c>
      <c r="N210" s="15" t="s">
        <v>218</v>
      </c>
      <c r="O210" s="17" t="s">
        <v>58</v>
      </c>
      <c r="P210" s="17" t="s">
        <v>288</v>
      </c>
      <c r="Q210" s="18"/>
      <c r="R210" s="48" t="s">
        <v>58</v>
      </c>
      <c r="S210" s="75" t="s">
        <v>231</v>
      </c>
      <c r="T210" s="15"/>
      <c r="U210" s="15"/>
      <c r="V210" s="15">
        <v>715</v>
      </c>
      <c r="W210" s="15">
        <f>V210</f>
        <v>715</v>
      </c>
      <c r="X210" s="15">
        <f t="shared" si="46"/>
        <v>715</v>
      </c>
      <c r="Y210" s="15">
        <f>ROUNDDOWN(W210/HLOOKUP(D210,Table!$C$3:$D$4,2,0)*8,2)</f>
        <v>12.71</v>
      </c>
      <c r="Z210" s="15">
        <v>10</v>
      </c>
      <c r="AA210" s="15" t="s">
        <v>70</v>
      </c>
      <c r="AB210" s="19">
        <v>44005</v>
      </c>
      <c r="AC210" s="19">
        <v>44001</v>
      </c>
      <c r="AD210" s="85">
        <v>44005</v>
      </c>
      <c r="AE210" s="19">
        <v>44001</v>
      </c>
      <c r="AF210" s="19">
        <v>44001</v>
      </c>
      <c r="AG210" s="19" t="s">
        <v>164</v>
      </c>
      <c r="AH210" s="29">
        <v>1</v>
      </c>
      <c r="AI210" s="29">
        <v>1</v>
      </c>
      <c r="AJ210" s="29">
        <v>1</v>
      </c>
      <c r="AK210" s="19" t="s">
        <v>144</v>
      </c>
      <c r="AL210" s="17" t="s">
        <v>58</v>
      </c>
      <c r="AM210" s="17" t="s">
        <v>58</v>
      </c>
      <c r="AN210" s="17" t="s">
        <v>58</v>
      </c>
    </row>
    <row r="211" spans="2:40" hidden="1" x14ac:dyDescent="0.25">
      <c r="B211" s="97">
        <f t="shared" si="42"/>
        <v>152</v>
      </c>
      <c r="C211" s="16">
        <v>20200618</v>
      </c>
      <c r="D211" s="15" t="s">
        <v>3</v>
      </c>
      <c r="E211" s="75" t="s">
        <v>635</v>
      </c>
      <c r="F211" s="100" t="s">
        <v>933</v>
      </c>
      <c r="G211" s="17">
        <v>1514585</v>
      </c>
      <c r="H211" s="48" t="s">
        <v>58</v>
      </c>
      <c r="I211" s="15" t="s">
        <v>286</v>
      </c>
      <c r="J211" s="48" t="s">
        <v>58</v>
      </c>
      <c r="K211" s="15" t="s">
        <v>1067</v>
      </c>
      <c r="L211" s="15" t="s">
        <v>657</v>
      </c>
      <c r="M211" s="15" t="s">
        <v>199</v>
      </c>
      <c r="N211" s="15" t="s">
        <v>218</v>
      </c>
      <c r="O211" s="17" t="s">
        <v>58</v>
      </c>
      <c r="P211" s="17" t="s">
        <v>288</v>
      </c>
      <c r="Q211" s="18"/>
      <c r="R211" s="48" t="s">
        <v>58</v>
      </c>
      <c r="S211" s="75" t="s">
        <v>233</v>
      </c>
      <c r="T211" s="15"/>
      <c r="U211" s="15"/>
      <c r="V211" s="15">
        <v>675</v>
      </c>
      <c r="W211" s="15">
        <f t="shared" si="45"/>
        <v>675</v>
      </c>
      <c r="X211" s="15">
        <f t="shared" si="46"/>
        <v>675</v>
      </c>
      <c r="Y211" s="15">
        <f>ROUNDDOWN(W211/HLOOKUP(D211,Table!$C$3:$D$4,2,0)*8,2)</f>
        <v>12</v>
      </c>
      <c r="Z211" s="15">
        <v>2</v>
      </c>
      <c r="AA211" s="15" t="s">
        <v>70</v>
      </c>
      <c r="AB211" s="19">
        <v>44005</v>
      </c>
      <c r="AC211" s="19">
        <v>44001</v>
      </c>
      <c r="AD211" s="85">
        <v>44005</v>
      </c>
      <c r="AE211" s="19">
        <v>44002</v>
      </c>
      <c r="AF211" s="19">
        <v>44002</v>
      </c>
      <c r="AG211" s="19" t="s">
        <v>164</v>
      </c>
      <c r="AH211" s="29">
        <v>1</v>
      </c>
      <c r="AI211" s="29">
        <v>1</v>
      </c>
      <c r="AJ211" s="29">
        <v>1</v>
      </c>
      <c r="AK211" s="19" t="s">
        <v>144</v>
      </c>
      <c r="AL211" s="17" t="s">
        <v>58</v>
      </c>
      <c r="AM211" s="17" t="s">
        <v>58</v>
      </c>
      <c r="AN211" s="17" t="s">
        <v>58</v>
      </c>
    </row>
    <row r="212" spans="2:40" hidden="1" x14ac:dyDescent="0.25">
      <c r="B212" s="97">
        <f t="shared" si="42"/>
        <v>153</v>
      </c>
      <c r="C212" s="16">
        <v>20200618</v>
      </c>
      <c r="D212" s="15" t="s">
        <v>2</v>
      </c>
      <c r="E212" s="75" t="s">
        <v>636</v>
      </c>
      <c r="F212" s="17" t="s">
        <v>58</v>
      </c>
      <c r="G212" s="84">
        <v>1524212</v>
      </c>
      <c r="H212" s="48" t="s">
        <v>58</v>
      </c>
      <c r="I212" s="15" t="s">
        <v>641</v>
      </c>
      <c r="J212" s="48" t="s">
        <v>58</v>
      </c>
      <c r="K212" s="15" t="s">
        <v>1067</v>
      </c>
      <c r="L212" s="15" t="s">
        <v>144</v>
      </c>
      <c r="M212" s="15" t="s">
        <v>651</v>
      </c>
      <c r="N212" s="15" t="s">
        <v>362</v>
      </c>
      <c r="O212" s="17" t="s">
        <v>645</v>
      </c>
      <c r="P212" s="17" t="s">
        <v>293</v>
      </c>
      <c r="Q212" s="18"/>
      <c r="R212" s="48" t="s">
        <v>58</v>
      </c>
      <c r="S212" s="75" t="s">
        <v>233</v>
      </c>
      <c r="T212" s="15"/>
      <c r="U212" s="15"/>
      <c r="V212" s="15">
        <v>12</v>
      </c>
      <c r="W212" s="15">
        <f t="shared" si="45"/>
        <v>12</v>
      </c>
      <c r="X212" s="15">
        <f t="shared" si="46"/>
        <v>12</v>
      </c>
      <c r="Y212" s="15">
        <f>ROUNDDOWN(W212/HLOOKUP(D212,Table!$C$3:$D$4,2,0)*8,2)</f>
        <v>0.73</v>
      </c>
      <c r="Z212" s="15">
        <v>3</v>
      </c>
      <c r="AA212" s="15" t="s">
        <v>70</v>
      </c>
      <c r="AB212" s="19">
        <v>44005</v>
      </c>
      <c r="AC212" s="19">
        <v>44001</v>
      </c>
      <c r="AD212" s="85">
        <v>44005</v>
      </c>
      <c r="AE212" s="19">
        <v>44004</v>
      </c>
      <c r="AF212" s="19">
        <v>44004</v>
      </c>
      <c r="AG212" s="19" t="s">
        <v>165</v>
      </c>
      <c r="AH212" s="29">
        <v>1</v>
      </c>
      <c r="AI212" s="29">
        <v>1</v>
      </c>
      <c r="AJ212" s="29">
        <v>0.97099999999999997</v>
      </c>
      <c r="AK212" s="19" t="s">
        <v>134</v>
      </c>
      <c r="AL212" s="15" t="s">
        <v>920</v>
      </c>
      <c r="AM212" s="17" t="s">
        <v>58</v>
      </c>
      <c r="AN212" s="17" t="s">
        <v>875</v>
      </c>
    </row>
    <row r="213" spans="2:40" hidden="1" x14ac:dyDescent="0.25">
      <c r="B213" s="97">
        <f t="shared" si="42"/>
        <v>154</v>
      </c>
      <c r="C213" s="16">
        <v>20200618</v>
      </c>
      <c r="D213" s="15" t="s">
        <v>2</v>
      </c>
      <c r="E213" s="75" t="s">
        <v>636</v>
      </c>
      <c r="F213" s="17" t="s">
        <v>58</v>
      </c>
      <c r="G213" s="84">
        <v>1524212</v>
      </c>
      <c r="H213" s="48" t="s">
        <v>58</v>
      </c>
      <c r="I213" s="131" t="s">
        <v>642</v>
      </c>
      <c r="J213" s="48" t="s">
        <v>58</v>
      </c>
      <c r="K213" s="15" t="s">
        <v>1067</v>
      </c>
      <c r="L213" s="15" t="s">
        <v>144</v>
      </c>
      <c r="M213" s="15" t="s">
        <v>651</v>
      </c>
      <c r="N213" s="15" t="s">
        <v>647</v>
      </c>
      <c r="O213" s="17" t="s">
        <v>646</v>
      </c>
      <c r="P213" s="17" t="s">
        <v>293</v>
      </c>
      <c r="Q213" s="18"/>
      <c r="R213" s="48" t="s">
        <v>58</v>
      </c>
      <c r="S213" s="75" t="s">
        <v>231</v>
      </c>
      <c r="T213" s="15"/>
      <c r="U213" s="15"/>
      <c r="V213" s="15">
        <v>20</v>
      </c>
      <c r="W213" s="15">
        <f t="shared" si="45"/>
        <v>20</v>
      </c>
      <c r="X213" s="15">
        <f t="shared" si="46"/>
        <v>20</v>
      </c>
      <c r="Y213" s="15">
        <f>ROUNDDOWN(W213/HLOOKUP(D213,Table!$C$3:$D$4,2,0)*8,2)</f>
        <v>1.23</v>
      </c>
      <c r="Z213" s="15">
        <f>4</f>
        <v>4</v>
      </c>
      <c r="AA213" s="15" t="s">
        <v>70</v>
      </c>
      <c r="AB213" s="19">
        <v>44005</v>
      </c>
      <c r="AC213" s="19">
        <v>44001</v>
      </c>
      <c r="AD213" s="85">
        <v>44005</v>
      </c>
      <c r="AE213" s="19">
        <v>44004</v>
      </c>
      <c r="AF213" s="19">
        <v>44004</v>
      </c>
      <c r="AG213" s="19" t="s">
        <v>164</v>
      </c>
      <c r="AH213" s="29">
        <v>1</v>
      </c>
      <c r="AI213" s="29">
        <v>1</v>
      </c>
      <c r="AJ213" s="29">
        <v>1</v>
      </c>
      <c r="AK213" s="19" t="s">
        <v>144</v>
      </c>
      <c r="AL213" s="15" t="s">
        <v>58</v>
      </c>
      <c r="AM213" s="15" t="s">
        <v>58</v>
      </c>
      <c r="AN213" s="17" t="s">
        <v>58</v>
      </c>
    </row>
    <row r="214" spans="2:40" hidden="1" x14ac:dyDescent="0.25">
      <c r="B214" s="97">
        <f t="shared" si="42"/>
        <v>155</v>
      </c>
      <c r="C214" s="16">
        <v>20200618</v>
      </c>
      <c r="D214" s="15" t="s">
        <v>3</v>
      </c>
      <c r="E214" s="75" t="s">
        <v>637</v>
      </c>
      <c r="F214" s="100" t="s">
        <v>929</v>
      </c>
      <c r="G214" s="17">
        <v>1520778</v>
      </c>
      <c r="H214" s="48" t="s">
        <v>58</v>
      </c>
      <c r="I214" s="15" t="s">
        <v>146</v>
      </c>
      <c r="J214" s="48" t="s">
        <v>58</v>
      </c>
      <c r="K214" s="15" t="s">
        <v>1068</v>
      </c>
      <c r="L214" s="15" t="s">
        <v>658</v>
      </c>
      <c r="M214" s="15" t="s">
        <v>652</v>
      </c>
      <c r="N214" s="15" t="s">
        <v>192</v>
      </c>
      <c r="O214" s="17" t="s">
        <v>58</v>
      </c>
      <c r="P214" s="17" t="s">
        <v>663</v>
      </c>
      <c r="Q214" s="18"/>
      <c r="R214" s="48" t="s">
        <v>58</v>
      </c>
      <c r="S214" s="75" t="s">
        <v>65</v>
      </c>
      <c r="T214" s="15"/>
      <c r="U214" s="15"/>
      <c r="V214" s="15">
        <v>34</v>
      </c>
      <c r="W214" s="79">
        <f>V214+101-34</f>
        <v>101</v>
      </c>
      <c r="X214" s="15">
        <f t="shared" si="46"/>
        <v>101</v>
      </c>
      <c r="Y214" s="15">
        <f>ROUNDDOWN(W214/HLOOKUP(D214,Table!$C$3:$D$4,2,0)*8,2)</f>
        <v>1.79</v>
      </c>
      <c r="Z214" s="15">
        <v>1</v>
      </c>
      <c r="AA214" s="15" t="s">
        <v>70</v>
      </c>
      <c r="AB214" s="19">
        <v>44005</v>
      </c>
      <c r="AC214" s="19">
        <v>44001</v>
      </c>
      <c r="AD214" s="85">
        <v>44005</v>
      </c>
      <c r="AE214" s="19">
        <v>44001</v>
      </c>
      <c r="AF214" s="19">
        <v>44001</v>
      </c>
      <c r="AG214" s="19" t="s">
        <v>164</v>
      </c>
      <c r="AH214" s="29">
        <v>1</v>
      </c>
      <c r="AI214" s="29">
        <v>1</v>
      </c>
      <c r="AJ214" s="29">
        <v>1</v>
      </c>
      <c r="AK214" s="19" t="s">
        <v>144</v>
      </c>
      <c r="AL214" s="15" t="s">
        <v>58</v>
      </c>
      <c r="AM214" s="15" t="s">
        <v>58</v>
      </c>
      <c r="AN214" s="17" t="s">
        <v>58</v>
      </c>
    </row>
    <row r="215" spans="2:40" hidden="1" x14ac:dyDescent="0.25">
      <c r="B215" s="97">
        <f t="shared" si="42"/>
        <v>156</v>
      </c>
      <c r="C215" s="16">
        <v>20200618</v>
      </c>
      <c r="D215" s="15" t="s">
        <v>3</v>
      </c>
      <c r="E215" s="75" t="s">
        <v>637</v>
      </c>
      <c r="F215" s="100" t="s">
        <v>930</v>
      </c>
      <c r="G215" s="17">
        <v>1520778</v>
      </c>
      <c r="H215" s="48" t="s">
        <v>58</v>
      </c>
      <c r="I215" s="15" t="s">
        <v>643</v>
      </c>
      <c r="J215" s="48" t="s">
        <v>58</v>
      </c>
      <c r="K215" s="15" t="s">
        <v>1068</v>
      </c>
      <c r="L215" s="15" t="s">
        <v>658</v>
      </c>
      <c r="M215" s="15" t="s">
        <v>652</v>
      </c>
      <c r="N215" s="15" t="s">
        <v>192</v>
      </c>
      <c r="O215" s="17" t="s">
        <v>58</v>
      </c>
      <c r="P215" s="17" t="s">
        <v>663</v>
      </c>
      <c r="Q215" s="18"/>
      <c r="R215" s="48" t="s">
        <v>58</v>
      </c>
      <c r="S215" s="75" t="s">
        <v>65</v>
      </c>
      <c r="T215" s="15"/>
      <c r="U215" s="15"/>
      <c r="V215" s="15">
        <v>83</v>
      </c>
      <c r="W215" s="79">
        <f>V215+144-83</f>
        <v>144</v>
      </c>
      <c r="X215" s="15">
        <f t="shared" si="46"/>
        <v>144</v>
      </c>
      <c r="Y215" s="15">
        <f>ROUNDDOWN(W215/HLOOKUP(D215,Table!$C$3:$D$4,2,0)*8,2)</f>
        <v>2.56</v>
      </c>
      <c r="Z215" s="15">
        <v>2</v>
      </c>
      <c r="AA215" s="15" t="s">
        <v>70</v>
      </c>
      <c r="AB215" s="19">
        <v>44005</v>
      </c>
      <c r="AC215" s="19">
        <v>44001</v>
      </c>
      <c r="AD215" s="85">
        <v>44005</v>
      </c>
      <c r="AE215" s="19">
        <v>44001</v>
      </c>
      <c r="AF215" s="19">
        <v>44001</v>
      </c>
      <c r="AG215" s="19" t="s">
        <v>164</v>
      </c>
      <c r="AH215" s="29">
        <v>1</v>
      </c>
      <c r="AI215" s="29">
        <v>1</v>
      </c>
      <c r="AJ215" s="29">
        <v>1</v>
      </c>
      <c r="AK215" s="19" t="s">
        <v>144</v>
      </c>
      <c r="AL215" s="15" t="s">
        <v>58</v>
      </c>
      <c r="AM215" s="15" t="s">
        <v>58</v>
      </c>
      <c r="AN215" s="17" t="s">
        <v>58</v>
      </c>
    </row>
    <row r="216" spans="2:40" hidden="1" x14ac:dyDescent="0.25">
      <c r="B216" s="97">
        <f t="shared" si="42"/>
        <v>157</v>
      </c>
      <c r="C216" s="16">
        <v>20200618</v>
      </c>
      <c r="D216" s="15" t="s">
        <v>3</v>
      </c>
      <c r="E216" s="75" t="s">
        <v>638</v>
      </c>
      <c r="F216" s="100" t="s">
        <v>934</v>
      </c>
      <c r="G216" s="17">
        <v>1522028</v>
      </c>
      <c r="H216" s="48" t="s">
        <v>58</v>
      </c>
      <c r="I216" s="15" t="s">
        <v>643</v>
      </c>
      <c r="J216" s="48" t="s">
        <v>58</v>
      </c>
      <c r="K216" s="15" t="s">
        <v>1067</v>
      </c>
      <c r="L216" s="15" t="s">
        <v>659</v>
      </c>
      <c r="M216" s="15" t="s">
        <v>653</v>
      </c>
      <c r="N216" s="15" t="s">
        <v>655</v>
      </c>
      <c r="O216" s="17" t="s">
        <v>58</v>
      </c>
      <c r="P216" s="17" t="s">
        <v>193</v>
      </c>
      <c r="Q216" s="18"/>
      <c r="R216" s="48" t="s">
        <v>58</v>
      </c>
      <c r="S216" s="75" t="s">
        <v>232</v>
      </c>
      <c r="T216" s="15"/>
      <c r="U216" s="15"/>
      <c r="V216" s="15">
        <v>83</v>
      </c>
      <c r="W216" s="15">
        <f t="shared" si="45"/>
        <v>83</v>
      </c>
      <c r="X216" s="15">
        <f t="shared" si="46"/>
        <v>83</v>
      </c>
      <c r="Y216" s="15">
        <f>ROUNDDOWN(W216/HLOOKUP(D216,Table!$C$3:$D$4,2,0)*8,2)</f>
        <v>1.47</v>
      </c>
      <c r="Z216" s="15">
        <v>2.5</v>
      </c>
      <c r="AA216" s="15" t="s">
        <v>70</v>
      </c>
      <c r="AB216" s="19">
        <v>44005</v>
      </c>
      <c r="AC216" s="19">
        <v>44001</v>
      </c>
      <c r="AD216" s="85">
        <v>44006</v>
      </c>
      <c r="AE216" s="19">
        <v>44001</v>
      </c>
      <c r="AF216" s="19">
        <v>44001</v>
      </c>
      <c r="AG216" s="19" t="s">
        <v>164</v>
      </c>
      <c r="AH216" s="29">
        <v>1</v>
      </c>
      <c r="AI216" s="29">
        <v>1</v>
      </c>
      <c r="AJ216" s="29">
        <v>1</v>
      </c>
      <c r="AK216" s="19" t="s">
        <v>144</v>
      </c>
      <c r="AL216" s="17" t="s">
        <v>58</v>
      </c>
      <c r="AM216" s="17" t="s">
        <v>58</v>
      </c>
      <c r="AN216" s="17" t="s">
        <v>58</v>
      </c>
    </row>
    <row r="217" spans="2:40" hidden="1" x14ac:dyDescent="0.25">
      <c r="B217" s="97">
        <f t="shared" si="42"/>
        <v>158</v>
      </c>
      <c r="C217" s="16">
        <v>20200618</v>
      </c>
      <c r="D217" s="15" t="s">
        <v>3</v>
      </c>
      <c r="E217" s="75" t="s">
        <v>639</v>
      </c>
      <c r="F217" s="100" t="s">
        <v>896</v>
      </c>
      <c r="G217" s="84">
        <v>1521385</v>
      </c>
      <c r="H217" s="48" t="s">
        <v>58</v>
      </c>
      <c r="I217" s="15" t="s">
        <v>345</v>
      </c>
      <c r="J217" s="48" t="s">
        <v>58</v>
      </c>
      <c r="K217" s="15" t="s">
        <v>1067</v>
      </c>
      <c r="L217" s="15" t="s">
        <v>658</v>
      </c>
      <c r="M217" s="15" t="s">
        <v>654</v>
      </c>
      <c r="N217" s="15" t="s">
        <v>192</v>
      </c>
      <c r="O217" s="17" t="s">
        <v>58</v>
      </c>
      <c r="P217" s="17" t="s">
        <v>663</v>
      </c>
      <c r="Q217" s="18"/>
      <c r="R217" s="48" t="s">
        <v>58</v>
      </c>
      <c r="S217" s="75" t="s">
        <v>925</v>
      </c>
      <c r="T217" s="15"/>
      <c r="U217" s="15"/>
      <c r="V217" s="15">
        <v>235</v>
      </c>
      <c r="W217" s="15">
        <f t="shared" si="45"/>
        <v>235</v>
      </c>
      <c r="X217" s="15">
        <f t="shared" si="46"/>
        <v>235</v>
      </c>
      <c r="Y217" s="15">
        <f>ROUNDDOWN(W217/HLOOKUP(D217,Table!$C$3:$D$4,2,0)*8,2)</f>
        <v>4.17</v>
      </c>
      <c r="Z217" s="15">
        <v>3</v>
      </c>
      <c r="AA217" s="15" t="s">
        <v>70</v>
      </c>
      <c r="AB217" s="19">
        <v>44005</v>
      </c>
      <c r="AC217" s="19">
        <v>44001</v>
      </c>
      <c r="AD217" s="85">
        <v>44005</v>
      </c>
      <c r="AE217" s="19">
        <v>44005</v>
      </c>
      <c r="AF217" s="19">
        <v>44005</v>
      </c>
      <c r="AG217" s="19" t="s">
        <v>164</v>
      </c>
      <c r="AH217" s="29">
        <v>1</v>
      </c>
      <c r="AI217" s="29">
        <v>1</v>
      </c>
      <c r="AJ217" s="29">
        <v>1</v>
      </c>
      <c r="AK217" s="19" t="s">
        <v>144</v>
      </c>
      <c r="AL217" s="15" t="s">
        <v>58</v>
      </c>
      <c r="AM217" s="15" t="s">
        <v>58</v>
      </c>
      <c r="AN217" s="17" t="s">
        <v>58</v>
      </c>
    </row>
    <row r="218" spans="2:40" hidden="1" x14ac:dyDescent="0.25">
      <c r="B218" s="97">
        <f t="shared" si="42"/>
        <v>159</v>
      </c>
      <c r="C218" s="16">
        <v>20200618</v>
      </c>
      <c r="D218" s="15" t="s">
        <v>3</v>
      </c>
      <c r="E218" s="75" t="s">
        <v>639</v>
      </c>
      <c r="F218" s="100" t="s">
        <v>931</v>
      </c>
      <c r="G218" s="17">
        <v>1499734</v>
      </c>
      <c r="H218" s="48" t="s">
        <v>58</v>
      </c>
      <c r="I218" s="15" t="s">
        <v>217</v>
      </c>
      <c r="J218" s="48" t="s">
        <v>58</v>
      </c>
      <c r="K218" s="15" t="s">
        <v>1068</v>
      </c>
      <c r="L218" s="15" t="s">
        <v>660</v>
      </c>
      <c r="M218" s="15" t="s">
        <v>654</v>
      </c>
      <c r="N218" s="15" t="s">
        <v>192</v>
      </c>
      <c r="O218" s="17" t="s">
        <v>58</v>
      </c>
      <c r="P218" s="17" t="s">
        <v>188</v>
      </c>
      <c r="Q218" s="18"/>
      <c r="R218" s="48" t="s">
        <v>58</v>
      </c>
      <c r="S218" s="75" t="s">
        <v>65</v>
      </c>
      <c r="T218" s="15"/>
      <c r="U218" s="15"/>
      <c r="V218" s="15">
        <v>300</v>
      </c>
      <c r="W218" s="15">
        <f t="shared" si="45"/>
        <v>300</v>
      </c>
      <c r="X218" s="15">
        <f t="shared" si="46"/>
        <v>300</v>
      </c>
      <c r="Y218" s="15">
        <f>ROUNDDOWN(W218/HLOOKUP(D218,Table!$C$3:$D$4,2,0)*8,2)</f>
        <v>5.33</v>
      </c>
      <c r="Z218" s="15">
        <v>5</v>
      </c>
      <c r="AA218" s="15" t="s">
        <v>70</v>
      </c>
      <c r="AB218" s="19">
        <v>44005</v>
      </c>
      <c r="AC218" s="19">
        <v>44001</v>
      </c>
      <c r="AD218" s="85">
        <v>44005</v>
      </c>
      <c r="AE218" s="19">
        <v>44001</v>
      </c>
      <c r="AF218" s="19">
        <v>44001</v>
      </c>
      <c r="AG218" s="19" t="s">
        <v>165</v>
      </c>
      <c r="AH218" s="29">
        <v>0.98</v>
      </c>
      <c r="AI218" s="29">
        <v>0.98</v>
      </c>
      <c r="AJ218" s="29">
        <v>1</v>
      </c>
      <c r="AK218" s="19" t="s">
        <v>134</v>
      </c>
      <c r="AL218" s="17" t="s">
        <v>857</v>
      </c>
      <c r="AM218" s="15" t="s">
        <v>58</v>
      </c>
      <c r="AN218" s="17" t="s">
        <v>459</v>
      </c>
    </row>
    <row r="219" spans="2:40" hidden="1" x14ac:dyDescent="0.25">
      <c r="B219" s="97">
        <f t="shared" si="42"/>
        <v>160</v>
      </c>
      <c r="C219" s="16">
        <v>20200618</v>
      </c>
      <c r="D219" s="15" t="s">
        <v>3</v>
      </c>
      <c r="E219" s="75" t="s">
        <v>639</v>
      </c>
      <c r="F219" s="100" t="s">
        <v>919</v>
      </c>
      <c r="G219" s="17">
        <v>1499734</v>
      </c>
      <c r="H219" s="48" t="s">
        <v>58</v>
      </c>
      <c r="I219" s="15" t="s">
        <v>349</v>
      </c>
      <c r="J219" s="48" t="s">
        <v>58</v>
      </c>
      <c r="K219" s="15" t="s">
        <v>1067</v>
      </c>
      <c r="L219" s="15" t="s">
        <v>660</v>
      </c>
      <c r="M219" s="15" t="s">
        <v>654</v>
      </c>
      <c r="N219" s="15" t="s">
        <v>192</v>
      </c>
      <c r="O219" s="17" t="s">
        <v>58</v>
      </c>
      <c r="P219" s="17" t="s">
        <v>188</v>
      </c>
      <c r="Q219" s="18"/>
      <c r="R219" s="48" t="s">
        <v>58</v>
      </c>
      <c r="S219" s="75" t="s">
        <v>925</v>
      </c>
      <c r="T219" s="15"/>
      <c r="U219" s="15"/>
      <c r="V219" s="15">
        <v>97</v>
      </c>
      <c r="W219" s="15">
        <f t="shared" si="45"/>
        <v>97</v>
      </c>
      <c r="X219" s="15">
        <f t="shared" si="46"/>
        <v>97</v>
      </c>
      <c r="Y219" s="15">
        <f>ROUNDDOWN(W219/HLOOKUP(D219,Table!$C$3:$D$4,2,0)*8,2)</f>
        <v>1.72</v>
      </c>
      <c r="Z219" s="15">
        <v>1</v>
      </c>
      <c r="AA219" s="15" t="s">
        <v>70</v>
      </c>
      <c r="AB219" s="19">
        <v>44005</v>
      </c>
      <c r="AC219" s="19">
        <v>44001</v>
      </c>
      <c r="AD219" s="85">
        <v>44005</v>
      </c>
      <c r="AE219" s="19">
        <v>44005</v>
      </c>
      <c r="AF219" s="19">
        <v>44005</v>
      </c>
      <c r="AG219" s="19" t="s">
        <v>164</v>
      </c>
      <c r="AH219" s="29">
        <v>1</v>
      </c>
      <c r="AI219" s="29">
        <v>1</v>
      </c>
      <c r="AJ219" s="29">
        <v>1</v>
      </c>
      <c r="AK219" s="19" t="s">
        <v>144</v>
      </c>
      <c r="AL219" s="15" t="s">
        <v>58</v>
      </c>
      <c r="AM219" s="15" t="s">
        <v>58</v>
      </c>
      <c r="AN219" s="17" t="s">
        <v>58</v>
      </c>
    </row>
    <row r="220" spans="2:40" hidden="1" x14ac:dyDescent="0.25">
      <c r="B220" s="97">
        <f t="shared" si="42"/>
        <v>161</v>
      </c>
      <c r="C220" s="16">
        <v>20200618</v>
      </c>
      <c r="D220" s="15" t="s">
        <v>3</v>
      </c>
      <c r="E220" s="75" t="s">
        <v>639</v>
      </c>
      <c r="F220" s="100" t="s">
        <v>932</v>
      </c>
      <c r="G220" s="17">
        <v>1499734</v>
      </c>
      <c r="H220" s="48" t="s">
        <v>58</v>
      </c>
      <c r="I220" s="15" t="s">
        <v>644</v>
      </c>
      <c r="J220" s="48" t="s">
        <v>58</v>
      </c>
      <c r="K220" s="15" t="s">
        <v>1068</v>
      </c>
      <c r="L220" s="15" t="s">
        <v>660</v>
      </c>
      <c r="M220" s="15" t="s">
        <v>654</v>
      </c>
      <c r="N220" s="15" t="s">
        <v>192</v>
      </c>
      <c r="O220" s="17" t="s">
        <v>58</v>
      </c>
      <c r="P220" s="17" t="s">
        <v>188</v>
      </c>
      <c r="Q220" s="18"/>
      <c r="R220" s="48" t="s">
        <v>58</v>
      </c>
      <c r="S220" s="75" t="s">
        <v>65</v>
      </c>
      <c r="T220" s="15"/>
      <c r="U220" s="15"/>
      <c r="V220" s="15">
        <v>110</v>
      </c>
      <c r="W220" s="79">
        <f>V220+229-110</f>
        <v>229</v>
      </c>
      <c r="X220" s="15">
        <f t="shared" si="46"/>
        <v>229</v>
      </c>
      <c r="Y220" s="15">
        <f>ROUNDDOWN(W220/HLOOKUP(D220,Table!$C$3:$D$4,2,0)*8,2)</f>
        <v>4.07</v>
      </c>
      <c r="Z220" s="15">
        <v>4</v>
      </c>
      <c r="AA220" s="15" t="s">
        <v>70</v>
      </c>
      <c r="AB220" s="19">
        <v>44005</v>
      </c>
      <c r="AC220" s="19">
        <v>44001</v>
      </c>
      <c r="AD220" s="85">
        <v>44005</v>
      </c>
      <c r="AE220" s="19">
        <v>44001</v>
      </c>
      <c r="AF220" s="19">
        <v>44001</v>
      </c>
      <c r="AG220" s="19" t="s">
        <v>164</v>
      </c>
      <c r="AH220" s="29">
        <v>1</v>
      </c>
      <c r="AI220" s="29">
        <v>1</v>
      </c>
      <c r="AJ220" s="29">
        <v>1</v>
      </c>
      <c r="AK220" s="19" t="s">
        <v>144</v>
      </c>
      <c r="AL220" s="15" t="s">
        <v>58</v>
      </c>
      <c r="AM220" s="15" t="s">
        <v>58</v>
      </c>
      <c r="AN220" s="17" t="s">
        <v>58</v>
      </c>
    </row>
    <row r="221" spans="2:40" hidden="1" x14ac:dyDescent="0.25">
      <c r="B221" s="111">
        <f t="shared" si="42"/>
        <v>162</v>
      </c>
      <c r="C221" s="16">
        <v>20200618</v>
      </c>
      <c r="D221" s="15" t="s">
        <v>3</v>
      </c>
      <c r="E221" s="75" t="s">
        <v>664</v>
      </c>
      <c r="F221" s="100" t="s">
        <v>946</v>
      </c>
      <c r="G221" s="17">
        <v>1473080</v>
      </c>
      <c r="H221" s="48" t="s">
        <v>58</v>
      </c>
      <c r="I221" s="15" t="s">
        <v>184</v>
      </c>
      <c r="J221" s="48" t="s">
        <v>58</v>
      </c>
      <c r="K221" s="53" t="s">
        <v>1069</v>
      </c>
      <c r="L221" s="15" t="s">
        <v>144</v>
      </c>
      <c r="M221" s="15" t="s">
        <v>290</v>
      </c>
      <c r="N221" s="75" t="s">
        <v>954</v>
      </c>
      <c r="O221" s="17" t="s">
        <v>58</v>
      </c>
      <c r="P221" s="17" t="s">
        <v>198</v>
      </c>
      <c r="Q221" s="18"/>
      <c r="R221" s="48" t="s">
        <v>58</v>
      </c>
      <c r="S221" s="75" t="s">
        <v>66</v>
      </c>
      <c r="T221" s="15"/>
      <c r="U221" s="15"/>
      <c r="V221" s="15">
        <v>82</v>
      </c>
      <c r="W221" s="79">
        <f>(82-V221+119)*2</f>
        <v>238</v>
      </c>
      <c r="X221" s="15">
        <f t="shared" si="46"/>
        <v>238</v>
      </c>
      <c r="Y221" s="15">
        <f>ROUNDDOWN(W221/HLOOKUP(D221,Table!$C$3:$D$4,2,0)*8,2)</f>
        <v>4.2300000000000004</v>
      </c>
      <c r="Z221" s="15">
        <v>2</v>
      </c>
      <c r="AA221" s="15" t="s">
        <v>70</v>
      </c>
      <c r="AB221" s="19">
        <v>44006</v>
      </c>
      <c r="AC221" s="19">
        <v>44001</v>
      </c>
      <c r="AD221" s="19">
        <v>44007</v>
      </c>
      <c r="AE221" s="19">
        <v>44005</v>
      </c>
      <c r="AF221" s="19">
        <v>44005</v>
      </c>
      <c r="AG221" s="19" t="s">
        <v>164</v>
      </c>
      <c r="AH221" s="29">
        <v>1</v>
      </c>
      <c r="AI221" s="29">
        <v>1</v>
      </c>
      <c r="AJ221" s="29">
        <v>1</v>
      </c>
      <c r="AK221" s="19" t="s">
        <v>144</v>
      </c>
      <c r="AL221" s="15" t="s">
        <v>58</v>
      </c>
      <c r="AM221" s="15" t="s">
        <v>58</v>
      </c>
      <c r="AN221" s="79" t="s">
        <v>922</v>
      </c>
    </row>
    <row r="222" spans="2:40" hidden="1" x14ac:dyDescent="0.25">
      <c r="B222" s="111">
        <f t="shared" si="42"/>
        <v>163</v>
      </c>
      <c r="C222" s="16">
        <v>20200618</v>
      </c>
      <c r="D222" s="15" t="s">
        <v>3</v>
      </c>
      <c r="E222" s="75" t="s">
        <v>664</v>
      </c>
      <c r="F222" s="100" t="s">
        <v>947</v>
      </c>
      <c r="G222" s="17">
        <v>1473080</v>
      </c>
      <c r="H222" s="48" t="s">
        <v>58</v>
      </c>
      <c r="I222" s="15" t="s">
        <v>197</v>
      </c>
      <c r="J222" s="48" t="s">
        <v>58</v>
      </c>
      <c r="K222" s="53" t="s">
        <v>1069</v>
      </c>
      <c r="L222" s="15" t="s">
        <v>144</v>
      </c>
      <c r="M222" s="15" t="s">
        <v>290</v>
      </c>
      <c r="N222" s="15" t="s">
        <v>948</v>
      </c>
      <c r="O222" s="17" t="s">
        <v>58</v>
      </c>
      <c r="P222" s="17" t="s">
        <v>198</v>
      </c>
      <c r="Q222" s="18"/>
      <c r="R222" s="48" t="s">
        <v>58</v>
      </c>
      <c r="S222" s="75" t="s">
        <v>66</v>
      </c>
      <c r="T222" s="15"/>
      <c r="U222" s="15"/>
      <c r="V222" s="15">
        <v>362</v>
      </c>
      <c r="W222" s="15">
        <f t="shared" ref="W222:W230" si="47">V222*2</f>
        <v>724</v>
      </c>
      <c r="X222" s="15">
        <f t="shared" si="46"/>
        <v>724</v>
      </c>
      <c r="Y222" s="15">
        <f>ROUNDDOWN(W222/HLOOKUP(D222,Table!$C$3:$D$4,2,0)*8,2)</f>
        <v>12.87</v>
      </c>
      <c r="Z222" s="15">
        <v>4</v>
      </c>
      <c r="AA222" s="15" t="s">
        <v>70</v>
      </c>
      <c r="AB222" s="19">
        <v>44006</v>
      </c>
      <c r="AC222" s="19">
        <v>44001</v>
      </c>
      <c r="AD222" s="19">
        <v>44007</v>
      </c>
      <c r="AE222" s="19">
        <v>44005</v>
      </c>
      <c r="AF222" s="19">
        <v>44005</v>
      </c>
      <c r="AG222" s="19" t="s">
        <v>164</v>
      </c>
      <c r="AH222" s="29">
        <v>1</v>
      </c>
      <c r="AI222" s="29">
        <v>1</v>
      </c>
      <c r="AJ222" s="29">
        <v>1</v>
      </c>
      <c r="AK222" s="19" t="s">
        <v>144</v>
      </c>
      <c r="AL222" s="15" t="s">
        <v>58</v>
      </c>
      <c r="AM222" s="15" t="s">
        <v>58</v>
      </c>
      <c r="AN222" s="79" t="s">
        <v>922</v>
      </c>
    </row>
    <row r="223" spans="2:40" x14ac:dyDescent="0.25">
      <c r="B223" s="111">
        <f t="shared" si="42"/>
        <v>164</v>
      </c>
      <c r="C223" s="16">
        <v>20200618</v>
      </c>
      <c r="D223" s="15" t="s">
        <v>3</v>
      </c>
      <c r="E223" s="75" t="s">
        <v>664</v>
      </c>
      <c r="F223" s="100" t="s">
        <v>1024</v>
      </c>
      <c r="G223" s="17">
        <v>1473080</v>
      </c>
      <c r="H223" s="48" t="s">
        <v>58</v>
      </c>
      <c r="I223" s="15" t="s">
        <v>214</v>
      </c>
      <c r="J223" s="48" t="s">
        <v>58</v>
      </c>
      <c r="K223" s="53" t="s">
        <v>1069</v>
      </c>
      <c r="L223" s="15" t="s">
        <v>144</v>
      </c>
      <c r="M223" s="15" t="s">
        <v>290</v>
      </c>
      <c r="N223" s="15" t="s">
        <v>948</v>
      </c>
      <c r="O223" s="17" t="s">
        <v>58</v>
      </c>
      <c r="P223" s="17" t="s">
        <v>198</v>
      </c>
      <c r="Q223" s="18"/>
      <c r="R223" s="48" t="s">
        <v>58</v>
      </c>
      <c r="S223" s="75" t="s">
        <v>66</v>
      </c>
      <c r="T223" s="15"/>
      <c r="U223" s="15"/>
      <c r="V223" s="15">
        <v>54</v>
      </c>
      <c r="W223" s="15">
        <f t="shared" si="47"/>
        <v>108</v>
      </c>
      <c r="X223" s="15">
        <f t="shared" si="46"/>
        <v>108</v>
      </c>
      <c r="Y223" s="15">
        <f>ROUNDDOWN(W223/HLOOKUP(D223,Table!$C$3:$D$4,2,0)*8,2)</f>
        <v>1.92</v>
      </c>
      <c r="Z223" s="15">
        <v>0.5</v>
      </c>
      <c r="AA223" s="15" t="s">
        <v>70</v>
      </c>
      <c r="AB223" s="19">
        <v>44006</v>
      </c>
      <c r="AC223" s="19">
        <v>44001</v>
      </c>
      <c r="AD223" s="19">
        <v>44007</v>
      </c>
      <c r="AE223" s="19">
        <v>44005</v>
      </c>
      <c r="AF223" s="19">
        <v>44005</v>
      </c>
      <c r="AG223" s="19" t="s">
        <v>164</v>
      </c>
      <c r="AH223" s="29" t="s">
        <v>58</v>
      </c>
      <c r="AI223" s="29" t="s">
        <v>58</v>
      </c>
      <c r="AJ223" s="29" t="s">
        <v>58</v>
      </c>
      <c r="AK223" s="19" t="s">
        <v>144</v>
      </c>
      <c r="AL223" s="17" t="s">
        <v>945</v>
      </c>
      <c r="AM223" s="15" t="s">
        <v>58</v>
      </c>
      <c r="AN223" s="79" t="s">
        <v>922</v>
      </c>
    </row>
    <row r="224" spans="2:40" hidden="1" x14ac:dyDescent="0.25">
      <c r="B224" s="111">
        <f t="shared" si="42"/>
        <v>165</v>
      </c>
      <c r="C224" s="16">
        <v>20200618</v>
      </c>
      <c r="D224" s="15" t="s">
        <v>3</v>
      </c>
      <c r="E224" s="75" t="s">
        <v>664</v>
      </c>
      <c r="F224" s="100" t="s">
        <v>1026</v>
      </c>
      <c r="G224" s="17">
        <v>1473080</v>
      </c>
      <c r="H224" s="48" t="s">
        <v>58</v>
      </c>
      <c r="I224" s="15" t="s">
        <v>177</v>
      </c>
      <c r="J224" s="48" t="s">
        <v>58</v>
      </c>
      <c r="K224" s="53" t="s">
        <v>1069</v>
      </c>
      <c r="L224" s="15" t="s">
        <v>144</v>
      </c>
      <c r="M224" s="15" t="s">
        <v>290</v>
      </c>
      <c r="N224" s="15" t="s">
        <v>948</v>
      </c>
      <c r="O224" s="17" t="s">
        <v>58</v>
      </c>
      <c r="P224" s="17" t="s">
        <v>198</v>
      </c>
      <c r="Q224" s="18"/>
      <c r="R224" s="48" t="s">
        <v>58</v>
      </c>
      <c r="S224" s="75" t="s">
        <v>232</v>
      </c>
      <c r="T224" s="15"/>
      <c r="U224" s="15"/>
      <c r="V224" s="15">
        <v>446</v>
      </c>
      <c r="W224" s="15">
        <f t="shared" si="47"/>
        <v>892</v>
      </c>
      <c r="X224" s="15">
        <f t="shared" si="46"/>
        <v>892</v>
      </c>
      <c r="Y224" s="15">
        <f>ROUNDDOWN(W224/HLOOKUP(D224,Table!$C$3:$D$4,2,0)*8,2)</f>
        <v>15.85</v>
      </c>
      <c r="Z224" s="15">
        <v>12</v>
      </c>
      <c r="AA224" s="15" t="s">
        <v>70</v>
      </c>
      <c r="AB224" s="19">
        <v>44006</v>
      </c>
      <c r="AC224" s="19">
        <v>44001</v>
      </c>
      <c r="AD224" s="19">
        <v>44007</v>
      </c>
      <c r="AE224" s="19">
        <v>44005</v>
      </c>
      <c r="AF224" s="19">
        <v>44005</v>
      </c>
      <c r="AG224" s="19" t="s">
        <v>164</v>
      </c>
      <c r="AH224" s="29">
        <v>1</v>
      </c>
      <c r="AI224" s="29">
        <v>1</v>
      </c>
      <c r="AJ224" s="29">
        <v>1</v>
      </c>
      <c r="AK224" s="19" t="s">
        <v>144</v>
      </c>
      <c r="AL224" s="15" t="s">
        <v>58</v>
      </c>
      <c r="AM224" s="15" t="s">
        <v>58</v>
      </c>
      <c r="AN224" s="79" t="s">
        <v>922</v>
      </c>
    </row>
    <row r="225" spans="2:40" hidden="1" x14ac:dyDescent="0.25">
      <c r="B225" s="111">
        <f t="shared" si="42"/>
        <v>166</v>
      </c>
      <c r="C225" s="16">
        <v>20200618</v>
      </c>
      <c r="D225" s="15" t="s">
        <v>3</v>
      </c>
      <c r="E225" s="75" t="s">
        <v>664</v>
      </c>
      <c r="F225" s="100" t="s">
        <v>858</v>
      </c>
      <c r="G225" s="17">
        <v>1473080</v>
      </c>
      <c r="H225" s="48" t="s">
        <v>58</v>
      </c>
      <c r="I225" s="131" t="s">
        <v>668</v>
      </c>
      <c r="J225" s="48" t="s">
        <v>58</v>
      </c>
      <c r="K225" s="53" t="s">
        <v>1069</v>
      </c>
      <c r="L225" s="15" t="s">
        <v>144</v>
      </c>
      <c r="M225" s="15" t="s">
        <v>290</v>
      </c>
      <c r="N225" s="15" t="s">
        <v>948</v>
      </c>
      <c r="O225" s="17" t="s">
        <v>58</v>
      </c>
      <c r="P225" s="17" t="s">
        <v>198</v>
      </c>
      <c r="Q225" s="18"/>
      <c r="R225" s="48" t="s">
        <v>58</v>
      </c>
      <c r="S225" s="75" t="s">
        <v>231</v>
      </c>
      <c r="T225" s="15"/>
      <c r="U225" s="15"/>
      <c r="V225" s="15">
        <v>152</v>
      </c>
      <c r="W225" s="15">
        <f t="shared" si="47"/>
        <v>304</v>
      </c>
      <c r="X225" s="15">
        <f t="shared" si="46"/>
        <v>304</v>
      </c>
      <c r="Y225" s="15">
        <f>ROUNDDOWN(W225/HLOOKUP(D225,Table!$C$3:$D$4,2,0)*8,2)</f>
        <v>5.4</v>
      </c>
      <c r="Z225" s="15">
        <v>6</v>
      </c>
      <c r="AA225" s="15" t="s">
        <v>70</v>
      </c>
      <c r="AB225" s="19">
        <v>44006</v>
      </c>
      <c r="AC225" s="19">
        <v>44001</v>
      </c>
      <c r="AD225" s="19">
        <v>44007</v>
      </c>
      <c r="AE225" s="19">
        <v>44005</v>
      </c>
      <c r="AF225" s="19">
        <v>44005</v>
      </c>
      <c r="AG225" s="19" t="s">
        <v>164</v>
      </c>
      <c r="AH225" s="29">
        <v>1</v>
      </c>
      <c r="AI225" s="29">
        <v>1</v>
      </c>
      <c r="AJ225" s="29">
        <v>1</v>
      </c>
      <c r="AK225" s="19" t="s">
        <v>144</v>
      </c>
      <c r="AL225" s="15" t="s">
        <v>58</v>
      </c>
      <c r="AM225" s="15" t="s">
        <v>58</v>
      </c>
      <c r="AN225" s="79" t="s">
        <v>922</v>
      </c>
    </row>
    <row r="226" spans="2:40" hidden="1" x14ac:dyDescent="0.25">
      <c r="B226" s="111">
        <f t="shared" si="42"/>
        <v>167</v>
      </c>
      <c r="C226" s="16">
        <v>20200618</v>
      </c>
      <c r="D226" s="15" t="s">
        <v>3</v>
      </c>
      <c r="E226" s="75" t="s">
        <v>664</v>
      </c>
      <c r="F226" s="100" t="s">
        <v>1501</v>
      </c>
      <c r="G226" s="17">
        <v>1473080</v>
      </c>
      <c r="H226" s="48" t="s">
        <v>58</v>
      </c>
      <c r="I226" s="131" t="s">
        <v>292</v>
      </c>
      <c r="J226" s="48" t="s">
        <v>58</v>
      </c>
      <c r="K226" s="53" t="s">
        <v>1069</v>
      </c>
      <c r="L226" s="15" t="s">
        <v>144</v>
      </c>
      <c r="M226" s="15" t="s">
        <v>290</v>
      </c>
      <c r="N226" s="15" t="s">
        <v>948</v>
      </c>
      <c r="O226" s="17" t="s">
        <v>58</v>
      </c>
      <c r="P226" s="17" t="s">
        <v>198</v>
      </c>
      <c r="Q226" s="18"/>
      <c r="R226" s="48" t="s">
        <v>58</v>
      </c>
      <c r="S226" s="75" t="s">
        <v>231</v>
      </c>
      <c r="T226" s="15"/>
      <c r="U226" s="15"/>
      <c r="V226" s="15">
        <v>86</v>
      </c>
      <c r="W226" s="15">
        <f t="shared" si="47"/>
        <v>172</v>
      </c>
      <c r="X226" s="15">
        <f t="shared" si="46"/>
        <v>172</v>
      </c>
      <c r="Y226" s="15">
        <f>ROUNDDOWN(W226/HLOOKUP(D226,Table!$C$3:$D$4,2,0)*8,2)</f>
        <v>3.05</v>
      </c>
      <c r="Z226" s="15">
        <v>3</v>
      </c>
      <c r="AA226" s="15" t="s">
        <v>70</v>
      </c>
      <c r="AB226" s="19">
        <v>44006</v>
      </c>
      <c r="AC226" s="19">
        <v>44001</v>
      </c>
      <c r="AD226" s="19">
        <v>44007</v>
      </c>
      <c r="AE226" s="19">
        <v>44005</v>
      </c>
      <c r="AF226" s="19">
        <v>44005</v>
      </c>
      <c r="AG226" s="19" t="s">
        <v>164</v>
      </c>
      <c r="AH226" s="29">
        <v>1</v>
      </c>
      <c r="AI226" s="29">
        <v>1</v>
      </c>
      <c r="AJ226" s="29">
        <v>1</v>
      </c>
      <c r="AK226" s="19" t="s">
        <v>144</v>
      </c>
      <c r="AL226" s="15" t="s">
        <v>58</v>
      </c>
      <c r="AM226" s="15" t="s">
        <v>58</v>
      </c>
      <c r="AN226" s="79" t="s">
        <v>922</v>
      </c>
    </row>
    <row r="227" spans="2:40" x14ac:dyDescent="0.25">
      <c r="B227" s="111">
        <f t="shared" si="42"/>
        <v>168</v>
      </c>
      <c r="C227" s="16">
        <v>20200618</v>
      </c>
      <c r="D227" s="15" t="s">
        <v>3</v>
      </c>
      <c r="E227" s="75" t="s">
        <v>664</v>
      </c>
      <c r="F227" s="100" t="s">
        <v>1502</v>
      </c>
      <c r="G227" s="17">
        <v>1473080</v>
      </c>
      <c r="H227" s="48" t="s">
        <v>58</v>
      </c>
      <c r="I227" s="131" t="s">
        <v>669</v>
      </c>
      <c r="J227" s="48" t="s">
        <v>58</v>
      </c>
      <c r="K227" s="53" t="s">
        <v>1069</v>
      </c>
      <c r="L227" s="15" t="s">
        <v>144</v>
      </c>
      <c r="M227" s="15" t="s">
        <v>290</v>
      </c>
      <c r="N227" s="15" t="s">
        <v>948</v>
      </c>
      <c r="O227" s="17" t="s">
        <v>58</v>
      </c>
      <c r="P227" s="17" t="s">
        <v>198</v>
      </c>
      <c r="Q227" s="18"/>
      <c r="R227" s="48" t="s">
        <v>58</v>
      </c>
      <c r="S227" s="75" t="s">
        <v>231</v>
      </c>
      <c r="T227" s="15"/>
      <c r="U227" s="15"/>
      <c r="V227" s="15">
        <v>72</v>
      </c>
      <c r="W227" s="15">
        <f t="shared" si="47"/>
        <v>144</v>
      </c>
      <c r="X227" s="15">
        <f t="shared" si="46"/>
        <v>144</v>
      </c>
      <c r="Y227" s="15">
        <f>ROUNDDOWN(W227/HLOOKUP(D227,Table!$C$3:$D$4,2,0)*8,2)</f>
        <v>2.56</v>
      </c>
      <c r="Z227" s="15">
        <v>0.5</v>
      </c>
      <c r="AA227" s="15" t="s">
        <v>70</v>
      </c>
      <c r="AB227" s="19">
        <v>44006</v>
      </c>
      <c r="AC227" s="19">
        <v>44001</v>
      </c>
      <c r="AD227" s="19">
        <v>44007</v>
      </c>
      <c r="AE227" s="19">
        <v>44001</v>
      </c>
      <c r="AF227" s="19">
        <v>44001</v>
      </c>
      <c r="AG227" s="19" t="s">
        <v>164</v>
      </c>
      <c r="AH227" s="74" t="s">
        <v>58</v>
      </c>
      <c r="AI227" s="74" t="s">
        <v>58</v>
      </c>
      <c r="AJ227" s="74" t="s">
        <v>58</v>
      </c>
      <c r="AK227" s="19" t="s">
        <v>144</v>
      </c>
      <c r="AL227" s="15" t="s">
        <v>58</v>
      </c>
      <c r="AM227" s="15" t="s">
        <v>58</v>
      </c>
      <c r="AN227" s="79" t="s">
        <v>921</v>
      </c>
    </row>
    <row r="228" spans="2:40" hidden="1" x14ac:dyDescent="0.25">
      <c r="B228" s="111">
        <f t="shared" si="42"/>
        <v>169</v>
      </c>
      <c r="C228" s="16">
        <v>20200618</v>
      </c>
      <c r="D228" s="15" t="s">
        <v>3</v>
      </c>
      <c r="E228" s="75" t="s">
        <v>664</v>
      </c>
      <c r="F228" s="100" t="s">
        <v>1500</v>
      </c>
      <c r="G228" s="17">
        <v>1473080</v>
      </c>
      <c r="H228" s="48" t="s">
        <v>58</v>
      </c>
      <c r="I228" s="15" t="s">
        <v>670</v>
      </c>
      <c r="J228" s="48" t="s">
        <v>58</v>
      </c>
      <c r="K228" s="53" t="s">
        <v>1069</v>
      </c>
      <c r="L228" s="15" t="s">
        <v>144</v>
      </c>
      <c r="M228" s="15" t="s">
        <v>290</v>
      </c>
      <c r="N228" s="15" t="s">
        <v>948</v>
      </c>
      <c r="O228" s="17" t="s">
        <v>58</v>
      </c>
      <c r="P228" s="17" t="s">
        <v>198</v>
      </c>
      <c r="Q228" s="18"/>
      <c r="R228" s="48" t="s">
        <v>58</v>
      </c>
      <c r="S228" s="75" t="s">
        <v>233</v>
      </c>
      <c r="T228" s="15"/>
      <c r="U228" s="15"/>
      <c r="V228" s="15">
        <v>20</v>
      </c>
      <c r="W228" s="15">
        <f t="shared" si="47"/>
        <v>40</v>
      </c>
      <c r="X228" s="15">
        <f t="shared" si="46"/>
        <v>40</v>
      </c>
      <c r="Y228" s="15">
        <f>ROUNDDOWN(W228/HLOOKUP(D228,Table!$C$3:$D$4,2,0)*8,2)</f>
        <v>0.71</v>
      </c>
      <c r="Z228" s="15">
        <v>0.5</v>
      </c>
      <c r="AA228" s="15" t="s">
        <v>70</v>
      </c>
      <c r="AB228" s="19">
        <v>44006</v>
      </c>
      <c r="AC228" s="19">
        <v>44001</v>
      </c>
      <c r="AD228" s="19">
        <v>44007</v>
      </c>
      <c r="AE228" s="19">
        <v>44005</v>
      </c>
      <c r="AF228" s="19">
        <v>44005</v>
      </c>
      <c r="AG228" s="19" t="s">
        <v>164</v>
      </c>
      <c r="AH228" s="29">
        <v>1</v>
      </c>
      <c r="AI228" s="29">
        <v>1</v>
      </c>
      <c r="AJ228" s="29">
        <v>1</v>
      </c>
      <c r="AK228" s="19" t="s">
        <v>144</v>
      </c>
      <c r="AL228" s="15" t="s">
        <v>58</v>
      </c>
      <c r="AM228" s="15" t="s">
        <v>58</v>
      </c>
      <c r="AN228" s="79" t="s">
        <v>922</v>
      </c>
    </row>
    <row r="229" spans="2:40" hidden="1" x14ac:dyDescent="0.25">
      <c r="B229" s="111">
        <f t="shared" si="42"/>
        <v>170</v>
      </c>
      <c r="C229" s="16">
        <v>20200618</v>
      </c>
      <c r="D229" s="15" t="s">
        <v>3</v>
      </c>
      <c r="E229" s="75" t="s">
        <v>665</v>
      </c>
      <c r="F229" s="100" t="s">
        <v>1503</v>
      </c>
      <c r="G229" s="17">
        <v>1497391</v>
      </c>
      <c r="H229" s="48" t="s">
        <v>58</v>
      </c>
      <c r="I229" s="15" t="s">
        <v>671</v>
      </c>
      <c r="J229" s="48" t="s">
        <v>58</v>
      </c>
      <c r="K229" s="53" t="s">
        <v>1069</v>
      </c>
      <c r="L229" s="15" t="s">
        <v>144</v>
      </c>
      <c r="M229" s="15" t="s">
        <v>290</v>
      </c>
      <c r="N229" s="15" t="s">
        <v>948</v>
      </c>
      <c r="O229" s="17" t="s">
        <v>58</v>
      </c>
      <c r="P229" s="17" t="s">
        <v>672</v>
      </c>
      <c r="Q229" s="18"/>
      <c r="R229" s="48" t="s">
        <v>58</v>
      </c>
      <c r="S229" s="75" t="s">
        <v>233</v>
      </c>
      <c r="T229" s="15"/>
      <c r="U229" s="15"/>
      <c r="V229" s="15">
        <v>248</v>
      </c>
      <c r="W229" s="15">
        <f t="shared" si="47"/>
        <v>496</v>
      </c>
      <c r="X229" s="15">
        <f t="shared" si="46"/>
        <v>496</v>
      </c>
      <c r="Y229" s="15">
        <f>ROUNDDOWN(W229/HLOOKUP(D229,Table!$C$3:$D$4,2,0)*8,2)</f>
        <v>8.81</v>
      </c>
      <c r="Z229" s="15">
        <v>3</v>
      </c>
      <c r="AA229" s="15" t="s">
        <v>70</v>
      </c>
      <c r="AB229" s="19">
        <v>44006</v>
      </c>
      <c r="AC229" s="19">
        <v>44001</v>
      </c>
      <c r="AD229" s="19">
        <v>44007</v>
      </c>
      <c r="AE229" s="19">
        <v>44005</v>
      </c>
      <c r="AF229" s="19">
        <v>44005</v>
      </c>
      <c r="AG229" s="19" t="s">
        <v>164</v>
      </c>
      <c r="AH229" s="29">
        <v>1</v>
      </c>
      <c r="AI229" s="29">
        <v>1</v>
      </c>
      <c r="AJ229" s="29">
        <v>1</v>
      </c>
      <c r="AK229" s="19" t="s">
        <v>144</v>
      </c>
      <c r="AL229" s="15" t="s">
        <v>58</v>
      </c>
      <c r="AM229" s="15"/>
      <c r="AN229" s="79" t="s">
        <v>922</v>
      </c>
    </row>
    <row r="230" spans="2:40" hidden="1" x14ac:dyDescent="0.25">
      <c r="B230" s="111">
        <f t="shared" si="42"/>
        <v>171</v>
      </c>
      <c r="C230" s="16">
        <v>20200618</v>
      </c>
      <c r="D230" s="15" t="s">
        <v>2</v>
      </c>
      <c r="E230" s="75" t="s">
        <v>666</v>
      </c>
      <c r="F230" s="17" t="s">
        <v>58</v>
      </c>
      <c r="G230" s="17">
        <v>1502509</v>
      </c>
      <c r="H230" s="48" t="s">
        <v>58</v>
      </c>
      <c r="I230" s="15" t="s">
        <v>667</v>
      </c>
      <c r="J230" s="48" t="s">
        <v>58</v>
      </c>
      <c r="K230" s="53" t="s">
        <v>1069</v>
      </c>
      <c r="L230" s="15" t="s">
        <v>144</v>
      </c>
      <c r="M230" s="15" t="s">
        <v>673</v>
      </c>
      <c r="N230" s="15" t="s">
        <v>674</v>
      </c>
      <c r="O230" s="73" t="s">
        <v>675</v>
      </c>
      <c r="P230" s="17" t="s">
        <v>291</v>
      </c>
      <c r="Q230" s="18"/>
      <c r="R230" s="48" t="s">
        <v>58</v>
      </c>
      <c r="S230" s="75" t="s">
        <v>233</v>
      </c>
      <c r="T230" s="15"/>
      <c r="U230" s="15"/>
      <c r="V230" s="15">
        <v>40</v>
      </c>
      <c r="W230" s="15">
        <f t="shared" si="47"/>
        <v>80</v>
      </c>
      <c r="X230" s="15">
        <f t="shared" ref="X230:X240" si="48">W230</f>
        <v>80</v>
      </c>
      <c r="Y230" s="15">
        <f>ROUNDDOWN(W230/HLOOKUP(D230,Table!$C$3:$D$4,2,0)*8,2)</f>
        <v>4.92</v>
      </c>
      <c r="Z230" s="15">
        <v>6</v>
      </c>
      <c r="AA230" s="15" t="s">
        <v>70</v>
      </c>
      <c r="AB230" s="19">
        <v>44006</v>
      </c>
      <c r="AC230" s="19">
        <v>44001</v>
      </c>
      <c r="AD230" s="19">
        <v>44007</v>
      </c>
      <c r="AE230" s="19">
        <v>44006</v>
      </c>
      <c r="AF230" s="19">
        <v>44006</v>
      </c>
      <c r="AG230" s="19" t="s">
        <v>165</v>
      </c>
      <c r="AH230" s="29">
        <v>0.95799999999999996</v>
      </c>
      <c r="AI230" s="29">
        <v>0.96</v>
      </c>
      <c r="AJ230" s="29" t="s">
        <v>58</v>
      </c>
      <c r="AK230" s="19" t="s">
        <v>134</v>
      </c>
      <c r="AL230" s="17" t="s">
        <v>960</v>
      </c>
      <c r="AM230" s="15" t="s">
        <v>58</v>
      </c>
      <c r="AN230" s="79" t="s">
        <v>922</v>
      </c>
    </row>
    <row r="231" spans="2:40" hidden="1" x14ac:dyDescent="0.25">
      <c r="B231" s="133">
        <f t="shared" si="42"/>
        <v>172</v>
      </c>
      <c r="C231" s="16">
        <v>20200619</v>
      </c>
      <c r="D231" s="15" t="s">
        <v>3</v>
      </c>
      <c r="E231" s="75" t="s">
        <v>859</v>
      </c>
      <c r="F231" s="100" t="s">
        <v>902</v>
      </c>
      <c r="G231" s="75">
        <v>1516276</v>
      </c>
      <c r="H231" s="48" t="s">
        <v>58</v>
      </c>
      <c r="I231" s="75" t="s">
        <v>864</v>
      </c>
      <c r="J231" s="48" t="s">
        <v>58</v>
      </c>
      <c r="K231" s="15" t="s">
        <v>1067</v>
      </c>
      <c r="L231" s="75" t="s">
        <v>878</v>
      </c>
      <c r="M231" s="75" t="s">
        <v>883</v>
      </c>
      <c r="N231" s="75" t="s">
        <v>889</v>
      </c>
      <c r="O231" s="17" t="s">
        <v>58</v>
      </c>
      <c r="P231" s="73" t="s">
        <v>895</v>
      </c>
      <c r="Q231" s="18"/>
      <c r="R231" s="48" t="s">
        <v>58</v>
      </c>
      <c r="S231" s="75" t="s">
        <v>6</v>
      </c>
      <c r="T231" s="15"/>
      <c r="U231" s="15"/>
      <c r="V231" s="75">
        <v>433</v>
      </c>
      <c r="W231" s="79">
        <v>442</v>
      </c>
      <c r="X231" s="15">
        <f t="shared" si="48"/>
        <v>442</v>
      </c>
      <c r="Y231" s="15">
        <f>ROUNDDOWN(W231/HLOOKUP(D231,Table!$C$3:$D$4,2,0)*8,2)</f>
        <v>7.85</v>
      </c>
      <c r="Z231" s="15">
        <v>1</v>
      </c>
      <c r="AA231" s="15" t="s">
        <v>70</v>
      </c>
      <c r="AB231" s="19">
        <v>44005</v>
      </c>
      <c r="AC231" s="19">
        <v>44004</v>
      </c>
      <c r="AD231" s="19">
        <v>44006</v>
      </c>
      <c r="AE231" s="19">
        <v>44004</v>
      </c>
      <c r="AF231" s="19">
        <v>44004</v>
      </c>
      <c r="AG231" s="19" t="s">
        <v>164</v>
      </c>
      <c r="AH231" s="29">
        <v>1</v>
      </c>
      <c r="AI231" s="29">
        <v>1</v>
      </c>
      <c r="AJ231" s="29">
        <v>1</v>
      </c>
      <c r="AK231" s="19" t="s">
        <v>144</v>
      </c>
      <c r="AL231" s="17" t="s">
        <v>58</v>
      </c>
      <c r="AM231" s="17" t="s">
        <v>58</v>
      </c>
      <c r="AN231" s="17" t="s">
        <v>904</v>
      </c>
    </row>
    <row r="232" spans="2:40" hidden="1" x14ac:dyDescent="0.25">
      <c r="B232" s="133">
        <f t="shared" si="42"/>
        <v>173</v>
      </c>
      <c r="C232" s="16">
        <v>20200619</v>
      </c>
      <c r="D232" s="15" t="s">
        <v>3</v>
      </c>
      <c r="E232" s="75" t="s">
        <v>859</v>
      </c>
      <c r="F232" s="100" t="s">
        <v>903</v>
      </c>
      <c r="G232" s="75">
        <v>1516276</v>
      </c>
      <c r="H232" s="48" t="s">
        <v>58</v>
      </c>
      <c r="I232" s="75" t="s">
        <v>552</v>
      </c>
      <c r="J232" s="48" t="s">
        <v>58</v>
      </c>
      <c r="K232" s="15" t="s">
        <v>1067</v>
      </c>
      <c r="L232" s="75" t="s">
        <v>878</v>
      </c>
      <c r="M232" s="75" t="s">
        <v>883</v>
      </c>
      <c r="N232" s="75" t="s">
        <v>889</v>
      </c>
      <c r="O232" s="17" t="s">
        <v>58</v>
      </c>
      <c r="P232" s="73" t="s">
        <v>895</v>
      </c>
      <c r="Q232" s="18"/>
      <c r="R232" s="48" t="s">
        <v>58</v>
      </c>
      <c r="S232" s="75" t="s">
        <v>6</v>
      </c>
      <c r="T232" s="15"/>
      <c r="U232" s="15"/>
      <c r="V232" s="75">
        <v>666</v>
      </c>
      <c r="W232" s="79">
        <v>678</v>
      </c>
      <c r="X232" s="15">
        <f t="shared" si="48"/>
        <v>678</v>
      </c>
      <c r="Y232" s="15">
        <f>ROUNDDOWN(W232/HLOOKUP(D232,Table!$C$3:$D$4,2,0)*8,2)</f>
        <v>12.05</v>
      </c>
      <c r="Z232" s="15">
        <v>8</v>
      </c>
      <c r="AA232" s="15" t="s">
        <v>70</v>
      </c>
      <c r="AB232" s="19">
        <v>44005</v>
      </c>
      <c r="AC232" s="19">
        <v>44004</v>
      </c>
      <c r="AD232" s="19">
        <v>44006</v>
      </c>
      <c r="AE232" s="19">
        <v>44004</v>
      </c>
      <c r="AF232" s="19">
        <v>44004</v>
      </c>
      <c r="AG232" s="19" t="s">
        <v>164</v>
      </c>
      <c r="AH232" s="29">
        <v>1</v>
      </c>
      <c r="AI232" s="29">
        <v>1</v>
      </c>
      <c r="AJ232" s="29">
        <v>1</v>
      </c>
      <c r="AK232" s="19" t="s">
        <v>144</v>
      </c>
      <c r="AL232" s="17" t="s">
        <v>58</v>
      </c>
      <c r="AM232" s="17" t="s">
        <v>58</v>
      </c>
      <c r="AN232" s="17" t="s">
        <v>905</v>
      </c>
    </row>
    <row r="233" spans="2:40" hidden="1" x14ac:dyDescent="0.25">
      <c r="B233" s="133">
        <f t="shared" si="42"/>
        <v>174</v>
      </c>
      <c r="C233" s="16">
        <v>20200619</v>
      </c>
      <c r="D233" s="15" t="s">
        <v>2</v>
      </c>
      <c r="E233" s="75" t="s">
        <v>860</v>
      </c>
      <c r="F233" s="73" t="s">
        <v>58</v>
      </c>
      <c r="G233" s="75">
        <v>1527593</v>
      </c>
      <c r="H233" s="48" t="s">
        <v>58</v>
      </c>
      <c r="I233" s="75" t="s">
        <v>865</v>
      </c>
      <c r="J233" s="48" t="s">
        <v>58</v>
      </c>
      <c r="K233" s="15" t="s">
        <v>1068</v>
      </c>
      <c r="L233" s="75" t="s">
        <v>144</v>
      </c>
      <c r="M233" s="75" t="s">
        <v>882</v>
      </c>
      <c r="N233" s="75" t="s">
        <v>888</v>
      </c>
      <c r="O233" s="73" t="s">
        <v>890</v>
      </c>
      <c r="P233" s="73" t="s">
        <v>894</v>
      </c>
      <c r="Q233" s="18"/>
      <c r="R233" s="48" t="s">
        <v>58</v>
      </c>
      <c r="S233" s="75" t="s">
        <v>65</v>
      </c>
      <c r="T233" s="15"/>
      <c r="U233" s="15"/>
      <c r="V233" s="75">
        <v>60</v>
      </c>
      <c r="W233" s="15">
        <f t="shared" ref="W233:W246" si="49">V233</f>
        <v>60</v>
      </c>
      <c r="X233" s="15">
        <f t="shared" si="48"/>
        <v>60</v>
      </c>
      <c r="Y233" s="15">
        <f>ROUNDDOWN(W233/HLOOKUP(D233,Table!$C$3:$D$4,2,0)*8,2)</f>
        <v>3.69</v>
      </c>
      <c r="Z233" s="15">
        <v>3</v>
      </c>
      <c r="AA233" s="15" t="s">
        <v>70</v>
      </c>
      <c r="AB233" s="19">
        <v>44005</v>
      </c>
      <c r="AC233" s="19">
        <v>44004</v>
      </c>
      <c r="AD233" s="19">
        <v>44006</v>
      </c>
      <c r="AE233" s="19">
        <v>44005</v>
      </c>
      <c r="AF233" s="19">
        <v>44005</v>
      </c>
      <c r="AG233" s="19" t="s">
        <v>164</v>
      </c>
      <c r="AH233" s="29">
        <v>1</v>
      </c>
      <c r="AI233" s="29">
        <v>1</v>
      </c>
      <c r="AJ233" s="29">
        <v>1</v>
      </c>
      <c r="AK233" s="19" t="s">
        <v>144</v>
      </c>
      <c r="AL233" s="17" t="s">
        <v>58</v>
      </c>
      <c r="AM233" s="17" t="s">
        <v>58</v>
      </c>
      <c r="AN233" s="17" t="s">
        <v>58</v>
      </c>
    </row>
    <row r="234" spans="2:40" hidden="1" x14ac:dyDescent="0.25">
      <c r="B234" s="133">
        <f t="shared" si="42"/>
        <v>175</v>
      </c>
      <c r="C234" s="16">
        <v>20200619</v>
      </c>
      <c r="D234" s="15" t="s">
        <v>3</v>
      </c>
      <c r="E234" s="75" t="s">
        <v>861</v>
      </c>
      <c r="F234" s="100" t="s">
        <v>935</v>
      </c>
      <c r="G234" s="75">
        <v>1530427</v>
      </c>
      <c r="H234" s="48" t="s">
        <v>58</v>
      </c>
      <c r="I234" s="75" t="s">
        <v>866</v>
      </c>
      <c r="J234" s="48" t="s">
        <v>58</v>
      </c>
      <c r="K234" s="15" t="s">
        <v>1067</v>
      </c>
      <c r="L234" s="75" t="s">
        <v>879</v>
      </c>
      <c r="M234" s="15" t="s">
        <v>144</v>
      </c>
      <c r="N234" s="15" t="s">
        <v>887</v>
      </c>
      <c r="O234" s="17" t="s">
        <v>58</v>
      </c>
      <c r="P234" s="17" t="s">
        <v>893</v>
      </c>
      <c r="Q234" s="18"/>
      <c r="R234" s="48" t="s">
        <v>58</v>
      </c>
      <c r="S234" s="75" t="s">
        <v>64</v>
      </c>
      <c r="T234" s="15"/>
      <c r="U234" s="15"/>
      <c r="V234" s="75">
        <v>265</v>
      </c>
      <c r="W234" s="15">
        <f t="shared" si="49"/>
        <v>265</v>
      </c>
      <c r="X234" s="15">
        <f t="shared" si="48"/>
        <v>265</v>
      </c>
      <c r="Y234" s="15">
        <f>ROUNDDOWN(W234/HLOOKUP(D234,Table!$C$3:$D$4,2,0)*8,2)</f>
        <v>4.71</v>
      </c>
      <c r="Z234" s="15">
        <v>4</v>
      </c>
      <c r="AA234" s="15" t="s">
        <v>70</v>
      </c>
      <c r="AB234" s="19">
        <v>44008</v>
      </c>
      <c r="AC234" s="19">
        <v>44004</v>
      </c>
      <c r="AD234" s="19">
        <v>44008</v>
      </c>
      <c r="AE234" s="19">
        <v>44004</v>
      </c>
      <c r="AF234" s="19">
        <v>44004</v>
      </c>
      <c r="AG234" s="19" t="s">
        <v>164</v>
      </c>
      <c r="AH234" s="29">
        <v>1</v>
      </c>
      <c r="AI234" s="29">
        <v>1</v>
      </c>
      <c r="AJ234" s="29">
        <v>1</v>
      </c>
      <c r="AK234" s="19" t="s">
        <v>144</v>
      </c>
      <c r="AL234" s="17" t="s">
        <v>58</v>
      </c>
      <c r="AM234" s="17" t="s">
        <v>58</v>
      </c>
      <c r="AN234" s="17" t="s">
        <v>58</v>
      </c>
    </row>
    <row r="235" spans="2:40" hidden="1" x14ac:dyDescent="0.25">
      <c r="B235" s="133">
        <f t="shared" si="42"/>
        <v>176</v>
      </c>
      <c r="C235" s="16">
        <v>20200619</v>
      </c>
      <c r="D235" s="15" t="s">
        <v>3</v>
      </c>
      <c r="E235" s="75" t="s">
        <v>861</v>
      </c>
      <c r="F235" s="100" t="s">
        <v>936</v>
      </c>
      <c r="G235" s="75">
        <v>1530427</v>
      </c>
      <c r="H235" s="48" t="s">
        <v>58</v>
      </c>
      <c r="I235" s="75" t="s">
        <v>182</v>
      </c>
      <c r="J235" s="48" t="s">
        <v>58</v>
      </c>
      <c r="K235" s="15" t="s">
        <v>1067</v>
      </c>
      <c r="L235" s="15" t="s">
        <v>879</v>
      </c>
      <c r="M235" s="15" t="s">
        <v>144</v>
      </c>
      <c r="N235" s="15" t="s">
        <v>887</v>
      </c>
      <c r="O235" s="17" t="s">
        <v>58</v>
      </c>
      <c r="P235" s="17" t="s">
        <v>893</v>
      </c>
      <c r="Q235" s="18"/>
      <c r="R235" s="48" t="s">
        <v>58</v>
      </c>
      <c r="S235" s="75" t="s">
        <v>66</v>
      </c>
      <c r="T235" s="15"/>
      <c r="U235" s="15"/>
      <c r="V235" s="75">
        <v>115</v>
      </c>
      <c r="W235" s="79">
        <v>282</v>
      </c>
      <c r="X235" s="15">
        <f t="shared" si="48"/>
        <v>282</v>
      </c>
      <c r="Y235" s="15">
        <f>ROUNDDOWN(W235/HLOOKUP(D235,Table!$C$3:$D$4,2,0)*8,2)</f>
        <v>5.01</v>
      </c>
      <c r="Z235" s="15">
        <v>2</v>
      </c>
      <c r="AA235" s="15" t="s">
        <v>70</v>
      </c>
      <c r="AB235" s="19">
        <v>44008</v>
      </c>
      <c r="AC235" s="19">
        <v>44004</v>
      </c>
      <c r="AD235" s="19">
        <v>44008</v>
      </c>
      <c r="AE235" s="19">
        <v>44006</v>
      </c>
      <c r="AF235" s="19">
        <v>44006</v>
      </c>
      <c r="AG235" s="19" t="s">
        <v>164</v>
      </c>
      <c r="AH235" s="29">
        <v>1</v>
      </c>
      <c r="AI235" s="29">
        <v>1</v>
      </c>
      <c r="AJ235" s="29">
        <v>1</v>
      </c>
      <c r="AK235" s="19" t="s">
        <v>144</v>
      </c>
      <c r="AL235" s="17" t="s">
        <v>58</v>
      </c>
      <c r="AM235" s="17" t="s">
        <v>58</v>
      </c>
      <c r="AN235" s="17" t="s">
        <v>58</v>
      </c>
    </row>
    <row r="236" spans="2:40" hidden="1" x14ac:dyDescent="0.25">
      <c r="B236" s="133">
        <f t="shared" si="42"/>
        <v>177</v>
      </c>
      <c r="C236" s="16">
        <v>20200619</v>
      </c>
      <c r="D236" s="15" t="s">
        <v>3</v>
      </c>
      <c r="E236" s="75" t="s">
        <v>861</v>
      </c>
      <c r="F236" s="100" t="s">
        <v>937</v>
      </c>
      <c r="G236" s="75">
        <v>1530427</v>
      </c>
      <c r="H236" s="48" t="s">
        <v>58</v>
      </c>
      <c r="I236" s="75" t="s">
        <v>152</v>
      </c>
      <c r="J236" s="48" t="s">
        <v>58</v>
      </c>
      <c r="K236" s="15" t="s">
        <v>1067</v>
      </c>
      <c r="L236" s="15" t="s">
        <v>879</v>
      </c>
      <c r="M236" s="15" t="s">
        <v>144</v>
      </c>
      <c r="N236" s="15" t="s">
        <v>887</v>
      </c>
      <c r="O236" s="17" t="s">
        <v>58</v>
      </c>
      <c r="P236" s="17" t="s">
        <v>893</v>
      </c>
      <c r="Q236" s="18"/>
      <c r="R236" s="48" t="s">
        <v>58</v>
      </c>
      <c r="S236" s="75" t="s">
        <v>66</v>
      </c>
      <c r="T236" s="15"/>
      <c r="U236" s="15"/>
      <c r="V236" s="75">
        <v>280</v>
      </c>
      <c r="W236" s="15">
        <f t="shared" si="49"/>
        <v>280</v>
      </c>
      <c r="X236" s="15">
        <f t="shared" si="48"/>
        <v>280</v>
      </c>
      <c r="Y236" s="15">
        <f>ROUNDDOWN(W236/HLOOKUP(D236,Table!$C$3:$D$4,2,0)*8,2)</f>
        <v>4.97</v>
      </c>
      <c r="Z236" s="15">
        <v>4</v>
      </c>
      <c r="AA236" s="15" t="s">
        <v>70</v>
      </c>
      <c r="AB236" s="19">
        <v>44008</v>
      </c>
      <c r="AC236" s="19">
        <v>44004</v>
      </c>
      <c r="AD236" s="19">
        <v>44008</v>
      </c>
      <c r="AE236" s="19">
        <v>44006</v>
      </c>
      <c r="AF236" s="19">
        <v>44006</v>
      </c>
      <c r="AG236" s="19" t="s">
        <v>164</v>
      </c>
      <c r="AH236" s="29">
        <v>1</v>
      </c>
      <c r="AI236" s="29">
        <v>1</v>
      </c>
      <c r="AJ236" s="29">
        <v>1</v>
      </c>
      <c r="AK236" s="19" t="s">
        <v>144</v>
      </c>
      <c r="AL236" s="17" t="s">
        <v>58</v>
      </c>
      <c r="AM236" s="17" t="s">
        <v>58</v>
      </c>
      <c r="AN236" s="17" t="s">
        <v>58</v>
      </c>
    </row>
    <row r="237" spans="2:40" hidden="1" x14ac:dyDescent="0.25">
      <c r="B237" s="133">
        <f t="shared" si="42"/>
        <v>178</v>
      </c>
      <c r="C237" s="16">
        <v>20200619</v>
      </c>
      <c r="D237" s="15" t="s">
        <v>3</v>
      </c>
      <c r="E237" s="75" t="s">
        <v>861</v>
      </c>
      <c r="F237" s="100" t="s">
        <v>938</v>
      </c>
      <c r="G237" s="75">
        <v>1530427</v>
      </c>
      <c r="H237" s="48" t="s">
        <v>58</v>
      </c>
      <c r="I237" s="75" t="s">
        <v>867</v>
      </c>
      <c r="J237" s="48" t="s">
        <v>58</v>
      </c>
      <c r="K237" s="15" t="s">
        <v>1067</v>
      </c>
      <c r="L237" s="15" t="s">
        <v>879</v>
      </c>
      <c r="M237" s="15" t="s">
        <v>144</v>
      </c>
      <c r="N237" s="15" t="s">
        <v>887</v>
      </c>
      <c r="O237" s="17" t="s">
        <v>58</v>
      </c>
      <c r="P237" s="17" t="s">
        <v>893</v>
      </c>
      <c r="Q237" s="18"/>
      <c r="R237" s="48" t="s">
        <v>58</v>
      </c>
      <c r="S237" s="75" t="s">
        <v>64</v>
      </c>
      <c r="T237" s="15"/>
      <c r="U237" s="15"/>
      <c r="V237" s="75">
        <v>65</v>
      </c>
      <c r="W237" s="15">
        <f t="shared" si="49"/>
        <v>65</v>
      </c>
      <c r="X237" s="15">
        <f t="shared" si="48"/>
        <v>65</v>
      </c>
      <c r="Y237" s="15">
        <f>ROUNDDOWN(W237/HLOOKUP(D237,Table!$C$3:$D$4,2,0)*8,2)</f>
        <v>1.1499999999999999</v>
      </c>
      <c r="Z237" s="15">
        <v>1</v>
      </c>
      <c r="AA237" s="15" t="s">
        <v>70</v>
      </c>
      <c r="AB237" s="19">
        <v>44008</v>
      </c>
      <c r="AC237" s="19">
        <v>44004</v>
      </c>
      <c r="AD237" s="19">
        <v>44008</v>
      </c>
      <c r="AE237" s="19">
        <v>44004</v>
      </c>
      <c r="AF237" s="19">
        <v>44004</v>
      </c>
      <c r="AG237" s="19" t="s">
        <v>164</v>
      </c>
      <c r="AH237" s="29">
        <v>1</v>
      </c>
      <c r="AI237" s="29">
        <v>1</v>
      </c>
      <c r="AJ237" s="29">
        <v>1</v>
      </c>
      <c r="AK237" s="19" t="s">
        <v>144</v>
      </c>
      <c r="AL237" s="17" t="s">
        <v>58</v>
      </c>
      <c r="AM237" s="17" t="s">
        <v>58</v>
      </c>
      <c r="AN237" s="17" t="s">
        <v>58</v>
      </c>
    </row>
    <row r="238" spans="2:40" hidden="1" x14ac:dyDescent="0.25">
      <c r="B238" s="133">
        <f t="shared" si="42"/>
        <v>179</v>
      </c>
      <c r="C238" s="16">
        <v>20200619</v>
      </c>
      <c r="D238" s="15" t="s">
        <v>3</v>
      </c>
      <c r="E238" s="75" t="s">
        <v>861</v>
      </c>
      <c r="F238" s="100" t="s">
        <v>939</v>
      </c>
      <c r="G238" s="75">
        <v>1530427</v>
      </c>
      <c r="H238" s="48" t="s">
        <v>58</v>
      </c>
      <c r="I238" s="75" t="s">
        <v>868</v>
      </c>
      <c r="J238" s="48" t="s">
        <v>58</v>
      </c>
      <c r="K238" s="15" t="s">
        <v>1067</v>
      </c>
      <c r="L238" s="15" t="s">
        <v>879</v>
      </c>
      <c r="M238" s="15" t="s">
        <v>144</v>
      </c>
      <c r="N238" s="15" t="s">
        <v>887</v>
      </c>
      <c r="O238" s="17" t="s">
        <v>58</v>
      </c>
      <c r="P238" s="17" t="s">
        <v>893</v>
      </c>
      <c r="Q238" s="18"/>
      <c r="R238" s="48" t="s">
        <v>58</v>
      </c>
      <c r="S238" s="75" t="s">
        <v>66</v>
      </c>
      <c r="T238" s="15"/>
      <c r="U238" s="15"/>
      <c r="V238" s="75">
        <v>33</v>
      </c>
      <c r="W238" s="79">
        <v>265</v>
      </c>
      <c r="X238" s="15">
        <f t="shared" si="48"/>
        <v>265</v>
      </c>
      <c r="Y238" s="15">
        <f>ROUNDDOWN(W238/HLOOKUP(D238,Table!$C$3:$D$4,2,0)*8,2)</f>
        <v>4.71</v>
      </c>
      <c r="Z238" s="15">
        <v>1</v>
      </c>
      <c r="AA238" s="15" t="s">
        <v>70</v>
      </c>
      <c r="AB238" s="19">
        <v>44008</v>
      </c>
      <c r="AC238" s="19">
        <v>44004</v>
      </c>
      <c r="AD238" s="19">
        <v>44008</v>
      </c>
      <c r="AE238" s="19">
        <v>44006</v>
      </c>
      <c r="AF238" s="19">
        <v>44006</v>
      </c>
      <c r="AG238" s="19" t="s">
        <v>164</v>
      </c>
      <c r="AH238" s="29">
        <v>1</v>
      </c>
      <c r="AI238" s="29">
        <v>1</v>
      </c>
      <c r="AJ238" s="29">
        <v>1</v>
      </c>
      <c r="AK238" s="19" t="s">
        <v>144</v>
      </c>
      <c r="AL238" s="17" t="s">
        <v>58</v>
      </c>
      <c r="AM238" s="17" t="s">
        <v>58</v>
      </c>
      <c r="AN238" s="17" t="s">
        <v>58</v>
      </c>
    </row>
    <row r="239" spans="2:40" hidden="1" x14ac:dyDescent="0.25">
      <c r="B239" s="133">
        <f t="shared" si="42"/>
        <v>180</v>
      </c>
      <c r="C239" s="16">
        <v>20200619</v>
      </c>
      <c r="D239" s="15" t="s">
        <v>3</v>
      </c>
      <c r="E239" s="75" t="s">
        <v>861</v>
      </c>
      <c r="F239" s="100" t="s">
        <v>940</v>
      </c>
      <c r="G239" s="75">
        <v>1530427</v>
      </c>
      <c r="H239" s="48" t="s">
        <v>58</v>
      </c>
      <c r="I239" s="75" t="s">
        <v>869</v>
      </c>
      <c r="J239" s="48" t="s">
        <v>58</v>
      </c>
      <c r="K239" s="15" t="s">
        <v>1067</v>
      </c>
      <c r="L239" s="15" t="s">
        <v>879</v>
      </c>
      <c r="M239" s="15" t="s">
        <v>144</v>
      </c>
      <c r="N239" s="15" t="s">
        <v>887</v>
      </c>
      <c r="O239" s="17" t="s">
        <v>58</v>
      </c>
      <c r="P239" s="17" t="s">
        <v>893</v>
      </c>
      <c r="Q239" s="18"/>
      <c r="R239" s="48" t="s">
        <v>58</v>
      </c>
      <c r="S239" s="75" t="s">
        <v>64</v>
      </c>
      <c r="T239" s="15"/>
      <c r="U239" s="15"/>
      <c r="V239" s="75">
        <v>65</v>
      </c>
      <c r="W239" s="15">
        <f t="shared" si="49"/>
        <v>65</v>
      </c>
      <c r="X239" s="15">
        <f t="shared" si="48"/>
        <v>65</v>
      </c>
      <c r="Y239" s="15">
        <f>ROUNDDOWN(W239/HLOOKUP(D239,Table!$C$3:$D$4,2,0)*8,2)</f>
        <v>1.1499999999999999</v>
      </c>
      <c r="Z239" s="15">
        <v>1</v>
      </c>
      <c r="AA239" s="15" t="s">
        <v>70</v>
      </c>
      <c r="AB239" s="19">
        <v>44008</v>
      </c>
      <c r="AC239" s="19">
        <v>44004</v>
      </c>
      <c r="AD239" s="19">
        <v>44008</v>
      </c>
      <c r="AE239" s="19">
        <v>44004</v>
      </c>
      <c r="AF239" s="19">
        <v>44004</v>
      </c>
      <c r="AG239" s="19" t="s">
        <v>164</v>
      </c>
      <c r="AH239" s="29">
        <v>1</v>
      </c>
      <c r="AI239" s="29">
        <v>1</v>
      </c>
      <c r="AJ239" s="29">
        <v>1</v>
      </c>
      <c r="AK239" s="19" t="s">
        <v>144</v>
      </c>
      <c r="AL239" s="17" t="s">
        <v>58</v>
      </c>
      <c r="AM239" s="17" t="s">
        <v>58</v>
      </c>
      <c r="AN239" s="17" t="s">
        <v>58</v>
      </c>
    </row>
    <row r="240" spans="2:40" hidden="1" x14ac:dyDescent="0.25">
      <c r="B240" s="133">
        <f t="shared" si="42"/>
        <v>181</v>
      </c>
      <c r="C240" s="16">
        <v>20200619</v>
      </c>
      <c r="D240" s="15" t="s">
        <v>3</v>
      </c>
      <c r="E240" s="75" t="s">
        <v>861</v>
      </c>
      <c r="F240" s="100" t="s">
        <v>941</v>
      </c>
      <c r="G240" s="75">
        <v>1530427</v>
      </c>
      <c r="H240" s="48" t="s">
        <v>58</v>
      </c>
      <c r="I240" s="75" t="s">
        <v>215</v>
      </c>
      <c r="J240" s="48" t="s">
        <v>58</v>
      </c>
      <c r="K240" s="15" t="s">
        <v>1067</v>
      </c>
      <c r="L240" s="15" t="s">
        <v>879</v>
      </c>
      <c r="M240" s="15" t="s">
        <v>144</v>
      </c>
      <c r="N240" s="15" t="s">
        <v>887</v>
      </c>
      <c r="O240" s="17" t="s">
        <v>58</v>
      </c>
      <c r="P240" s="17" t="s">
        <v>893</v>
      </c>
      <c r="Q240" s="18"/>
      <c r="R240" s="48" t="s">
        <v>58</v>
      </c>
      <c r="S240" s="75" t="s">
        <v>66</v>
      </c>
      <c r="T240" s="15"/>
      <c r="U240" s="15"/>
      <c r="V240" s="75">
        <v>66</v>
      </c>
      <c r="W240" s="79">
        <v>69</v>
      </c>
      <c r="X240" s="15">
        <f t="shared" si="48"/>
        <v>69</v>
      </c>
      <c r="Y240" s="15">
        <f>ROUNDDOWN(W240/HLOOKUP(D240,Table!$C$3:$D$4,2,0)*8,2)</f>
        <v>1.22</v>
      </c>
      <c r="Z240" s="15">
        <v>1</v>
      </c>
      <c r="AA240" s="15" t="s">
        <v>70</v>
      </c>
      <c r="AB240" s="19">
        <v>44008</v>
      </c>
      <c r="AC240" s="19">
        <v>44004</v>
      </c>
      <c r="AD240" s="19">
        <v>44008</v>
      </c>
      <c r="AE240" s="19">
        <v>44006</v>
      </c>
      <c r="AF240" s="19">
        <v>44006</v>
      </c>
      <c r="AG240" s="19" t="s">
        <v>164</v>
      </c>
      <c r="AH240" s="29">
        <v>1</v>
      </c>
      <c r="AI240" s="29">
        <v>1</v>
      </c>
      <c r="AJ240" s="29">
        <v>1</v>
      </c>
      <c r="AK240" s="19" t="s">
        <v>144</v>
      </c>
      <c r="AL240" s="17" t="s">
        <v>58</v>
      </c>
      <c r="AM240" s="17" t="s">
        <v>58</v>
      </c>
      <c r="AN240" s="17" t="s">
        <v>58</v>
      </c>
    </row>
    <row r="241" spans="2:40" hidden="1" x14ac:dyDescent="0.25">
      <c r="B241" s="133">
        <f t="shared" si="42"/>
        <v>182</v>
      </c>
      <c r="C241" s="16">
        <v>20200619</v>
      </c>
      <c r="D241" s="15" t="s">
        <v>3</v>
      </c>
      <c r="E241" s="75" t="s">
        <v>861</v>
      </c>
      <c r="F241" s="100" t="s">
        <v>1264</v>
      </c>
      <c r="G241" s="75">
        <v>1530427</v>
      </c>
      <c r="H241" s="48" t="s">
        <v>58</v>
      </c>
      <c r="I241" s="75" t="s">
        <v>870</v>
      </c>
      <c r="J241" s="48" t="s">
        <v>58</v>
      </c>
      <c r="K241" s="15" t="s">
        <v>1067</v>
      </c>
      <c r="L241" s="15" t="s">
        <v>879</v>
      </c>
      <c r="M241" s="15" t="s">
        <v>144</v>
      </c>
      <c r="N241" s="15" t="s">
        <v>887</v>
      </c>
      <c r="O241" s="17" t="s">
        <v>58</v>
      </c>
      <c r="P241" s="17" t="s">
        <v>893</v>
      </c>
      <c r="Q241" s="18"/>
      <c r="R241" s="48" t="s">
        <v>58</v>
      </c>
      <c r="S241" s="75" t="s">
        <v>925</v>
      </c>
      <c r="T241" s="15"/>
      <c r="U241" s="15"/>
      <c r="V241" s="75">
        <v>62</v>
      </c>
      <c r="W241" s="15">
        <f t="shared" si="49"/>
        <v>62</v>
      </c>
      <c r="X241" s="15">
        <f t="shared" ref="X241:X248" si="50">W241</f>
        <v>62</v>
      </c>
      <c r="Y241" s="15">
        <f>ROUNDDOWN(W241/HLOOKUP(D241,Table!$C$3:$D$4,2,0)*8,2)</f>
        <v>1.1000000000000001</v>
      </c>
      <c r="Z241" s="15">
        <v>1</v>
      </c>
      <c r="AA241" s="15" t="s">
        <v>70</v>
      </c>
      <c r="AB241" s="19">
        <v>44008</v>
      </c>
      <c r="AC241" s="19">
        <v>44004</v>
      </c>
      <c r="AD241" s="85">
        <v>44008</v>
      </c>
      <c r="AE241" s="19">
        <v>44008</v>
      </c>
      <c r="AF241" s="19">
        <v>44008</v>
      </c>
      <c r="AG241" s="19" t="s">
        <v>164</v>
      </c>
      <c r="AH241" s="29">
        <v>1</v>
      </c>
      <c r="AI241" s="29">
        <v>1</v>
      </c>
      <c r="AJ241" s="29">
        <v>1</v>
      </c>
      <c r="AK241" s="136" t="s">
        <v>144</v>
      </c>
      <c r="AL241" s="17" t="s">
        <v>58</v>
      </c>
      <c r="AM241" s="17" t="s">
        <v>58</v>
      </c>
      <c r="AN241" s="17" t="s">
        <v>58</v>
      </c>
    </row>
    <row r="242" spans="2:40" hidden="1" x14ac:dyDescent="0.25">
      <c r="B242" s="133">
        <f t="shared" si="42"/>
        <v>183</v>
      </c>
      <c r="C242" s="16">
        <v>20200619</v>
      </c>
      <c r="D242" s="15" t="s">
        <v>3</v>
      </c>
      <c r="E242" s="75" t="s">
        <v>861</v>
      </c>
      <c r="F242" s="104" t="s">
        <v>1060</v>
      </c>
      <c r="G242" s="75">
        <v>1530427</v>
      </c>
      <c r="H242" s="48" t="s">
        <v>58</v>
      </c>
      <c r="I242" s="75" t="s">
        <v>299</v>
      </c>
      <c r="J242" s="48" t="s">
        <v>58</v>
      </c>
      <c r="K242" s="15" t="s">
        <v>1067</v>
      </c>
      <c r="L242" s="15" t="s">
        <v>879</v>
      </c>
      <c r="M242" s="15" t="s">
        <v>144</v>
      </c>
      <c r="N242" s="15" t="s">
        <v>887</v>
      </c>
      <c r="O242" s="17" t="s">
        <v>58</v>
      </c>
      <c r="P242" s="17" t="s">
        <v>893</v>
      </c>
      <c r="Q242" s="18"/>
      <c r="R242" s="48" t="s">
        <v>58</v>
      </c>
      <c r="S242" s="75" t="s">
        <v>64</v>
      </c>
      <c r="T242" s="15"/>
      <c r="U242" s="15"/>
      <c r="V242" s="75">
        <v>120</v>
      </c>
      <c r="W242" s="18">
        <v>363</v>
      </c>
      <c r="X242" s="15">
        <f t="shared" si="50"/>
        <v>363</v>
      </c>
      <c r="Y242" s="15">
        <f>ROUNDDOWN(W242/HLOOKUP(D242,Table!$C$3:$D$4,2,0)*8,2)</f>
        <v>6.45</v>
      </c>
      <c r="Z242" s="15">
        <v>7</v>
      </c>
      <c r="AA242" s="15" t="s">
        <v>70</v>
      </c>
      <c r="AB242" s="19">
        <v>44008</v>
      </c>
      <c r="AC242" s="19">
        <v>44004</v>
      </c>
      <c r="AD242" s="85">
        <v>44008</v>
      </c>
      <c r="AE242" s="19">
        <v>44008</v>
      </c>
      <c r="AF242" s="19">
        <v>44008</v>
      </c>
      <c r="AG242" s="19" t="s">
        <v>164</v>
      </c>
      <c r="AH242" s="29">
        <v>1</v>
      </c>
      <c r="AI242" s="29">
        <v>1</v>
      </c>
      <c r="AJ242" s="29">
        <v>1</v>
      </c>
      <c r="AK242" s="19" t="s">
        <v>144</v>
      </c>
      <c r="AL242" s="17" t="s">
        <v>58</v>
      </c>
      <c r="AM242" s="17" t="s">
        <v>58</v>
      </c>
      <c r="AN242" s="138" t="s">
        <v>906</v>
      </c>
    </row>
    <row r="243" spans="2:40" hidden="1" x14ac:dyDescent="0.25">
      <c r="B243" s="133">
        <f t="shared" si="42"/>
        <v>184</v>
      </c>
      <c r="C243" s="16">
        <v>20200619</v>
      </c>
      <c r="D243" s="15" t="s">
        <v>3</v>
      </c>
      <c r="E243" s="75" t="s">
        <v>861</v>
      </c>
      <c r="F243" s="104" t="s">
        <v>1059</v>
      </c>
      <c r="G243" s="75">
        <v>1530427</v>
      </c>
      <c r="H243" s="48" t="s">
        <v>58</v>
      </c>
      <c r="I243" s="75" t="s">
        <v>1074</v>
      </c>
      <c r="J243" s="48" t="s">
        <v>58</v>
      </c>
      <c r="K243" s="15" t="s">
        <v>1067</v>
      </c>
      <c r="L243" s="75" t="s">
        <v>879</v>
      </c>
      <c r="M243" s="15" t="s">
        <v>144</v>
      </c>
      <c r="N243" s="75" t="s">
        <v>887</v>
      </c>
      <c r="O243" s="17" t="s">
        <v>58</v>
      </c>
      <c r="P243" s="73" t="s">
        <v>893</v>
      </c>
      <c r="Q243" s="18"/>
      <c r="R243" s="48" t="s">
        <v>58</v>
      </c>
      <c r="S243" s="75" t="s">
        <v>925</v>
      </c>
      <c r="T243" s="15"/>
      <c r="U243" s="15"/>
      <c r="V243" s="75">
        <v>133</v>
      </c>
      <c r="W243" s="15">
        <f t="shared" si="49"/>
        <v>133</v>
      </c>
      <c r="X243" s="15">
        <f t="shared" si="50"/>
        <v>133</v>
      </c>
      <c r="Y243" s="15">
        <f>ROUNDDOWN(W243/HLOOKUP(D243,Table!$C$3:$D$4,2,0)*8,2)</f>
        <v>2.36</v>
      </c>
      <c r="Z243" s="15">
        <v>2</v>
      </c>
      <c r="AA243" s="15" t="s">
        <v>70</v>
      </c>
      <c r="AB243" s="19">
        <v>44008</v>
      </c>
      <c r="AC243" s="19">
        <v>44004</v>
      </c>
      <c r="AD243" s="85">
        <v>44008</v>
      </c>
      <c r="AE243" s="19">
        <v>44008</v>
      </c>
      <c r="AF243" s="19">
        <v>44008</v>
      </c>
      <c r="AG243" s="19" t="s">
        <v>164</v>
      </c>
      <c r="AH243" s="29">
        <v>1</v>
      </c>
      <c r="AI243" s="29">
        <v>1</v>
      </c>
      <c r="AJ243" s="29">
        <v>1</v>
      </c>
      <c r="AK243" s="136" t="s">
        <v>144</v>
      </c>
      <c r="AL243" s="17" t="s">
        <v>58</v>
      </c>
      <c r="AM243" s="17" t="s">
        <v>58</v>
      </c>
      <c r="AN243" s="17" t="s">
        <v>58</v>
      </c>
    </row>
    <row r="244" spans="2:40" hidden="1" x14ac:dyDescent="0.25">
      <c r="B244" s="133">
        <f t="shared" si="42"/>
        <v>185</v>
      </c>
      <c r="C244" s="16">
        <v>20200619</v>
      </c>
      <c r="D244" s="15" t="s">
        <v>3</v>
      </c>
      <c r="E244" s="75" t="s">
        <v>862</v>
      </c>
      <c r="F244" s="100" t="s">
        <v>942</v>
      </c>
      <c r="G244" s="75">
        <v>1530602</v>
      </c>
      <c r="H244" s="48" t="s">
        <v>58</v>
      </c>
      <c r="I244" s="75" t="s">
        <v>871</v>
      </c>
      <c r="J244" s="48" t="s">
        <v>58</v>
      </c>
      <c r="K244" s="15" t="s">
        <v>1067</v>
      </c>
      <c r="L244" s="75" t="s">
        <v>880</v>
      </c>
      <c r="M244" s="75" t="s">
        <v>884</v>
      </c>
      <c r="N244" s="75" t="s">
        <v>886</v>
      </c>
      <c r="O244" s="17" t="s">
        <v>58</v>
      </c>
      <c r="P244" s="73" t="s">
        <v>892</v>
      </c>
      <c r="Q244" s="18"/>
      <c r="R244" s="48" t="s">
        <v>58</v>
      </c>
      <c r="S244" s="75" t="s">
        <v>137</v>
      </c>
      <c r="T244" s="15"/>
      <c r="U244" s="15"/>
      <c r="V244" s="75">
        <v>160</v>
      </c>
      <c r="W244" s="15">
        <f t="shared" si="49"/>
        <v>160</v>
      </c>
      <c r="X244" s="15">
        <f t="shared" si="50"/>
        <v>160</v>
      </c>
      <c r="Y244" s="15">
        <f>ROUNDDOWN(W244/HLOOKUP(D244,Table!$C$3:$D$4,2,0)*8,2)</f>
        <v>2.84</v>
      </c>
      <c r="Z244" s="15">
        <v>2.5</v>
      </c>
      <c r="AA244" s="15" t="s">
        <v>70</v>
      </c>
      <c r="AB244" s="19">
        <v>44005</v>
      </c>
      <c r="AC244" s="19">
        <v>44004</v>
      </c>
      <c r="AD244" s="19">
        <v>44006</v>
      </c>
      <c r="AE244" s="19">
        <v>44004</v>
      </c>
      <c r="AF244" s="19">
        <v>44004</v>
      </c>
      <c r="AG244" s="19" t="s">
        <v>164</v>
      </c>
      <c r="AH244" s="29">
        <v>1</v>
      </c>
      <c r="AI244" s="29">
        <v>1</v>
      </c>
      <c r="AJ244" s="29">
        <v>1</v>
      </c>
      <c r="AK244" s="19" t="s">
        <v>144</v>
      </c>
      <c r="AL244" s="17" t="s">
        <v>58</v>
      </c>
      <c r="AM244" s="17" t="s">
        <v>58</v>
      </c>
      <c r="AN244" s="17" t="s">
        <v>58</v>
      </c>
    </row>
    <row r="245" spans="2:40" hidden="1" x14ac:dyDescent="0.25">
      <c r="B245" s="133">
        <f t="shared" si="42"/>
        <v>186</v>
      </c>
      <c r="C245" s="16">
        <v>20200619</v>
      </c>
      <c r="D245" s="15" t="s">
        <v>3</v>
      </c>
      <c r="E245" s="75" t="s">
        <v>863</v>
      </c>
      <c r="F245" s="100" t="s">
        <v>943</v>
      </c>
      <c r="G245" s="75">
        <v>1530222</v>
      </c>
      <c r="H245" s="48" t="s">
        <v>58</v>
      </c>
      <c r="I245" s="75" t="s">
        <v>872</v>
      </c>
      <c r="J245" s="48" t="s">
        <v>58</v>
      </c>
      <c r="K245" s="15" t="s">
        <v>1067</v>
      </c>
      <c r="L245" s="75" t="s">
        <v>881</v>
      </c>
      <c r="M245" s="15" t="s">
        <v>144</v>
      </c>
      <c r="N245" s="75" t="s">
        <v>885</v>
      </c>
      <c r="O245" s="17" t="s">
        <v>58</v>
      </c>
      <c r="P245" s="73" t="s">
        <v>892</v>
      </c>
      <c r="Q245" s="18"/>
      <c r="R245" s="48" t="s">
        <v>58</v>
      </c>
      <c r="S245" s="75" t="s">
        <v>137</v>
      </c>
      <c r="T245" s="15"/>
      <c r="U245" s="15"/>
      <c r="V245" s="75">
        <v>148</v>
      </c>
      <c r="W245" s="15">
        <f t="shared" si="49"/>
        <v>148</v>
      </c>
      <c r="X245" s="15">
        <f t="shared" si="50"/>
        <v>148</v>
      </c>
      <c r="Y245" s="15">
        <f>ROUNDDOWN(W245/HLOOKUP(D245,Table!$C$3:$D$4,2,0)*8,2)</f>
        <v>2.63</v>
      </c>
      <c r="Z245" s="15">
        <v>2.5</v>
      </c>
      <c r="AA245" s="15" t="s">
        <v>70</v>
      </c>
      <c r="AB245" s="19">
        <v>44008</v>
      </c>
      <c r="AC245" s="19">
        <v>44004</v>
      </c>
      <c r="AD245" s="19">
        <v>44008</v>
      </c>
      <c r="AE245" s="19">
        <v>44004</v>
      </c>
      <c r="AF245" s="19">
        <v>44004</v>
      </c>
      <c r="AG245" s="19" t="s">
        <v>164</v>
      </c>
      <c r="AH245" s="29">
        <v>1</v>
      </c>
      <c r="AI245" s="29">
        <v>1</v>
      </c>
      <c r="AJ245" s="29">
        <v>1</v>
      </c>
      <c r="AK245" s="19" t="s">
        <v>144</v>
      </c>
      <c r="AL245" s="17" t="s">
        <v>58</v>
      </c>
      <c r="AM245" s="17" t="s">
        <v>58</v>
      </c>
      <c r="AN245" s="17" t="s">
        <v>58</v>
      </c>
    </row>
    <row r="246" spans="2:40" hidden="1" x14ac:dyDescent="0.25">
      <c r="B246" s="133">
        <f t="shared" si="42"/>
        <v>187</v>
      </c>
      <c r="C246" s="16">
        <v>20200619</v>
      </c>
      <c r="D246" s="15" t="s">
        <v>3</v>
      </c>
      <c r="E246" s="75" t="s">
        <v>863</v>
      </c>
      <c r="F246" s="100" t="s">
        <v>944</v>
      </c>
      <c r="G246" s="75">
        <v>1530222</v>
      </c>
      <c r="H246" s="48" t="s">
        <v>58</v>
      </c>
      <c r="I246" s="75" t="s">
        <v>873</v>
      </c>
      <c r="J246" s="48" t="s">
        <v>58</v>
      </c>
      <c r="K246" s="15" t="s">
        <v>1067</v>
      </c>
      <c r="L246" s="75" t="s">
        <v>881</v>
      </c>
      <c r="M246" s="15" t="s">
        <v>144</v>
      </c>
      <c r="N246" s="75" t="s">
        <v>885</v>
      </c>
      <c r="O246" s="17" t="s">
        <v>58</v>
      </c>
      <c r="P246" s="73" t="s">
        <v>891</v>
      </c>
      <c r="Q246" s="18"/>
      <c r="R246" s="48" t="s">
        <v>58</v>
      </c>
      <c r="S246" s="75" t="s">
        <v>137</v>
      </c>
      <c r="T246" s="15"/>
      <c r="U246" s="15"/>
      <c r="V246" s="75">
        <v>641</v>
      </c>
      <c r="W246" s="15">
        <f t="shared" si="49"/>
        <v>641</v>
      </c>
      <c r="X246" s="15">
        <f t="shared" si="50"/>
        <v>641</v>
      </c>
      <c r="Y246" s="15">
        <f>ROUNDDOWN(W246/HLOOKUP(D246,Table!$C$3:$D$4,2,0)*8,2)</f>
        <v>11.39</v>
      </c>
      <c r="Z246" s="15">
        <v>5</v>
      </c>
      <c r="AA246" s="15" t="s">
        <v>70</v>
      </c>
      <c r="AB246" s="19">
        <v>44008</v>
      </c>
      <c r="AC246" s="19">
        <v>44004</v>
      </c>
      <c r="AD246" s="19">
        <v>44008</v>
      </c>
      <c r="AE246" s="19">
        <v>44004</v>
      </c>
      <c r="AF246" s="19">
        <v>44005</v>
      </c>
      <c r="AG246" s="19" t="s">
        <v>164</v>
      </c>
      <c r="AH246" s="29">
        <v>1</v>
      </c>
      <c r="AI246" s="29">
        <v>1</v>
      </c>
      <c r="AJ246" s="29">
        <v>1</v>
      </c>
      <c r="AK246" s="19" t="s">
        <v>144</v>
      </c>
      <c r="AL246" s="17" t="s">
        <v>58</v>
      </c>
      <c r="AM246" s="17" t="s">
        <v>58</v>
      </c>
      <c r="AN246" s="17" t="s">
        <v>58</v>
      </c>
    </row>
    <row r="247" spans="2:40" hidden="1" x14ac:dyDescent="0.25">
      <c r="B247" s="146">
        <f t="shared" si="42"/>
        <v>188</v>
      </c>
      <c r="C247" s="16">
        <v>20200624</v>
      </c>
      <c r="D247" s="15" t="s">
        <v>3</v>
      </c>
      <c r="E247" s="75" t="s">
        <v>961</v>
      </c>
      <c r="F247" s="100" t="s">
        <v>1011</v>
      </c>
      <c r="G247" s="75">
        <v>1450783</v>
      </c>
      <c r="H247" s="48" t="s">
        <v>58</v>
      </c>
      <c r="I247" s="75" t="s">
        <v>970</v>
      </c>
      <c r="J247" s="48" t="s">
        <v>58</v>
      </c>
      <c r="K247" s="15" t="s">
        <v>1068</v>
      </c>
      <c r="L247" s="217" t="s">
        <v>995</v>
      </c>
      <c r="M247" s="75" t="s">
        <v>1003</v>
      </c>
      <c r="N247" s="15" t="s">
        <v>979</v>
      </c>
      <c r="O247" s="17" t="s">
        <v>58</v>
      </c>
      <c r="P247" s="17" t="s">
        <v>986</v>
      </c>
      <c r="Q247" s="18"/>
      <c r="R247" s="48" t="s">
        <v>58</v>
      </c>
      <c r="S247" s="15" t="s">
        <v>231</v>
      </c>
      <c r="T247" s="15"/>
      <c r="U247" s="15"/>
      <c r="V247" s="75">
        <v>341</v>
      </c>
      <c r="W247" s="15">
        <f t="shared" ref="W247:W279" si="51">V247</f>
        <v>341</v>
      </c>
      <c r="X247" s="15">
        <f t="shared" si="50"/>
        <v>341</v>
      </c>
      <c r="Y247" s="15">
        <f>ROUNDDOWN(W247/HLOOKUP(D247,Table!$C$3:$D$4,2,0)*8,2)</f>
        <v>6.06</v>
      </c>
      <c r="Z247" s="15">
        <v>6</v>
      </c>
      <c r="AA247" s="15" t="s">
        <v>70</v>
      </c>
      <c r="AB247" s="19">
        <v>44008</v>
      </c>
      <c r="AC247" s="19">
        <v>44007</v>
      </c>
      <c r="AD247" s="85">
        <v>44008</v>
      </c>
      <c r="AE247" s="19">
        <v>44008</v>
      </c>
      <c r="AF247" s="19">
        <v>44008</v>
      </c>
      <c r="AG247" s="19" t="s">
        <v>165</v>
      </c>
      <c r="AH247" s="29">
        <v>1</v>
      </c>
      <c r="AI247" s="29">
        <v>0.98</v>
      </c>
      <c r="AJ247" s="29">
        <v>1</v>
      </c>
      <c r="AK247" s="19" t="s">
        <v>134</v>
      </c>
      <c r="AL247" s="17" t="s">
        <v>1061</v>
      </c>
      <c r="AM247" s="17" t="s">
        <v>58</v>
      </c>
      <c r="AN247" s="17" t="s">
        <v>1062</v>
      </c>
    </row>
    <row r="248" spans="2:40" hidden="1" x14ac:dyDescent="0.25">
      <c r="B248" s="146">
        <f t="shared" si="42"/>
        <v>189</v>
      </c>
      <c r="C248" s="16">
        <v>20200624</v>
      </c>
      <c r="D248" s="15" t="s">
        <v>3</v>
      </c>
      <c r="E248" s="75" t="s">
        <v>961</v>
      </c>
      <c r="F248" s="100" t="s">
        <v>1012</v>
      </c>
      <c r="G248" s="75">
        <v>1450783</v>
      </c>
      <c r="H248" s="48" t="s">
        <v>58</v>
      </c>
      <c r="I248" s="75" t="s">
        <v>971</v>
      </c>
      <c r="J248" s="48" t="s">
        <v>58</v>
      </c>
      <c r="K248" s="15" t="s">
        <v>1068</v>
      </c>
      <c r="L248" s="218" t="s">
        <v>995</v>
      </c>
      <c r="M248" s="75" t="s">
        <v>1003</v>
      </c>
      <c r="N248" s="75" t="s">
        <v>979</v>
      </c>
      <c r="O248" s="17" t="s">
        <v>58</v>
      </c>
      <c r="P248" s="73" t="s">
        <v>986</v>
      </c>
      <c r="Q248" s="18"/>
      <c r="R248" s="48" t="s">
        <v>58</v>
      </c>
      <c r="S248" s="15" t="s">
        <v>232</v>
      </c>
      <c r="T248" s="15"/>
      <c r="U248" s="15"/>
      <c r="V248" s="75">
        <v>254</v>
      </c>
      <c r="W248" s="18">
        <v>299</v>
      </c>
      <c r="X248" s="15">
        <f t="shared" si="50"/>
        <v>299</v>
      </c>
      <c r="Y248" s="15">
        <f>ROUNDDOWN(W248/HLOOKUP(D248,Table!$C$3:$D$4,2,0)*8,2)</f>
        <v>5.31</v>
      </c>
      <c r="Z248" s="15">
        <v>7</v>
      </c>
      <c r="AA248" s="15" t="s">
        <v>70</v>
      </c>
      <c r="AB248" s="19">
        <v>44008</v>
      </c>
      <c r="AC248" s="19">
        <v>44007</v>
      </c>
      <c r="AD248" s="200">
        <v>44008</v>
      </c>
      <c r="AE248" s="19">
        <v>44007</v>
      </c>
      <c r="AF248" s="19">
        <v>44008</v>
      </c>
      <c r="AG248" s="19" t="s">
        <v>165</v>
      </c>
      <c r="AH248" s="29">
        <v>1</v>
      </c>
      <c r="AI248" s="29">
        <v>1</v>
      </c>
      <c r="AJ248" s="29">
        <v>0.95</v>
      </c>
      <c r="AK248" s="19" t="s">
        <v>134</v>
      </c>
      <c r="AL248" s="17" t="s">
        <v>1077</v>
      </c>
      <c r="AM248" s="17" t="s">
        <v>58</v>
      </c>
      <c r="AN248" s="17" t="s">
        <v>1079</v>
      </c>
    </row>
    <row r="249" spans="2:40" hidden="1" x14ac:dyDescent="0.25">
      <c r="B249" s="146">
        <f t="shared" si="42"/>
        <v>190</v>
      </c>
      <c r="C249" s="16">
        <v>20200624</v>
      </c>
      <c r="D249" s="15" t="s">
        <v>3</v>
      </c>
      <c r="E249" s="75" t="s">
        <v>961</v>
      </c>
      <c r="F249" s="100" t="s">
        <v>1276</v>
      </c>
      <c r="G249" s="75">
        <v>1450783</v>
      </c>
      <c r="H249" s="48" t="s">
        <v>58</v>
      </c>
      <c r="I249" s="75" t="s">
        <v>1277</v>
      </c>
      <c r="J249" s="48" t="s">
        <v>58</v>
      </c>
      <c r="K249" s="15" t="s">
        <v>1068</v>
      </c>
      <c r="L249" s="218" t="s">
        <v>995</v>
      </c>
      <c r="M249" s="75" t="s">
        <v>1003</v>
      </c>
      <c r="N249" s="75" t="s">
        <v>979</v>
      </c>
      <c r="O249" s="17" t="s">
        <v>58</v>
      </c>
      <c r="P249" s="73" t="s">
        <v>986</v>
      </c>
      <c r="Q249" s="18"/>
      <c r="R249" s="48" t="s">
        <v>58</v>
      </c>
      <c r="S249" s="15" t="s">
        <v>231</v>
      </c>
      <c r="T249" s="15"/>
      <c r="U249" s="15"/>
      <c r="V249" s="75">
        <v>1635</v>
      </c>
      <c r="W249" s="18">
        <v>1635</v>
      </c>
      <c r="X249" s="15">
        <v>1635</v>
      </c>
      <c r="Y249" s="15">
        <v>54</v>
      </c>
      <c r="Z249" s="15">
        <v>54</v>
      </c>
      <c r="AA249" s="15" t="s">
        <v>70</v>
      </c>
      <c r="AB249" s="19">
        <v>44015</v>
      </c>
      <c r="AC249" s="19">
        <v>44011</v>
      </c>
      <c r="AD249" s="200">
        <v>44014</v>
      </c>
      <c r="AE249" s="80">
        <v>44011</v>
      </c>
      <c r="AF249" s="19">
        <v>44015</v>
      </c>
      <c r="AG249" s="19" t="s">
        <v>165</v>
      </c>
      <c r="AH249" s="29">
        <v>1</v>
      </c>
      <c r="AI249" s="29">
        <v>1</v>
      </c>
      <c r="AJ249" s="29">
        <v>0.97</v>
      </c>
      <c r="AK249" s="19" t="s">
        <v>134</v>
      </c>
      <c r="AL249" s="17" t="s">
        <v>1460</v>
      </c>
      <c r="AM249" s="17" t="s">
        <v>58</v>
      </c>
      <c r="AN249" s="17" t="s">
        <v>1484</v>
      </c>
    </row>
    <row r="250" spans="2:40" hidden="1" x14ac:dyDescent="0.25">
      <c r="B250" s="146">
        <f t="shared" si="42"/>
        <v>191</v>
      </c>
      <c r="C250" s="16">
        <v>20200624</v>
      </c>
      <c r="D250" s="15" t="s">
        <v>2</v>
      </c>
      <c r="E250" s="75" t="s">
        <v>962</v>
      </c>
      <c r="F250" s="73" t="s">
        <v>58</v>
      </c>
      <c r="G250" s="75">
        <v>1537213</v>
      </c>
      <c r="H250" s="48" t="s">
        <v>58</v>
      </c>
      <c r="I250" s="95" t="s">
        <v>972</v>
      </c>
      <c r="J250" s="48" t="s">
        <v>58</v>
      </c>
      <c r="K250" s="15" t="s">
        <v>1068</v>
      </c>
      <c r="L250" s="75" t="s">
        <v>144</v>
      </c>
      <c r="M250" s="75" t="s">
        <v>1004</v>
      </c>
      <c r="N250" s="75">
        <v>1537213</v>
      </c>
      <c r="O250" s="17" t="s">
        <v>978</v>
      </c>
      <c r="P250" s="73" t="s">
        <v>987</v>
      </c>
      <c r="Q250" s="18"/>
      <c r="R250" s="48" t="s">
        <v>58</v>
      </c>
      <c r="S250" s="15" t="s">
        <v>232</v>
      </c>
      <c r="T250" s="15"/>
      <c r="U250" s="15"/>
      <c r="V250" s="75">
        <v>76</v>
      </c>
      <c r="W250" s="15">
        <f t="shared" si="51"/>
        <v>76</v>
      </c>
      <c r="X250" s="15">
        <f t="shared" ref="X250:X271" si="52">W250</f>
        <v>76</v>
      </c>
      <c r="Y250" s="15">
        <f>ROUNDDOWN(W250/HLOOKUP(D250,Table!$C$3:$D$4,2,0)*8,2)</f>
        <v>4.67</v>
      </c>
      <c r="Z250" s="15">
        <v>5.5</v>
      </c>
      <c r="AA250" s="15" t="s">
        <v>70</v>
      </c>
      <c r="AB250" s="19">
        <v>44013</v>
      </c>
      <c r="AC250" s="19">
        <v>44007</v>
      </c>
      <c r="AD250" s="200">
        <v>44013</v>
      </c>
      <c r="AE250" s="80">
        <v>44011</v>
      </c>
      <c r="AF250" s="80">
        <v>44012</v>
      </c>
      <c r="AG250" s="19" t="s">
        <v>164</v>
      </c>
      <c r="AH250" s="98">
        <v>1</v>
      </c>
      <c r="AI250" s="98">
        <v>1</v>
      </c>
      <c r="AJ250" s="98">
        <v>1</v>
      </c>
      <c r="AK250" s="80"/>
      <c r="AL250" s="75"/>
      <c r="AM250" s="75"/>
      <c r="AN250" s="75"/>
    </row>
    <row r="251" spans="2:40" hidden="1" x14ac:dyDescent="0.25">
      <c r="B251" s="146">
        <f t="shared" si="42"/>
        <v>192</v>
      </c>
      <c r="C251" s="16">
        <v>20200624</v>
      </c>
      <c r="D251" s="15" t="s">
        <v>3</v>
      </c>
      <c r="E251" s="75" t="s">
        <v>963</v>
      </c>
      <c r="F251" s="100" t="s">
        <v>1013</v>
      </c>
      <c r="G251" s="75">
        <v>1531678</v>
      </c>
      <c r="H251" s="48" t="s">
        <v>58</v>
      </c>
      <c r="I251" s="75" t="s">
        <v>287</v>
      </c>
      <c r="J251" s="48" t="s">
        <v>58</v>
      </c>
      <c r="K251" s="15" t="s">
        <v>1068</v>
      </c>
      <c r="L251" s="218" t="s">
        <v>996</v>
      </c>
      <c r="M251" s="75" t="s">
        <v>1005</v>
      </c>
      <c r="N251" s="75" t="s">
        <v>980</v>
      </c>
      <c r="O251" s="17" t="s">
        <v>58</v>
      </c>
      <c r="P251" s="73" t="s">
        <v>988</v>
      </c>
      <c r="Q251" s="18"/>
      <c r="R251" s="48" t="s">
        <v>58</v>
      </c>
      <c r="S251" s="15" t="s">
        <v>233</v>
      </c>
      <c r="T251" s="15"/>
      <c r="U251" s="15"/>
      <c r="V251" s="75">
        <v>715</v>
      </c>
      <c r="W251" s="188">
        <v>1014</v>
      </c>
      <c r="X251" s="15">
        <f t="shared" si="52"/>
        <v>1014</v>
      </c>
      <c r="Y251" s="15">
        <f>ROUNDDOWN(W251/HLOOKUP(D251,Table!$C$3:$D$4,2,0)*8,2)</f>
        <v>18.02</v>
      </c>
      <c r="Z251" s="15">
        <v>10</v>
      </c>
      <c r="AA251" s="15" t="s">
        <v>70</v>
      </c>
      <c r="AB251" s="19">
        <v>44011</v>
      </c>
      <c r="AC251" s="19">
        <v>44007</v>
      </c>
      <c r="AD251" s="200">
        <v>44011</v>
      </c>
      <c r="AE251" s="19">
        <v>44008</v>
      </c>
      <c r="AF251" s="19">
        <v>44008</v>
      </c>
      <c r="AG251" s="19" t="s">
        <v>164</v>
      </c>
      <c r="AH251" s="29">
        <v>1</v>
      </c>
      <c r="AI251" s="29">
        <v>1</v>
      </c>
      <c r="AJ251" s="29">
        <v>1</v>
      </c>
      <c r="AK251" s="19" t="s">
        <v>144</v>
      </c>
      <c r="AL251" s="17" t="s">
        <v>58</v>
      </c>
      <c r="AM251" s="17" t="s">
        <v>58</v>
      </c>
      <c r="AN251" s="17" t="s">
        <v>1080</v>
      </c>
    </row>
    <row r="252" spans="2:40" hidden="1" x14ac:dyDescent="0.25">
      <c r="B252" s="146">
        <f t="shared" si="42"/>
        <v>193</v>
      </c>
      <c r="C252" s="16">
        <v>20200624</v>
      </c>
      <c r="D252" s="15" t="s">
        <v>3</v>
      </c>
      <c r="E252" s="75" t="s">
        <v>964</v>
      </c>
      <c r="F252" s="100" t="s">
        <v>1014</v>
      </c>
      <c r="G252" s="75">
        <v>1530004</v>
      </c>
      <c r="H252" s="48" t="s">
        <v>58</v>
      </c>
      <c r="I252" s="95" t="s">
        <v>973</v>
      </c>
      <c r="J252" s="48" t="s">
        <v>58</v>
      </c>
      <c r="K252" s="15" t="s">
        <v>1068</v>
      </c>
      <c r="L252" s="218" t="s">
        <v>997</v>
      </c>
      <c r="M252" s="15" t="s">
        <v>144</v>
      </c>
      <c r="N252" s="75" t="s">
        <v>980</v>
      </c>
      <c r="O252" s="17" t="s">
        <v>58</v>
      </c>
      <c r="P252" s="73" t="s">
        <v>989</v>
      </c>
      <c r="Q252" s="18"/>
      <c r="R252" s="48" t="s">
        <v>58</v>
      </c>
      <c r="S252" s="15" t="s">
        <v>232</v>
      </c>
      <c r="T252" s="15"/>
      <c r="U252" s="15"/>
      <c r="V252" s="75">
        <v>315</v>
      </c>
      <c r="W252" s="15">
        <f t="shared" si="51"/>
        <v>315</v>
      </c>
      <c r="X252" s="15">
        <f t="shared" si="52"/>
        <v>315</v>
      </c>
      <c r="Y252" s="15">
        <f>ROUNDDOWN(W252/HLOOKUP(D252,Table!$C$3:$D$4,2,0)*8,2)</f>
        <v>5.6</v>
      </c>
      <c r="Z252" s="15">
        <v>5</v>
      </c>
      <c r="AA252" s="15" t="s">
        <v>70</v>
      </c>
      <c r="AB252" s="19">
        <v>44013</v>
      </c>
      <c r="AC252" s="19">
        <v>44007</v>
      </c>
      <c r="AD252" s="200">
        <v>44013</v>
      </c>
      <c r="AE252" s="19">
        <v>44008</v>
      </c>
      <c r="AF252" s="19">
        <v>44008</v>
      </c>
      <c r="AG252" s="19" t="s">
        <v>165</v>
      </c>
      <c r="AH252" s="29">
        <v>1</v>
      </c>
      <c r="AI252" s="29">
        <v>1</v>
      </c>
      <c r="AJ252" s="29">
        <v>0.89</v>
      </c>
      <c r="AK252" s="19" t="s">
        <v>134</v>
      </c>
      <c r="AL252" s="17" t="s">
        <v>1076</v>
      </c>
      <c r="AM252" s="17" t="s">
        <v>58</v>
      </c>
      <c r="AN252" s="17" t="s">
        <v>1079</v>
      </c>
    </row>
    <row r="253" spans="2:40" hidden="1" x14ac:dyDescent="0.25">
      <c r="B253" s="146">
        <f t="shared" ref="B253:B316" si="53">B252+1</f>
        <v>194</v>
      </c>
      <c r="C253" s="16">
        <v>20200624</v>
      </c>
      <c r="D253" s="15" t="s">
        <v>3</v>
      </c>
      <c r="E253" s="75" t="s">
        <v>964</v>
      </c>
      <c r="F253" s="100" t="s">
        <v>1015</v>
      </c>
      <c r="G253" s="75">
        <v>1530004</v>
      </c>
      <c r="H253" s="48" t="s">
        <v>58</v>
      </c>
      <c r="I253" s="75" t="s">
        <v>152</v>
      </c>
      <c r="J253" s="48" t="s">
        <v>58</v>
      </c>
      <c r="K253" s="15" t="s">
        <v>1068</v>
      </c>
      <c r="L253" s="218" t="s">
        <v>997</v>
      </c>
      <c r="M253" s="15" t="s">
        <v>144</v>
      </c>
      <c r="N253" s="15" t="s">
        <v>980</v>
      </c>
      <c r="O253" s="17" t="s">
        <v>58</v>
      </c>
      <c r="P253" s="73" t="s">
        <v>989</v>
      </c>
      <c r="Q253" s="18"/>
      <c r="R253" s="48" t="s">
        <v>58</v>
      </c>
      <c r="S253" s="15" t="s">
        <v>232</v>
      </c>
      <c r="T253" s="15"/>
      <c r="U253" s="15"/>
      <c r="V253" s="75">
        <v>257</v>
      </c>
      <c r="W253" s="18">
        <v>45</v>
      </c>
      <c r="X253" s="15">
        <f t="shared" si="52"/>
        <v>45</v>
      </c>
      <c r="Y253" s="15">
        <f>ROUNDDOWN(W253/HLOOKUP(D253,Table!$C$3:$D$4,2,0)*8,2)</f>
        <v>0.8</v>
      </c>
      <c r="Z253" s="15">
        <v>1</v>
      </c>
      <c r="AA253" s="15" t="s">
        <v>70</v>
      </c>
      <c r="AB253" s="19">
        <v>44013</v>
      </c>
      <c r="AC253" s="19">
        <v>44007</v>
      </c>
      <c r="AD253" s="200">
        <v>44013</v>
      </c>
      <c r="AE253" s="19">
        <v>44011</v>
      </c>
      <c r="AF253" s="19">
        <v>44011</v>
      </c>
      <c r="AG253" s="19" t="s">
        <v>164</v>
      </c>
      <c r="AH253" s="29">
        <v>1</v>
      </c>
      <c r="AI253" s="29">
        <v>1</v>
      </c>
      <c r="AJ253" s="29">
        <v>1</v>
      </c>
      <c r="AK253" s="19"/>
      <c r="AL253" s="17" t="s">
        <v>58</v>
      </c>
      <c r="AM253" s="17" t="s">
        <v>58</v>
      </c>
      <c r="AN253" s="17" t="s">
        <v>58</v>
      </c>
    </row>
    <row r="254" spans="2:40" hidden="1" x14ac:dyDescent="0.25">
      <c r="B254" s="146">
        <f t="shared" si="53"/>
        <v>195</v>
      </c>
      <c r="C254" s="16">
        <v>20200624</v>
      </c>
      <c r="D254" s="15" t="s">
        <v>3</v>
      </c>
      <c r="E254" s="75" t="s">
        <v>964</v>
      </c>
      <c r="F254" s="100" t="s">
        <v>1016</v>
      </c>
      <c r="G254" s="75">
        <v>1530004</v>
      </c>
      <c r="H254" s="48" t="s">
        <v>58</v>
      </c>
      <c r="I254" s="75" t="s">
        <v>146</v>
      </c>
      <c r="J254" s="48" t="s">
        <v>58</v>
      </c>
      <c r="K254" s="15" t="s">
        <v>1068</v>
      </c>
      <c r="L254" s="218" t="s">
        <v>997</v>
      </c>
      <c r="M254" s="15" t="s">
        <v>144</v>
      </c>
      <c r="N254" s="15" t="s">
        <v>980</v>
      </c>
      <c r="O254" s="17" t="s">
        <v>58</v>
      </c>
      <c r="P254" s="73" t="s">
        <v>989</v>
      </c>
      <c r="Q254" s="18"/>
      <c r="R254" s="48" t="s">
        <v>58</v>
      </c>
      <c r="S254" s="15" t="s">
        <v>231</v>
      </c>
      <c r="T254" s="15"/>
      <c r="U254" s="15"/>
      <c r="V254" s="75">
        <v>997</v>
      </c>
      <c r="W254" s="15">
        <f t="shared" si="51"/>
        <v>997</v>
      </c>
      <c r="X254" s="15">
        <f t="shared" si="52"/>
        <v>997</v>
      </c>
      <c r="Y254" s="15">
        <f>ROUNDDOWN(W254/HLOOKUP(D254,Table!$C$3:$D$4,2,0)*8,2)</f>
        <v>17.72</v>
      </c>
      <c r="Z254" s="15">
        <v>1</v>
      </c>
      <c r="AA254" s="15" t="s">
        <v>70</v>
      </c>
      <c r="AB254" s="19">
        <v>44013</v>
      </c>
      <c r="AC254" s="19">
        <v>44007</v>
      </c>
      <c r="AD254" s="200">
        <v>44013</v>
      </c>
      <c r="AE254" s="19">
        <v>44007</v>
      </c>
      <c r="AF254" s="19">
        <v>44007</v>
      </c>
      <c r="AG254" s="19" t="s">
        <v>164</v>
      </c>
      <c r="AH254" s="29">
        <v>1</v>
      </c>
      <c r="AI254" s="29">
        <v>1</v>
      </c>
      <c r="AJ254" s="29">
        <v>1</v>
      </c>
      <c r="AK254" s="19" t="s">
        <v>144</v>
      </c>
      <c r="AL254" s="17" t="s">
        <v>58</v>
      </c>
      <c r="AM254" s="17" t="s">
        <v>58</v>
      </c>
      <c r="AN254" s="17" t="s">
        <v>1078</v>
      </c>
    </row>
    <row r="255" spans="2:40" hidden="1" x14ac:dyDescent="0.25">
      <c r="B255" s="146">
        <f t="shared" si="53"/>
        <v>196</v>
      </c>
      <c r="C255" s="16">
        <v>20200624</v>
      </c>
      <c r="D255" s="15" t="s">
        <v>3</v>
      </c>
      <c r="E255" s="75" t="s">
        <v>965</v>
      </c>
      <c r="F255" s="100" t="s">
        <v>1017</v>
      </c>
      <c r="G255" s="75">
        <v>1539589</v>
      </c>
      <c r="H255" s="48" t="s">
        <v>58</v>
      </c>
      <c r="I255" s="75" t="s">
        <v>974</v>
      </c>
      <c r="J255" s="48" t="s">
        <v>58</v>
      </c>
      <c r="K255" s="15" t="s">
        <v>1068</v>
      </c>
      <c r="L255" s="218" t="s">
        <v>998</v>
      </c>
      <c r="M255" s="75" t="s">
        <v>1006</v>
      </c>
      <c r="N255" s="75" t="s">
        <v>981</v>
      </c>
      <c r="O255" s="17" t="s">
        <v>58</v>
      </c>
      <c r="P255" s="73" t="s">
        <v>990</v>
      </c>
      <c r="Q255" s="18"/>
      <c r="R255" s="48" t="s">
        <v>58</v>
      </c>
      <c r="S255" s="15" t="s">
        <v>231</v>
      </c>
      <c r="T255" s="15"/>
      <c r="U255" s="15"/>
      <c r="V255" s="75">
        <v>165</v>
      </c>
      <c r="W255" s="15">
        <f t="shared" si="51"/>
        <v>165</v>
      </c>
      <c r="X255" s="15">
        <f t="shared" si="52"/>
        <v>165</v>
      </c>
      <c r="Y255" s="15">
        <f>ROUNDDOWN(W255/HLOOKUP(D255,Table!$C$3:$D$4,2,0)*8,2)</f>
        <v>2.93</v>
      </c>
      <c r="Z255" s="15">
        <v>2.2999999999999998</v>
      </c>
      <c r="AA255" s="15" t="s">
        <v>70</v>
      </c>
      <c r="AB255" s="19">
        <v>44008</v>
      </c>
      <c r="AC255" s="19">
        <v>44007</v>
      </c>
      <c r="AD255" s="200">
        <v>44010</v>
      </c>
      <c r="AE255" s="19">
        <v>44008</v>
      </c>
      <c r="AF255" s="19">
        <v>44008</v>
      </c>
      <c r="AG255" s="19" t="s">
        <v>164</v>
      </c>
      <c r="AH255" s="29">
        <v>1</v>
      </c>
      <c r="AI255" s="29">
        <v>1</v>
      </c>
      <c r="AJ255" s="29">
        <v>1</v>
      </c>
      <c r="AK255" s="19" t="s">
        <v>144</v>
      </c>
      <c r="AL255" s="17" t="s">
        <v>58</v>
      </c>
      <c r="AM255" s="17" t="s">
        <v>58</v>
      </c>
      <c r="AN255" s="17" t="s">
        <v>1078</v>
      </c>
    </row>
    <row r="256" spans="2:40" hidden="1" x14ac:dyDescent="0.25">
      <c r="B256" s="146">
        <f t="shared" si="53"/>
        <v>197</v>
      </c>
      <c r="C256" s="16">
        <v>20200624</v>
      </c>
      <c r="D256" s="15" t="s">
        <v>3</v>
      </c>
      <c r="E256" s="75" t="s">
        <v>966</v>
      </c>
      <c r="F256" s="52" t="s">
        <v>1072</v>
      </c>
      <c r="G256" s="75">
        <v>1539359</v>
      </c>
      <c r="H256" s="48" t="s">
        <v>58</v>
      </c>
      <c r="I256" s="75" t="s">
        <v>975</v>
      </c>
      <c r="J256" s="48" t="s">
        <v>58</v>
      </c>
      <c r="K256" s="15" t="s">
        <v>1067</v>
      </c>
      <c r="L256" s="218" t="s">
        <v>999</v>
      </c>
      <c r="M256" s="75" t="s">
        <v>1007</v>
      </c>
      <c r="N256" s="75" t="s">
        <v>982</v>
      </c>
      <c r="O256" s="17" t="s">
        <v>58</v>
      </c>
      <c r="P256" s="73" t="s">
        <v>991</v>
      </c>
      <c r="Q256" s="18"/>
      <c r="R256" s="48" t="s">
        <v>58</v>
      </c>
      <c r="S256" s="15" t="s">
        <v>64</v>
      </c>
      <c r="T256" s="15"/>
      <c r="U256" s="15"/>
      <c r="V256" s="75">
        <v>145</v>
      </c>
      <c r="W256" s="18">
        <f>206/2</f>
        <v>103</v>
      </c>
      <c r="X256" s="15">
        <f t="shared" si="52"/>
        <v>103</v>
      </c>
      <c r="Y256" s="15">
        <f>ROUNDDOWN(W256/HLOOKUP(D256,Table!$C$3:$D$4,2,0)*8,2)</f>
        <v>1.83</v>
      </c>
      <c r="Z256" s="15">
        <v>4</v>
      </c>
      <c r="AA256" s="15" t="s">
        <v>70</v>
      </c>
      <c r="AB256" s="19">
        <v>44008</v>
      </c>
      <c r="AC256" s="19">
        <v>44007</v>
      </c>
      <c r="AD256" s="200">
        <v>44010</v>
      </c>
      <c r="AE256" s="19">
        <v>44008</v>
      </c>
      <c r="AF256" s="19">
        <v>44008</v>
      </c>
      <c r="AG256" s="19" t="s">
        <v>164</v>
      </c>
      <c r="AH256" s="29">
        <v>1</v>
      </c>
      <c r="AI256" s="29">
        <v>1</v>
      </c>
      <c r="AJ256" s="29">
        <v>1</v>
      </c>
      <c r="AK256" s="19" t="s">
        <v>144</v>
      </c>
      <c r="AL256" s="17" t="s">
        <v>58</v>
      </c>
      <c r="AM256" s="17" t="s">
        <v>58</v>
      </c>
      <c r="AN256" s="17" t="s">
        <v>58</v>
      </c>
    </row>
    <row r="257" spans="2:40" hidden="1" x14ac:dyDescent="0.25">
      <c r="B257" s="146">
        <f t="shared" si="53"/>
        <v>198</v>
      </c>
      <c r="C257" s="16">
        <v>20200624</v>
      </c>
      <c r="D257" s="15" t="s">
        <v>3</v>
      </c>
      <c r="E257" s="75" t="s">
        <v>967</v>
      </c>
      <c r="F257" s="100" t="s">
        <v>1018</v>
      </c>
      <c r="G257" s="75">
        <v>1532110</v>
      </c>
      <c r="H257" s="48" t="s">
        <v>58</v>
      </c>
      <c r="I257" s="75" t="s">
        <v>976</v>
      </c>
      <c r="J257" s="48" t="s">
        <v>58</v>
      </c>
      <c r="K257" s="15" t="s">
        <v>1067</v>
      </c>
      <c r="L257" s="218" t="s">
        <v>1000</v>
      </c>
      <c r="M257" s="75" t="s">
        <v>1008</v>
      </c>
      <c r="N257" s="75" t="s">
        <v>983</v>
      </c>
      <c r="O257" s="17" t="s">
        <v>58</v>
      </c>
      <c r="P257" s="73" t="s">
        <v>992</v>
      </c>
      <c r="Q257" s="18"/>
      <c r="R257" s="48" t="s">
        <v>58</v>
      </c>
      <c r="S257" s="15" t="s">
        <v>64</v>
      </c>
      <c r="T257" s="15"/>
      <c r="U257" s="15"/>
      <c r="V257" s="75">
        <v>145</v>
      </c>
      <c r="W257" s="18">
        <f>ROUND(471/2,0)</f>
        <v>236</v>
      </c>
      <c r="X257" s="15">
        <f t="shared" si="52"/>
        <v>236</v>
      </c>
      <c r="Y257" s="15">
        <f>ROUNDDOWN(W257/HLOOKUP(D257,Table!$C$3:$D$4,2,0)*8,2)</f>
        <v>4.1900000000000004</v>
      </c>
      <c r="Z257" s="15">
        <v>9</v>
      </c>
      <c r="AA257" s="15" t="s">
        <v>70</v>
      </c>
      <c r="AB257" s="19">
        <v>44008</v>
      </c>
      <c r="AC257" s="19">
        <v>44007</v>
      </c>
      <c r="AD257" s="200">
        <v>44010</v>
      </c>
      <c r="AE257" s="19">
        <v>44008</v>
      </c>
      <c r="AF257" s="19">
        <v>44008</v>
      </c>
      <c r="AG257" s="19" t="s">
        <v>165</v>
      </c>
      <c r="AH257" s="29">
        <v>1</v>
      </c>
      <c r="AI257" s="29">
        <v>0.98</v>
      </c>
      <c r="AJ257" s="29">
        <v>0.83</v>
      </c>
      <c r="AK257" s="19" t="s">
        <v>134</v>
      </c>
      <c r="AL257" s="17" t="s">
        <v>1057</v>
      </c>
      <c r="AM257" s="17" t="s">
        <v>58</v>
      </c>
      <c r="AN257" s="17" t="s">
        <v>58</v>
      </c>
    </row>
    <row r="258" spans="2:40" hidden="1" x14ac:dyDescent="0.25">
      <c r="B258" s="146">
        <f t="shared" si="53"/>
        <v>199</v>
      </c>
      <c r="C258" s="16">
        <v>20200624</v>
      </c>
      <c r="D258" s="15" t="s">
        <v>3</v>
      </c>
      <c r="E258" s="75" t="s">
        <v>968</v>
      </c>
      <c r="F258" s="100" t="s">
        <v>1019</v>
      </c>
      <c r="G258" s="75">
        <v>1532596</v>
      </c>
      <c r="H258" s="48" t="s">
        <v>58</v>
      </c>
      <c r="I258" s="75" t="s">
        <v>977</v>
      </c>
      <c r="J258" s="48" t="s">
        <v>58</v>
      </c>
      <c r="K258" s="15" t="s">
        <v>1068</v>
      </c>
      <c r="L258" s="218" t="s">
        <v>1001</v>
      </c>
      <c r="M258" s="75" t="s">
        <v>1009</v>
      </c>
      <c r="N258" s="75" t="s">
        <v>984</v>
      </c>
      <c r="O258" s="17" t="s">
        <v>58</v>
      </c>
      <c r="P258" s="73" t="s">
        <v>993</v>
      </c>
      <c r="Q258" s="18"/>
      <c r="R258" s="48" t="s">
        <v>58</v>
      </c>
      <c r="S258" s="15" t="s">
        <v>65</v>
      </c>
      <c r="T258" s="15"/>
      <c r="U258" s="15"/>
      <c r="V258" s="75">
        <v>886</v>
      </c>
      <c r="W258" s="15">
        <f t="shared" si="51"/>
        <v>886</v>
      </c>
      <c r="X258" s="15">
        <f t="shared" si="52"/>
        <v>886</v>
      </c>
      <c r="Y258" s="15">
        <f>ROUNDDOWN(W258/HLOOKUP(D258,Table!$C$3:$D$4,2,0)*8,2)</f>
        <v>15.75</v>
      </c>
      <c r="Z258" s="15">
        <v>15.75</v>
      </c>
      <c r="AA258" s="15" t="s">
        <v>70</v>
      </c>
      <c r="AB258" s="19">
        <v>44013</v>
      </c>
      <c r="AC258" s="19">
        <v>44007</v>
      </c>
      <c r="AD258" s="200">
        <v>44013</v>
      </c>
      <c r="AE258" s="19">
        <v>44007</v>
      </c>
      <c r="AF258" s="19">
        <v>44008</v>
      </c>
      <c r="AG258" s="19" t="s">
        <v>164</v>
      </c>
      <c r="AH258" s="29">
        <v>1</v>
      </c>
      <c r="AI258" s="29">
        <v>1</v>
      </c>
      <c r="AJ258" s="29">
        <v>1</v>
      </c>
      <c r="AK258" s="19" t="s">
        <v>144</v>
      </c>
      <c r="AL258" s="17" t="s">
        <v>58</v>
      </c>
      <c r="AM258" s="17" t="s">
        <v>58</v>
      </c>
      <c r="AN258" s="17" t="s">
        <v>58</v>
      </c>
    </row>
    <row r="259" spans="2:40" hidden="1" x14ac:dyDescent="0.25">
      <c r="B259" s="146">
        <f t="shared" si="53"/>
        <v>200</v>
      </c>
      <c r="C259" s="16">
        <v>20200624</v>
      </c>
      <c r="D259" s="15" t="s">
        <v>3</v>
      </c>
      <c r="E259" s="75" t="s">
        <v>969</v>
      </c>
      <c r="F259" s="100" t="s">
        <v>1022</v>
      </c>
      <c r="G259" s="75">
        <v>1525602</v>
      </c>
      <c r="H259" s="48" t="s">
        <v>58</v>
      </c>
      <c r="I259" s="147" t="s">
        <v>1021</v>
      </c>
      <c r="J259" s="48" t="s">
        <v>58</v>
      </c>
      <c r="K259" s="15" t="s">
        <v>1067</v>
      </c>
      <c r="L259" s="218" t="s">
        <v>1002</v>
      </c>
      <c r="M259" s="75" t="s">
        <v>1010</v>
      </c>
      <c r="N259" s="75" t="s">
        <v>985</v>
      </c>
      <c r="O259" s="17" t="s">
        <v>58</v>
      </c>
      <c r="P259" s="73" t="s">
        <v>994</v>
      </c>
      <c r="Q259" s="18"/>
      <c r="R259" s="48" t="s">
        <v>58</v>
      </c>
      <c r="S259" s="15" t="s">
        <v>66</v>
      </c>
      <c r="T259" s="15"/>
      <c r="U259" s="15"/>
      <c r="V259" s="75">
        <v>286</v>
      </c>
      <c r="W259" s="15">
        <f t="shared" si="51"/>
        <v>286</v>
      </c>
      <c r="X259" s="15">
        <f t="shared" si="52"/>
        <v>286</v>
      </c>
      <c r="Y259" s="15">
        <f>ROUNDDOWN(W259/HLOOKUP(D259,Table!$C$3:$D$4,2,0)*8,2)</f>
        <v>5.08</v>
      </c>
      <c r="Z259" s="15">
        <v>1</v>
      </c>
      <c r="AA259" s="15" t="s">
        <v>70</v>
      </c>
      <c r="AB259" s="19">
        <v>44013</v>
      </c>
      <c r="AC259" s="19">
        <v>44007</v>
      </c>
      <c r="AD259" s="200">
        <v>44013</v>
      </c>
      <c r="AE259" s="19">
        <v>44007</v>
      </c>
      <c r="AF259" s="19">
        <v>44007</v>
      </c>
      <c r="AG259" s="19" t="s">
        <v>164</v>
      </c>
      <c r="AH259" s="29">
        <v>1</v>
      </c>
      <c r="AI259" s="29">
        <v>1</v>
      </c>
      <c r="AJ259" s="29">
        <v>1</v>
      </c>
      <c r="AK259" s="19" t="s">
        <v>144</v>
      </c>
      <c r="AL259" s="17" t="s">
        <v>58</v>
      </c>
      <c r="AM259" s="17" t="s">
        <v>58</v>
      </c>
      <c r="AN259" s="17" t="s">
        <v>58</v>
      </c>
    </row>
    <row r="260" spans="2:40" x14ac:dyDescent="0.25">
      <c r="B260" s="146">
        <f t="shared" si="53"/>
        <v>201</v>
      </c>
      <c r="C260" s="16">
        <v>20200624</v>
      </c>
      <c r="D260" s="15" t="s">
        <v>3</v>
      </c>
      <c r="E260" s="75" t="s">
        <v>969</v>
      </c>
      <c r="F260" s="100" t="s">
        <v>1020</v>
      </c>
      <c r="G260" s="75">
        <v>1525602</v>
      </c>
      <c r="H260" s="48" t="s">
        <v>58</v>
      </c>
      <c r="I260" s="147" t="s">
        <v>214</v>
      </c>
      <c r="J260" s="48" t="s">
        <v>58</v>
      </c>
      <c r="K260" s="15" t="s">
        <v>1067</v>
      </c>
      <c r="L260" s="219" t="s">
        <v>1002</v>
      </c>
      <c r="M260" s="15" t="s">
        <v>1010</v>
      </c>
      <c r="N260" s="15" t="s">
        <v>985</v>
      </c>
      <c r="O260" s="17" t="s">
        <v>58</v>
      </c>
      <c r="P260" s="17" t="s">
        <v>994</v>
      </c>
      <c r="Q260" s="18"/>
      <c r="R260" s="48" t="s">
        <v>58</v>
      </c>
      <c r="S260" s="15" t="s">
        <v>66</v>
      </c>
      <c r="T260" s="15"/>
      <c r="U260" s="15"/>
      <c r="V260" s="75">
        <v>25</v>
      </c>
      <c r="W260" s="15">
        <f t="shared" si="51"/>
        <v>25</v>
      </c>
      <c r="X260" s="15">
        <f t="shared" si="52"/>
        <v>25</v>
      </c>
      <c r="Y260" s="15">
        <f>ROUNDDOWN(W260/HLOOKUP(D260,Table!$C$3:$D$4,2,0)*8,2)</f>
        <v>0.44</v>
      </c>
      <c r="Z260" s="15">
        <v>0.1</v>
      </c>
      <c r="AA260" s="15" t="s">
        <v>70</v>
      </c>
      <c r="AB260" s="19">
        <v>44013</v>
      </c>
      <c r="AC260" s="19">
        <v>44007</v>
      </c>
      <c r="AD260" s="85">
        <v>44013</v>
      </c>
      <c r="AE260" s="19">
        <v>44007</v>
      </c>
      <c r="AF260" s="19">
        <v>44007</v>
      </c>
      <c r="AG260" s="19" t="s">
        <v>164</v>
      </c>
      <c r="AH260" s="29" t="s">
        <v>58</v>
      </c>
      <c r="AI260" s="29" t="s">
        <v>58</v>
      </c>
      <c r="AJ260" s="29" t="s">
        <v>58</v>
      </c>
      <c r="AK260" s="19" t="s">
        <v>144</v>
      </c>
      <c r="AL260" s="17" t="s">
        <v>945</v>
      </c>
      <c r="AM260" s="17" t="s">
        <v>58</v>
      </c>
      <c r="AN260" s="17" t="s">
        <v>58</v>
      </c>
    </row>
    <row r="261" spans="2:40" hidden="1" x14ac:dyDescent="0.25">
      <c r="B261" s="184">
        <f t="shared" si="53"/>
        <v>202</v>
      </c>
      <c r="C261" s="16">
        <v>20200625</v>
      </c>
      <c r="D261" s="15" t="s">
        <v>3</v>
      </c>
      <c r="E261" s="75" t="s">
        <v>1028</v>
      </c>
      <c r="F261" s="73" t="s">
        <v>1030</v>
      </c>
      <c r="G261" s="75">
        <v>1541595</v>
      </c>
      <c r="H261" s="48" t="s">
        <v>58</v>
      </c>
      <c r="I261" s="75" t="s">
        <v>1039</v>
      </c>
      <c r="J261" s="48" t="s">
        <v>58</v>
      </c>
      <c r="K261" s="15" t="s">
        <v>1070</v>
      </c>
      <c r="L261" s="15" t="s">
        <v>144</v>
      </c>
      <c r="M261" s="15" t="s">
        <v>144</v>
      </c>
      <c r="N261" s="75" t="s">
        <v>1054</v>
      </c>
      <c r="O261" s="17" t="s">
        <v>58</v>
      </c>
      <c r="P261" s="73" t="s">
        <v>1056</v>
      </c>
      <c r="Q261" s="18"/>
      <c r="R261" s="48" t="s">
        <v>58</v>
      </c>
      <c r="S261" s="15" t="s">
        <v>66</v>
      </c>
      <c r="T261" s="15"/>
      <c r="U261" s="15"/>
      <c r="V261" s="75">
        <v>54</v>
      </c>
      <c r="W261" s="15">
        <f t="shared" si="51"/>
        <v>54</v>
      </c>
      <c r="X261" s="15">
        <f t="shared" si="52"/>
        <v>54</v>
      </c>
      <c r="Y261" s="15">
        <f>ROUNDDOWN(W261/HLOOKUP(D261,Table!$C$3:$D$4,2,0)*8,2)</f>
        <v>0.96</v>
      </c>
      <c r="Z261" s="15">
        <v>0.5</v>
      </c>
      <c r="AA261" s="15" t="s">
        <v>70</v>
      </c>
      <c r="AB261" s="19">
        <v>44013</v>
      </c>
      <c r="AC261" s="19">
        <v>44007</v>
      </c>
      <c r="AD261" s="85">
        <v>44013</v>
      </c>
      <c r="AE261" s="19">
        <v>44008</v>
      </c>
      <c r="AF261" s="19">
        <v>44008</v>
      </c>
      <c r="AG261" s="19" t="s">
        <v>164</v>
      </c>
      <c r="AH261" s="29">
        <v>1</v>
      </c>
      <c r="AI261" s="29">
        <v>1</v>
      </c>
      <c r="AJ261" s="29">
        <v>1</v>
      </c>
      <c r="AK261" s="19" t="s">
        <v>144</v>
      </c>
      <c r="AL261" s="17" t="s">
        <v>58</v>
      </c>
      <c r="AM261" s="17" t="s">
        <v>58</v>
      </c>
      <c r="AN261" s="79" t="s">
        <v>363</v>
      </c>
    </row>
    <row r="262" spans="2:40" hidden="1" x14ac:dyDescent="0.25">
      <c r="B262" s="184">
        <f t="shared" si="53"/>
        <v>203</v>
      </c>
      <c r="C262" s="16">
        <v>20200625</v>
      </c>
      <c r="D262" s="15" t="s">
        <v>3</v>
      </c>
      <c r="E262" s="75" t="s">
        <v>1028</v>
      </c>
      <c r="F262" s="73" t="s">
        <v>1031</v>
      </c>
      <c r="G262" s="75">
        <v>1541595</v>
      </c>
      <c r="H262" s="48" t="s">
        <v>58</v>
      </c>
      <c r="I262" s="75" t="s">
        <v>1040</v>
      </c>
      <c r="J262" s="48" t="s">
        <v>58</v>
      </c>
      <c r="K262" s="15" t="s">
        <v>1070</v>
      </c>
      <c r="L262" s="15" t="s">
        <v>144</v>
      </c>
      <c r="M262" s="15" t="s">
        <v>144</v>
      </c>
      <c r="N262" s="75" t="s">
        <v>1054</v>
      </c>
      <c r="O262" s="17" t="s">
        <v>58</v>
      </c>
      <c r="P262" s="73" t="s">
        <v>1056</v>
      </c>
      <c r="Q262" s="18"/>
      <c r="R262" s="48" t="s">
        <v>58</v>
      </c>
      <c r="S262" s="15" t="s">
        <v>66</v>
      </c>
      <c r="T262" s="15"/>
      <c r="U262" s="15"/>
      <c r="V262" s="75">
        <v>96</v>
      </c>
      <c r="W262" s="15">
        <f t="shared" si="51"/>
        <v>96</v>
      </c>
      <c r="X262" s="15">
        <f t="shared" si="52"/>
        <v>96</v>
      </c>
      <c r="Y262" s="15">
        <f>ROUNDDOWN(W262/HLOOKUP(D262,Table!$C$3:$D$4,2,0)*8,2)</f>
        <v>1.7</v>
      </c>
      <c r="Z262" s="15">
        <v>1</v>
      </c>
      <c r="AA262" s="15" t="s">
        <v>70</v>
      </c>
      <c r="AB262" s="19">
        <v>44013</v>
      </c>
      <c r="AC262" s="19">
        <v>44007</v>
      </c>
      <c r="AD262" s="85">
        <v>44013</v>
      </c>
      <c r="AE262" s="19">
        <v>44011</v>
      </c>
      <c r="AF262" s="19">
        <v>44011</v>
      </c>
      <c r="AG262" s="19" t="s">
        <v>164</v>
      </c>
      <c r="AH262" s="29">
        <v>1</v>
      </c>
      <c r="AI262" s="29">
        <v>1</v>
      </c>
      <c r="AJ262" s="29">
        <v>1</v>
      </c>
      <c r="AK262" s="19" t="s">
        <v>144</v>
      </c>
      <c r="AL262" s="17" t="s">
        <v>58</v>
      </c>
      <c r="AM262" s="17" t="s">
        <v>58</v>
      </c>
      <c r="AN262" s="79" t="s">
        <v>363</v>
      </c>
    </row>
    <row r="263" spans="2:40" hidden="1" x14ac:dyDescent="0.25">
      <c r="B263" s="184">
        <f t="shared" si="53"/>
        <v>204</v>
      </c>
      <c r="C263" s="16">
        <v>20200625</v>
      </c>
      <c r="D263" s="15" t="s">
        <v>3</v>
      </c>
      <c r="E263" s="75" t="s">
        <v>1028</v>
      </c>
      <c r="F263" s="73" t="s">
        <v>1032</v>
      </c>
      <c r="G263" s="75">
        <v>1541595</v>
      </c>
      <c r="H263" s="48" t="s">
        <v>58</v>
      </c>
      <c r="I263" s="75" t="s">
        <v>1041</v>
      </c>
      <c r="J263" s="48" t="s">
        <v>58</v>
      </c>
      <c r="K263" s="15" t="s">
        <v>1070</v>
      </c>
      <c r="L263" s="15" t="s">
        <v>144</v>
      </c>
      <c r="M263" s="15" t="s">
        <v>144</v>
      </c>
      <c r="N263" s="75" t="s">
        <v>1054</v>
      </c>
      <c r="O263" s="17" t="s">
        <v>58</v>
      </c>
      <c r="P263" s="73" t="s">
        <v>1056</v>
      </c>
      <c r="Q263" s="18"/>
      <c r="R263" s="48" t="s">
        <v>58</v>
      </c>
      <c r="S263" s="15" t="s">
        <v>66</v>
      </c>
      <c r="T263" s="15"/>
      <c r="U263" s="15"/>
      <c r="V263" s="75">
        <v>107</v>
      </c>
      <c r="W263" s="15">
        <f t="shared" si="51"/>
        <v>107</v>
      </c>
      <c r="X263" s="15">
        <f t="shared" si="52"/>
        <v>107</v>
      </c>
      <c r="Y263" s="15">
        <f>ROUNDDOWN(W263/HLOOKUP(D263,Table!$C$3:$D$4,2,0)*8,2)</f>
        <v>1.9</v>
      </c>
      <c r="Z263" s="15">
        <v>1.5</v>
      </c>
      <c r="AA263" s="15" t="s">
        <v>70</v>
      </c>
      <c r="AB263" s="19">
        <v>44013</v>
      </c>
      <c r="AC263" s="19">
        <v>44007</v>
      </c>
      <c r="AD263" s="85">
        <v>44013</v>
      </c>
      <c r="AE263" s="19">
        <v>44011</v>
      </c>
      <c r="AF263" s="19">
        <v>44011</v>
      </c>
      <c r="AG263" s="19" t="s">
        <v>164</v>
      </c>
      <c r="AH263" s="29">
        <v>1</v>
      </c>
      <c r="AI263" s="29">
        <v>1</v>
      </c>
      <c r="AJ263" s="29">
        <v>1</v>
      </c>
      <c r="AK263" s="19" t="s">
        <v>144</v>
      </c>
      <c r="AL263" s="17" t="s">
        <v>58</v>
      </c>
      <c r="AM263" s="17" t="s">
        <v>58</v>
      </c>
      <c r="AN263" s="79" t="s">
        <v>363</v>
      </c>
    </row>
    <row r="264" spans="2:40" hidden="1" x14ac:dyDescent="0.25">
      <c r="B264" s="184">
        <f t="shared" si="53"/>
        <v>205</v>
      </c>
      <c r="C264" s="16">
        <v>20200625</v>
      </c>
      <c r="D264" s="15" t="s">
        <v>3</v>
      </c>
      <c r="E264" s="75" t="s">
        <v>1028</v>
      </c>
      <c r="F264" s="73" t="s">
        <v>1032</v>
      </c>
      <c r="G264" s="75">
        <v>1541595</v>
      </c>
      <c r="H264" s="48" t="s">
        <v>58</v>
      </c>
      <c r="I264" s="75" t="s">
        <v>1042</v>
      </c>
      <c r="J264" s="48" t="s">
        <v>58</v>
      </c>
      <c r="K264" s="15" t="s">
        <v>1070</v>
      </c>
      <c r="L264" s="15" t="s">
        <v>144</v>
      </c>
      <c r="M264" s="15" t="s">
        <v>144</v>
      </c>
      <c r="N264" s="75" t="s">
        <v>1054</v>
      </c>
      <c r="O264" s="17" t="s">
        <v>58</v>
      </c>
      <c r="P264" s="73" t="s">
        <v>1056</v>
      </c>
      <c r="Q264" s="18"/>
      <c r="R264" s="48" t="s">
        <v>58</v>
      </c>
      <c r="S264" s="15" t="s">
        <v>66</v>
      </c>
      <c r="T264" s="15"/>
      <c r="U264" s="15"/>
      <c r="V264" s="75">
        <v>318</v>
      </c>
      <c r="W264" s="15">
        <f t="shared" si="51"/>
        <v>318</v>
      </c>
      <c r="X264" s="15">
        <f t="shared" si="52"/>
        <v>318</v>
      </c>
      <c r="Y264" s="15">
        <f>ROUNDDOWN(W264/HLOOKUP(D264,Table!$C$3:$D$4,2,0)*8,2)</f>
        <v>5.65</v>
      </c>
      <c r="Z264" s="15">
        <v>5</v>
      </c>
      <c r="AA264" s="15" t="s">
        <v>70</v>
      </c>
      <c r="AB264" s="19">
        <v>44013</v>
      </c>
      <c r="AC264" s="19">
        <v>44007</v>
      </c>
      <c r="AD264" s="85">
        <v>44013</v>
      </c>
      <c r="AE264" s="19">
        <v>44011</v>
      </c>
      <c r="AF264" s="19">
        <v>44011</v>
      </c>
      <c r="AG264" s="19" t="s">
        <v>164</v>
      </c>
      <c r="AH264" s="29">
        <v>1</v>
      </c>
      <c r="AI264" s="29">
        <v>1</v>
      </c>
      <c r="AJ264" s="29">
        <v>1</v>
      </c>
      <c r="AK264" s="19" t="s">
        <v>144</v>
      </c>
      <c r="AL264" s="17" t="s">
        <v>58</v>
      </c>
      <c r="AM264" s="17" t="s">
        <v>58</v>
      </c>
      <c r="AN264" s="79" t="s">
        <v>363</v>
      </c>
    </row>
    <row r="265" spans="2:40" hidden="1" x14ac:dyDescent="0.25">
      <c r="B265" s="184">
        <f t="shared" si="53"/>
        <v>206</v>
      </c>
      <c r="C265" s="16">
        <v>20200625</v>
      </c>
      <c r="D265" s="15" t="s">
        <v>3</v>
      </c>
      <c r="E265" s="75" t="s">
        <v>1028</v>
      </c>
      <c r="F265" s="73" t="s">
        <v>1032</v>
      </c>
      <c r="G265" s="75">
        <v>1541595</v>
      </c>
      <c r="H265" s="48" t="s">
        <v>58</v>
      </c>
      <c r="I265" s="75" t="s">
        <v>1043</v>
      </c>
      <c r="J265" s="48" t="s">
        <v>58</v>
      </c>
      <c r="K265" s="15" t="s">
        <v>1070</v>
      </c>
      <c r="L265" s="15" t="s">
        <v>144</v>
      </c>
      <c r="M265" s="15" t="s">
        <v>144</v>
      </c>
      <c r="N265" s="75" t="s">
        <v>1054</v>
      </c>
      <c r="O265" s="17" t="s">
        <v>58</v>
      </c>
      <c r="P265" s="73" t="s">
        <v>1056</v>
      </c>
      <c r="Q265" s="18"/>
      <c r="R265" s="48" t="s">
        <v>58</v>
      </c>
      <c r="S265" s="15" t="s">
        <v>66</v>
      </c>
      <c r="T265" s="15"/>
      <c r="U265" s="15"/>
      <c r="V265" s="75">
        <v>49</v>
      </c>
      <c r="W265" s="15">
        <f t="shared" si="51"/>
        <v>49</v>
      </c>
      <c r="X265" s="15">
        <f t="shared" si="52"/>
        <v>49</v>
      </c>
      <c r="Y265" s="15">
        <f>ROUNDDOWN(W265/HLOOKUP(D265,Table!$C$3:$D$4,2,0)*8,2)</f>
        <v>0.87</v>
      </c>
      <c r="Z265" s="15">
        <v>0.5</v>
      </c>
      <c r="AA265" s="15" t="s">
        <v>70</v>
      </c>
      <c r="AB265" s="19">
        <v>44013</v>
      </c>
      <c r="AC265" s="19">
        <v>44007</v>
      </c>
      <c r="AD265" s="85">
        <v>44013</v>
      </c>
      <c r="AE265" s="19">
        <v>44012</v>
      </c>
      <c r="AF265" s="19">
        <v>44012</v>
      </c>
      <c r="AG265" s="19" t="s">
        <v>164</v>
      </c>
      <c r="AH265" s="29">
        <v>1</v>
      </c>
      <c r="AI265" s="29">
        <v>1</v>
      </c>
      <c r="AJ265" s="29">
        <v>1</v>
      </c>
      <c r="AK265" s="19" t="s">
        <v>144</v>
      </c>
      <c r="AL265" s="17" t="s">
        <v>58</v>
      </c>
      <c r="AM265" s="17" t="s">
        <v>58</v>
      </c>
      <c r="AN265" s="79" t="s">
        <v>363</v>
      </c>
    </row>
    <row r="266" spans="2:40" hidden="1" x14ac:dyDescent="0.25">
      <c r="B266" s="184">
        <f t="shared" si="53"/>
        <v>207</v>
      </c>
      <c r="C266" s="16">
        <v>20200625</v>
      </c>
      <c r="D266" s="15" t="s">
        <v>3</v>
      </c>
      <c r="E266" s="75" t="s">
        <v>1028</v>
      </c>
      <c r="F266" s="73" t="s">
        <v>1032</v>
      </c>
      <c r="G266" s="75">
        <v>1541595</v>
      </c>
      <c r="H266" s="48" t="s">
        <v>58</v>
      </c>
      <c r="I266" s="75" t="s">
        <v>1044</v>
      </c>
      <c r="J266" s="48" t="s">
        <v>58</v>
      </c>
      <c r="K266" s="15" t="s">
        <v>1070</v>
      </c>
      <c r="L266" s="15" t="s">
        <v>144</v>
      </c>
      <c r="M266" s="15" t="s">
        <v>144</v>
      </c>
      <c r="N266" s="75" t="s">
        <v>1054</v>
      </c>
      <c r="O266" s="17" t="s">
        <v>58</v>
      </c>
      <c r="P266" s="73" t="s">
        <v>1056</v>
      </c>
      <c r="Q266" s="18"/>
      <c r="R266" s="48" t="s">
        <v>58</v>
      </c>
      <c r="S266" s="15" t="s">
        <v>66</v>
      </c>
      <c r="T266" s="15"/>
      <c r="U266" s="15"/>
      <c r="V266" s="75">
        <v>150</v>
      </c>
      <c r="W266" s="15">
        <f t="shared" si="51"/>
        <v>150</v>
      </c>
      <c r="X266" s="15">
        <f t="shared" si="52"/>
        <v>150</v>
      </c>
      <c r="Y266" s="15">
        <f>ROUNDDOWN(W266/HLOOKUP(D266,Table!$C$3:$D$4,2,0)*8,2)</f>
        <v>2.66</v>
      </c>
      <c r="Z266" s="15">
        <v>1</v>
      </c>
      <c r="AA266" s="15" t="s">
        <v>70</v>
      </c>
      <c r="AB266" s="19">
        <v>44013</v>
      </c>
      <c r="AC266" s="19">
        <v>44007</v>
      </c>
      <c r="AD266" s="85">
        <v>44013</v>
      </c>
      <c r="AE266" s="19">
        <v>44012</v>
      </c>
      <c r="AF266" s="19">
        <v>44012</v>
      </c>
      <c r="AG266" s="19" t="s">
        <v>164</v>
      </c>
      <c r="AH266" s="29">
        <v>1</v>
      </c>
      <c r="AI266" s="29">
        <v>1</v>
      </c>
      <c r="AJ266" s="29">
        <v>1</v>
      </c>
      <c r="AK266" s="19" t="s">
        <v>144</v>
      </c>
      <c r="AL266" s="17" t="s">
        <v>58</v>
      </c>
      <c r="AM266" s="17" t="s">
        <v>58</v>
      </c>
      <c r="AN266" s="79" t="s">
        <v>363</v>
      </c>
    </row>
    <row r="267" spans="2:40" hidden="1" x14ac:dyDescent="0.25">
      <c r="B267" s="184">
        <f t="shared" si="53"/>
        <v>208</v>
      </c>
      <c r="C267" s="16">
        <v>20200625</v>
      </c>
      <c r="D267" s="15" t="s">
        <v>3</v>
      </c>
      <c r="E267" s="75" t="s">
        <v>1028</v>
      </c>
      <c r="F267" s="73" t="s">
        <v>1033</v>
      </c>
      <c r="G267" s="75">
        <v>1541595</v>
      </c>
      <c r="H267" s="48" t="s">
        <v>58</v>
      </c>
      <c r="I267" s="75" t="s">
        <v>1045</v>
      </c>
      <c r="J267" s="48" t="s">
        <v>58</v>
      </c>
      <c r="K267" s="15" t="s">
        <v>1070</v>
      </c>
      <c r="L267" s="15" t="s">
        <v>144</v>
      </c>
      <c r="M267" s="15" t="s">
        <v>144</v>
      </c>
      <c r="N267" s="75" t="s">
        <v>1054</v>
      </c>
      <c r="O267" s="17" t="s">
        <v>58</v>
      </c>
      <c r="P267" s="73" t="s">
        <v>1056</v>
      </c>
      <c r="Q267" s="18"/>
      <c r="R267" s="48" t="s">
        <v>58</v>
      </c>
      <c r="S267" s="15" t="s">
        <v>66</v>
      </c>
      <c r="T267" s="15"/>
      <c r="U267" s="15"/>
      <c r="V267" s="75">
        <v>67</v>
      </c>
      <c r="W267" s="15">
        <f t="shared" si="51"/>
        <v>67</v>
      </c>
      <c r="X267" s="15">
        <f t="shared" si="52"/>
        <v>67</v>
      </c>
      <c r="Y267" s="15">
        <f>ROUNDDOWN(W267/HLOOKUP(D267,Table!$C$3:$D$4,2,0)*8,2)</f>
        <v>1.19</v>
      </c>
      <c r="Z267" s="15">
        <v>1</v>
      </c>
      <c r="AA267" s="15" t="s">
        <v>70</v>
      </c>
      <c r="AB267" s="19">
        <v>44013</v>
      </c>
      <c r="AC267" s="19">
        <v>44007</v>
      </c>
      <c r="AD267" s="85">
        <v>44013</v>
      </c>
      <c r="AE267" s="19">
        <v>44012</v>
      </c>
      <c r="AF267" s="19">
        <v>44012</v>
      </c>
      <c r="AG267" s="19" t="s">
        <v>164</v>
      </c>
      <c r="AH267" s="29">
        <v>1</v>
      </c>
      <c r="AI267" s="29">
        <v>1</v>
      </c>
      <c r="AJ267" s="29">
        <v>1</v>
      </c>
      <c r="AK267" s="19" t="s">
        <v>144</v>
      </c>
      <c r="AL267" s="17" t="s">
        <v>58</v>
      </c>
      <c r="AM267" s="17" t="s">
        <v>58</v>
      </c>
      <c r="AN267" s="79" t="s">
        <v>363</v>
      </c>
    </row>
    <row r="268" spans="2:40" hidden="1" x14ac:dyDescent="0.25">
      <c r="B268" s="184">
        <f t="shared" si="53"/>
        <v>209</v>
      </c>
      <c r="C268" s="16">
        <v>20200625</v>
      </c>
      <c r="D268" s="15" t="s">
        <v>3</v>
      </c>
      <c r="E268" s="75" t="s">
        <v>1028</v>
      </c>
      <c r="F268" s="73" t="s">
        <v>1032</v>
      </c>
      <c r="G268" s="75">
        <v>1541595</v>
      </c>
      <c r="H268" s="48" t="s">
        <v>58</v>
      </c>
      <c r="I268" s="75" t="s">
        <v>1046</v>
      </c>
      <c r="J268" s="48" t="s">
        <v>58</v>
      </c>
      <c r="K268" s="53" t="s">
        <v>1070</v>
      </c>
      <c r="L268" s="15" t="s">
        <v>144</v>
      </c>
      <c r="M268" s="15" t="s">
        <v>144</v>
      </c>
      <c r="N268" s="75" t="s">
        <v>1054</v>
      </c>
      <c r="O268" s="17" t="s">
        <v>58</v>
      </c>
      <c r="P268" s="73" t="s">
        <v>1056</v>
      </c>
      <c r="Q268" s="18"/>
      <c r="R268" s="48" t="s">
        <v>58</v>
      </c>
      <c r="S268" s="15" t="s">
        <v>64</v>
      </c>
      <c r="T268" s="15"/>
      <c r="U268" s="15"/>
      <c r="V268" s="75">
        <v>342</v>
      </c>
      <c r="W268" s="15">
        <f t="shared" si="51"/>
        <v>342</v>
      </c>
      <c r="X268" s="15">
        <f t="shared" si="52"/>
        <v>342</v>
      </c>
      <c r="Y268" s="15">
        <f>ROUNDDOWN(W268/HLOOKUP(D268,Table!$C$3:$D$4,2,0)*8,2)</f>
        <v>6.08</v>
      </c>
      <c r="Z268" s="15">
        <v>6</v>
      </c>
      <c r="AA268" s="15" t="s">
        <v>70</v>
      </c>
      <c r="AB268" s="19">
        <v>44013</v>
      </c>
      <c r="AC268" s="19">
        <v>44007</v>
      </c>
      <c r="AD268" s="85">
        <v>44013</v>
      </c>
      <c r="AE268" s="19">
        <v>44011</v>
      </c>
      <c r="AF268" s="19">
        <v>44011</v>
      </c>
      <c r="AG268" s="19" t="s">
        <v>164</v>
      </c>
      <c r="AH268" s="29">
        <v>1</v>
      </c>
      <c r="AI268" s="29">
        <v>1</v>
      </c>
      <c r="AJ268" s="29">
        <v>1</v>
      </c>
      <c r="AK268" s="19" t="s">
        <v>144</v>
      </c>
      <c r="AL268" s="17" t="s">
        <v>58</v>
      </c>
      <c r="AM268" s="17" t="s">
        <v>58</v>
      </c>
      <c r="AN268" s="79" t="s">
        <v>363</v>
      </c>
    </row>
    <row r="269" spans="2:40" hidden="1" x14ac:dyDescent="0.25">
      <c r="B269" s="184">
        <f t="shared" si="53"/>
        <v>210</v>
      </c>
      <c r="C269" s="16">
        <v>20200625</v>
      </c>
      <c r="D269" s="15" t="s">
        <v>3</v>
      </c>
      <c r="E269" s="75" t="s">
        <v>1028</v>
      </c>
      <c r="F269" s="73" t="s">
        <v>1032</v>
      </c>
      <c r="G269" s="75">
        <v>1541595</v>
      </c>
      <c r="H269" s="48" t="s">
        <v>58</v>
      </c>
      <c r="I269" s="75" t="s">
        <v>1047</v>
      </c>
      <c r="J269" s="48" t="s">
        <v>58</v>
      </c>
      <c r="K269" s="53" t="s">
        <v>1070</v>
      </c>
      <c r="L269" s="15" t="s">
        <v>144</v>
      </c>
      <c r="M269" s="15" t="s">
        <v>144</v>
      </c>
      <c r="N269" s="75" t="s">
        <v>1054</v>
      </c>
      <c r="O269" s="17" t="s">
        <v>58</v>
      </c>
      <c r="P269" s="73" t="s">
        <v>1056</v>
      </c>
      <c r="Q269" s="18"/>
      <c r="R269" s="48" t="s">
        <v>58</v>
      </c>
      <c r="S269" s="15" t="s">
        <v>64</v>
      </c>
      <c r="T269" s="15"/>
      <c r="U269" s="15"/>
      <c r="V269" s="75">
        <v>50</v>
      </c>
      <c r="W269" s="15">
        <f t="shared" si="51"/>
        <v>50</v>
      </c>
      <c r="X269" s="15">
        <f t="shared" si="52"/>
        <v>50</v>
      </c>
      <c r="Y269" s="15">
        <f>ROUNDDOWN(W269/HLOOKUP(D269,Table!$C$3:$D$4,2,0)*8,2)</f>
        <v>0.88</v>
      </c>
      <c r="Z269" s="15">
        <v>1</v>
      </c>
      <c r="AA269" s="15" t="s">
        <v>70</v>
      </c>
      <c r="AB269" s="19">
        <v>44013</v>
      </c>
      <c r="AC269" s="19">
        <v>44007</v>
      </c>
      <c r="AD269" s="85">
        <v>44013</v>
      </c>
      <c r="AE269" s="19">
        <v>44011</v>
      </c>
      <c r="AF269" s="19">
        <v>44011</v>
      </c>
      <c r="AG269" s="19" t="s">
        <v>164</v>
      </c>
      <c r="AH269" s="29">
        <v>1</v>
      </c>
      <c r="AI269" s="29">
        <v>1</v>
      </c>
      <c r="AJ269" s="29">
        <v>1</v>
      </c>
      <c r="AK269" s="19" t="s">
        <v>144</v>
      </c>
      <c r="AL269" s="17" t="s">
        <v>58</v>
      </c>
      <c r="AM269" s="17" t="s">
        <v>58</v>
      </c>
      <c r="AN269" s="79" t="s">
        <v>363</v>
      </c>
    </row>
    <row r="270" spans="2:40" hidden="1" x14ac:dyDescent="0.25">
      <c r="B270" s="184">
        <f t="shared" si="53"/>
        <v>211</v>
      </c>
      <c r="C270" s="16">
        <v>20200625</v>
      </c>
      <c r="D270" s="15" t="s">
        <v>3</v>
      </c>
      <c r="E270" s="75" t="s">
        <v>1028</v>
      </c>
      <c r="F270" s="73" t="s">
        <v>1032</v>
      </c>
      <c r="G270" s="75">
        <v>1541595</v>
      </c>
      <c r="H270" s="48" t="s">
        <v>58</v>
      </c>
      <c r="I270" s="75" t="s">
        <v>1048</v>
      </c>
      <c r="J270" s="48" t="s">
        <v>58</v>
      </c>
      <c r="K270" s="53" t="s">
        <v>1070</v>
      </c>
      <c r="L270" s="15" t="s">
        <v>144</v>
      </c>
      <c r="M270" s="15" t="s">
        <v>144</v>
      </c>
      <c r="N270" s="75" t="s">
        <v>1054</v>
      </c>
      <c r="O270" s="17" t="s">
        <v>58</v>
      </c>
      <c r="P270" s="73" t="s">
        <v>1056</v>
      </c>
      <c r="Q270" s="18"/>
      <c r="R270" s="48" t="s">
        <v>58</v>
      </c>
      <c r="S270" s="15" t="s">
        <v>64</v>
      </c>
      <c r="T270" s="15"/>
      <c r="U270" s="15"/>
      <c r="V270" s="75">
        <v>46</v>
      </c>
      <c r="W270" s="15">
        <f t="shared" si="51"/>
        <v>46</v>
      </c>
      <c r="X270" s="15">
        <f t="shared" si="52"/>
        <v>46</v>
      </c>
      <c r="Y270" s="15">
        <f>ROUNDDOWN(W270/HLOOKUP(D270,Table!$C$3:$D$4,2,0)*8,2)</f>
        <v>0.81</v>
      </c>
      <c r="Z270" s="15">
        <v>1</v>
      </c>
      <c r="AA270" s="15" t="s">
        <v>70</v>
      </c>
      <c r="AB270" s="19">
        <v>44013</v>
      </c>
      <c r="AC270" s="19">
        <v>44007</v>
      </c>
      <c r="AD270" s="85">
        <v>44013</v>
      </c>
      <c r="AE270" s="19">
        <v>44011</v>
      </c>
      <c r="AF270" s="19">
        <v>44011</v>
      </c>
      <c r="AG270" s="19" t="s">
        <v>164</v>
      </c>
      <c r="AH270" s="29">
        <v>1</v>
      </c>
      <c r="AI270" s="29">
        <v>1</v>
      </c>
      <c r="AJ270" s="29">
        <v>1</v>
      </c>
      <c r="AK270" s="19" t="s">
        <v>144</v>
      </c>
      <c r="AL270" s="17" t="s">
        <v>58</v>
      </c>
      <c r="AM270" s="17" t="s">
        <v>58</v>
      </c>
      <c r="AN270" s="79" t="s">
        <v>363</v>
      </c>
    </row>
    <row r="271" spans="2:40" hidden="1" x14ac:dyDescent="0.25">
      <c r="B271" s="184">
        <f t="shared" si="53"/>
        <v>212</v>
      </c>
      <c r="C271" s="16">
        <v>20200625</v>
      </c>
      <c r="D271" s="15" t="s">
        <v>3</v>
      </c>
      <c r="E271" s="75" t="s">
        <v>1028</v>
      </c>
      <c r="F271" s="73" t="s">
        <v>1032</v>
      </c>
      <c r="G271" s="75">
        <v>1541595</v>
      </c>
      <c r="H271" s="48" t="s">
        <v>58</v>
      </c>
      <c r="I271" s="75" t="s">
        <v>1049</v>
      </c>
      <c r="J271" s="48" t="s">
        <v>58</v>
      </c>
      <c r="K271" s="53" t="s">
        <v>1070</v>
      </c>
      <c r="L271" s="15" t="s">
        <v>144</v>
      </c>
      <c r="M271" s="15" t="s">
        <v>144</v>
      </c>
      <c r="N271" s="75" t="s">
        <v>1054</v>
      </c>
      <c r="O271" s="17" t="s">
        <v>58</v>
      </c>
      <c r="P271" s="73" t="s">
        <v>1056</v>
      </c>
      <c r="Q271" s="18"/>
      <c r="R271" s="48" t="s">
        <v>58</v>
      </c>
      <c r="S271" s="15" t="s">
        <v>64</v>
      </c>
      <c r="T271" s="15"/>
      <c r="U271" s="15"/>
      <c r="V271" s="75">
        <v>89</v>
      </c>
      <c r="W271" s="15">
        <f t="shared" si="51"/>
        <v>89</v>
      </c>
      <c r="X271" s="15">
        <f t="shared" si="52"/>
        <v>89</v>
      </c>
      <c r="Y271" s="15">
        <f>ROUNDDOWN(W271/HLOOKUP(D271,Table!$C$3:$D$4,2,0)*8,2)</f>
        <v>1.58</v>
      </c>
      <c r="Z271" s="15">
        <v>2</v>
      </c>
      <c r="AA271" s="15" t="s">
        <v>70</v>
      </c>
      <c r="AB271" s="19">
        <v>44013</v>
      </c>
      <c r="AC271" s="19">
        <v>44007</v>
      </c>
      <c r="AD271" s="85">
        <v>44013</v>
      </c>
      <c r="AE271" s="19">
        <v>44011</v>
      </c>
      <c r="AF271" s="19">
        <v>44011</v>
      </c>
      <c r="AG271" s="19" t="s">
        <v>164</v>
      </c>
      <c r="AH271" s="29">
        <v>1</v>
      </c>
      <c r="AI271" s="29">
        <v>1</v>
      </c>
      <c r="AJ271" s="29">
        <v>1</v>
      </c>
      <c r="AK271" s="19" t="s">
        <v>144</v>
      </c>
      <c r="AL271" s="17" t="s">
        <v>58</v>
      </c>
      <c r="AM271" s="17" t="s">
        <v>58</v>
      </c>
      <c r="AN271" s="79" t="s">
        <v>363</v>
      </c>
    </row>
    <row r="272" spans="2:40" hidden="1" x14ac:dyDescent="0.25">
      <c r="B272" s="184">
        <f t="shared" si="53"/>
        <v>213</v>
      </c>
      <c r="C272" s="16">
        <v>20200625</v>
      </c>
      <c r="D272" s="15" t="s">
        <v>3</v>
      </c>
      <c r="E272" s="75" t="s">
        <v>1028</v>
      </c>
      <c r="F272" s="73" t="s">
        <v>1034</v>
      </c>
      <c r="G272" s="75">
        <v>1541595</v>
      </c>
      <c r="H272" s="48" t="s">
        <v>58</v>
      </c>
      <c r="I272" s="75" t="s">
        <v>1050</v>
      </c>
      <c r="J272" s="48" t="s">
        <v>58</v>
      </c>
      <c r="K272" s="53" t="s">
        <v>1070</v>
      </c>
      <c r="L272" s="15" t="s">
        <v>144</v>
      </c>
      <c r="M272" s="15" t="s">
        <v>144</v>
      </c>
      <c r="N272" s="75" t="s">
        <v>1054</v>
      </c>
      <c r="O272" s="17" t="s">
        <v>58</v>
      </c>
      <c r="P272" s="73" t="s">
        <v>1056</v>
      </c>
      <c r="Q272" s="18"/>
      <c r="R272" s="48" t="s">
        <v>58</v>
      </c>
      <c r="S272" s="15" t="s">
        <v>64</v>
      </c>
      <c r="T272" s="15"/>
      <c r="U272" s="15"/>
      <c r="V272" s="75">
        <v>134</v>
      </c>
      <c r="W272" s="15">
        <f t="shared" si="51"/>
        <v>134</v>
      </c>
      <c r="X272" s="15">
        <f t="shared" ref="X272:X277" si="54">W272</f>
        <v>134</v>
      </c>
      <c r="Y272" s="15">
        <f>ROUNDDOWN(W272/HLOOKUP(D272,Table!$C$3:$D$4,2,0)*8,2)</f>
        <v>2.38</v>
      </c>
      <c r="Z272" s="15">
        <f t="shared" ref="Z272:Z277" si="55">Y272</f>
        <v>2.38</v>
      </c>
      <c r="AA272" s="15" t="s">
        <v>70</v>
      </c>
      <c r="AB272" s="19">
        <v>44013</v>
      </c>
      <c r="AC272" s="19">
        <v>44007</v>
      </c>
      <c r="AD272" s="85">
        <v>44013</v>
      </c>
      <c r="AE272" s="19">
        <v>44012</v>
      </c>
      <c r="AF272" s="19">
        <v>44012</v>
      </c>
      <c r="AG272" s="19" t="s">
        <v>164</v>
      </c>
      <c r="AH272" s="29">
        <v>1</v>
      </c>
      <c r="AI272" s="29">
        <v>1</v>
      </c>
      <c r="AJ272" s="29">
        <v>1</v>
      </c>
      <c r="AK272" s="19" t="s">
        <v>144</v>
      </c>
      <c r="AL272" s="17" t="s">
        <v>58</v>
      </c>
      <c r="AM272" s="17" t="s">
        <v>58</v>
      </c>
      <c r="AN272" s="79" t="s">
        <v>363</v>
      </c>
    </row>
    <row r="273" spans="2:40" hidden="1" x14ac:dyDescent="0.25">
      <c r="B273" s="184">
        <f t="shared" si="53"/>
        <v>214</v>
      </c>
      <c r="C273" s="16">
        <v>20200625</v>
      </c>
      <c r="D273" s="15" t="s">
        <v>3</v>
      </c>
      <c r="E273" s="75" t="s">
        <v>1028</v>
      </c>
      <c r="F273" s="73" t="s">
        <v>1035</v>
      </c>
      <c r="G273" s="75">
        <v>1541595</v>
      </c>
      <c r="H273" s="48" t="s">
        <v>58</v>
      </c>
      <c r="I273" s="75" t="s">
        <v>1051</v>
      </c>
      <c r="J273" s="48" t="s">
        <v>58</v>
      </c>
      <c r="K273" s="53" t="s">
        <v>1070</v>
      </c>
      <c r="L273" s="15" t="s">
        <v>144</v>
      </c>
      <c r="M273" s="15" t="s">
        <v>144</v>
      </c>
      <c r="N273" s="75" t="s">
        <v>1054</v>
      </c>
      <c r="O273" s="17" t="s">
        <v>58</v>
      </c>
      <c r="P273" s="73" t="s">
        <v>1056</v>
      </c>
      <c r="Q273" s="18"/>
      <c r="R273" s="48" t="s">
        <v>58</v>
      </c>
      <c r="S273" s="15" t="s">
        <v>64</v>
      </c>
      <c r="T273" s="15"/>
      <c r="U273" s="15"/>
      <c r="V273" s="75">
        <v>200</v>
      </c>
      <c r="W273" s="18">
        <v>209</v>
      </c>
      <c r="X273" s="15">
        <f t="shared" si="54"/>
        <v>209</v>
      </c>
      <c r="Y273" s="15">
        <f>ROUNDDOWN(W273/HLOOKUP(D273,Table!$C$3:$D$4,2,0)*8,2)</f>
        <v>3.71</v>
      </c>
      <c r="Z273" s="15">
        <f t="shared" si="55"/>
        <v>3.71</v>
      </c>
      <c r="AA273" s="15" t="s">
        <v>70</v>
      </c>
      <c r="AB273" s="19">
        <v>44013</v>
      </c>
      <c r="AC273" s="19">
        <v>44007</v>
      </c>
      <c r="AD273" s="85">
        <v>44013</v>
      </c>
      <c r="AE273" s="19">
        <v>44012</v>
      </c>
      <c r="AF273" s="19">
        <v>44012</v>
      </c>
      <c r="AG273" s="19" t="s">
        <v>164</v>
      </c>
      <c r="AH273" s="29">
        <v>1</v>
      </c>
      <c r="AI273" s="29">
        <v>1</v>
      </c>
      <c r="AJ273" s="29">
        <v>1</v>
      </c>
      <c r="AK273" s="19" t="s">
        <v>144</v>
      </c>
      <c r="AL273" s="17" t="s">
        <v>58</v>
      </c>
      <c r="AM273" s="17" t="s">
        <v>58</v>
      </c>
      <c r="AN273" s="79" t="s">
        <v>363</v>
      </c>
    </row>
    <row r="274" spans="2:40" hidden="1" x14ac:dyDescent="0.25">
      <c r="B274" s="184">
        <f t="shared" si="53"/>
        <v>215</v>
      </c>
      <c r="C274" s="16">
        <v>20200625</v>
      </c>
      <c r="D274" s="15" t="s">
        <v>3</v>
      </c>
      <c r="E274" s="75" t="s">
        <v>1028</v>
      </c>
      <c r="F274" s="73" t="s">
        <v>1036</v>
      </c>
      <c r="G274" s="75">
        <v>1541595</v>
      </c>
      <c r="H274" s="48" t="s">
        <v>58</v>
      </c>
      <c r="I274" s="75" t="s">
        <v>147</v>
      </c>
      <c r="J274" s="48" t="s">
        <v>58</v>
      </c>
      <c r="K274" s="53" t="s">
        <v>1070</v>
      </c>
      <c r="L274" s="15" t="s">
        <v>144</v>
      </c>
      <c r="M274" s="15" t="s">
        <v>144</v>
      </c>
      <c r="N274" s="75" t="s">
        <v>1054</v>
      </c>
      <c r="O274" s="17" t="s">
        <v>58</v>
      </c>
      <c r="P274" s="73" t="s">
        <v>1056</v>
      </c>
      <c r="Q274" s="18"/>
      <c r="R274" s="48" t="s">
        <v>58</v>
      </c>
      <c r="S274" s="15" t="s">
        <v>64</v>
      </c>
      <c r="T274" s="15"/>
      <c r="U274" s="15"/>
      <c r="V274" s="75">
        <v>124</v>
      </c>
      <c r="W274" s="15">
        <f t="shared" si="51"/>
        <v>124</v>
      </c>
      <c r="X274" s="199">
        <f t="shared" si="54"/>
        <v>124</v>
      </c>
      <c r="Y274" s="15">
        <f>ROUNDDOWN(W274/HLOOKUP(D274,Table!$C$3:$D$4,2,0)*8,2)</f>
        <v>2.2000000000000002</v>
      </c>
      <c r="Z274" s="15">
        <f t="shared" si="55"/>
        <v>2.2000000000000002</v>
      </c>
      <c r="AA274" s="15" t="s">
        <v>70</v>
      </c>
      <c r="AB274" s="19">
        <v>44013</v>
      </c>
      <c r="AC274" s="19">
        <v>44007</v>
      </c>
      <c r="AD274" s="85">
        <v>44013</v>
      </c>
      <c r="AE274" s="19">
        <v>44012</v>
      </c>
      <c r="AF274" s="19">
        <v>44012</v>
      </c>
      <c r="AG274" s="19" t="s">
        <v>165</v>
      </c>
      <c r="AH274" s="29">
        <v>1</v>
      </c>
      <c r="AI274" s="29">
        <v>1</v>
      </c>
      <c r="AJ274" s="29">
        <v>0.75</v>
      </c>
      <c r="AK274" s="19" t="s">
        <v>134</v>
      </c>
      <c r="AL274" s="17" t="s">
        <v>1323</v>
      </c>
      <c r="AM274" s="17" t="s">
        <v>58</v>
      </c>
      <c r="AN274" s="79" t="s">
        <v>1333</v>
      </c>
    </row>
    <row r="275" spans="2:40" hidden="1" x14ac:dyDescent="0.25">
      <c r="B275" s="184">
        <f t="shared" si="53"/>
        <v>216</v>
      </c>
      <c r="C275" s="16">
        <v>20200625</v>
      </c>
      <c r="D275" s="15" t="s">
        <v>3</v>
      </c>
      <c r="E275" s="75" t="s">
        <v>1028</v>
      </c>
      <c r="F275" s="73" t="s">
        <v>1036</v>
      </c>
      <c r="G275" s="75">
        <v>1541595</v>
      </c>
      <c r="H275" s="48" t="s">
        <v>58</v>
      </c>
      <c r="I275" s="75" t="s">
        <v>298</v>
      </c>
      <c r="J275" s="48" t="s">
        <v>58</v>
      </c>
      <c r="K275" s="53" t="s">
        <v>1070</v>
      </c>
      <c r="L275" s="15" t="s">
        <v>144</v>
      </c>
      <c r="M275" s="15" t="s">
        <v>144</v>
      </c>
      <c r="N275" s="75" t="s">
        <v>1054</v>
      </c>
      <c r="O275" s="17" t="s">
        <v>58</v>
      </c>
      <c r="P275" s="73" t="s">
        <v>1056</v>
      </c>
      <c r="Q275" s="18"/>
      <c r="R275" s="48" t="s">
        <v>58</v>
      </c>
      <c r="S275" s="15" t="s">
        <v>64</v>
      </c>
      <c r="T275" s="15"/>
      <c r="U275" s="15"/>
      <c r="V275" s="75">
        <v>154</v>
      </c>
      <c r="W275" s="18">
        <v>316</v>
      </c>
      <c r="X275" s="199">
        <f t="shared" si="54"/>
        <v>316</v>
      </c>
      <c r="Y275" s="15">
        <f>ROUNDDOWN(W275/HLOOKUP(D275,Table!$C$3:$D$4,2,0)*8,2)</f>
        <v>5.61</v>
      </c>
      <c r="Z275" s="15">
        <f t="shared" si="55"/>
        <v>5.61</v>
      </c>
      <c r="AA275" s="15" t="s">
        <v>70</v>
      </c>
      <c r="AB275" s="19">
        <v>44013</v>
      </c>
      <c r="AC275" s="19">
        <v>44007</v>
      </c>
      <c r="AD275" s="85">
        <v>44013</v>
      </c>
      <c r="AE275" s="19">
        <v>44012</v>
      </c>
      <c r="AF275" s="19">
        <v>44012</v>
      </c>
      <c r="AG275" s="19" t="s">
        <v>165</v>
      </c>
      <c r="AH275" s="29">
        <v>1</v>
      </c>
      <c r="AI275" s="29">
        <v>0.92</v>
      </c>
      <c r="AJ275" s="29">
        <v>1</v>
      </c>
      <c r="AK275" s="19" t="s">
        <v>134</v>
      </c>
      <c r="AL275" s="17" t="s">
        <v>1325</v>
      </c>
      <c r="AM275" s="17" t="s">
        <v>58</v>
      </c>
      <c r="AN275" s="79" t="s">
        <v>1334</v>
      </c>
    </row>
    <row r="276" spans="2:40" hidden="1" x14ac:dyDescent="0.25">
      <c r="B276" s="184">
        <f t="shared" si="53"/>
        <v>217</v>
      </c>
      <c r="C276" s="16">
        <v>20200625</v>
      </c>
      <c r="D276" s="15" t="s">
        <v>3</v>
      </c>
      <c r="E276" s="75" t="s">
        <v>1028</v>
      </c>
      <c r="F276" s="73" t="s">
        <v>1036</v>
      </c>
      <c r="G276" s="75">
        <v>1541595</v>
      </c>
      <c r="H276" s="48" t="s">
        <v>58</v>
      </c>
      <c r="I276" s="75" t="s">
        <v>148</v>
      </c>
      <c r="J276" s="48" t="s">
        <v>58</v>
      </c>
      <c r="K276" s="53" t="s">
        <v>1070</v>
      </c>
      <c r="L276" s="15" t="s">
        <v>144</v>
      </c>
      <c r="M276" s="15" t="s">
        <v>144</v>
      </c>
      <c r="N276" s="75" t="s">
        <v>1054</v>
      </c>
      <c r="O276" s="17" t="s">
        <v>58</v>
      </c>
      <c r="P276" s="73" t="s">
        <v>1056</v>
      </c>
      <c r="Q276" s="18"/>
      <c r="R276" s="48" t="s">
        <v>58</v>
      </c>
      <c r="S276" s="15" t="s">
        <v>64</v>
      </c>
      <c r="T276" s="15"/>
      <c r="U276" s="15"/>
      <c r="V276" s="75">
        <v>71</v>
      </c>
      <c r="W276" s="192">
        <v>153</v>
      </c>
      <c r="X276" s="199">
        <f t="shared" si="54"/>
        <v>153</v>
      </c>
      <c r="Y276" s="15">
        <f>ROUNDDOWN(W276/HLOOKUP(D276,Table!$C$3:$D$4,2,0)*8,2)</f>
        <v>2.72</v>
      </c>
      <c r="Z276" s="15">
        <f t="shared" si="55"/>
        <v>2.72</v>
      </c>
      <c r="AA276" s="15" t="s">
        <v>70</v>
      </c>
      <c r="AB276" s="19">
        <v>44013</v>
      </c>
      <c r="AC276" s="19">
        <v>44007</v>
      </c>
      <c r="AD276" s="85">
        <v>44013</v>
      </c>
      <c r="AE276" s="19">
        <v>44012</v>
      </c>
      <c r="AF276" s="19">
        <v>44012</v>
      </c>
      <c r="AG276" s="19" t="s">
        <v>165</v>
      </c>
      <c r="AH276" s="29">
        <v>0.85</v>
      </c>
      <c r="AI276" s="29">
        <v>0.57999999999999996</v>
      </c>
      <c r="AJ276" s="29">
        <v>1</v>
      </c>
      <c r="AK276" s="19" t="s">
        <v>134</v>
      </c>
      <c r="AL276" s="17" t="s">
        <v>1326</v>
      </c>
      <c r="AM276" s="17" t="s">
        <v>58</v>
      </c>
      <c r="AN276" s="79" t="s">
        <v>1335</v>
      </c>
    </row>
    <row r="277" spans="2:40" hidden="1" x14ac:dyDescent="0.25">
      <c r="B277" s="184">
        <f t="shared" si="53"/>
        <v>218</v>
      </c>
      <c r="C277" s="16">
        <v>20200625</v>
      </c>
      <c r="D277" s="15" t="s">
        <v>3</v>
      </c>
      <c r="E277" s="75" t="s">
        <v>1028</v>
      </c>
      <c r="F277" s="73" t="s">
        <v>1036</v>
      </c>
      <c r="G277" s="75">
        <v>1541595</v>
      </c>
      <c r="H277" s="48" t="s">
        <v>58</v>
      </c>
      <c r="I277" s="75" t="s">
        <v>149</v>
      </c>
      <c r="J277" s="48" t="s">
        <v>58</v>
      </c>
      <c r="K277" s="53" t="s">
        <v>1070</v>
      </c>
      <c r="L277" s="15" t="s">
        <v>144</v>
      </c>
      <c r="M277" s="15" t="s">
        <v>144</v>
      </c>
      <c r="N277" s="75" t="s">
        <v>1054</v>
      </c>
      <c r="O277" s="17" t="s">
        <v>58</v>
      </c>
      <c r="P277" s="73" t="s">
        <v>1056</v>
      </c>
      <c r="Q277" s="18"/>
      <c r="R277" s="48" t="s">
        <v>58</v>
      </c>
      <c r="S277" s="15" t="s">
        <v>65</v>
      </c>
      <c r="T277" s="15"/>
      <c r="U277" s="15"/>
      <c r="V277" s="75">
        <v>145</v>
      </c>
      <c r="W277" s="188">
        <v>316</v>
      </c>
      <c r="X277" s="191">
        <f t="shared" si="54"/>
        <v>316</v>
      </c>
      <c r="Y277" s="15">
        <f>ROUNDDOWN(W277/HLOOKUP(D277,Table!$C$3:$D$4,2,0)*8,2)</f>
        <v>5.61</v>
      </c>
      <c r="Z277" s="15">
        <f t="shared" si="55"/>
        <v>5.61</v>
      </c>
      <c r="AA277" s="15" t="s">
        <v>70</v>
      </c>
      <c r="AB277" s="19">
        <v>44013</v>
      </c>
      <c r="AC277" s="19">
        <v>44007</v>
      </c>
      <c r="AD277" s="85">
        <v>44013</v>
      </c>
      <c r="AE277" s="19">
        <v>44013</v>
      </c>
      <c r="AF277" s="19">
        <v>44013</v>
      </c>
      <c r="AG277" s="19" t="s">
        <v>165</v>
      </c>
      <c r="AH277" s="29">
        <v>1</v>
      </c>
      <c r="AI277" s="29">
        <v>0.98</v>
      </c>
      <c r="AJ277" s="29">
        <v>0.91</v>
      </c>
      <c r="AK277" s="19" t="s">
        <v>134</v>
      </c>
      <c r="AL277" s="17" t="s">
        <v>1401</v>
      </c>
      <c r="AM277" s="17" t="s">
        <v>58</v>
      </c>
      <c r="AN277" s="79" t="s">
        <v>1436</v>
      </c>
    </row>
    <row r="278" spans="2:40" hidden="1" x14ac:dyDescent="0.25">
      <c r="B278" s="184">
        <f t="shared" si="53"/>
        <v>219</v>
      </c>
      <c r="C278" s="16">
        <v>20200625</v>
      </c>
      <c r="D278" s="15" t="s">
        <v>3</v>
      </c>
      <c r="E278" s="75" t="s">
        <v>1028</v>
      </c>
      <c r="F278" s="73" t="s">
        <v>1037</v>
      </c>
      <c r="G278" s="75">
        <v>1541595</v>
      </c>
      <c r="H278" s="48" t="s">
        <v>58</v>
      </c>
      <c r="I278" s="75" t="s">
        <v>1052</v>
      </c>
      <c r="J278" s="48" t="s">
        <v>58</v>
      </c>
      <c r="K278" s="53" t="s">
        <v>1070</v>
      </c>
      <c r="L278" s="15" t="s">
        <v>144</v>
      </c>
      <c r="M278" s="15" t="s">
        <v>144</v>
      </c>
      <c r="N278" s="75" t="s">
        <v>1054</v>
      </c>
      <c r="O278" s="17" t="s">
        <v>58</v>
      </c>
      <c r="P278" s="73" t="s">
        <v>1056</v>
      </c>
      <c r="Q278" s="18"/>
      <c r="R278" s="48" t="s">
        <v>58</v>
      </c>
      <c r="S278" s="15" t="s">
        <v>65</v>
      </c>
      <c r="T278" s="15"/>
      <c r="U278" s="15"/>
      <c r="V278" s="75">
        <v>39</v>
      </c>
      <c r="W278" s="79">
        <v>52</v>
      </c>
      <c r="X278" s="15">
        <f t="shared" ref="X278:X285" si="56">W278</f>
        <v>52</v>
      </c>
      <c r="Y278" s="15">
        <f>ROUNDDOWN(W278/HLOOKUP(D278,Table!$C$3:$D$4,2,0)*8,2)</f>
        <v>0.92</v>
      </c>
      <c r="Z278" s="15">
        <v>1</v>
      </c>
      <c r="AA278" s="15" t="s">
        <v>70</v>
      </c>
      <c r="AB278" s="19">
        <v>44013</v>
      </c>
      <c r="AC278" s="19">
        <v>44007</v>
      </c>
      <c r="AD278" s="85">
        <v>44013</v>
      </c>
      <c r="AE278" s="19">
        <v>44011</v>
      </c>
      <c r="AF278" s="19">
        <v>44011</v>
      </c>
      <c r="AG278" s="19" t="s">
        <v>165</v>
      </c>
      <c r="AH278" s="29">
        <v>0.66</v>
      </c>
      <c r="AI278" s="29">
        <v>0.61</v>
      </c>
      <c r="AJ278" s="29">
        <v>1</v>
      </c>
      <c r="AK278" s="19" t="s">
        <v>134</v>
      </c>
      <c r="AL278" s="17" t="s">
        <v>1073</v>
      </c>
      <c r="AM278" s="17" t="s">
        <v>58</v>
      </c>
      <c r="AN278" s="79" t="s">
        <v>1436</v>
      </c>
    </row>
    <row r="279" spans="2:40" hidden="1" x14ac:dyDescent="0.25">
      <c r="B279" s="184">
        <f t="shared" si="53"/>
        <v>220</v>
      </c>
      <c r="C279" s="16">
        <v>20200625</v>
      </c>
      <c r="D279" s="15" t="s">
        <v>3</v>
      </c>
      <c r="E279" s="75" t="s">
        <v>1028</v>
      </c>
      <c r="F279" s="73" t="s">
        <v>1038</v>
      </c>
      <c r="G279" s="75">
        <v>1541595</v>
      </c>
      <c r="H279" s="48" t="s">
        <v>58</v>
      </c>
      <c r="I279" s="75" t="s">
        <v>1053</v>
      </c>
      <c r="J279" s="48" t="s">
        <v>58</v>
      </c>
      <c r="K279" s="53" t="s">
        <v>1070</v>
      </c>
      <c r="L279" s="15" t="s">
        <v>144</v>
      </c>
      <c r="M279" s="15" t="s">
        <v>144</v>
      </c>
      <c r="N279" s="75" t="s">
        <v>1054</v>
      </c>
      <c r="O279" s="17" t="s">
        <v>58</v>
      </c>
      <c r="P279" s="73" t="s">
        <v>1056</v>
      </c>
      <c r="Q279" s="18"/>
      <c r="R279" s="48" t="s">
        <v>58</v>
      </c>
      <c r="S279" s="15" t="s">
        <v>65</v>
      </c>
      <c r="T279" s="15"/>
      <c r="U279" s="15"/>
      <c r="V279" s="75">
        <v>144</v>
      </c>
      <c r="W279" s="15">
        <f t="shared" si="51"/>
        <v>144</v>
      </c>
      <c r="X279" s="15">
        <f t="shared" si="56"/>
        <v>144</v>
      </c>
      <c r="Y279" s="15">
        <f>ROUNDDOWN(W279/HLOOKUP(D279,Table!$C$3:$D$4,2,0)*8,2)</f>
        <v>2.56</v>
      </c>
      <c r="Z279" s="15">
        <v>2.5</v>
      </c>
      <c r="AA279" s="15" t="s">
        <v>70</v>
      </c>
      <c r="AB279" s="19">
        <v>44013</v>
      </c>
      <c r="AC279" s="19">
        <v>44007</v>
      </c>
      <c r="AD279" s="85">
        <v>44013</v>
      </c>
      <c r="AE279" s="19">
        <v>44011</v>
      </c>
      <c r="AF279" s="19">
        <v>44011</v>
      </c>
      <c r="AG279" s="19" t="s">
        <v>164</v>
      </c>
      <c r="AH279" s="29">
        <v>1</v>
      </c>
      <c r="AI279" s="29">
        <v>1</v>
      </c>
      <c r="AJ279" s="29">
        <v>1</v>
      </c>
      <c r="AK279" s="19" t="s">
        <v>144</v>
      </c>
      <c r="AL279" s="17" t="s">
        <v>58</v>
      </c>
      <c r="AM279" s="17" t="s">
        <v>58</v>
      </c>
      <c r="AN279" s="79" t="s">
        <v>363</v>
      </c>
    </row>
    <row r="280" spans="2:40" hidden="1" x14ac:dyDescent="0.25">
      <c r="B280" s="184">
        <f t="shared" si="53"/>
        <v>221</v>
      </c>
      <c r="C280" s="16">
        <v>20200625</v>
      </c>
      <c r="D280" s="15" t="s">
        <v>3</v>
      </c>
      <c r="E280" s="75" t="s">
        <v>1029</v>
      </c>
      <c r="F280" s="100" t="s">
        <v>1343</v>
      </c>
      <c r="G280" s="75">
        <v>1537854</v>
      </c>
      <c r="H280" s="48" t="s">
        <v>58</v>
      </c>
      <c r="I280" s="75" t="s">
        <v>1039</v>
      </c>
      <c r="J280" s="48" t="s">
        <v>58</v>
      </c>
      <c r="K280" s="53" t="s">
        <v>1070</v>
      </c>
      <c r="L280" s="15" t="s">
        <v>144</v>
      </c>
      <c r="M280" s="15" t="s">
        <v>1058</v>
      </c>
      <c r="N280" s="75" t="s">
        <v>1055</v>
      </c>
      <c r="O280" s="17" t="s">
        <v>58</v>
      </c>
      <c r="P280" s="73" t="s">
        <v>1056</v>
      </c>
      <c r="Q280" s="18"/>
      <c r="R280" s="48" t="s">
        <v>58</v>
      </c>
      <c r="S280" s="15" t="s">
        <v>65</v>
      </c>
      <c r="T280" s="15"/>
      <c r="U280" s="15"/>
      <c r="V280" s="75">
        <v>54</v>
      </c>
      <c r="W280" s="79">
        <v>88</v>
      </c>
      <c r="X280" s="15">
        <f t="shared" si="56"/>
        <v>88</v>
      </c>
      <c r="Y280" s="15">
        <f>ROUNDDOWN(W280/HLOOKUP(D280,Table!$C$3:$D$4,2,0)*8,2)</f>
        <v>1.56</v>
      </c>
      <c r="Z280" s="15">
        <v>1.5</v>
      </c>
      <c r="AA280" s="15" t="s">
        <v>70</v>
      </c>
      <c r="AB280" s="19">
        <v>44013</v>
      </c>
      <c r="AC280" s="19">
        <v>44007</v>
      </c>
      <c r="AD280" s="85">
        <v>44013</v>
      </c>
      <c r="AE280" s="19">
        <v>44011</v>
      </c>
      <c r="AF280" s="19">
        <v>44011</v>
      </c>
      <c r="AG280" s="19" t="s">
        <v>164</v>
      </c>
      <c r="AH280" s="29">
        <v>1</v>
      </c>
      <c r="AI280" s="29">
        <v>1</v>
      </c>
      <c r="AJ280" s="29">
        <v>1</v>
      </c>
      <c r="AK280" s="19" t="s">
        <v>144</v>
      </c>
      <c r="AL280" s="17" t="s">
        <v>58</v>
      </c>
      <c r="AM280" s="17" t="s">
        <v>58</v>
      </c>
      <c r="AN280" s="79" t="s">
        <v>363</v>
      </c>
    </row>
    <row r="281" spans="2:40" hidden="1" x14ac:dyDescent="0.25">
      <c r="B281" s="184">
        <f t="shared" si="53"/>
        <v>222</v>
      </c>
      <c r="C281" s="16">
        <v>20200625</v>
      </c>
      <c r="D281" s="15" t="s">
        <v>3</v>
      </c>
      <c r="E281" s="75" t="s">
        <v>1029</v>
      </c>
      <c r="F281" s="100" t="s">
        <v>1344</v>
      </c>
      <c r="G281" s="75">
        <v>1537854</v>
      </c>
      <c r="H281" s="48" t="s">
        <v>58</v>
      </c>
      <c r="I281" s="75" t="s">
        <v>1040</v>
      </c>
      <c r="J281" s="48" t="s">
        <v>58</v>
      </c>
      <c r="K281" s="53" t="s">
        <v>1070</v>
      </c>
      <c r="L281" s="15" t="s">
        <v>144</v>
      </c>
      <c r="M281" s="15" t="s">
        <v>1058</v>
      </c>
      <c r="N281" s="75" t="s">
        <v>1055</v>
      </c>
      <c r="O281" s="17" t="s">
        <v>58</v>
      </c>
      <c r="P281" s="73" t="s">
        <v>1056</v>
      </c>
      <c r="Q281" s="18"/>
      <c r="R281" s="48" t="s">
        <v>58</v>
      </c>
      <c r="S281" s="15" t="s">
        <v>65</v>
      </c>
      <c r="T281" s="15"/>
      <c r="U281" s="15"/>
      <c r="V281" s="75">
        <v>96</v>
      </c>
      <c r="W281" s="15">
        <f t="shared" ref="W281:W298" si="57">V281</f>
        <v>96</v>
      </c>
      <c r="X281" s="15">
        <f t="shared" si="56"/>
        <v>96</v>
      </c>
      <c r="Y281" s="15">
        <f>ROUNDDOWN(W281/HLOOKUP(D281,Table!$C$3:$D$4,2,0)*8,2)</f>
        <v>1.7</v>
      </c>
      <c r="Z281" s="15">
        <v>1.7</v>
      </c>
      <c r="AA281" s="15" t="s">
        <v>70</v>
      </c>
      <c r="AB281" s="19">
        <v>44013</v>
      </c>
      <c r="AC281" s="19">
        <v>44007</v>
      </c>
      <c r="AD281" s="85">
        <v>44013</v>
      </c>
      <c r="AE281" s="19">
        <v>44011</v>
      </c>
      <c r="AF281" s="19">
        <v>44011</v>
      </c>
      <c r="AG281" s="19" t="s">
        <v>165</v>
      </c>
      <c r="AH281" s="29">
        <v>0.68</v>
      </c>
      <c r="AI281" s="29">
        <v>0.6</v>
      </c>
      <c r="AJ281" s="29">
        <v>1</v>
      </c>
      <c r="AK281" s="19" t="s">
        <v>134</v>
      </c>
      <c r="AL281" s="190" t="s">
        <v>1261</v>
      </c>
      <c r="AM281" s="17" t="s">
        <v>58</v>
      </c>
      <c r="AN281" s="79" t="s">
        <v>1436</v>
      </c>
    </row>
    <row r="282" spans="2:40" hidden="1" x14ac:dyDescent="0.25">
      <c r="B282" s="184">
        <f t="shared" si="53"/>
        <v>223</v>
      </c>
      <c r="C282" s="16">
        <v>20200625</v>
      </c>
      <c r="D282" s="15" t="s">
        <v>3</v>
      </c>
      <c r="E282" s="75" t="s">
        <v>1029</v>
      </c>
      <c r="F282" s="100" t="s">
        <v>1271</v>
      </c>
      <c r="G282" s="75">
        <v>1537854</v>
      </c>
      <c r="H282" s="48" t="s">
        <v>58</v>
      </c>
      <c r="I282" s="75" t="s">
        <v>1041</v>
      </c>
      <c r="J282" s="48" t="s">
        <v>58</v>
      </c>
      <c r="K282" s="53" t="s">
        <v>1070</v>
      </c>
      <c r="L282" s="15" t="s">
        <v>144</v>
      </c>
      <c r="M282" s="15" t="s">
        <v>1058</v>
      </c>
      <c r="N282" s="75" t="s">
        <v>1055</v>
      </c>
      <c r="O282" s="17" t="s">
        <v>58</v>
      </c>
      <c r="P282" s="73" t="s">
        <v>1056</v>
      </c>
      <c r="Q282" s="18"/>
      <c r="R282" s="48" t="s">
        <v>58</v>
      </c>
      <c r="S282" s="15" t="s">
        <v>65</v>
      </c>
      <c r="T282" s="15"/>
      <c r="U282" s="15"/>
      <c r="V282" s="75">
        <v>107</v>
      </c>
      <c r="W282" s="15">
        <f t="shared" si="57"/>
        <v>107</v>
      </c>
      <c r="X282" s="15">
        <f t="shared" si="56"/>
        <v>107</v>
      </c>
      <c r="Y282" s="15">
        <f>ROUNDDOWN(W282/HLOOKUP(D282,Table!$C$3:$D$4,2,0)*8,2)</f>
        <v>1.9</v>
      </c>
      <c r="Z282" s="15">
        <v>1.9</v>
      </c>
      <c r="AA282" s="15" t="s">
        <v>70</v>
      </c>
      <c r="AB282" s="19">
        <v>44013</v>
      </c>
      <c r="AC282" s="19">
        <v>44007</v>
      </c>
      <c r="AD282" s="85">
        <v>44013</v>
      </c>
      <c r="AE282" s="19">
        <v>44011</v>
      </c>
      <c r="AF282" s="19">
        <v>44011</v>
      </c>
      <c r="AG282" s="19" t="s">
        <v>164</v>
      </c>
      <c r="AH282" s="29">
        <v>1</v>
      </c>
      <c r="AI282" s="29">
        <v>1</v>
      </c>
      <c r="AJ282" s="29">
        <v>1</v>
      </c>
      <c r="AK282" s="19" t="s">
        <v>144</v>
      </c>
      <c r="AL282" s="17" t="s">
        <v>58</v>
      </c>
      <c r="AM282" s="17" t="s">
        <v>58</v>
      </c>
      <c r="AN282" s="79" t="s">
        <v>363</v>
      </c>
    </row>
    <row r="283" spans="2:40" hidden="1" x14ac:dyDescent="0.25">
      <c r="B283" s="184">
        <f t="shared" si="53"/>
        <v>224</v>
      </c>
      <c r="C283" s="16">
        <v>20200625</v>
      </c>
      <c r="D283" s="15" t="s">
        <v>3</v>
      </c>
      <c r="E283" s="75" t="s">
        <v>1029</v>
      </c>
      <c r="F283" s="100" t="s">
        <v>1345</v>
      </c>
      <c r="G283" s="75">
        <v>1537854</v>
      </c>
      <c r="H283" s="48" t="s">
        <v>58</v>
      </c>
      <c r="I283" s="75" t="s">
        <v>1042</v>
      </c>
      <c r="J283" s="48" t="s">
        <v>58</v>
      </c>
      <c r="K283" s="53" t="s">
        <v>1070</v>
      </c>
      <c r="L283" s="15" t="s">
        <v>144</v>
      </c>
      <c r="M283" s="15" t="s">
        <v>1058</v>
      </c>
      <c r="N283" s="75" t="s">
        <v>1055</v>
      </c>
      <c r="O283" s="17" t="s">
        <v>58</v>
      </c>
      <c r="P283" s="73" t="s">
        <v>1056</v>
      </c>
      <c r="Q283" s="18"/>
      <c r="R283" s="48" t="s">
        <v>58</v>
      </c>
      <c r="S283" s="15" t="s">
        <v>65</v>
      </c>
      <c r="T283" s="15"/>
      <c r="U283" s="15"/>
      <c r="V283" s="75">
        <v>318</v>
      </c>
      <c r="W283" s="15">
        <f t="shared" si="57"/>
        <v>318</v>
      </c>
      <c r="X283" s="15">
        <f t="shared" si="56"/>
        <v>318</v>
      </c>
      <c r="Y283" s="15">
        <f>ROUNDDOWN(W283/HLOOKUP(D283,Table!$C$3:$D$4,2,0)*8,2)</f>
        <v>5.65</v>
      </c>
      <c r="Z283" s="15">
        <v>5.5</v>
      </c>
      <c r="AA283" s="15" t="s">
        <v>70</v>
      </c>
      <c r="AB283" s="19">
        <v>44013</v>
      </c>
      <c r="AC283" s="19">
        <v>44007</v>
      </c>
      <c r="AD283" s="85">
        <v>44013</v>
      </c>
      <c r="AE283" s="19">
        <v>44011</v>
      </c>
      <c r="AF283" s="19">
        <v>44011</v>
      </c>
      <c r="AG283" s="19" t="s">
        <v>164</v>
      </c>
      <c r="AH283" s="29">
        <v>1</v>
      </c>
      <c r="AI283" s="29">
        <v>1</v>
      </c>
      <c r="AJ283" s="29">
        <v>1</v>
      </c>
      <c r="AK283" s="19" t="s">
        <v>144</v>
      </c>
      <c r="AL283" s="17" t="s">
        <v>58</v>
      </c>
      <c r="AM283" s="17" t="s">
        <v>58</v>
      </c>
      <c r="AN283" s="79" t="s">
        <v>363</v>
      </c>
    </row>
    <row r="284" spans="2:40" hidden="1" x14ac:dyDescent="0.25">
      <c r="B284" s="184">
        <f t="shared" si="53"/>
        <v>225</v>
      </c>
      <c r="C284" s="16">
        <v>20200625</v>
      </c>
      <c r="D284" s="15" t="s">
        <v>3</v>
      </c>
      <c r="E284" s="75" t="s">
        <v>1029</v>
      </c>
      <c r="F284" s="100" t="s">
        <v>1346</v>
      </c>
      <c r="G284" s="75">
        <v>1537854</v>
      </c>
      <c r="H284" s="48" t="s">
        <v>58</v>
      </c>
      <c r="I284" s="75" t="s">
        <v>1043</v>
      </c>
      <c r="J284" s="48" t="s">
        <v>58</v>
      </c>
      <c r="K284" s="53" t="s">
        <v>1070</v>
      </c>
      <c r="L284" s="15" t="s">
        <v>144</v>
      </c>
      <c r="M284" s="15" t="s">
        <v>1058</v>
      </c>
      <c r="N284" s="75" t="s">
        <v>1055</v>
      </c>
      <c r="O284" s="17" t="s">
        <v>58</v>
      </c>
      <c r="P284" s="73" t="s">
        <v>1056</v>
      </c>
      <c r="Q284" s="18"/>
      <c r="R284" s="48" t="s">
        <v>58</v>
      </c>
      <c r="S284" s="15" t="s">
        <v>65</v>
      </c>
      <c r="T284" s="15"/>
      <c r="U284" s="15"/>
      <c r="V284" s="75">
        <v>49</v>
      </c>
      <c r="W284" s="15">
        <f t="shared" si="57"/>
        <v>49</v>
      </c>
      <c r="X284" s="15">
        <f t="shared" si="56"/>
        <v>49</v>
      </c>
      <c r="Y284" s="15">
        <f>ROUNDDOWN(W284/HLOOKUP(D284,Table!$C$3:$D$4,2,0)*8,2)</f>
        <v>0.87</v>
      </c>
      <c r="Z284" s="15">
        <f t="shared" ref="Z284:Z289" si="58">Y284</f>
        <v>0.87</v>
      </c>
      <c r="AA284" s="15" t="s">
        <v>70</v>
      </c>
      <c r="AB284" s="19">
        <v>44013</v>
      </c>
      <c r="AC284" s="19">
        <v>44007</v>
      </c>
      <c r="AD284" s="85">
        <v>44013</v>
      </c>
      <c r="AE284" s="19">
        <v>44012</v>
      </c>
      <c r="AF284" s="19">
        <v>44012</v>
      </c>
      <c r="AG284" s="19" t="s">
        <v>164</v>
      </c>
      <c r="AH284" s="29">
        <v>1</v>
      </c>
      <c r="AI284" s="29">
        <v>1</v>
      </c>
      <c r="AJ284" s="29">
        <v>1</v>
      </c>
      <c r="AK284" s="19" t="s">
        <v>144</v>
      </c>
      <c r="AL284" s="17" t="s">
        <v>58</v>
      </c>
      <c r="AM284" s="17" t="s">
        <v>58</v>
      </c>
      <c r="AN284" s="79" t="s">
        <v>363</v>
      </c>
    </row>
    <row r="285" spans="2:40" hidden="1" x14ac:dyDescent="0.25">
      <c r="B285" s="184">
        <f t="shared" si="53"/>
        <v>226</v>
      </c>
      <c r="C285" s="16">
        <v>20200625</v>
      </c>
      <c r="D285" s="15" t="s">
        <v>3</v>
      </c>
      <c r="E285" s="75" t="s">
        <v>1029</v>
      </c>
      <c r="F285" s="100" t="s">
        <v>1347</v>
      </c>
      <c r="G285" s="75">
        <v>1537854</v>
      </c>
      <c r="H285" s="48" t="s">
        <v>58</v>
      </c>
      <c r="I285" s="75" t="s">
        <v>1044</v>
      </c>
      <c r="J285" s="48" t="s">
        <v>58</v>
      </c>
      <c r="K285" s="53" t="s">
        <v>1070</v>
      </c>
      <c r="L285" s="15" t="s">
        <v>144</v>
      </c>
      <c r="M285" s="15" t="s">
        <v>1058</v>
      </c>
      <c r="N285" s="75" t="s">
        <v>1055</v>
      </c>
      <c r="O285" s="17" t="s">
        <v>58</v>
      </c>
      <c r="P285" s="73" t="s">
        <v>1056</v>
      </c>
      <c r="Q285" s="18"/>
      <c r="R285" s="48" t="s">
        <v>58</v>
      </c>
      <c r="S285" s="15" t="s">
        <v>65</v>
      </c>
      <c r="T285" s="15"/>
      <c r="U285" s="15"/>
      <c r="V285" s="75">
        <v>150</v>
      </c>
      <c r="W285" s="15">
        <f t="shared" si="57"/>
        <v>150</v>
      </c>
      <c r="X285" s="15">
        <f t="shared" si="56"/>
        <v>150</v>
      </c>
      <c r="Y285" s="15">
        <f>ROUNDDOWN(W285/HLOOKUP(D285,Table!$C$3:$D$4,2,0)*8,2)</f>
        <v>2.66</v>
      </c>
      <c r="Z285" s="15">
        <f t="shared" si="58"/>
        <v>2.66</v>
      </c>
      <c r="AA285" s="15" t="s">
        <v>70</v>
      </c>
      <c r="AB285" s="19">
        <v>44013</v>
      </c>
      <c r="AC285" s="19">
        <v>44007</v>
      </c>
      <c r="AD285" s="85">
        <v>44013</v>
      </c>
      <c r="AE285" s="19">
        <v>44012</v>
      </c>
      <c r="AF285" s="19">
        <v>44012</v>
      </c>
      <c r="AG285" s="19" t="s">
        <v>164</v>
      </c>
      <c r="AH285" s="29">
        <v>1</v>
      </c>
      <c r="AI285" s="29">
        <v>1</v>
      </c>
      <c r="AJ285" s="29">
        <v>1</v>
      </c>
      <c r="AK285" s="19" t="s">
        <v>144</v>
      </c>
      <c r="AL285" s="17" t="s">
        <v>58</v>
      </c>
      <c r="AM285" s="17" t="s">
        <v>58</v>
      </c>
      <c r="AN285" s="79" t="s">
        <v>363</v>
      </c>
    </row>
    <row r="286" spans="2:40" hidden="1" x14ac:dyDescent="0.25">
      <c r="B286" s="184">
        <f t="shared" si="53"/>
        <v>227</v>
      </c>
      <c r="C286" s="16">
        <v>20200625</v>
      </c>
      <c r="D286" s="15" t="s">
        <v>3</v>
      </c>
      <c r="E286" s="75" t="s">
        <v>1029</v>
      </c>
      <c r="F286" s="100" t="s">
        <v>1348</v>
      </c>
      <c r="G286" s="75">
        <v>1537854</v>
      </c>
      <c r="H286" s="48" t="s">
        <v>58</v>
      </c>
      <c r="I286" s="75" t="s">
        <v>1045</v>
      </c>
      <c r="J286" s="48" t="s">
        <v>58</v>
      </c>
      <c r="K286" s="53" t="s">
        <v>1070</v>
      </c>
      <c r="L286" s="15" t="s">
        <v>144</v>
      </c>
      <c r="M286" s="15" t="s">
        <v>1058</v>
      </c>
      <c r="N286" s="75" t="s">
        <v>1055</v>
      </c>
      <c r="O286" s="17" t="s">
        <v>58</v>
      </c>
      <c r="P286" s="73" t="s">
        <v>1056</v>
      </c>
      <c r="Q286" s="18"/>
      <c r="R286" s="48" t="s">
        <v>58</v>
      </c>
      <c r="S286" s="15" t="s">
        <v>65</v>
      </c>
      <c r="T286" s="15"/>
      <c r="U286" s="15"/>
      <c r="V286" s="75">
        <v>67</v>
      </c>
      <c r="W286" s="15">
        <f t="shared" si="57"/>
        <v>67</v>
      </c>
      <c r="X286" s="15">
        <f t="shared" ref="X286:X303" si="59">W286</f>
        <v>67</v>
      </c>
      <c r="Y286" s="15">
        <f>ROUNDDOWN(W286/HLOOKUP(D286,Table!$C$3:$D$4,2,0)*8,2)</f>
        <v>1.19</v>
      </c>
      <c r="Z286" s="15">
        <f t="shared" si="58"/>
        <v>1.19</v>
      </c>
      <c r="AA286" s="15" t="s">
        <v>70</v>
      </c>
      <c r="AB286" s="19">
        <v>44013</v>
      </c>
      <c r="AC286" s="19">
        <v>44007</v>
      </c>
      <c r="AD286" s="85">
        <v>44013</v>
      </c>
      <c r="AE286" s="19">
        <v>44012</v>
      </c>
      <c r="AF286" s="19">
        <v>44012</v>
      </c>
      <c r="AG286" s="19" t="s">
        <v>164</v>
      </c>
      <c r="AH286" s="29">
        <v>1</v>
      </c>
      <c r="AI286" s="29">
        <v>1</v>
      </c>
      <c r="AJ286" s="29">
        <v>1</v>
      </c>
      <c r="AK286" s="19" t="s">
        <v>144</v>
      </c>
      <c r="AL286" s="17" t="s">
        <v>58</v>
      </c>
      <c r="AM286" s="17" t="s">
        <v>58</v>
      </c>
      <c r="AN286" s="79" t="s">
        <v>363</v>
      </c>
    </row>
    <row r="287" spans="2:40" hidden="1" x14ac:dyDescent="0.25">
      <c r="B287" s="184">
        <f t="shared" si="53"/>
        <v>228</v>
      </c>
      <c r="C287" s="16">
        <v>20200625</v>
      </c>
      <c r="D287" s="15" t="s">
        <v>3</v>
      </c>
      <c r="E287" s="75" t="s">
        <v>1029</v>
      </c>
      <c r="F287" s="100" t="s">
        <v>1349</v>
      </c>
      <c r="G287" s="75">
        <v>1537854</v>
      </c>
      <c r="H287" s="48" t="s">
        <v>58</v>
      </c>
      <c r="I287" s="75" t="s">
        <v>1046</v>
      </c>
      <c r="J287" s="48" t="s">
        <v>58</v>
      </c>
      <c r="K287" s="53" t="s">
        <v>1070</v>
      </c>
      <c r="L287" s="15" t="s">
        <v>144</v>
      </c>
      <c r="M287" s="15" t="s">
        <v>1058</v>
      </c>
      <c r="N287" s="75" t="s">
        <v>1055</v>
      </c>
      <c r="O287" s="17" t="s">
        <v>58</v>
      </c>
      <c r="P287" s="73" t="s">
        <v>1056</v>
      </c>
      <c r="Q287" s="18"/>
      <c r="R287" s="48" t="s">
        <v>58</v>
      </c>
      <c r="S287" s="15" t="s">
        <v>65</v>
      </c>
      <c r="T287" s="15"/>
      <c r="U287" s="15"/>
      <c r="V287" s="75">
        <v>342</v>
      </c>
      <c r="W287" s="15">
        <f t="shared" si="57"/>
        <v>342</v>
      </c>
      <c r="X287" s="15">
        <f t="shared" si="59"/>
        <v>342</v>
      </c>
      <c r="Y287" s="15">
        <f>ROUNDDOWN(W287/HLOOKUP(D287,Table!$C$3:$D$4,2,0)*8,2)</f>
        <v>6.08</v>
      </c>
      <c r="Z287" s="15">
        <f t="shared" si="58"/>
        <v>6.08</v>
      </c>
      <c r="AA287" s="15" t="s">
        <v>70</v>
      </c>
      <c r="AB287" s="19">
        <v>44013</v>
      </c>
      <c r="AC287" s="19">
        <v>44007</v>
      </c>
      <c r="AD287" s="85">
        <v>44013</v>
      </c>
      <c r="AE287" s="19">
        <v>44012</v>
      </c>
      <c r="AF287" s="19">
        <v>44012</v>
      </c>
      <c r="AG287" s="19" t="s">
        <v>164</v>
      </c>
      <c r="AH287" s="29">
        <v>1</v>
      </c>
      <c r="AI287" s="29">
        <v>1</v>
      </c>
      <c r="AJ287" s="29">
        <v>1</v>
      </c>
      <c r="AK287" s="19" t="s">
        <v>144</v>
      </c>
      <c r="AL287" s="17" t="s">
        <v>58</v>
      </c>
      <c r="AM287" s="17" t="s">
        <v>58</v>
      </c>
      <c r="AN287" s="79" t="s">
        <v>363</v>
      </c>
    </row>
    <row r="288" spans="2:40" hidden="1" x14ac:dyDescent="0.25">
      <c r="B288" s="184">
        <f t="shared" si="53"/>
        <v>229</v>
      </c>
      <c r="C288" s="16">
        <v>20200625</v>
      </c>
      <c r="D288" s="15" t="s">
        <v>3</v>
      </c>
      <c r="E288" s="75" t="s">
        <v>1029</v>
      </c>
      <c r="F288" s="100" t="s">
        <v>1350</v>
      </c>
      <c r="G288" s="75">
        <v>1537854</v>
      </c>
      <c r="H288" s="48" t="s">
        <v>58</v>
      </c>
      <c r="I288" s="75" t="s">
        <v>1047</v>
      </c>
      <c r="J288" s="48" t="s">
        <v>58</v>
      </c>
      <c r="K288" s="53" t="s">
        <v>1070</v>
      </c>
      <c r="L288" s="15" t="s">
        <v>144</v>
      </c>
      <c r="M288" s="15" t="s">
        <v>1058</v>
      </c>
      <c r="N288" s="75" t="s">
        <v>1055</v>
      </c>
      <c r="O288" s="17" t="s">
        <v>58</v>
      </c>
      <c r="P288" s="73" t="s">
        <v>1056</v>
      </c>
      <c r="Q288" s="18"/>
      <c r="R288" s="48" t="s">
        <v>58</v>
      </c>
      <c r="S288" s="15" t="s">
        <v>65</v>
      </c>
      <c r="T288" s="15"/>
      <c r="U288" s="15"/>
      <c r="V288" s="75">
        <v>50</v>
      </c>
      <c r="W288" s="15">
        <f t="shared" si="57"/>
        <v>50</v>
      </c>
      <c r="X288" s="15">
        <f t="shared" si="59"/>
        <v>50</v>
      </c>
      <c r="Y288" s="15">
        <f>ROUNDDOWN(W288/HLOOKUP(D288,Table!$C$3:$D$4,2,0)*8,2)</f>
        <v>0.88</v>
      </c>
      <c r="Z288" s="15">
        <f t="shared" si="58"/>
        <v>0.88</v>
      </c>
      <c r="AA288" s="15" t="s">
        <v>70</v>
      </c>
      <c r="AB288" s="19">
        <v>44013</v>
      </c>
      <c r="AC288" s="19">
        <v>44007</v>
      </c>
      <c r="AD288" s="85">
        <v>44013</v>
      </c>
      <c r="AE288" s="19">
        <v>44012</v>
      </c>
      <c r="AF288" s="19">
        <v>44012</v>
      </c>
      <c r="AG288" s="19" t="s">
        <v>164</v>
      </c>
      <c r="AH288" s="29">
        <v>1</v>
      </c>
      <c r="AI288" s="29">
        <v>1</v>
      </c>
      <c r="AJ288" s="29">
        <v>1</v>
      </c>
      <c r="AK288" s="19" t="s">
        <v>144</v>
      </c>
      <c r="AL288" s="17" t="s">
        <v>58</v>
      </c>
      <c r="AM288" s="17" t="s">
        <v>58</v>
      </c>
      <c r="AN288" s="79" t="s">
        <v>363</v>
      </c>
    </row>
    <row r="289" spans="2:40" hidden="1" x14ac:dyDescent="0.25">
      <c r="B289" s="184">
        <f t="shared" si="53"/>
        <v>230</v>
      </c>
      <c r="C289" s="16">
        <v>20200625</v>
      </c>
      <c r="D289" s="15" t="s">
        <v>3</v>
      </c>
      <c r="E289" s="75" t="s">
        <v>1029</v>
      </c>
      <c r="F289" s="100" t="s">
        <v>1351</v>
      </c>
      <c r="G289" s="75">
        <v>1537854</v>
      </c>
      <c r="H289" s="48" t="s">
        <v>58</v>
      </c>
      <c r="I289" s="75" t="s">
        <v>1048</v>
      </c>
      <c r="J289" s="48" t="s">
        <v>58</v>
      </c>
      <c r="K289" s="53" t="s">
        <v>1070</v>
      </c>
      <c r="L289" s="15" t="s">
        <v>144</v>
      </c>
      <c r="M289" s="15" t="s">
        <v>1058</v>
      </c>
      <c r="N289" s="75" t="s">
        <v>1055</v>
      </c>
      <c r="O289" s="17" t="s">
        <v>58</v>
      </c>
      <c r="P289" s="73" t="s">
        <v>1056</v>
      </c>
      <c r="Q289" s="18"/>
      <c r="R289" s="48" t="s">
        <v>58</v>
      </c>
      <c r="S289" s="15" t="s">
        <v>65</v>
      </c>
      <c r="T289" s="15"/>
      <c r="U289" s="15"/>
      <c r="V289" s="75">
        <v>46</v>
      </c>
      <c r="W289" s="15">
        <f t="shared" si="57"/>
        <v>46</v>
      </c>
      <c r="X289" s="15">
        <f t="shared" si="59"/>
        <v>46</v>
      </c>
      <c r="Y289" s="15">
        <f>ROUNDDOWN(W289/HLOOKUP(D289,Table!$C$3:$D$4,2,0)*8,2)</f>
        <v>0.81</v>
      </c>
      <c r="Z289" s="15">
        <f t="shared" si="58"/>
        <v>0.81</v>
      </c>
      <c r="AA289" s="15" t="s">
        <v>70</v>
      </c>
      <c r="AB289" s="19">
        <v>44013</v>
      </c>
      <c r="AC289" s="19">
        <v>44007</v>
      </c>
      <c r="AD289" s="85">
        <v>44013</v>
      </c>
      <c r="AE289" s="19">
        <v>44012</v>
      </c>
      <c r="AF289" s="19">
        <v>44012</v>
      </c>
      <c r="AG289" s="19" t="s">
        <v>164</v>
      </c>
      <c r="AH289" s="29">
        <v>1</v>
      </c>
      <c r="AI289" s="29">
        <v>1</v>
      </c>
      <c r="AJ289" s="29">
        <v>1</v>
      </c>
      <c r="AK289" s="19" t="s">
        <v>144</v>
      </c>
      <c r="AL289" s="17" t="s">
        <v>58</v>
      </c>
      <c r="AM289" s="17" t="s">
        <v>58</v>
      </c>
      <c r="AN289" s="79" t="s">
        <v>363</v>
      </c>
    </row>
    <row r="290" spans="2:40" hidden="1" x14ac:dyDescent="0.25">
      <c r="B290" s="184">
        <f t="shared" si="53"/>
        <v>231</v>
      </c>
      <c r="C290" s="16">
        <v>20200625</v>
      </c>
      <c r="D290" s="15" t="s">
        <v>3</v>
      </c>
      <c r="E290" s="75" t="s">
        <v>1029</v>
      </c>
      <c r="F290" s="100" t="s">
        <v>1352</v>
      </c>
      <c r="G290" s="75">
        <v>1537854</v>
      </c>
      <c r="H290" s="48" t="s">
        <v>58</v>
      </c>
      <c r="I290" s="75" t="s">
        <v>1049</v>
      </c>
      <c r="J290" s="48" t="s">
        <v>58</v>
      </c>
      <c r="K290" s="53" t="s">
        <v>1070</v>
      </c>
      <c r="L290" s="15" t="s">
        <v>144</v>
      </c>
      <c r="M290" s="15" t="s">
        <v>1058</v>
      </c>
      <c r="N290" s="75" t="s">
        <v>1055</v>
      </c>
      <c r="O290" s="17" t="s">
        <v>58</v>
      </c>
      <c r="P290" s="73" t="s">
        <v>1056</v>
      </c>
      <c r="Q290" s="18"/>
      <c r="R290" s="48" t="s">
        <v>58</v>
      </c>
      <c r="S290" s="15" t="s">
        <v>6</v>
      </c>
      <c r="T290" s="15" t="s">
        <v>233</v>
      </c>
      <c r="U290" s="15" t="s">
        <v>1625</v>
      </c>
      <c r="V290" s="75">
        <v>89</v>
      </c>
      <c r="W290" s="15">
        <f t="shared" si="57"/>
        <v>89</v>
      </c>
      <c r="X290" s="15">
        <f t="shared" si="59"/>
        <v>89</v>
      </c>
      <c r="Y290" s="15">
        <f>ROUNDDOWN(W290/HLOOKUP(D290,Table!$C$3:$D$4,2,0)*8,2)</f>
        <v>1.58</v>
      </c>
      <c r="Z290" s="15">
        <v>1</v>
      </c>
      <c r="AA290" s="15" t="s">
        <v>70</v>
      </c>
      <c r="AB290" s="19">
        <v>44013</v>
      </c>
      <c r="AC290" s="19">
        <v>44007</v>
      </c>
      <c r="AD290" s="85">
        <v>44013</v>
      </c>
      <c r="AE290" s="19">
        <v>44008</v>
      </c>
      <c r="AF290" s="19">
        <v>44008</v>
      </c>
      <c r="AG290" s="19" t="s">
        <v>164</v>
      </c>
      <c r="AH290" s="29">
        <v>1</v>
      </c>
      <c r="AI290" s="29">
        <v>1</v>
      </c>
      <c r="AJ290" s="29">
        <v>1</v>
      </c>
      <c r="AK290" s="19" t="s">
        <v>144</v>
      </c>
      <c r="AL290" s="17" t="s">
        <v>58</v>
      </c>
      <c r="AM290" s="17"/>
      <c r="AN290" s="79" t="s">
        <v>363</v>
      </c>
    </row>
    <row r="291" spans="2:40" hidden="1" x14ac:dyDescent="0.25">
      <c r="B291" s="184">
        <f t="shared" si="53"/>
        <v>232</v>
      </c>
      <c r="C291" s="16">
        <v>20200625</v>
      </c>
      <c r="D291" s="15" t="s">
        <v>3</v>
      </c>
      <c r="E291" s="75" t="s">
        <v>1029</v>
      </c>
      <c r="F291" s="100" t="s">
        <v>1353</v>
      </c>
      <c r="G291" s="75">
        <v>1537854</v>
      </c>
      <c r="H291" s="48" t="s">
        <v>58</v>
      </c>
      <c r="I291" s="75" t="s">
        <v>1050</v>
      </c>
      <c r="J291" s="48" t="s">
        <v>58</v>
      </c>
      <c r="K291" s="53" t="s">
        <v>1070</v>
      </c>
      <c r="L291" s="15" t="s">
        <v>144</v>
      </c>
      <c r="M291" s="15" t="s">
        <v>1058</v>
      </c>
      <c r="N291" s="75" t="s">
        <v>1055</v>
      </c>
      <c r="O291" s="17" t="s">
        <v>58</v>
      </c>
      <c r="P291" s="73" t="s">
        <v>1056</v>
      </c>
      <c r="Q291" s="18"/>
      <c r="R291" s="48" t="s">
        <v>58</v>
      </c>
      <c r="S291" s="15" t="s">
        <v>6</v>
      </c>
      <c r="T291" s="15" t="s">
        <v>233</v>
      </c>
      <c r="U291" s="15" t="s">
        <v>1625</v>
      </c>
      <c r="V291" s="75">
        <v>134</v>
      </c>
      <c r="W291" s="79">
        <v>143</v>
      </c>
      <c r="X291" s="15">
        <f t="shared" si="59"/>
        <v>143</v>
      </c>
      <c r="Y291" s="15">
        <f>ROUNDDOWN(W291/HLOOKUP(D291,Table!$C$3:$D$4,2,0)*8,2)</f>
        <v>2.54</v>
      </c>
      <c r="Z291" s="15">
        <v>3</v>
      </c>
      <c r="AA291" s="15" t="s">
        <v>70</v>
      </c>
      <c r="AB291" s="19">
        <v>44013</v>
      </c>
      <c r="AC291" s="19">
        <v>44007</v>
      </c>
      <c r="AD291" s="85">
        <v>44013</v>
      </c>
      <c r="AE291" s="19">
        <v>44011</v>
      </c>
      <c r="AF291" s="19">
        <v>44011</v>
      </c>
      <c r="AG291" s="19" t="s">
        <v>164</v>
      </c>
      <c r="AH291" s="29">
        <v>1</v>
      </c>
      <c r="AI291" s="29">
        <v>1</v>
      </c>
      <c r="AJ291" s="29">
        <v>1</v>
      </c>
      <c r="AK291" s="19" t="s">
        <v>144</v>
      </c>
      <c r="AL291" s="17" t="s">
        <v>58</v>
      </c>
      <c r="AM291" s="17"/>
      <c r="AN291" s="79" t="s">
        <v>1392</v>
      </c>
    </row>
    <row r="292" spans="2:40" hidden="1" x14ac:dyDescent="0.25">
      <c r="B292" s="184">
        <f t="shared" si="53"/>
        <v>233</v>
      </c>
      <c r="C292" s="16">
        <v>20200625</v>
      </c>
      <c r="D292" s="15" t="s">
        <v>3</v>
      </c>
      <c r="E292" s="75" t="s">
        <v>1029</v>
      </c>
      <c r="F292" s="100" t="s">
        <v>1354</v>
      </c>
      <c r="G292" s="75">
        <v>1537854</v>
      </c>
      <c r="H292" s="48" t="s">
        <v>58</v>
      </c>
      <c r="I292" s="75" t="s">
        <v>1051</v>
      </c>
      <c r="J292" s="48" t="s">
        <v>58</v>
      </c>
      <c r="K292" s="53" t="s">
        <v>1070</v>
      </c>
      <c r="L292" s="15" t="s">
        <v>144</v>
      </c>
      <c r="M292" s="15" t="s">
        <v>1058</v>
      </c>
      <c r="N292" s="75" t="s">
        <v>1055</v>
      </c>
      <c r="O292" s="17" t="s">
        <v>58</v>
      </c>
      <c r="P292" s="73" t="s">
        <v>1056</v>
      </c>
      <c r="Q292" s="18"/>
      <c r="R292" s="48" t="s">
        <v>58</v>
      </c>
      <c r="S292" s="15" t="s">
        <v>6</v>
      </c>
      <c r="T292" s="15" t="s">
        <v>233</v>
      </c>
      <c r="U292" s="15" t="s">
        <v>1625</v>
      </c>
      <c r="V292" s="75">
        <v>200</v>
      </c>
      <c r="W292" s="79">
        <v>209</v>
      </c>
      <c r="X292" s="15">
        <f t="shared" si="59"/>
        <v>209</v>
      </c>
      <c r="Y292" s="15">
        <f>ROUNDDOWN(W292/HLOOKUP(D292,Table!$C$3:$D$4,2,0)*8,2)</f>
        <v>3.71</v>
      </c>
      <c r="Z292" s="15">
        <v>3</v>
      </c>
      <c r="AA292" s="15" t="s">
        <v>70</v>
      </c>
      <c r="AB292" s="19">
        <v>44013</v>
      </c>
      <c r="AC292" s="19">
        <v>44007</v>
      </c>
      <c r="AD292" s="85">
        <v>44013</v>
      </c>
      <c r="AE292" s="19">
        <v>44011</v>
      </c>
      <c r="AF292" s="19">
        <v>44011</v>
      </c>
      <c r="AG292" s="19" t="s">
        <v>165</v>
      </c>
      <c r="AH292" s="29">
        <v>1</v>
      </c>
      <c r="AI292" s="29">
        <v>0.97</v>
      </c>
      <c r="AJ292" s="29">
        <v>1</v>
      </c>
      <c r="AK292" s="19" t="s">
        <v>134</v>
      </c>
      <c r="AL292" s="17" t="s">
        <v>1307</v>
      </c>
      <c r="AM292" s="17"/>
      <c r="AN292" s="79" t="s">
        <v>1404</v>
      </c>
    </row>
    <row r="293" spans="2:40" hidden="1" x14ac:dyDescent="0.25">
      <c r="B293" s="184">
        <f t="shared" si="53"/>
        <v>234</v>
      </c>
      <c r="C293" s="16">
        <v>20200625</v>
      </c>
      <c r="D293" s="15" t="s">
        <v>3</v>
      </c>
      <c r="E293" s="75" t="s">
        <v>1029</v>
      </c>
      <c r="F293" s="100" t="s">
        <v>1355</v>
      </c>
      <c r="G293" s="75">
        <v>1537854</v>
      </c>
      <c r="H293" s="48" t="s">
        <v>58</v>
      </c>
      <c r="I293" s="75" t="s">
        <v>147</v>
      </c>
      <c r="J293" s="48" t="s">
        <v>58</v>
      </c>
      <c r="K293" s="53" t="s">
        <v>1070</v>
      </c>
      <c r="L293" s="15" t="s">
        <v>144</v>
      </c>
      <c r="M293" s="15" t="s">
        <v>1058</v>
      </c>
      <c r="N293" s="75" t="s">
        <v>1055</v>
      </c>
      <c r="O293" s="17" t="s">
        <v>58</v>
      </c>
      <c r="P293" s="73" t="s">
        <v>1056</v>
      </c>
      <c r="Q293" s="18"/>
      <c r="R293" s="48" t="s">
        <v>58</v>
      </c>
      <c r="S293" s="15" t="s">
        <v>6</v>
      </c>
      <c r="T293" s="15" t="s">
        <v>233</v>
      </c>
      <c r="U293" s="15" t="s">
        <v>1625</v>
      </c>
      <c r="V293" s="75">
        <v>124</v>
      </c>
      <c r="W293" s="79">
        <v>134</v>
      </c>
      <c r="X293" s="15">
        <f t="shared" si="59"/>
        <v>134</v>
      </c>
      <c r="Y293" s="15">
        <f>ROUNDDOWN(W293/HLOOKUP(D293,Table!$C$3:$D$4,2,0)*8,2)</f>
        <v>2.38</v>
      </c>
      <c r="Z293" s="15">
        <v>2</v>
      </c>
      <c r="AA293" s="15" t="s">
        <v>70</v>
      </c>
      <c r="AB293" s="19">
        <v>44013</v>
      </c>
      <c r="AC293" s="19">
        <v>44007</v>
      </c>
      <c r="AD293" s="85">
        <v>44013</v>
      </c>
      <c r="AE293" s="19">
        <v>44011</v>
      </c>
      <c r="AF293" s="19">
        <v>44011</v>
      </c>
      <c r="AG293" s="19" t="s">
        <v>165</v>
      </c>
      <c r="AH293" s="29">
        <v>1</v>
      </c>
      <c r="AI293" s="29">
        <v>1</v>
      </c>
      <c r="AJ293" s="29">
        <v>0.75</v>
      </c>
      <c r="AK293" s="19" t="s">
        <v>134</v>
      </c>
      <c r="AL293" s="17" t="s">
        <v>1312</v>
      </c>
      <c r="AM293" s="17"/>
      <c r="AN293" s="79" t="s">
        <v>1405</v>
      </c>
    </row>
    <row r="294" spans="2:40" hidden="1" x14ac:dyDescent="0.25">
      <c r="B294" s="184">
        <f t="shared" si="53"/>
        <v>235</v>
      </c>
      <c r="C294" s="16">
        <v>20200625</v>
      </c>
      <c r="D294" s="15" t="s">
        <v>3</v>
      </c>
      <c r="E294" s="75" t="s">
        <v>1029</v>
      </c>
      <c r="F294" s="100" t="s">
        <v>1356</v>
      </c>
      <c r="G294" s="75">
        <v>1537854</v>
      </c>
      <c r="H294" s="48" t="s">
        <v>58</v>
      </c>
      <c r="I294" s="75" t="s">
        <v>298</v>
      </c>
      <c r="J294" s="48" t="s">
        <v>58</v>
      </c>
      <c r="K294" s="53" t="s">
        <v>1070</v>
      </c>
      <c r="L294" s="15" t="s">
        <v>144</v>
      </c>
      <c r="M294" s="15" t="s">
        <v>1058</v>
      </c>
      <c r="N294" s="75" t="s">
        <v>1055</v>
      </c>
      <c r="O294" s="17" t="s">
        <v>58</v>
      </c>
      <c r="P294" s="73" t="s">
        <v>1056</v>
      </c>
      <c r="Q294" s="18"/>
      <c r="R294" s="48" t="s">
        <v>58</v>
      </c>
      <c r="S294" s="15" t="s">
        <v>6</v>
      </c>
      <c r="T294" s="15" t="s">
        <v>233</v>
      </c>
      <c r="U294" s="15" t="s">
        <v>1625</v>
      </c>
      <c r="V294" s="75">
        <v>154</v>
      </c>
      <c r="W294" s="79">
        <v>123</v>
      </c>
      <c r="X294" s="15">
        <f t="shared" si="59"/>
        <v>123</v>
      </c>
      <c r="Y294" s="15">
        <f>ROUNDDOWN(W294/HLOOKUP(D294,Table!$C$3:$D$4,2,0)*8,2)</f>
        <v>2.1800000000000002</v>
      </c>
      <c r="Z294" s="15">
        <v>2</v>
      </c>
      <c r="AA294" s="15" t="s">
        <v>70</v>
      </c>
      <c r="AB294" s="19">
        <v>44013</v>
      </c>
      <c r="AC294" s="19">
        <v>44007</v>
      </c>
      <c r="AD294" s="85">
        <v>44013</v>
      </c>
      <c r="AE294" s="19">
        <v>44012</v>
      </c>
      <c r="AF294" s="19">
        <v>44012</v>
      </c>
      <c r="AG294" s="19" t="s">
        <v>165</v>
      </c>
      <c r="AH294" s="29">
        <v>1</v>
      </c>
      <c r="AI294" s="29">
        <v>0.92</v>
      </c>
      <c r="AJ294" s="29">
        <v>1</v>
      </c>
      <c r="AK294" s="19" t="s">
        <v>134</v>
      </c>
      <c r="AL294" s="17" t="s">
        <v>1315</v>
      </c>
      <c r="AM294" s="17"/>
      <c r="AN294" s="79" t="s">
        <v>1406</v>
      </c>
    </row>
    <row r="295" spans="2:40" hidden="1" x14ac:dyDescent="0.25">
      <c r="B295" s="184">
        <f t="shared" si="53"/>
        <v>236</v>
      </c>
      <c r="C295" s="16">
        <v>20200625</v>
      </c>
      <c r="D295" s="15" t="s">
        <v>3</v>
      </c>
      <c r="E295" s="75" t="s">
        <v>1029</v>
      </c>
      <c r="F295" s="100" t="s">
        <v>1357</v>
      </c>
      <c r="G295" s="75">
        <v>1537854</v>
      </c>
      <c r="H295" s="48" t="s">
        <v>58</v>
      </c>
      <c r="I295" s="75" t="s">
        <v>148</v>
      </c>
      <c r="J295" s="48" t="s">
        <v>58</v>
      </c>
      <c r="K295" s="53" t="s">
        <v>1070</v>
      </c>
      <c r="L295" s="15" t="s">
        <v>144</v>
      </c>
      <c r="M295" s="15" t="s">
        <v>1058</v>
      </c>
      <c r="N295" s="75" t="s">
        <v>1055</v>
      </c>
      <c r="O295" s="17" t="s">
        <v>58</v>
      </c>
      <c r="P295" s="73" t="s">
        <v>1056</v>
      </c>
      <c r="Q295" s="18"/>
      <c r="R295" s="48" t="s">
        <v>58</v>
      </c>
      <c r="S295" s="15" t="s">
        <v>6</v>
      </c>
      <c r="T295" s="15" t="s">
        <v>233</v>
      </c>
      <c r="U295" s="15" t="s">
        <v>1625</v>
      </c>
      <c r="V295" s="75">
        <v>71</v>
      </c>
      <c r="W295" s="79">
        <v>153</v>
      </c>
      <c r="X295" s="15">
        <f t="shared" si="59"/>
        <v>153</v>
      </c>
      <c r="Y295" s="15">
        <f>ROUNDDOWN(W295/HLOOKUP(D295,Table!$C$3:$D$4,2,0)*8,2)</f>
        <v>2.72</v>
      </c>
      <c r="Z295" s="15">
        <v>2</v>
      </c>
      <c r="AA295" s="15" t="s">
        <v>70</v>
      </c>
      <c r="AB295" s="19">
        <v>44013</v>
      </c>
      <c r="AC295" s="19">
        <v>44007</v>
      </c>
      <c r="AD295" s="85">
        <v>44013</v>
      </c>
      <c r="AE295" s="19">
        <v>44012</v>
      </c>
      <c r="AF295" s="19">
        <v>44012</v>
      </c>
      <c r="AG295" s="19" t="s">
        <v>165</v>
      </c>
      <c r="AH295" s="29">
        <v>0.98</v>
      </c>
      <c r="AI295" s="29">
        <v>0.9</v>
      </c>
      <c r="AJ295" s="29">
        <v>1</v>
      </c>
      <c r="AK295" s="19" t="s">
        <v>134</v>
      </c>
      <c r="AL295" s="17" t="s">
        <v>1324</v>
      </c>
      <c r="AM295" s="17"/>
      <c r="AN295" s="79" t="s">
        <v>1437</v>
      </c>
    </row>
    <row r="296" spans="2:40" hidden="1" x14ac:dyDescent="0.25">
      <c r="B296" s="184">
        <f t="shared" si="53"/>
        <v>237</v>
      </c>
      <c r="C296" s="16">
        <v>20200625</v>
      </c>
      <c r="D296" s="15" t="s">
        <v>3</v>
      </c>
      <c r="E296" s="75" t="s">
        <v>1029</v>
      </c>
      <c r="F296" s="100" t="s">
        <v>1358</v>
      </c>
      <c r="G296" s="75">
        <v>1537854</v>
      </c>
      <c r="H296" s="48" t="s">
        <v>58</v>
      </c>
      <c r="I296" s="75" t="s">
        <v>149</v>
      </c>
      <c r="J296" s="48" t="s">
        <v>58</v>
      </c>
      <c r="K296" s="53" t="s">
        <v>1070</v>
      </c>
      <c r="L296" s="15" t="s">
        <v>144</v>
      </c>
      <c r="M296" s="15" t="s">
        <v>1058</v>
      </c>
      <c r="N296" s="75" t="s">
        <v>1055</v>
      </c>
      <c r="O296" s="17" t="s">
        <v>58</v>
      </c>
      <c r="P296" s="73" t="s">
        <v>1056</v>
      </c>
      <c r="Q296" s="18"/>
      <c r="R296" s="48" t="s">
        <v>58</v>
      </c>
      <c r="S296" s="15" t="s">
        <v>6</v>
      </c>
      <c r="T296" s="15" t="s">
        <v>233</v>
      </c>
      <c r="U296" s="15" t="s">
        <v>1625</v>
      </c>
      <c r="V296" s="75">
        <v>145</v>
      </c>
      <c r="W296" s="79">
        <v>317</v>
      </c>
      <c r="X296" s="15">
        <f t="shared" si="59"/>
        <v>317</v>
      </c>
      <c r="Y296" s="15">
        <f>ROUNDDOWN(W296/HLOOKUP(D296,Table!$C$3:$D$4,2,0)*8,2)</f>
        <v>5.63</v>
      </c>
      <c r="Z296" s="15">
        <v>2</v>
      </c>
      <c r="AA296" s="15" t="s">
        <v>70</v>
      </c>
      <c r="AB296" s="19">
        <v>44013</v>
      </c>
      <c r="AC296" s="19">
        <v>44007</v>
      </c>
      <c r="AD296" s="85">
        <v>44013</v>
      </c>
      <c r="AE296" s="19">
        <v>44013</v>
      </c>
      <c r="AF296" s="19">
        <v>44013</v>
      </c>
      <c r="AG296" s="19" t="s">
        <v>165</v>
      </c>
      <c r="AH296" s="29">
        <v>1</v>
      </c>
      <c r="AI296" s="29">
        <v>0.98</v>
      </c>
      <c r="AJ296" s="29">
        <v>0.94</v>
      </c>
      <c r="AK296" s="19" t="s">
        <v>134</v>
      </c>
      <c r="AL296" s="17" t="s">
        <v>1403</v>
      </c>
      <c r="AM296" s="17"/>
      <c r="AN296" s="79" t="s">
        <v>1453</v>
      </c>
    </row>
    <row r="297" spans="2:40" hidden="1" x14ac:dyDescent="0.25">
      <c r="B297" s="184">
        <f t="shared" si="53"/>
        <v>238</v>
      </c>
      <c r="C297" s="16">
        <v>20200625</v>
      </c>
      <c r="D297" s="15" t="s">
        <v>3</v>
      </c>
      <c r="E297" s="75" t="s">
        <v>1029</v>
      </c>
      <c r="F297" s="100" t="s">
        <v>1359</v>
      </c>
      <c r="G297" s="75">
        <v>1537854</v>
      </c>
      <c r="H297" s="48" t="s">
        <v>58</v>
      </c>
      <c r="I297" s="75" t="s">
        <v>1052</v>
      </c>
      <c r="J297" s="48" t="s">
        <v>58</v>
      </c>
      <c r="K297" s="53" t="s">
        <v>1070</v>
      </c>
      <c r="L297" s="15" t="s">
        <v>144</v>
      </c>
      <c r="M297" s="15" t="s">
        <v>1058</v>
      </c>
      <c r="N297" s="75" t="s">
        <v>1055</v>
      </c>
      <c r="O297" s="17" t="s">
        <v>58</v>
      </c>
      <c r="P297" s="73" t="s">
        <v>1056</v>
      </c>
      <c r="Q297" s="18"/>
      <c r="R297" s="48" t="s">
        <v>58</v>
      </c>
      <c r="S297" s="15" t="s">
        <v>6</v>
      </c>
      <c r="T297" s="15" t="s">
        <v>233</v>
      </c>
      <c r="U297" s="15" t="s">
        <v>1625</v>
      </c>
      <c r="V297" s="75">
        <v>39</v>
      </c>
      <c r="W297" s="79">
        <v>52</v>
      </c>
      <c r="X297" s="15">
        <f t="shared" si="59"/>
        <v>52</v>
      </c>
      <c r="Y297" s="15">
        <f>ROUNDDOWN(W297/HLOOKUP(D297,Table!$C$3:$D$4,2,0)*8,2)</f>
        <v>0.92</v>
      </c>
      <c r="Z297" s="15">
        <v>1</v>
      </c>
      <c r="AA297" s="15" t="s">
        <v>70</v>
      </c>
      <c r="AB297" s="19">
        <v>44013</v>
      </c>
      <c r="AC297" s="19">
        <v>44007</v>
      </c>
      <c r="AD297" s="85">
        <v>44013</v>
      </c>
      <c r="AE297" s="19">
        <v>44013</v>
      </c>
      <c r="AF297" s="19">
        <v>44013</v>
      </c>
      <c r="AG297" s="19" t="s">
        <v>165</v>
      </c>
      <c r="AH297" s="29">
        <v>0.54</v>
      </c>
      <c r="AI297" s="29">
        <v>1</v>
      </c>
      <c r="AJ297" s="29">
        <v>1</v>
      </c>
      <c r="AK297" s="19" t="s">
        <v>134</v>
      </c>
      <c r="AL297" s="84" t="s">
        <v>58</v>
      </c>
      <c r="AM297" s="138" t="s">
        <v>1402</v>
      </c>
      <c r="AN297" s="79" t="s">
        <v>1438</v>
      </c>
    </row>
    <row r="298" spans="2:40" hidden="1" x14ac:dyDescent="0.25">
      <c r="B298" s="184">
        <f t="shared" si="53"/>
        <v>239</v>
      </c>
      <c r="C298" s="16">
        <v>20200625</v>
      </c>
      <c r="D298" s="15" t="s">
        <v>3</v>
      </c>
      <c r="E298" s="75" t="s">
        <v>1029</v>
      </c>
      <c r="F298" s="100" t="s">
        <v>1360</v>
      </c>
      <c r="G298" s="75">
        <v>1537854</v>
      </c>
      <c r="H298" s="48" t="s">
        <v>58</v>
      </c>
      <c r="I298" s="75" t="s">
        <v>1053</v>
      </c>
      <c r="J298" s="48" t="s">
        <v>58</v>
      </c>
      <c r="K298" s="53" t="s">
        <v>1070</v>
      </c>
      <c r="L298" s="15" t="s">
        <v>144</v>
      </c>
      <c r="M298" s="15" t="s">
        <v>1058</v>
      </c>
      <c r="N298" s="75" t="s">
        <v>1055</v>
      </c>
      <c r="O298" s="17" t="s">
        <v>58</v>
      </c>
      <c r="P298" s="73" t="s">
        <v>1056</v>
      </c>
      <c r="Q298" s="18"/>
      <c r="R298" s="48" t="s">
        <v>58</v>
      </c>
      <c r="S298" s="15" t="s">
        <v>6</v>
      </c>
      <c r="T298" s="15" t="s">
        <v>233</v>
      </c>
      <c r="U298" s="15" t="s">
        <v>1625</v>
      </c>
      <c r="V298" s="75">
        <v>144</v>
      </c>
      <c r="W298" s="15">
        <f t="shared" si="57"/>
        <v>144</v>
      </c>
      <c r="X298" s="15">
        <f t="shared" si="59"/>
        <v>144</v>
      </c>
      <c r="Y298" s="15">
        <f>ROUNDDOWN(W298/HLOOKUP(D298,Table!$C$3:$D$4,2,0)*8,2)</f>
        <v>2.56</v>
      </c>
      <c r="Z298" s="15">
        <v>1</v>
      </c>
      <c r="AA298" s="15" t="s">
        <v>70</v>
      </c>
      <c r="AB298" s="19">
        <v>44013</v>
      </c>
      <c r="AC298" s="19">
        <v>44007</v>
      </c>
      <c r="AD298" s="85">
        <v>44013</v>
      </c>
      <c r="AE298" s="19">
        <v>44013</v>
      </c>
      <c r="AF298" s="19">
        <v>44013</v>
      </c>
      <c r="AG298" s="19" t="s">
        <v>164</v>
      </c>
      <c r="AH298" s="29">
        <v>1</v>
      </c>
      <c r="AI298" s="29">
        <v>1</v>
      </c>
      <c r="AJ298" s="29">
        <v>1</v>
      </c>
      <c r="AK298" s="19" t="s">
        <v>144</v>
      </c>
      <c r="AL298" s="17" t="s">
        <v>58</v>
      </c>
      <c r="AM298" s="17" t="s">
        <v>58</v>
      </c>
      <c r="AN298" s="79" t="s">
        <v>363</v>
      </c>
    </row>
    <row r="299" spans="2:40" hidden="1" x14ac:dyDescent="0.25">
      <c r="B299" s="97">
        <f t="shared" si="53"/>
        <v>240</v>
      </c>
      <c r="C299" s="16">
        <v>20200629</v>
      </c>
      <c r="D299" s="15" t="s">
        <v>2</v>
      </c>
      <c r="E299" s="75" t="s">
        <v>1278</v>
      </c>
      <c r="F299" s="73" t="s">
        <v>58</v>
      </c>
      <c r="G299" s="75">
        <v>1507494</v>
      </c>
      <c r="H299" s="48" t="s">
        <v>58</v>
      </c>
      <c r="I299" s="75" t="s">
        <v>1283</v>
      </c>
      <c r="J299" s="48" t="s">
        <v>58</v>
      </c>
      <c r="K299" s="75" t="s">
        <v>1070</v>
      </c>
      <c r="L299" s="193" t="s">
        <v>144</v>
      </c>
      <c r="M299" s="75" t="s">
        <v>1292</v>
      </c>
      <c r="N299" s="75" t="s">
        <v>1296</v>
      </c>
      <c r="O299" s="17" t="s">
        <v>1305</v>
      </c>
      <c r="P299" s="73" t="s">
        <v>1301</v>
      </c>
      <c r="Q299" s="18"/>
      <c r="R299" s="48" t="s">
        <v>58</v>
      </c>
      <c r="S299" s="15" t="s">
        <v>233</v>
      </c>
      <c r="T299" s="15"/>
      <c r="U299" s="15"/>
      <c r="V299" s="75">
        <v>40</v>
      </c>
      <c r="W299" s="15">
        <f t="shared" ref="W299:W306" si="60">V299</f>
        <v>40</v>
      </c>
      <c r="X299" s="15">
        <f t="shared" si="59"/>
        <v>40</v>
      </c>
      <c r="Y299" s="15">
        <f>ROUNDDOWN(W299/HLOOKUP(D299,Table!$C$3:$D$4,2,0)*8,2)</f>
        <v>2.46</v>
      </c>
      <c r="Z299" s="15">
        <v>2.5</v>
      </c>
      <c r="AA299" s="15" t="s">
        <v>70</v>
      </c>
      <c r="AB299" s="19">
        <v>44013</v>
      </c>
      <c r="AC299" s="19">
        <v>44011</v>
      </c>
      <c r="AD299" s="200">
        <v>44013</v>
      </c>
      <c r="AE299" s="19">
        <v>44012</v>
      </c>
      <c r="AF299" s="19">
        <v>44012</v>
      </c>
      <c r="AG299" s="19" t="s">
        <v>165</v>
      </c>
      <c r="AH299" s="29">
        <v>1</v>
      </c>
      <c r="AI299" s="29">
        <v>1</v>
      </c>
      <c r="AJ299" s="29">
        <v>0.77300000000000002</v>
      </c>
      <c r="AK299" s="19" t="s">
        <v>134</v>
      </c>
      <c r="AL299" s="17" t="s">
        <v>1342</v>
      </c>
      <c r="AM299" s="17" t="s">
        <v>58</v>
      </c>
      <c r="AN299" s="17" t="s">
        <v>875</v>
      </c>
    </row>
    <row r="300" spans="2:40" hidden="1" x14ac:dyDescent="0.25">
      <c r="B300" s="97">
        <f t="shared" si="53"/>
        <v>241</v>
      </c>
      <c r="C300" s="16">
        <v>20200629</v>
      </c>
      <c r="D300" s="15" t="s">
        <v>2</v>
      </c>
      <c r="E300" s="75" t="s">
        <v>1279</v>
      </c>
      <c r="F300" s="73" t="s">
        <v>58</v>
      </c>
      <c r="G300" s="75">
        <v>1545289</v>
      </c>
      <c r="H300" s="48" t="s">
        <v>58</v>
      </c>
      <c r="I300" s="75" t="s">
        <v>1284</v>
      </c>
      <c r="J300" s="48" t="s">
        <v>58</v>
      </c>
      <c r="K300" s="75" t="s">
        <v>1070</v>
      </c>
      <c r="L300" s="194" t="s">
        <v>144</v>
      </c>
      <c r="M300" s="75" t="s">
        <v>1293</v>
      </c>
      <c r="N300" s="75" t="s">
        <v>1297</v>
      </c>
      <c r="O300" s="17">
        <v>1.2</v>
      </c>
      <c r="P300" s="73" t="s">
        <v>1302</v>
      </c>
      <c r="Q300" s="18"/>
      <c r="R300" s="48" t="s">
        <v>58</v>
      </c>
      <c r="S300" s="15" t="s">
        <v>233</v>
      </c>
      <c r="T300" s="15"/>
      <c r="U300" s="15"/>
      <c r="V300" s="75">
        <v>60</v>
      </c>
      <c r="W300" s="15">
        <f t="shared" si="60"/>
        <v>60</v>
      </c>
      <c r="X300" s="15">
        <f t="shared" si="59"/>
        <v>60</v>
      </c>
      <c r="Y300" s="15">
        <f>ROUNDDOWN(W300/HLOOKUP(D300,Table!$C$3:$D$4,2,0)*8,2)</f>
        <v>3.69</v>
      </c>
      <c r="Z300" s="15">
        <v>3.5</v>
      </c>
      <c r="AA300" s="15" t="s">
        <v>70</v>
      </c>
      <c r="AB300" s="19">
        <v>44013</v>
      </c>
      <c r="AC300" s="19">
        <v>44011</v>
      </c>
      <c r="AD300" s="200">
        <v>44015</v>
      </c>
      <c r="AE300" s="19">
        <v>44013</v>
      </c>
      <c r="AF300" s="19">
        <v>44013</v>
      </c>
      <c r="AG300" s="19" t="s">
        <v>164</v>
      </c>
      <c r="AH300" s="29">
        <v>1</v>
      </c>
      <c r="AI300" s="29">
        <v>1</v>
      </c>
      <c r="AJ300" s="29">
        <v>1</v>
      </c>
      <c r="AK300" s="19" t="s">
        <v>144</v>
      </c>
      <c r="AL300" s="17" t="s">
        <v>58</v>
      </c>
      <c r="AM300" s="17" t="s">
        <v>58</v>
      </c>
      <c r="AN300" s="17" t="s">
        <v>58</v>
      </c>
    </row>
    <row r="301" spans="2:40" hidden="1" x14ac:dyDescent="0.25">
      <c r="B301" s="97">
        <f t="shared" si="53"/>
        <v>242</v>
      </c>
      <c r="C301" s="16">
        <v>20200629</v>
      </c>
      <c r="D301" s="15" t="s">
        <v>2</v>
      </c>
      <c r="E301" s="75" t="s">
        <v>1279</v>
      </c>
      <c r="F301" s="73" t="s">
        <v>58</v>
      </c>
      <c r="G301" s="75">
        <v>1545289</v>
      </c>
      <c r="H301" s="48" t="s">
        <v>58</v>
      </c>
      <c r="I301" s="75" t="s">
        <v>1285</v>
      </c>
      <c r="J301" s="48" t="s">
        <v>58</v>
      </c>
      <c r="K301" s="75" t="s">
        <v>1070</v>
      </c>
      <c r="L301" s="195" t="s">
        <v>144</v>
      </c>
      <c r="M301" s="75" t="s">
        <v>1293</v>
      </c>
      <c r="N301" s="75" t="s">
        <v>1298</v>
      </c>
      <c r="O301" s="17" t="s">
        <v>1306</v>
      </c>
      <c r="P301" s="17" t="s">
        <v>1302</v>
      </c>
      <c r="Q301" s="18"/>
      <c r="R301" s="48" t="s">
        <v>58</v>
      </c>
      <c r="S301" s="15" t="s">
        <v>231</v>
      </c>
      <c r="T301" s="15"/>
      <c r="U301" s="15"/>
      <c r="V301" s="75">
        <v>30</v>
      </c>
      <c r="W301" s="15">
        <f t="shared" si="60"/>
        <v>30</v>
      </c>
      <c r="X301" s="15">
        <f t="shared" si="59"/>
        <v>30</v>
      </c>
      <c r="Y301" s="15">
        <f>ROUNDDOWN(W301/HLOOKUP(D301,Table!$C$3:$D$4,2,0)*8,2)</f>
        <v>1.84</v>
      </c>
      <c r="Z301" s="15">
        <v>1.6</v>
      </c>
      <c r="AA301" s="15" t="s">
        <v>70</v>
      </c>
      <c r="AB301" s="19">
        <v>44013</v>
      </c>
      <c r="AC301" s="19">
        <v>44011</v>
      </c>
      <c r="AD301" s="200">
        <v>44015</v>
      </c>
      <c r="AE301" s="19">
        <v>44011</v>
      </c>
      <c r="AF301" s="19">
        <v>44011</v>
      </c>
      <c r="AG301" s="19" t="s">
        <v>164</v>
      </c>
      <c r="AH301" s="29">
        <v>1</v>
      </c>
      <c r="AI301" s="29">
        <v>1</v>
      </c>
      <c r="AJ301" s="29">
        <v>1</v>
      </c>
      <c r="AK301" s="19" t="s">
        <v>144</v>
      </c>
      <c r="AL301" s="17" t="s">
        <v>58</v>
      </c>
      <c r="AM301" s="17" t="s">
        <v>58</v>
      </c>
      <c r="AN301" s="17" t="s">
        <v>58</v>
      </c>
    </row>
    <row r="302" spans="2:40" hidden="1" x14ac:dyDescent="0.25">
      <c r="B302" s="97">
        <f t="shared" si="53"/>
        <v>243</v>
      </c>
      <c r="C302" s="16">
        <v>20200629</v>
      </c>
      <c r="D302" s="15" t="s">
        <v>3</v>
      </c>
      <c r="E302" s="75" t="s">
        <v>1280</v>
      </c>
      <c r="F302" s="73" t="s">
        <v>1282</v>
      </c>
      <c r="G302" s="75">
        <v>1545156</v>
      </c>
      <c r="H302" s="48" t="s">
        <v>58</v>
      </c>
      <c r="I302" s="75" t="s">
        <v>1286</v>
      </c>
      <c r="J302" s="48" t="s">
        <v>58</v>
      </c>
      <c r="K302" s="15" t="s">
        <v>1068</v>
      </c>
      <c r="L302" s="75" t="s">
        <v>558</v>
      </c>
      <c r="M302" s="15" t="s">
        <v>1294</v>
      </c>
      <c r="N302" s="75" t="s">
        <v>556</v>
      </c>
      <c r="O302" s="17" t="s">
        <v>58</v>
      </c>
      <c r="P302" s="73" t="s">
        <v>188</v>
      </c>
      <c r="Q302" s="18"/>
      <c r="R302" s="48" t="s">
        <v>58</v>
      </c>
      <c r="S302" s="15" t="s">
        <v>66</v>
      </c>
      <c r="T302" s="15" t="s">
        <v>232</v>
      </c>
      <c r="U302" s="15" t="s">
        <v>1625</v>
      </c>
      <c r="V302" s="75">
        <v>434</v>
      </c>
      <c r="W302" s="15">
        <f t="shared" si="60"/>
        <v>434</v>
      </c>
      <c r="X302" s="15">
        <f t="shared" si="59"/>
        <v>434</v>
      </c>
      <c r="Y302" s="15">
        <f>ROUNDDOWN(W302/HLOOKUP(D302,Table!$C$3:$D$4,2,0)*8,2)</f>
        <v>7.71</v>
      </c>
      <c r="Z302" s="15">
        <v>3</v>
      </c>
      <c r="AA302" s="15" t="s">
        <v>70</v>
      </c>
      <c r="AB302" s="19">
        <v>44013</v>
      </c>
      <c r="AC302" s="19">
        <v>44011</v>
      </c>
      <c r="AD302" s="85">
        <v>44015</v>
      </c>
      <c r="AE302" s="19">
        <v>44012</v>
      </c>
      <c r="AF302" s="19">
        <v>44012</v>
      </c>
      <c r="AG302" s="19" t="s">
        <v>164</v>
      </c>
      <c r="AH302" s="29">
        <v>1</v>
      </c>
      <c r="AI302" s="29">
        <v>1</v>
      </c>
      <c r="AJ302" s="29">
        <v>1</v>
      </c>
      <c r="AK302" s="19" t="s">
        <v>144</v>
      </c>
      <c r="AL302" s="17" t="s">
        <v>58</v>
      </c>
      <c r="AM302" s="17" t="s">
        <v>58</v>
      </c>
      <c r="AN302" s="17" t="s">
        <v>58</v>
      </c>
    </row>
    <row r="303" spans="2:40" hidden="1" x14ac:dyDescent="0.25">
      <c r="B303" s="97">
        <f t="shared" si="53"/>
        <v>244</v>
      </c>
      <c r="C303" s="16">
        <v>20200629</v>
      </c>
      <c r="D303" s="15" t="s">
        <v>2</v>
      </c>
      <c r="E303" s="75" t="s">
        <v>860</v>
      </c>
      <c r="F303" s="73" t="s">
        <v>58</v>
      </c>
      <c r="G303" s="75">
        <v>1545395</v>
      </c>
      <c r="H303" s="48" t="s">
        <v>58</v>
      </c>
      <c r="I303" s="75" t="s">
        <v>1287</v>
      </c>
      <c r="J303" s="48" t="s">
        <v>58</v>
      </c>
      <c r="K303" s="75" t="s">
        <v>1070</v>
      </c>
      <c r="L303" s="15" t="s">
        <v>144</v>
      </c>
      <c r="M303" s="75" t="s">
        <v>882</v>
      </c>
      <c r="N303" s="75" t="s">
        <v>1299</v>
      </c>
      <c r="O303" s="17">
        <v>1.3</v>
      </c>
      <c r="P303" s="73" t="s">
        <v>1303</v>
      </c>
      <c r="Q303" s="18"/>
      <c r="R303" s="48" t="s">
        <v>58</v>
      </c>
      <c r="S303" s="15" t="s">
        <v>232</v>
      </c>
      <c r="T303" s="15"/>
      <c r="U303" s="15"/>
      <c r="V303" s="75">
        <v>30</v>
      </c>
      <c r="W303" s="15">
        <f t="shared" si="60"/>
        <v>30</v>
      </c>
      <c r="X303" s="15">
        <f t="shared" si="59"/>
        <v>30</v>
      </c>
      <c r="Y303" s="15">
        <f>ROUNDDOWN(W303/HLOOKUP(D303,Table!$C$3:$D$4,2,0)*8,2)</f>
        <v>1.84</v>
      </c>
      <c r="Z303" s="15">
        <v>1.5</v>
      </c>
      <c r="AA303" s="15" t="s">
        <v>70</v>
      </c>
      <c r="AB303" s="19">
        <v>44013</v>
      </c>
      <c r="AC303" s="19">
        <v>44011</v>
      </c>
      <c r="AD303" s="85">
        <v>44015</v>
      </c>
      <c r="AE303" s="19">
        <v>44012</v>
      </c>
      <c r="AF303" s="19">
        <v>44012</v>
      </c>
      <c r="AG303" s="19" t="s">
        <v>164</v>
      </c>
      <c r="AH303" s="29">
        <v>1</v>
      </c>
      <c r="AI303" s="29">
        <v>1</v>
      </c>
      <c r="AJ303" s="29">
        <v>1</v>
      </c>
      <c r="AK303" s="19"/>
      <c r="AL303" s="17" t="s">
        <v>58</v>
      </c>
      <c r="AM303" s="17" t="s">
        <v>58</v>
      </c>
      <c r="AN303" s="17" t="s">
        <v>58</v>
      </c>
    </row>
    <row r="304" spans="2:40" hidden="1" x14ac:dyDescent="0.25">
      <c r="B304" s="97">
        <f t="shared" si="53"/>
        <v>245</v>
      </c>
      <c r="C304" s="16">
        <v>20200629</v>
      </c>
      <c r="D304" s="15" t="s">
        <v>2</v>
      </c>
      <c r="E304" s="75" t="s">
        <v>1281</v>
      </c>
      <c r="F304" s="73" t="s">
        <v>58</v>
      </c>
      <c r="G304" s="75">
        <v>1545266</v>
      </c>
      <c r="H304" s="48" t="s">
        <v>58</v>
      </c>
      <c r="I304" s="75" t="s">
        <v>1288</v>
      </c>
      <c r="J304" s="48" t="s">
        <v>58</v>
      </c>
      <c r="K304" s="75" t="s">
        <v>1070</v>
      </c>
      <c r="L304" s="15" t="s">
        <v>144</v>
      </c>
      <c r="M304" s="75" t="s">
        <v>1295</v>
      </c>
      <c r="N304" s="75" t="s">
        <v>1300</v>
      </c>
      <c r="O304" s="17" t="s">
        <v>618</v>
      </c>
      <c r="P304" s="73" t="s">
        <v>1304</v>
      </c>
      <c r="Q304" s="18"/>
      <c r="R304" s="48" t="s">
        <v>58</v>
      </c>
      <c r="S304" s="15" t="s">
        <v>232</v>
      </c>
      <c r="T304" s="15" t="s">
        <v>137</v>
      </c>
      <c r="U304" s="15" t="s">
        <v>1625</v>
      </c>
      <c r="V304" s="75">
        <v>60</v>
      </c>
      <c r="W304" s="15">
        <f t="shared" si="60"/>
        <v>60</v>
      </c>
      <c r="X304" s="15">
        <f>W304</f>
        <v>60</v>
      </c>
      <c r="Y304" s="15">
        <f>ROUNDDOWN(W304/HLOOKUP(D304,Table!$C$3:$D$4,2,0)*8,2)</f>
        <v>3.69</v>
      </c>
      <c r="Z304" s="15">
        <v>5</v>
      </c>
      <c r="AA304" s="15" t="s">
        <v>70</v>
      </c>
      <c r="AB304" s="19">
        <v>44020</v>
      </c>
      <c r="AC304" s="19">
        <v>44011</v>
      </c>
      <c r="AD304" s="102">
        <v>44020</v>
      </c>
      <c r="AE304" s="19">
        <v>44013</v>
      </c>
      <c r="AF304" s="19">
        <v>44014</v>
      </c>
      <c r="AG304" s="19" t="s">
        <v>164</v>
      </c>
      <c r="AH304" s="29">
        <v>1</v>
      </c>
      <c r="AI304" s="29">
        <v>1</v>
      </c>
      <c r="AJ304" s="29">
        <v>1</v>
      </c>
      <c r="AK304" s="19" t="s">
        <v>144</v>
      </c>
      <c r="AL304" s="17" t="s">
        <v>58</v>
      </c>
      <c r="AM304" s="17" t="s">
        <v>58</v>
      </c>
      <c r="AN304" s="17" t="s">
        <v>1494</v>
      </c>
    </row>
    <row r="305" spans="2:40" hidden="1" x14ac:dyDescent="0.25">
      <c r="B305" s="97">
        <f t="shared" si="53"/>
        <v>246</v>
      </c>
      <c r="C305" s="16">
        <v>20200629</v>
      </c>
      <c r="D305" s="15" t="s">
        <v>2</v>
      </c>
      <c r="E305" s="75" t="s">
        <v>1281</v>
      </c>
      <c r="F305" s="73" t="s">
        <v>58</v>
      </c>
      <c r="G305" s="75">
        <v>1545266</v>
      </c>
      <c r="H305" s="48" t="s">
        <v>58</v>
      </c>
      <c r="I305" s="95" t="s">
        <v>1289</v>
      </c>
      <c r="J305" s="48" t="s">
        <v>58</v>
      </c>
      <c r="K305" s="75" t="s">
        <v>1070</v>
      </c>
      <c r="L305" s="15" t="s">
        <v>144</v>
      </c>
      <c r="M305" s="75" t="s">
        <v>1295</v>
      </c>
      <c r="N305" s="75" t="s">
        <v>1300</v>
      </c>
      <c r="O305" s="17" t="s">
        <v>621</v>
      </c>
      <c r="P305" s="17" t="s">
        <v>1304</v>
      </c>
      <c r="Q305" s="18"/>
      <c r="R305" s="48" t="s">
        <v>58</v>
      </c>
      <c r="S305" s="15" t="s">
        <v>231</v>
      </c>
      <c r="T305" s="15" t="s">
        <v>64</v>
      </c>
      <c r="U305" s="15" t="s">
        <v>1625</v>
      </c>
      <c r="V305" s="75">
        <v>93</v>
      </c>
      <c r="W305" s="15">
        <f t="shared" si="60"/>
        <v>93</v>
      </c>
      <c r="X305" s="15">
        <f>W305</f>
        <v>93</v>
      </c>
      <c r="Y305" s="15">
        <f>ROUNDDOWN(W305/HLOOKUP(D305,Table!$C$3:$D$4,2,0)*8,2)</f>
        <v>5.72</v>
      </c>
      <c r="Z305" s="15">
        <v>5.4</v>
      </c>
      <c r="AA305" s="15" t="s">
        <v>70</v>
      </c>
      <c r="AB305" s="19">
        <v>44020</v>
      </c>
      <c r="AC305" s="19">
        <v>44011</v>
      </c>
      <c r="AD305" s="102">
        <v>44020</v>
      </c>
      <c r="AE305" s="19">
        <v>44019</v>
      </c>
      <c r="AF305" s="19">
        <v>44019</v>
      </c>
      <c r="AG305" s="19" t="s">
        <v>164</v>
      </c>
      <c r="AH305" s="29">
        <v>1</v>
      </c>
      <c r="AI305" s="29">
        <v>1</v>
      </c>
      <c r="AJ305" s="29">
        <v>1</v>
      </c>
      <c r="AK305" s="19" t="s">
        <v>144</v>
      </c>
      <c r="AL305" s="17" t="s">
        <v>58</v>
      </c>
      <c r="AM305" s="17" t="s">
        <v>58</v>
      </c>
      <c r="AN305" s="17" t="s">
        <v>1494</v>
      </c>
    </row>
    <row r="306" spans="2:40" hidden="1" x14ac:dyDescent="0.25">
      <c r="B306" s="97">
        <f t="shared" si="53"/>
        <v>247</v>
      </c>
      <c r="C306" s="16">
        <v>20200629</v>
      </c>
      <c r="D306" s="15" t="s">
        <v>3</v>
      </c>
      <c r="E306" s="75" t="s">
        <v>1281</v>
      </c>
      <c r="F306" s="100" t="s">
        <v>1310</v>
      </c>
      <c r="G306" s="75">
        <v>1545266</v>
      </c>
      <c r="H306" s="48" t="s">
        <v>58</v>
      </c>
      <c r="I306" s="75" t="s">
        <v>1290</v>
      </c>
      <c r="J306" s="48" t="s">
        <v>58</v>
      </c>
      <c r="K306" s="15" t="s">
        <v>1068</v>
      </c>
      <c r="L306" s="75" t="s">
        <v>1291</v>
      </c>
      <c r="M306" s="75" t="s">
        <v>1295</v>
      </c>
      <c r="N306" s="75" t="s">
        <v>1309</v>
      </c>
      <c r="O306" s="17"/>
      <c r="P306" s="17" t="s">
        <v>1304</v>
      </c>
      <c r="Q306" s="18"/>
      <c r="R306" s="48" t="s">
        <v>58</v>
      </c>
      <c r="S306" s="15" t="s">
        <v>66</v>
      </c>
      <c r="T306" s="15" t="s">
        <v>232</v>
      </c>
      <c r="U306" s="15" t="s">
        <v>1625</v>
      </c>
      <c r="V306" s="75">
        <v>56</v>
      </c>
      <c r="W306" s="15">
        <f t="shared" si="60"/>
        <v>56</v>
      </c>
      <c r="X306" s="15">
        <f t="shared" ref="X306:X311" si="61">W306</f>
        <v>56</v>
      </c>
      <c r="Y306" s="15">
        <f>ROUNDDOWN(W306/HLOOKUP(D306,Table!$C$3:$D$4,2,0)*8,2)</f>
        <v>0.99</v>
      </c>
      <c r="Z306" s="15">
        <v>0.5</v>
      </c>
      <c r="AA306" s="15" t="s">
        <v>70</v>
      </c>
      <c r="AB306" s="19">
        <v>44020</v>
      </c>
      <c r="AC306" s="19">
        <v>44011</v>
      </c>
      <c r="AD306" s="102">
        <v>44020</v>
      </c>
      <c r="AE306" s="19">
        <v>44012</v>
      </c>
      <c r="AF306" s="19">
        <v>44012</v>
      </c>
      <c r="AG306" s="19" t="s">
        <v>164</v>
      </c>
      <c r="AH306" s="29">
        <v>1</v>
      </c>
      <c r="AI306" s="29">
        <v>1</v>
      </c>
      <c r="AJ306" s="29">
        <v>1</v>
      </c>
      <c r="AK306" s="19" t="s">
        <v>144</v>
      </c>
      <c r="AL306" s="17" t="s">
        <v>58</v>
      </c>
      <c r="AM306" s="17" t="s">
        <v>58</v>
      </c>
      <c r="AN306" s="17" t="s">
        <v>58</v>
      </c>
    </row>
    <row r="307" spans="2:40" hidden="1" x14ac:dyDescent="0.25">
      <c r="B307" s="39">
        <f t="shared" si="53"/>
        <v>248</v>
      </c>
      <c r="C307" s="16">
        <v>20200630</v>
      </c>
      <c r="D307" s="15" t="s">
        <v>3</v>
      </c>
      <c r="E307" s="75" t="s">
        <v>1320</v>
      </c>
      <c r="F307" s="100" t="s">
        <v>1398</v>
      </c>
      <c r="G307" s="17">
        <v>1496726</v>
      </c>
      <c r="H307" s="48" t="s">
        <v>58</v>
      </c>
      <c r="I307" s="15" t="s">
        <v>320</v>
      </c>
      <c r="J307" s="48" t="s">
        <v>58</v>
      </c>
      <c r="K307" s="15" t="s">
        <v>1070</v>
      </c>
      <c r="L307" s="15" t="s">
        <v>1339</v>
      </c>
      <c r="M307" s="15" t="s">
        <v>1322</v>
      </c>
      <c r="N307" s="15" t="s">
        <v>1336</v>
      </c>
      <c r="O307" s="17" t="s">
        <v>58</v>
      </c>
      <c r="P307" s="17" t="s">
        <v>366</v>
      </c>
      <c r="Q307" s="18"/>
      <c r="R307" s="48" t="s">
        <v>58</v>
      </c>
      <c r="S307" s="15" t="s">
        <v>66</v>
      </c>
      <c r="T307" s="15" t="s">
        <v>232</v>
      </c>
      <c r="U307" s="15" t="s">
        <v>1625</v>
      </c>
      <c r="V307" s="15">
        <v>114</v>
      </c>
      <c r="W307" s="15">
        <f>V307</f>
        <v>114</v>
      </c>
      <c r="X307" s="15">
        <f t="shared" si="61"/>
        <v>114</v>
      </c>
      <c r="Y307" s="15">
        <f>ROUNDDOWN(W307/HLOOKUP(D307,Table!$C$3:$D$4,2,0)*8,2)</f>
        <v>2.02</v>
      </c>
      <c r="Z307" s="15">
        <v>2</v>
      </c>
      <c r="AA307" s="15" t="s">
        <v>70</v>
      </c>
      <c r="AB307" s="19">
        <v>44015</v>
      </c>
      <c r="AC307" s="19">
        <v>44012</v>
      </c>
      <c r="AD307" s="85">
        <v>44015</v>
      </c>
      <c r="AE307" s="19">
        <v>44014</v>
      </c>
      <c r="AF307" s="19">
        <v>44014</v>
      </c>
      <c r="AG307" s="19" t="s">
        <v>164</v>
      </c>
      <c r="AH307" s="29">
        <v>1</v>
      </c>
      <c r="AI307" s="29">
        <v>1</v>
      </c>
      <c r="AJ307" s="29">
        <v>1</v>
      </c>
      <c r="AK307" s="19" t="s">
        <v>144</v>
      </c>
      <c r="AL307" s="17" t="s">
        <v>58</v>
      </c>
      <c r="AM307" s="17" t="s">
        <v>58</v>
      </c>
      <c r="AN307" s="79" t="s">
        <v>363</v>
      </c>
    </row>
    <row r="308" spans="2:40" hidden="1" x14ac:dyDescent="0.25">
      <c r="B308" s="39">
        <f t="shared" si="53"/>
        <v>249</v>
      </c>
      <c r="C308" s="16">
        <v>20200630</v>
      </c>
      <c r="D308" s="15" t="s">
        <v>3</v>
      </c>
      <c r="E308" s="75" t="s">
        <v>1320</v>
      </c>
      <c r="F308" s="100" t="s">
        <v>1398</v>
      </c>
      <c r="G308" s="17">
        <v>1496726</v>
      </c>
      <c r="H308" s="48" t="s">
        <v>58</v>
      </c>
      <c r="I308" s="15" t="s">
        <v>1329</v>
      </c>
      <c r="J308" s="48" t="s">
        <v>58</v>
      </c>
      <c r="K308" s="15" t="s">
        <v>1070</v>
      </c>
      <c r="L308" s="15" t="s">
        <v>1339</v>
      </c>
      <c r="M308" s="15" t="s">
        <v>1322</v>
      </c>
      <c r="N308" s="15" t="s">
        <v>1336</v>
      </c>
      <c r="O308" s="17" t="s">
        <v>58</v>
      </c>
      <c r="P308" s="17" t="s">
        <v>366</v>
      </c>
      <c r="Q308" s="18"/>
      <c r="R308" s="48" t="s">
        <v>58</v>
      </c>
      <c r="S308" s="15" t="s">
        <v>66</v>
      </c>
      <c r="T308" s="15" t="s">
        <v>232</v>
      </c>
      <c r="U308" s="15" t="s">
        <v>1625</v>
      </c>
      <c r="V308" s="15">
        <v>50</v>
      </c>
      <c r="W308" s="15">
        <f t="shared" ref="W308:W315" si="62">V308</f>
        <v>50</v>
      </c>
      <c r="X308" s="15">
        <f t="shared" si="61"/>
        <v>50</v>
      </c>
      <c r="Y308" s="15">
        <f>ROUNDDOWN(W308/HLOOKUP(D308,Table!$C$3:$D$4,2,0)*8,2)</f>
        <v>0.88</v>
      </c>
      <c r="Z308" s="15">
        <v>0.5</v>
      </c>
      <c r="AA308" s="15" t="s">
        <v>70</v>
      </c>
      <c r="AB308" s="19">
        <v>44015</v>
      </c>
      <c r="AC308" s="19">
        <v>44012</v>
      </c>
      <c r="AD308" s="85">
        <v>44015</v>
      </c>
      <c r="AE308" s="19">
        <v>44014</v>
      </c>
      <c r="AF308" s="19">
        <v>44014</v>
      </c>
      <c r="AG308" s="19" t="s">
        <v>164</v>
      </c>
      <c r="AH308" s="29">
        <v>1</v>
      </c>
      <c r="AI308" s="29">
        <v>1</v>
      </c>
      <c r="AJ308" s="29">
        <v>1</v>
      </c>
      <c r="AK308" s="19" t="s">
        <v>144</v>
      </c>
      <c r="AL308" s="17" t="s">
        <v>58</v>
      </c>
      <c r="AM308" s="17" t="s">
        <v>58</v>
      </c>
      <c r="AN308" s="79" t="s">
        <v>363</v>
      </c>
    </row>
    <row r="309" spans="2:40" hidden="1" x14ac:dyDescent="0.25">
      <c r="B309" s="39">
        <f t="shared" si="53"/>
        <v>250</v>
      </c>
      <c r="C309" s="16">
        <v>20200630</v>
      </c>
      <c r="D309" s="15" t="s">
        <v>3</v>
      </c>
      <c r="E309" s="75" t="s">
        <v>1320</v>
      </c>
      <c r="F309" s="100" t="s">
        <v>1398</v>
      </c>
      <c r="G309" s="17">
        <v>1496726</v>
      </c>
      <c r="H309" s="48" t="s">
        <v>58</v>
      </c>
      <c r="I309" s="15" t="s">
        <v>338</v>
      </c>
      <c r="J309" s="48" t="s">
        <v>58</v>
      </c>
      <c r="K309" s="15" t="s">
        <v>1070</v>
      </c>
      <c r="L309" s="15" t="s">
        <v>1339</v>
      </c>
      <c r="M309" s="15" t="s">
        <v>1322</v>
      </c>
      <c r="N309" s="15" t="s">
        <v>1336</v>
      </c>
      <c r="O309" s="17" t="s">
        <v>58</v>
      </c>
      <c r="P309" s="17" t="s">
        <v>366</v>
      </c>
      <c r="Q309" s="18"/>
      <c r="R309" s="48" t="s">
        <v>58</v>
      </c>
      <c r="S309" s="15" t="s">
        <v>66</v>
      </c>
      <c r="T309" s="15" t="s">
        <v>232</v>
      </c>
      <c r="U309" s="15" t="s">
        <v>1625</v>
      </c>
      <c r="V309" s="15">
        <v>307</v>
      </c>
      <c r="W309" s="15">
        <f t="shared" si="62"/>
        <v>307</v>
      </c>
      <c r="X309" s="15">
        <f t="shared" si="61"/>
        <v>307</v>
      </c>
      <c r="Y309" s="15">
        <f>ROUNDDOWN(W309/HLOOKUP(D309,Table!$C$3:$D$4,2,0)*8,2)</f>
        <v>5.45</v>
      </c>
      <c r="Z309" s="15">
        <v>4</v>
      </c>
      <c r="AA309" s="15" t="s">
        <v>70</v>
      </c>
      <c r="AB309" s="19">
        <v>44015</v>
      </c>
      <c r="AC309" s="19">
        <v>44012</v>
      </c>
      <c r="AD309" s="85">
        <v>44015</v>
      </c>
      <c r="AE309" s="19">
        <v>44014</v>
      </c>
      <c r="AF309" s="19">
        <v>44014</v>
      </c>
      <c r="AG309" s="19" t="s">
        <v>165</v>
      </c>
      <c r="AH309" s="29">
        <v>1</v>
      </c>
      <c r="AI309" s="29">
        <v>0.97</v>
      </c>
      <c r="AJ309" s="29">
        <v>1</v>
      </c>
      <c r="AK309" s="19" t="s">
        <v>134</v>
      </c>
      <c r="AL309" s="17" t="s">
        <v>1421</v>
      </c>
      <c r="AM309" s="17" t="s">
        <v>58</v>
      </c>
      <c r="AN309" s="138" t="s">
        <v>1456</v>
      </c>
    </row>
    <row r="310" spans="2:40" hidden="1" x14ac:dyDescent="0.25">
      <c r="B310" s="39">
        <f t="shared" si="53"/>
        <v>251</v>
      </c>
      <c r="C310" s="16">
        <v>20200630</v>
      </c>
      <c r="D310" s="15" t="s">
        <v>3</v>
      </c>
      <c r="E310" s="75" t="s">
        <v>1320</v>
      </c>
      <c r="F310" s="100" t="s">
        <v>1398</v>
      </c>
      <c r="G310" s="17">
        <v>1496726</v>
      </c>
      <c r="H310" s="48" t="s">
        <v>58</v>
      </c>
      <c r="I310" s="15" t="s">
        <v>1330</v>
      </c>
      <c r="J310" s="48" t="s">
        <v>58</v>
      </c>
      <c r="K310" s="15" t="s">
        <v>1070</v>
      </c>
      <c r="L310" s="15" t="s">
        <v>1339</v>
      </c>
      <c r="M310" s="15" t="s">
        <v>1322</v>
      </c>
      <c r="N310" s="15" t="s">
        <v>1336</v>
      </c>
      <c r="O310" s="17" t="s">
        <v>58</v>
      </c>
      <c r="P310" s="17" t="s">
        <v>366</v>
      </c>
      <c r="Q310" s="18"/>
      <c r="R310" s="48" t="s">
        <v>58</v>
      </c>
      <c r="S310" s="15" t="s">
        <v>65</v>
      </c>
      <c r="T310" s="15"/>
      <c r="U310" s="15"/>
      <c r="V310" s="15">
        <v>211</v>
      </c>
      <c r="W310" s="79">
        <v>379</v>
      </c>
      <c r="X310" s="15">
        <f t="shared" si="61"/>
        <v>379</v>
      </c>
      <c r="Y310" s="15">
        <f>ROUNDDOWN(W310/HLOOKUP(D310,Table!$C$3:$D$4,2,0)*8,2)</f>
        <v>6.73</v>
      </c>
      <c r="Z310" s="15">
        <f t="shared" ref="Z310:Z315" si="63">Y310</f>
        <v>6.73</v>
      </c>
      <c r="AA310" s="15" t="s">
        <v>70</v>
      </c>
      <c r="AB310" s="19">
        <v>44015</v>
      </c>
      <c r="AC310" s="19">
        <v>44012</v>
      </c>
      <c r="AD310" s="85">
        <v>44015</v>
      </c>
      <c r="AE310" s="19">
        <v>44014</v>
      </c>
      <c r="AF310" s="19">
        <v>44014</v>
      </c>
      <c r="AG310" s="19" t="s">
        <v>165</v>
      </c>
      <c r="AH310" s="29">
        <v>0.99</v>
      </c>
      <c r="AI310" s="29">
        <v>0.99</v>
      </c>
      <c r="AJ310" s="29">
        <v>0.5</v>
      </c>
      <c r="AK310" s="19" t="s">
        <v>134</v>
      </c>
      <c r="AL310" s="17" t="s">
        <v>1431</v>
      </c>
      <c r="AM310" s="17" t="s">
        <v>58</v>
      </c>
      <c r="AN310" s="79" t="s">
        <v>1462</v>
      </c>
    </row>
    <row r="311" spans="2:40" hidden="1" x14ac:dyDescent="0.25">
      <c r="B311" s="39">
        <f t="shared" si="53"/>
        <v>252</v>
      </c>
      <c r="C311" s="16">
        <v>20200630</v>
      </c>
      <c r="D311" s="15" t="s">
        <v>3</v>
      </c>
      <c r="E311" s="75" t="s">
        <v>1320</v>
      </c>
      <c r="F311" s="100" t="s">
        <v>1398</v>
      </c>
      <c r="G311" s="17">
        <v>1496726</v>
      </c>
      <c r="H311" s="48" t="s">
        <v>58</v>
      </c>
      <c r="I311" s="15" t="s">
        <v>339</v>
      </c>
      <c r="J311" s="48" t="s">
        <v>58</v>
      </c>
      <c r="K311" s="15" t="s">
        <v>1070</v>
      </c>
      <c r="L311" s="15" t="s">
        <v>1339</v>
      </c>
      <c r="M311" s="15" t="s">
        <v>1322</v>
      </c>
      <c r="N311" s="15" t="s">
        <v>1336</v>
      </c>
      <c r="O311" s="17" t="s">
        <v>58</v>
      </c>
      <c r="P311" s="17" t="s">
        <v>366</v>
      </c>
      <c r="Q311" s="18"/>
      <c r="R311" s="48" t="s">
        <v>58</v>
      </c>
      <c r="S311" s="15" t="s">
        <v>65</v>
      </c>
      <c r="T311" s="15"/>
      <c r="U311" s="15"/>
      <c r="V311" s="15">
        <v>232</v>
      </c>
      <c r="W311" s="79">
        <v>404</v>
      </c>
      <c r="X311" s="15">
        <f t="shared" si="61"/>
        <v>404</v>
      </c>
      <c r="Y311" s="15">
        <f>ROUNDDOWN(W311/HLOOKUP(D311,Table!$C$3:$D$4,2,0)*8,2)</f>
        <v>7.18</v>
      </c>
      <c r="Z311" s="15">
        <f t="shared" si="63"/>
        <v>7.18</v>
      </c>
      <c r="AA311" s="15" t="s">
        <v>70</v>
      </c>
      <c r="AB311" s="19">
        <v>44015</v>
      </c>
      <c r="AC311" s="19">
        <v>44012</v>
      </c>
      <c r="AD311" s="85">
        <v>44015</v>
      </c>
      <c r="AE311" s="19">
        <v>44015</v>
      </c>
      <c r="AF311" s="19">
        <v>44015</v>
      </c>
      <c r="AG311" s="19" t="s">
        <v>165</v>
      </c>
      <c r="AH311" s="29">
        <v>0.99</v>
      </c>
      <c r="AI311" s="29">
        <v>0.99</v>
      </c>
      <c r="AJ311" s="29">
        <v>0.62</v>
      </c>
      <c r="AK311" s="19" t="s">
        <v>134</v>
      </c>
      <c r="AL311" s="17" t="s">
        <v>1458</v>
      </c>
      <c r="AM311" s="17" t="s">
        <v>58</v>
      </c>
      <c r="AN311" s="79" t="s">
        <v>1737</v>
      </c>
    </row>
    <row r="312" spans="2:40" hidden="1" x14ac:dyDescent="0.25">
      <c r="B312" s="39">
        <f t="shared" si="53"/>
        <v>253</v>
      </c>
      <c r="C312" s="16">
        <v>20200630</v>
      </c>
      <c r="D312" s="15" t="s">
        <v>3</v>
      </c>
      <c r="E312" s="75" t="s">
        <v>1320</v>
      </c>
      <c r="F312" s="100" t="s">
        <v>1398</v>
      </c>
      <c r="G312" s="17">
        <v>1496726</v>
      </c>
      <c r="H312" s="48" t="s">
        <v>58</v>
      </c>
      <c r="I312" s="15" t="s">
        <v>340</v>
      </c>
      <c r="J312" s="48" t="s">
        <v>58</v>
      </c>
      <c r="K312" s="15" t="s">
        <v>1070</v>
      </c>
      <c r="L312" s="15" t="s">
        <v>1339</v>
      </c>
      <c r="M312" s="15" t="s">
        <v>1322</v>
      </c>
      <c r="N312" s="15" t="s">
        <v>1336</v>
      </c>
      <c r="O312" s="17" t="s">
        <v>58</v>
      </c>
      <c r="P312" s="17" t="s">
        <v>366</v>
      </c>
      <c r="Q312" s="18"/>
      <c r="R312" s="48" t="s">
        <v>58</v>
      </c>
      <c r="S312" s="15" t="s">
        <v>65</v>
      </c>
      <c r="T312" s="15"/>
      <c r="U312" s="15"/>
      <c r="V312" s="15">
        <v>130</v>
      </c>
      <c r="W312" s="79">
        <v>203</v>
      </c>
      <c r="X312" s="15">
        <f t="shared" ref="X312:X319" si="64">W312</f>
        <v>203</v>
      </c>
      <c r="Y312" s="15">
        <f>ROUNDDOWN(W312/HLOOKUP(D312,Table!$C$3:$D$4,2,0)*8,2)</f>
        <v>3.6</v>
      </c>
      <c r="Z312" s="15">
        <f t="shared" si="63"/>
        <v>3.6</v>
      </c>
      <c r="AA312" s="15" t="s">
        <v>70</v>
      </c>
      <c r="AB312" s="19">
        <v>44015</v>
      </c>
      <c r="AC312" s="19">
        <v>44012</v>
      </c>
      <c r="AD312" s="85">
        <v>44015</v>
      </c>
      <c r="AE312" s="19">
        <v>44014</v>
      </c>
      <c r="AF312" s="19">
        <v>44014</v>
      </c>
      <c r="AG312" s="19" t="s">
        <v>165</v>
      </c>
      <c r="AH312" s="29">
        <v>1</v>
      </c>
      <c r="AI312" s="29">
        <v>1</v>
      </c>
      <c r="AJ312" s="29">
        <v>0.72</v>
      </c>
      <c r="AK312" s="19" t="s">
        <v>134</v>
      </c>
      <c r="AL312" s="17" t="s">
        <v>1461</v>
      </c>
      <c r="AM312" s="17" t="s">
        <v>58</v>
      </c>
      <c r="AN312" s="79" t="s">
        <v>1737</v>
      </c>
    </row>
    <row r="313" spans="2:40" hidden="1" x14ac:dyDescent="0.25">
      <c r="B313" s="39">
        <f t="shared" si="53"/>
        <v>254</v>
      </c>
      <c r="C313" s="16">
        <v>20200630</v>
      </c>
      <c r="D313" s="15" t="s">
        <v>3</v>
      </c>
      <c r="E313" s="75" t="s">
        <v>1320</v>
      </c>
      <c r="F313" s="100" t="s">
        <v>1398</v>
      </c>
      <c r="G313" s="17">
        <v>1496726</v>
      </c>
      <c r="H313" s="48" t="s">
        <v>58</v>
      </c>
      <c r="I313" s="15" t="s">
        <v>1331</v>
      </c>
      <c r="J313" s="48" t="s">
        <v>58</v>
      </c>
      <c r="K313" s="15" t="s">
        <v>1070</v>
      </c>
      <c r="L313" s="15" t="s">
        <v>1339</v>
      </c>
      <c r="M313" s="15" t="s">
        <v>1322</v>
      </c>
      <c r="N313" s="15" t="s">
        <v>1336</v>
      </c>
      <c r="O313" s="17" t="s">
        <v>58</v>
      </c>
      <c r="P313" s="17" t="s">
        <v>366</v>
      </c>
      <c r="Q313" s="18"/>
      <c r="R313" s="48" t="s">
        <v>58</v>
      </c>
      <c r="S313" s="15" t="s">
        <v>64</v>
      </c>
      <c r="T313" s="15" t="s">
        <v>925</v>
      </c>
      <c r="U313" s="15" t="s">
        <v>1625</v>
      </c>
      <c r="V313" s="15">
        <v>107</v>
      </c>
      <c r="W313" s="15">
        <f t="shared" si="62"/>
        <v>107</v>
      </c>
      <c r="X313" s="15">
        <f t="shared" si="64"/>
        <v>107</v>
      </c>
      <c r="Y313" s="15">
        <f>ROUNDDOWN(W313/HLOOKUP(D313,Table!$C$3:$D$4,2,0)*8,2)</f>
        <v>1.9</v>
      </c>
      <c r="Z313" s="15">
        <f t="shared" si="63"/>
        <v>1.9</v>
      </c>
      <c r="AA313" s="15" t="s">
        <v>70</v>
      </c>
      <c r="AB313" s="19">
        <v>44015</v>
      </c>
      <c r="AC313" s="19">
        <v>44012</v>
      </c>
      <c r="AD313" s="85">
        <v>44015</v>
      </c>
      <c r="AE313" s="19">
        <v>44014</v>
      </c>
      <c r="AF313" s="19">
        <v>44014</v>
      </c>
      <c r="AG313" s="19" t="s">
        <v>164</v>
      </c>
      <c r="AH313" s="29">
        <v>1</v>
      </c>
      <c r="AI313" s="29">
        <v>1</v>
      </c>
      <c r="AJ313" s="29">
        <v>1</v>
      </c>
      <c r="AK313" s="19" t="s">
        <v>144</v>
      </c>
      <c r="AL313" s="17" t="s">
        <v>58</v>
      </c>
      <c r="AM313" s="17" t="s">
        <v>58</v>
      </c>
      <c r="AN313" s="79" t="s">
        <v>363</v>
      </c>
    </row>
    <row r="314" spans="2:40" hidden="1" x14ac:dyDescent="0.25">
      <c r="B314" s="39">
        <f t="shared" si="53"/>
        <v>255</v>
      </c>
      <c r="C314" s="16">
        <v>20200630</v>
      </c>
      <c r="D314" s="15" t="s">
        <v>3</v>
      </c>
      <c r="E314" s="75" t="s">
        <v>1320</v>
      </c>
      <c r="F314" s="100" t="s">
        <v>1398</v>
      </c>
      <c r="G314" s="17">
        <v>1496726</v>
      </c>
      <c r="H314" s="48" t="s">
        <v>58</v>
      </c>
      <c r="I314" s="15" t="s">
        <v>342</v>
      </c>
      <c r="J314" s="48" t="s">
        <v>58</v>
      </c>
      <c r="K314" s="15" t="s">
        <v>1070</v>
      </c>
      <c r="L314" s="15" t="s">
        <v>1339</v>
      </c>
      <c r="M314" s="15" t="s">
        <v>1322</v>
      </c>
      <c r="N314" s="15" t="s">
        <v>1336</v>
      </c>
      <c r="O314" s="17" t="s">
        <v>58</v>
      </c>
      <c r="P314" s="17" t="s">
        <v>366</v>
      </c>
      <c r="Q314" s="18"/>
      <c r="R314" s="48" t="s">
        <v>58</v>
      </c>
      <c r="S314" s="15" t="s">
        <v>64</v>
      </c>
      <c r="T314" s="15" t="s">
        <v>925</v>
      </c>
      <c r="U314" s="15" t="s">
        <v>1625</v>
      </c>
      <c r="V314" s="15">
        <v>259</v>
      </c>
      <c r="W314" s="15">
        <f t="shared" si="62"/>
        <v>259</v>
      </c>
      <c r="X314" s="15">
        <f t="shared" si="64"/>
        <v>259</v>
      </c>
      <c r="Y314" s="15">
        <f>ROUNDDOWN(W314/HLOOKUP(D314,Table!$C$3:$D$4,2,0)*8,2)</f>
        <v>4.5999999999999996</v>
      </c>
      <c r="Z314" s="15">
        <f t="shared" si="63"/>
        <v>4.5999999999999996</v>
      </c>
      <c r="AA314" s="15" t="s">
        <v>70</v>
      </c>
      <c r="AB314" s="19">
        <v>44015</v>
      </c>
      <c r="AC314" s="19">
        <v>44012</v>
      </c>
      <c r="AD314" s="85">
        <v>44015</v>
      </c>
      <c r="AE314" s="19">
        <v>44015</v>
      </c>
      <c r="AF314" s="19">
        <v>44015</v>
      </c>
      <c r="AG314" s="19" t="s">
        <v>164</v>
      </c>
      <c r="AH314" s="29">
        <v>1</v>
      </c>
      <c r="AI314" s="29">
        <v>1</v>
      </c>
      <c r="AJ314" s="29">
        <v>1</v>
      </c>
      <c r="AK314" s="19" t="s">
        <v>144</v>
      </c>
      <c r="AL314" s="17" t="s">
        <v>58</v>
      </c>
      <c r="AM314" s="17" t="s">
        <v>58</v>
      </c>
      <c r="AN314" s="79" t="s">
        <v>363</v>
      </c>
    </row>
    <row r="315" spans="2:40" hidden="1" x14ac:dyDescent="0.25">
      <c r="B315" s="39">
        <f t="shared" si="53"/>
        <v>256</v>
      </c>
      <c r="C315" s="16">
        <v>20200630</v>
      </c>
      <c r="D315" s="15" t="s">
        <v>3</v>
      </c>
      <c r="E315" s="75" t="s">
        <v>1320</v>
      </c>
      <c r="F315" s="100" t="s">
        <v>1398</v>
      </c>
      <c r="G315" s="17">
        <v>1496726</v>
      </c>
      <c r="H315" s="48" t="s">
        <v>58</v>
      </c>
      <c r="I315" s="15" t="s">
        <v>343</v>
      </c>
      <c r="J315" s="48" t="s">
        <v>58</v>
      </c>
      <c r="K315" s="15" t="s">
        <v>1070</v>
      </c>
      <c r="L315" s="15" t="s">
        <v>1339</v>
      </c>
      <c r="M315" s="15" t="s">
        <v>1322</v>
      </c>
      <c r="N315" s="15" t="s">
        <v>1336</v>
      </c>
      <c r="O315" s="17" t="s">
        <v>58</v>
      </c>
      <c r="P315" s="17" t="s">
        <v>366</v>
      </c>
      <c r="Q315" s="18"/>
      <c r="R315" s="48" t="s">
        <v>58</v>
      </c>
      <c r="S315" s="15" t="s">
        <v>64</v>
      </c>
      <c r="T315" s="15" t="s">
        <v>925</v>
      </c>
      <c r="U315" s="15" t="s">
        <v>1625</v>
      </c>
      <c r="V315" s="15">
        <v>110</v>
      </c>
      <c r="W315" s="15">
        <f t="shared" si="62"/>
        <v>110</v>
      </c>
      <c r="X315" s="15">
        <f t="shared" si="64"/>
        <v>110</v>
      </c>
      <c r="Y315" s="15">
        <f>ROUNDDOWN(W315/HLOOKUP(D315,Table!$C$3:$D$4,2,0)*8,2)</f>
        <v>1.95</v>
      </c>
      <c r="Z315" s="15">
        <f t="shared" si="63"/>
        <v>1.95</v>
      </c>
      <c r="AA315" s="15" t="s">
        <v>70</v>
      </c>
      <c r="AB315" s="19">
        <v>44015</v>
      </c>
      <c r="AC315" s="19">
        <v>44012</v>
      </c>
      <c r="AD315" s="85">
        <v>44015</v>
      </c>
      <c r="AE315" s="19">
        <v>44015</v>
      </c>
      <c r="AF315" s="19">
        <v>44015</v>
      </c>
      <c r="AG315" s="19" t="s">
        <v>164</v>
      </c>
      <c r="AH315" s="29">
        <v>1</v>
      </c>
      <c r="AI315" s="29">
        <v>1</v>
      </c>
      <c r="AJ315" s="29">
        <v>1</v>
      </c>
      <c r="AK315" s="19" t="s">
        <v>144</v>
      </c>
      <c r="AL315" s="17" t="s">
        <v>58</v>
      </c>
      <c r="AM315" s="17" t="s">
        <v>58</v>
      </c>
      <c r="AN315" s="79" t="s">
        <v>363</v>
      </c>
    </row>
    <row r="316" spans="2:40" hidden="1" x14ac:dyDescent="0.25">
      <c r="B316" s="39">
        <f t="shared" si="53"/>
        <v>257</v>
      </c>
      <c r="C316" s="16">
        <v>20200630</v>
      </c>
      <c r="D316" s="15" t="s">
        <v>3</v>
      </c>
      <c r="E316" s="75" t="s">
        <v>1321</v>
      </c>
      <c r="F316" s="100" t="s">
        <v>1410</v>
      </c>
      <c r="G316" s="17">
        <v>1519191</v>
      </c>
      <c r="H316" s="48" t="s">
        <v>58</v>
      </c>
      <c r="I316" s="75" t="s">
        <v>194</v>
      </c>
      <c r="J316" s="48" t="s">
        <v>58</v>
      </c>
      <c r="K316" s="15" t="s">
        <v>1068</v>
      </c>
      <c r="L316" s="15" t="s">
        <v>144</v>
      </c>
      <c r="M316" s="15" t="s">
        <v>290</v>
      </c>
      <c r="N316" s="15" t="s">
        <v>1337</v>
      </c>
      <c r="O316" s="17" t="s">
        <v>58</v>
      </c>
      <c r="P316" s="17" t="s">
        <v>662</v>
      </c>
      <c r="Q316" s="18"/>
      <c r="R316" s="48" t="s">
        <v>58</v>
      </c>
      <c r="S316" s="15" t="s">
        <v>6</v>
      </c>
      <c r="T316" s="15" t="s">
        <v>233</v>
      </c>
      <c r="U316" s="15" t="s">
        <v>1625</v>
      </c>
      <c r="V316" s="15">
        <v>83</v>
      </c>
      <c r="W316" s="15">
        <v>83</v>
      </c>
      <c r="X316" s="15">
        <f t="shared" si="64"/>
        <v>83</v>
      </c>
      <c r="Y316" s="15">
        <f>ROUNDDOWN(W316/HLOOKUP(D316,Table!$C$3:$D$4,2,0)*8,2)</f>
        <v>1.47</v>
      </c>
      <c r="Z316" s="15">
        <v>1</v>
      </c>
      <c r="AA316" s="15" t="s">
        <v>70</v>
      </c>
      <c r="AB316" s="19">
        <v>44020</v>
      </c>
      <c r="AC316" s="19">
        <v>44012</v>
      </c>
      <c r="AD316" s="102">
        <v>44020</v>
      </c>
      <c r="AE316" s="19">
        <v>44014</v>
      </c>
      <c r="AF316" s="19">
        <v>44014</v>
      </c>
      <c r="AG316" s="19" t="s">
        <v>164</v>
      </c>
      <c r="AH316" s="29">
        <v>1</v>
      </c>
      <c r="AI316" s="29">
        <v>1</v>
      </c>
      <c r="AJ316" s="29">
        <v>1</v>
      </c>
      <c r="AK316" s="19" t="s">
        <v>144</v>
      </c>
      <c r="AL316" s="17" t="s">
        <v>58</v>
      </c>
      <c r="AM316" s="17" t="s">
        <v>58</v>
      </c>
      <c r="AN316" s="17" t="s">
        <v>58</v>
      </c>
    </row>
    <row r="317" spans="2:40" hidden="1" x14ac:dyDescent="0.25">
      <c r="B317" s="39">
        <f t="shared" ref="B317:B411" si="65">B316+1</f>
        <v>258</v>
      </c>
      <c r="C317" s="16">
        <v>20200630</v>
      </c>
      <c r="D317" s="15" t="s">
        <v>3</v>
      </c>
      <c r="E317" s="75" t="s">
        <v>1321</v>
      </c>
      <c r="F317" s="100" t="s">
        <v>1411</v>
      </c>
      <c r="G317" s="17">
        <v>1519191</v>
      </c>
      <c r="H317" s="48" t="s">
        <v>58</v>
      </c>
      <c r="I317" s="75" t="s">
        <v>195</v>
      </c>
      <c r="J317" s="48" t="s">
        <v>58</v>
      </c>
      <c r="K317" s="15" t="s">
        <v>1068</v>
      </c>
      <c r="L317" s="15" t="s">
        <v>144</v>
      </c>
      <c r="M317" s="15" t="s">
        <v>290</v>
      </c>
      <c r="N317" s="15" t="s">
        <v>1337</v>
      </c>
      <c r="O317" s="17" t="s">
        <v>58</v>
      </c>
      <c r="P317" s="17" t="s">
        <v>662</v>
      </c>
      <c r="Q317" s="18"/>
      <c r="R317" s="48" t="s">
        <v>58</v>
      </c>
      <c r="S317" s="15" t="s">
        <v>6</v>
      </c>
      <c r="T317" s="15" t="s">
        <v>233</v>
      </c>
      <c r="U317" s="15" t="s">
        <v>1625</v>
      </c>
      <c r="V317" s="15">
        <v>83</v>
      </c>
      <c r="W317" s="15">
        <v>83</v>
      </c>
      <c r="X317" s="15">
        <f t="shared" si="64"/>
        <v>83</v>
      </c>
      <c r="Y317" s="15">
        <f>ROUNDDOWN(W317/HLOOKUP(D317,Table!$C$3:$D$4,2,0)*8,2)</f>
        <v>1.47</v>
      </c>
      <c r="Z317" s="15">
        <v>1</v>
      </c>
      <c r="AA317" s="15" t="s">
        <v>70</v>
      </c>
      <c r="AB317" s="19">
        <v>44020</v>
      </c>
      <c r="AC317" s="19">
        <v>44012</v>
      </c>
      <c r="AD317" s="102">
        <v>44020</v>
      </c>
      <c r="AE317" s="19">
        <v>44014</v>
      </c>
      <c r="AF317" s="19">
        <v>44014</v>
      </c>
      <c r="AG317" s="19" t="s">
        <v>164</v>
      </c>
      <c r="AH317" s="29">
        <v>1</v>
      </c>
      <c r="AI317" s="29">
        <v>1</v>
      </c>
      <c r="AJ317" s="29">
        <v>1</v>
      </c>
      <c r="AK317" s="19" t="s">
        <v>144</v>
      </c>
      <c r="AL317" s="17" t="s">
        <v>58</v>
      </c>
      <c r="AM317" s="17" t="s">
        <v>58</v>
      </c>
      <c r="AN317" s="17" t="s">
        <v>58</v>
      </c>
    </row>
    <row r="318" spans="2:40" hidden="1" x14ac:dyDescent="0.25">
      <c r="B318" s="39">
        <f t="shared" si="65"/>
        <v>259</v>
      </c>
      <c r="C318" s="16">
        <v>20200630</v>
      </c>
      <c r="D318" s="15" t="s">
        <v>3</v>
      </c>
      <c r="E318" s="75" t="s">
        <v>1321</v>
      </c>
      <c r="F318" s="100" t="s">
        <v>1412</v>
      </c>
      <c r="G318" s="17">
        <v>1519191</v>
      </c>
      <c r="H318" s="48" t="s">
        <v>58</v>
      </c>
      <c r="I318" s="75" t="s">
        <v>196</v>
      </c>
      <c r="J318" s="48" t="s">
        <v>58</v>
      </c>
      <c r="K318" s="15" t="s">
        <v>1068</v>
      </c>
      <c r="L318" s="15" t="s">
        <v>144</v>
      </c>
      <c r="M318" s="15" t="s">
        <v>290</v>
      </c>
      <c r="N318" s="15" t="s">
        <v>1337</v>
      </c>
      <c r="O318" s="17" t="s">
        <v>58</v>
      </c>
      <c r="P318" s="17" t="s">
        <v>662</v>
      </c>
      <c r="Q318" s="18"/>
      <c r="R318" s="48" t="s">
        <v>58</v>
      </c>
      <c r="S318" s="15" t="s">
        <v>6</v>
      </c>
      <c r="T318" s="15" t="s">
        <v>233</v>
      </c>
      <c r="U318" s="15" t="s">
        <v>1625</v>
      </c>
      <c r="V318" s="15">
        <v>91</v>
      </c>
      <c r="W318" s="15">
        <v>91</v>
      </c>
      <c r="X318" s="15">
        <f t="shared" si="64"/>
        <v>91</v>
      </c>
      <c r="Y318" s="15">
        <f>ROUNDDOWN(W318/HLOOKUP(D318,Table!$C$3:$D$4,2,0)*8,2)</f>
        <v>1.61</v>
      </c>
      <c r="Z318" s="15">
        <v>1</v>
      </c>
      <c r="AA318" s="15" t="s">
        <v>70</v>
      </c>
      <c r="AB318" s="19">
        <v>44020</v>
      </c>
      <c r="AC318" s="19">
        <v>44012</v>
      </c>
      <c r="AD318" s="102">
        <v>44020</v>
      </c>
      <c r="AE318" s="19">
        <v>44014</v>
      </c>
      <c r="AF318" s="19">
        <v>44014</v>
      </c>
      <c r="AG318" s="19" t="s">
        <v>164</v>
      </c>
      <c r="AH318" s="29">
        <v>1</v>
      </c>
      <c r="AI318" s="29">
        <v>1</v>
      </c>
      <c r="AJ318" s="29">
        <v>1</v>
      </c>
      <c r="AK318" s="19" t="s">
        <v>144</v>
      </c>
      <c r="AL318" s="17" t="s">
        <v>58</v>
      </c>
      <c r="AM318" s="17" t="s">
        <v>58</v>
      </c>
      <c r="AN318" s="17" t="s">
        <v>58</v>
      </c>
    </row>
    <row r="319" spans="2:40" hidden="1" x14ac:dyDescent="0.25">
      <c r="B319" s="39">
        <f t="shared" si="65"/>
        <v>260</v>
      </c>
      <c r="C319" s="16">
        <v>20200630</v>
      </c>
      <c r="D319" s="15" t="s">
        <v>3</v>
      </c>
      <c r="E319" s="75" t="s">
        <v>1321</v>
      </c>
      <c r="F319" s="100" t="s">
        <v>1413</v>
      </c>
      <c r="G319" s="17">
        <v>1519191</v>
      </c>
      <c r="H319" s="48" t="s">
        <v>58</v>
      </c>
      <c r="I319" s="75" t="s">
        <v>189</v>
      </c>
      <c r="J319" s="48" t="s">
        <v>58</v>
      </c>
      <c r="K319" s="15" t="s">
        <v>1068</v>
      </c>
      <c r="L319" s="15" t="s">
        <v>144</v>
      </c>
      <c r="M319" s="15" t="s">
        <v>290</v>
      </c>
      <c r="N319" s="15" t="s">
        <v>1337</v>
      </c>
      <c r="O319" s="17" t="s">
        <v>58</v>
      </c>
      <c r="P319" s="17" t="s">
        <v>662</v>
      </c>
      <c r="Q319" s="18"/>
      <c r="R319" s="48" t="s">
        <v>58</v>
      </c>
      <c r="S319" s="15" t="s">
        <v>6</v>
      </c>
      <c r="T319" s="15" t="s">
        <v>233</v>
      </c>
      <c r="U319" s="15" t="s">
        <v>1625</v>
      </c>
      <c r="V319" s="15">
        <v>199</v>
      </c>
      <c r="W319" s="15">
        <v>199</v>
      </c>
      <c r="X319" s="15">
        <f t="shared" si="64"/>
        <v>199</v>
      </c>
      <c r="Y319" s="15">
        <f>ROUNDDOWN(W319/HLOOKUP(D319,Table!$C$3:$D$4,2,0)*8,2)</f>
        <v>3.53</v>
      </c>
      <c r="Z319" s="15">
        <v>1</v>
      </c>
      <c r="AA319" s="15" t="s">
        <v>70</v>
      </c>
      <c r="AB319" s="19">
        <v>44020</v>
      </c>
      <c r="AC319" s="19">
        <v>44012</v>
      </c>
      <c r="AD319" s="102">
        <v>44020</v>
      </c>
      <c r="AE319" s="19">
        <v>44014</v>
      </c>
      <c r="AF319" s="19">
        <v>44014</v>
      </c>
      <c r="AG319" s="19" t="s">
        <v>165</v>
      </c>
      <c r="AH319" s="29">
        <v>1</v>
      </c>
      <c r="AI319" s="29">
        <v>1</v>
      </c>
      <c r="AJ319" s="29">
        <v>0.7</v>
      </c>
      <c r="AK319" s="19" t="s">
        <v>134</v>
      </c>
      <c r="AL319" s="17" t="s">
        <v>1420</v>
      </c>
      <c r="AM319" s="17" t="s">
        <v>58</v>
      </c>
      <c r="AN319" s="17" t="s">
        <v>459</v>
      </c>
    </row>
    <row r="320" spans="2:40" hidden="1" x14ac:dyDescent="0.25">
      <c r="B320" s="39">
        <f t="shared" si="65"/>
        <v>261</v>
      </c>
      <c r="C320" s="16">
        <v>20200630</v>
      </c>
      <c r="D320" s="15" t="s">
        <v>3</v>
      </c>
      <c r="E320" s="75" t="s">
        <v>635</v>
      </c>
      <c r="F320" s="100" t="s">
        <v>1414</v>
      </c>
      <c r="G320" s="17">
        <v>1539894</v>
      </c>
      <c r="H320" s="48" t="s">
        <v>58</v>
      </c>
      <c r="I320" s="15" t="s">
        <v>1332</v>
      </c>
      <c r="J320" s="48" t="s">
        <v>58</v>
      </c>
      <c r="K320" s="15" t="s">
        <v>1068</v>
      </c>
      <c r="L320" s="15" t="s">
        <v>1340</v>
      </c>
      <c r="M320" s="15" t="s">
        <v>199</v>
      </c>
      <c r="N320" s="15" t="s">
        <v>218</v>
      </c>
      <c r="O320" s="17" t="s">
        <v>58</v>
      </c>
      <c r="P320" s="17" t="s">
        <v>1338</v>
      </c>
      <c r="Q320" s="18"/>
      <c r="R320" s="48" t="s">
        <v>58</v>
      </c>
      <c r="S320" s="15" t="s">
        <v>6</v>
      </c>
      <c r="T320" s="15" t="s">
        <v>233</v>
      </c>
      <c r="U320" s="15" t="s">
        <v>1625</v>
      </c>
      <c r="V320" s="15">
        <v>589</v>
      </c>
      <c r="W320" s="79">
        <v>606</v>
      </c>
      <c r="X320" s="15">
        <f t="shared" ref="X320:X335" si="66">W320</f>
        <v>606</v>
      </c>
      <c r="Y320" s="15">
        <f>ROUNDDOWN(W320/HLOOKUP(D320,Table!$C$3:$D$4,2,0)*8,2)</f>
        <v>10.77</v>
      </c>
      <c r="Z320" s="15">
        <v>5</v>
      </c>
      <c r="AA320" s="15" t="s">
        <v>70</v>
      </c>
      <c r="AB320" s="19">
        <v>44020</v>
      </c>
      <c r="AC320" s="19">
        <v>44012</v>
      </c>
      <c r="AD320" s="102">
        <v>44020</v>
      </c>
      <c r="AE320" s="19">
        <v>44018</v>
      </c>
      <c r="AF320" s="19">
        <v>44018</v>
      </c>
      <c r="AG320" s="19" t="s">
        <v>164</v>
      </c>
      <c r="AH320" s="29">
        <v>1</v>
      </c>
      <c r="AI320" s="29">
        <v>1</v>
      </c>
      <c r="AJ320" s="29">
        <v>1</v>
      </c>
      <c r="AK320" s="19" t="s">
        <v>144</v>
      </c>
      <c r="AL320" s="17" t="s">
        <v>58</v>
      </c>
      <c r="AM320" s="17" t="s">
        <v>58</v>
      </c>
      <c r="AN320" s="17" t="s">
        <v>1415</v>
      </c>
    </row>
    <row r="321" spans="2:40" hidden="1" x14ac:dyDescent="0.25">
      <c r="B321" s="146">
        <f t="shared" si="65"/>
        <v>262</v>
      </c>
      <c r="C321" s="16">
        <v>20200701</v>
      </c>
      <c r="D321" s="15" t="s">
        <v>3</v>
      </c>
      <c r="E321" s="75" t="s">
        <v>1361</v>
      </c>
      <c r="F321" s="17" t="s">
        <v>1365</v>
      </c>
      <c r="G321" s="17">
        <v>1537127</v>
      </c>
      <c r="H321" s="48" t="s">
        <v>58</v>
      </c>
      <c r="I321" s="16" t="s">
        <v>184</v>
      </c>
      <c r="J321" s="48" t="s">
        <v>58</v>
      </c>
      <c r="K321" s="15" t="s">
        <v>1070</v>
      </c>
      <c r="L321" s="15" t="s">
        <v>144</v>
      </c>
      <c r="M321" s="15" t="s">
        <v>1379</v>
      </c>
      <c r="N321" s="15" t="s">
        <v>1378</v>
      </c>
      <c r="O321" s="17" t="s">
        <v>58</v>
      </c>
      <c r="P321" s="17" t="s">
        <v>198</v>
      </c>
      <c r="Q321" s="18"/>
      <c r="R321" s="48" t="s">
        <v>58</v>
      </c>
      <c r="S321" s="15" t="s">
        <v>232</v>
      </c>
      <c r="T321" s="15" t="s">
        <v>137</v>
      </c>
      <c r="U321" s="15" t="s">
        <v>1625</v>
      </c>
      <c r="V321" s="15">
        <v>41</v>
      </c>
      <c r="W321" s="15">
        <f>V321*2</f>
        <v>82</v>
      </c>
      <c r="X321" s="15">
        <f t="shared" si="66"/>
        <v>82</v>
      </c>
      <c r="Y321" s="15">
        <f>ROUNDDOWN(W321/HLOOKUP(D321,Table!$C$3:$D$4,2,0)*8,2)</f>
        <v>1.45</v>
      </c>
      <c r="Z321" s="15">
        <v>2</v>
      </c>
      <c r="AA321" s="15" t="s">
        <v>70</v>
      </c>
      <c r="AB321" s="19">
        <v>44020</v>
      </c>
      <c r="AC321" s="19">
        <v>44013</v>
      </c>
      <c r="AD321" s="102">
        <v>44019</v>
      </c>
      <c r="AE321" s="19">
        <v>44013</v>
      </c>
      <c r="AF321" s="19">
        <v>44014</v>
      </c>
      <c r="AG321" s="19" t="s">
        <v>164</v>
      </c>
      <c r="AH321" s="29">
        <v>1</v>
      </c>
      <c r="AI321" s="29">
        <v>1</v>
      </c>
      <c r="AJ321" s="29">
        <v>1</v>
      </c>
      <c r="AK321" s="19" t="s">
        <v>144</v>
      </c>
      <c r="AL321" s="17" t="s">
        <v>58</v>
      </c>
      <c r="AM321" s="17" t="s">
        <v>58</v>
      </c>
      <c r="AN321" s="79" t="s">
        <v>922</v>
      </c>
    </row>
    <row r="322" spans="2:40" hidden="1" x14ac:dyDescent="0.25">
      <c r="B322" s="146">
        <f t="shared" si="65"/>
        <v>263</v>
      </c>
      <c r="C322" s="16">
        <v>20200701</v>
      </c>
      <c r="D322" s="15" t="s">
        <v>3</v>
      </c>
      <c r="E322" s="75" t="s">
        <v>1361</v>
      </c>
      <c r="F322" s="17" t="s">
        <v>1366</v>
      </c>
      <c r="G322" s="17">
        <v>1537162</v>
      </c>
      <c r="H322" s="48" t="s">
        <v>58</v>
      </c>
      <c r="I322" s="16" t="s">
        <v>184</v>
      </c>
      <c r="J322" s="48" t="s">
        <v>58</v>
      </c>
      <c r="K322" s="15" t="s">
        <v>1070</v>
      </c>
      <c r="L322" s="15" t="s">
        <v>144</v>
      </c>
      <c r="M322" s="15" t="s">
        <v>1379</v>
      </c>
      <c r="N322" s="15" t="s">
        <v>1378</v>
      </c>
      <c r="O322" s="17" t="s">
        <v>58</v>
      </c>
      <c r="P322" s="17" t="s">
        <v>198</v>
      </c>
      <c r="Q322" s="18"/>
      <c r="R322" s="48" t="s">
        <v>58</v>
      </c>
      <c r="S322" s="15" t="s">
        <v>232</v>
      </c>
      <c r="T322" s="15" t="s">
        <v>137</v>
      </c>
      <c r="U322" s="15" t="s">
        <v>1625</v>
      </c>
      <c r="V322" s="15">
        <v>41</v>
      </c>
      <c r="W322" s="15">
        <f t="shared" ref="W322:W334" si="67">V322*2</f>
        <v>82</v>
      </c>
      <c r="X322" s="15">
        <f t="shared" si="66"/>
        <v>82</v>
      </c>
      <c r="Y322" s="15">
        <f>ROUNDDOWN(W322/HLOOKUP(D322,Table!$C$3:$D$4,2,0)*8,2)</f>
        <v>1.45</v>
      </c>
      <c r="Z322" s="15">
        <v>2.5</v>
      </c>
      <c r="AA322" s="15" t="s">
        <v>70</v>
      </c>
      <c r="AB322" s="19">
        <v>44020</v>
      </c>
      <c r="AC322" s="19">
        <v>44013</v>
      </c>
      <c r="AD322" s="102">
        <v>44019</v>
      </c>
      <c r="AE322" s="19">
        <v>44018</v>
      </c>
      <c r="AF322" s="19">
        <v>44018</v>
      </c>
      <c r="AG322" s="19" t="s">
        <v>164</v>
      </c>
      <c r="AH322" s="29">
        <v>1</v>
      </c>
      <c r="AI322" s="29">
        <v>1</v>
      </c>
      <c r="AJ322" s="29">
        <v>1</v>
      </c>
      <c r="AK322" s="19" t="s">
        <v>144</v>
      </c>
      <c r="AL322" s="17" t="s">
        <v>58</v>
      </c>
      <c r="AM322" s="17" t="s">
        <v>58</v>
      </c>
      <c r="AN322" s="79" t="s">
        <v>922</v>
      </c>
    </row>
    <row r="323" spans="2:40" hidden="1" x14ac:dyDescent="0.25">
      <c r="B323" s="146">
        <f t="shared" si="65"/>
        <v>264</v>
      </c>
      <c r="C323" s="16">
        <v>20200701</v>
      </c>
      <c r="D323" s="15" t="s">
        <v>3</v>
      </c>
      <c r="E323" s="75" t="s">
        <v>1362</v>
      </c>
      <c r="F323" s="17" t="s">
        <v>1367</v>
      </c>
      <c r="G323" s="17">
        <v>1538216</v>
      </c>
      <c r="H323" s="48" t="s">
        <v>58</v>
      </c>
      <c r="I323" s="16" t="s">
        <v>1370</v>
      </c>
      <c r="J323" s="48" t="s">
        <v>58</v>
      </c>
      <c r="K323" s="15" t="s">
        <v>1070</v>
      </c>
      <c r="L323" s="15" t="s">
        <v>144</v>
      </c>
      <c r="M323" s="15" t="s">
        <v>290</v>
      </c>
      <c r="N323" s="15" t="s">
        <v>1378</v>
      </c>
      <c r="O323" s="17" t="s">
        <v>58</v>
      </c>
      <c r="P323" s="17" t="s">
        <v>672</v>
      </c>
      <c r="Q323" s="18"/>
      <c r="R323" s="48" t="s">
        <v>58</v>
      </c>
      <c r="S323" s="15" t="s">
        <v>232</v>
      </c>
      <c r="T323" s="15" t="s">
        <v>137</v>
      </c>
      <c r="U323" s="15" t="s">
        <v>1625</v>
      </c>
      <c r="V323" s="15">
        <v>31</v>
      </c>
      <c r="W323" s="15">
        <f t="shared" si="67"/>
        <v>62</v>
      </c>
      <c r="X323" s="15">
        <f t="shared" si="66"/>
        <v>62</v>
      </c>
      <c r="Y323" s="15">
        <f>ROUNDDOWN(W323/HLOOKUP(D323,Table!$C$3:$D$4,2,0)*8,2)</f>
        <v>1.1000000000000001</v>
      </c>
      <c r="Z323" s="15">
        <v>1</v>
      </c>
      <c r="AA323" s="15" t="s">
        <v>70</v>
      </c>
      <c r="AB323" s="19">
        <v>44020</v>
      </c>
      <c r="AC323" s="19">
        <v>44013</v>
      </c>
      <c r="AD323" s="102">
        <v>44019</v>
      </c>
      <c r="AE323" s="19">
        <v>44014</v>
      </c>
      <c r="AF323" s="19">
        <v>44014</v>
      </c>
      <c r="AG323" s="19" t="s">
        <v>164</v>
      </c>
      <c r="AH323" s="29">
        <v>1</v>
      </c>
      <c r="AI323" s="29">
        <v>1</v>
      </c>
      <c r="AJ323" s="29">
        <v>1</v>
      </c>
      <c r="AK323" s="19" t="s">
        <v>144</v>
      </c>
      <c r="AL323" s="17" t="s">
        <v>58</v>
      </c>
      <c r="AM323" s="17" t="s">
        <v>58</v>
      </c>
      <c r="AN323" s="79" t="s">
        <v>922</v>
      </c>
    </row>
    <row r="324" spans="2:40" hidden="1" x14ac:dyDescent="0.25">
      <c r="B324" s="146">
        <f t="shared" si="65"/>
        <v>265</v>
      </c>
      <c r="C324" s="16">
        <v>20200701</v>
      </c>
      <c r="D324" s="15" t="s">
        <v>3</v>
      </c>
      <c r="E324" s="75" t="s">
        <v>1362</v>
      </c>
      <c r="F324" s="17" t="s">
        <v>1368</v>
      </c>
      <c r="G324" s="17">
        <v>1538216</v>
      </c>
      <c r="H324" s="48" t="s">
        <v>58</v>
      </c>
      <c r="I324" s="16" t="s">
        <v>1371</v>
      </c>
      <c r="J324" s="48" t="s">
        <v>58</v>
      </c>
      <c r="K324" s="15" t="s">
        <v>1070</v>
      </c>
      <c r="L324" s="15" t="s">
        <v>144</v>
      </c>
      <c r="M324" s="15" t="s">
        <v>290</v>
      </c>
      <c r="N324" s="15" t="s">
        <v>1378</v>
      </c>
      <c r="O324" s="17" t="s">
        <v>58</v>
      </c>
      <c r="P324" s="17" t="s">
        <v>672</v>
      </c>
      <c r="Q324" s="18"/>
      <c r="R324" s="48" t="s">
        <v>58</v>
      </c>
      <c r="S324" s="15" t="s">
        <v>232</v>
      </c>
      <c r="T324" s="15" t="s">
        <v>137</v>
      </c>
      <c r="U324" s="15" t="s">
        <v>1625</v>
      </c>
      <c r="V324" s="15">
        <v>10</v>
      </c>
      <c r="W324" s="15">
        <f t="shared" si="67"/>
        <v>20</v>
      </c>
      <c r="X324" s="15">
        <f t="shared" si="66"/>
        <v>20</v>
      </c>
      <c r="Y324" s="15">
        <f>ROUNDDOWN(W324/HLOOKUP(D324,Table!$C$3:$D$4,2,0)*8,2)</f>
        <v>0.35</v>
      </c>
      <c r="Z324" s="15">
        <v>0.5</v>
      </c>
      <c r="AA324" s="15" t="s">
        <v>70</v>
      </c>
      <c r="AB324" s="19">
        <v>44020</v>
      </c>
      <c r="AC324" s="19">
        <v>44013</v>
      </c>
      <c r="AD324" s="102">
        <v>44019</v>
      </c>
      <c r="AE324" s="19">
        <v>44018</v>
      </c>
      <c r="AF324" s="19">
        <v>44018</v>
      </c>
      <c r="AG324" s="19" t="s">
        <v>164</v>
      </c>
      <c r="AH324" s="29">
        <v>1</v>
      </c>
      <c r="AI324" s="29">
        <v>1</v>
      </c>
      <c r="AJ324" s="29">
        <v>1</v>
      </c>
      <c r="AK324" s="19" t="s">
        <v>144</v>
      </c>
      <c r="AL324" s="17" t="s">
        <v>58</v>
      </c>
      <c r="AM324" s="17" t="s">
        <v>58</v>
      </c>
      <c r="AN324" s="79" t="s">
        <v>922</v>
      </c>
    </row>
    <row r="325" spans="2:40" hidden="1" x14ac:dyDescent="0.25">
      <c r="B325" s="146">
        <f t="shared" si="65"/>
        <v>266</v>
      </c>
      <c r="C325" s="16">
        <v>20200701</v>
      </c>
      <c r="D325" s="15" t="s">
        <v>3</v>
      </c>
      <c r="E325" s="75" t="s">
        <v>1362</v>
      </c>
      <c r="F325" s="17" t="s">
        <v>1369</v>
      </c>
      <c r="G325" s="17">
        <v>1538216</v>
      </c>
      <c r="H325" s="48" t="s">
        <v>58</v>
      </c>
      <c r="I325" s="16" t="s">
        <v>1372</v>
      </c>
      <c r="J325" s="48" t="s">
        <v>58</v>
      </c>
      <c r="K325" s="15" t="s">
        <v>1070</v>
      </c>
      <c r="L325" s="15" t="s">
        <v>144</v>
      </c>
      <c r="M325" s="15" t="s">
        <v>290</v>
      </c>
      <c r="N325" s="15" t="s">
        <v>1378</v>
      </c>
      <c r="O325" s="17" t="s">
        <v>58</v>
      </c>
      <c r="P325" s="17" t="s">
        <v>672</v>
      </c>
      <c r="Q325" s="18"/>
      <c r="R325" s="48" t="s">
        <v>58</v>
      </c>
      <c r="S325" s="15" t="s">
        <v>232</v>
      </c>
      <c r="T325" s="15" t="s">
        <v>137</v>
      </c>
      <c r="U325" s="15" t="s">
        <v>1625</v>
      </c>
      <c r="V325" s="15">
        <v>188</v>
      </c>
      <c r="W325" s="15">
        <f t="shared" si="67"/>
        <v>376</v>
      </c>
      <c r="X325" s="15">
        <f t="shared" si="66"/>
        <v>376</v>
      </c>
      <c r="Y325" s="15">
        <f>ROUNDDOWN(W325/HLOOKUP(D325,Table!$C$3:$D$4,2,0)*8,2)</f>
        <v>6.68</v>
      </c>
      <c r="Z325" s="15">
        <v>6</v>
      </c>
      <c r="AA325" s="15" t="s">
        <v>70</v>
      </c>
      <c r="AB325" s="19">
        <v>44020</v>
      </c>
      <c r="AC325" s="19">
        <v>44013</v>
      </c>
      <c r="AD325" s="102">
        <v>44019</v>
      </c>
      <c r="AE325" s="19">
        <v>44018</v>
      </c>
      <c r="AF325" s="19">
        <v>44018</v>
      </c>
      <c r="AG325" s="19" t="s">
        <v>164</v>
      </c>
      <c r="AH325" s="29">
        <v>1</v>
      </c>
      <c r="AI325" s="29">
        <v>1</v>
      </c>
      <c r="AJ325" s="29">
        <v>1</v>
      </c>
      <c r="AK325" s="19" t="s">
        <v>144</v>
      </c>
      <c r="AL325" s="17" t="s">
        <v>58</v>
      </c>
      <c r="AM325" s="17" t="s">
        <v>58</v>
      </c>
      <c r="AN325" s="79" t="s">
        <v>922</v>
      </c>
    </row>
    <row r="326" spans="2:40" x14ac:dyDescent="0.25">
      <c r="B326" s="146">
        <f t="shared" si="65"/>
        <v>267</v>
      </c>
      <c r="C326" s="16">
        <v>20200701</v>
      </c>
      <c r="D326" s="15" t="s">
        <v>3</v>
      </c>
      <c r="E326" s="75" t="s">
        <v>1363</v>
      </c>
      <c r="F326" s="223" t="s">
        <v>1498</v>
      </c>
      <c r="G326" s="17">
        <v>1539383</v>
      </c>
      <c r="H326" s="48" t="s">
        <v>58</v>
      </c>
      <c r="I326" s="15" t="s">
        <v>214</v>
      </c>
      <c r="J326" s="48" t="s">
        <v>58</v>
      </c>
      <c r="K326" s="15" t="s">
        <v>1070</v>
      </c>
      <c r="L326" s="15" t="s">
        <v>144</v>
      </c>
      <c r="M326" s="15" t="s">
        <v>1380</v>
      </c>
      <c r="N326" s="15" t="s">
        <v>1378</v>
      </c>
      <c r="O326" s="17" t="s">
        <v>58</v>
      </c>
      <c r="P326" s="17" t="s">
        <v>198</v>
      </c>
      <c r="Q326" s="18"/>
      <c r="R326" s="48" t="s">
        <v>58</v>
      </c>
      <c r="S326" s="15" t="s">
        <v>231</v>
      </c>
      <c r="T326" s="15" t="s">
        <v>64</v>
      </c>
      <c r="U326" s="15" t="s">
        <v>1625</v>
      </c>
      <c r="V326" s="15">
        <v>27</v>
      </c>
      <c r="W326" s="15">
        <f t="shared" si="67"/>
        <v>54</v>
      </c>
      <c r="X326" s="15">
        <f t="shared" si="66"/>
        <v>54</v>
      </c>
      <c r="Y326" s="15">
        <f>ROUNDDOWN(W326/HLOOKUP(D326,Table!$C$3:$D$4,2,0)*8,2)</f>
        <v>0.96</v>
      </c>
      <c r="Z326" s="15">
        <v>0.15</v>
      </c>
      <c r="AA326" s="15" t="s">
        <v>70</v>
      </c>
      <c r="AB326" s="19">
        <v>44020</v>
      </c>
      <c r="AC326" s="19">
        <v>44013</v>
      </c>
      <c r="AD326" s="102">
        <v>44019</v>
      </c>
      <c r="AE326" s="19">
        <v>44015</v>
      </c>
      <c r="AF326" s="19">
        <v>44015</v>
      </c>
      <c r="AG326" s="19" t="s">
        <v>164</v>
      </c>
      <c r="AH326" s="29" t="s">
        <v>58</v>
      </c>
      <c r="AI326" s="29" t="s">
        <v>58</v>
      </c>
      <c r="AJ326" s="29" t="s">
        <v>58</v>
      </c>
      <c r="AK326" s="19" t="s">
        <v>144</v>
      </c>
      <c r="AL326" s="17" t="s">
        <v>1482</v>
      </c>
      <c r="AM326" s="17" t="s">
        <v>58</v>
      </c>
      <c r="AN326" s="79" t="s">
        <v>1483</v>
      </c>
    </row>
    <row r="327" spans="2:40" x14ac:dyDescent="0.25">
      <c r="B327" s="146">
        <f t="shared" si="65"/>
        <v>268</v>
      </c>
      <c r="C327" s="16">
        <v>20200701</v>
      </c>
      <c r="D327" s="15" t="s">
        <v>3</v>
      </c>
      <c r="E327" s="75" t="s">
        <v>1363</v>
      </c>
      <c r="F327" s="223" t="s">
        <v>1024</v>
      </c>
      <c r="G327" s="17">
        <v>1539367</v>
      </c>
      <c r="H327" s="48" t="s">
        <v>58</v>
      </c>
      <c r="I327" s="15" t="s">
        <v>214</v>
      </c>
      <c r="J327" s="48" t="s">
        <v>58</v>
      </c>
      <c r="K327" s="15" t="s">
        <v>1070</v>
      </c>
      <c r="L327" s="15" t="s">
        <v>144</v>
      </c>
      <c r="M327" s="15" t="s">
        <v>1380</v>
      </c>
      <c r="N327" s="15" t="s">
        <v>1378</v>
      </c>
      <c r="O327" s="17" t="s">
        <v>58</v>
      </c>
      <c r="P327" s="17" t="s">
        <v>198</v>
      </c>
      <c r="Q327" s="18"/>
      <c r="R327" s="48" t="s">
        <v>58</v>
      </c>
      <c r="S327" s="15" t="s">
        <v>231</v>
      </c>
      <c r="T327" s="15" t="s">
        <v>64</v>
      </c>
      <c r="U327" s="15" t="s">
        <v>1625</v>
      </c>
      <c r="V327" s="15">
        <v>27</v>
      </c>
      <c r="W327" s="15">
        <f t="shared" si="67"/>
        <v>54</v>
      </c>
      <c r="X327" s="15">
        <f t="shared" si="66"/>
        <v>54</v>
      </c>
      <c r="Y327" s="15">
        <f>ROUNDDOWN(W327/HLOOKUP(D327,Table!$C$3:$D$4,2,0)*8,2)</f>
        <v>0.96</v>
      </c>
      <c r="Z327" s="15">
        <v>0.15</v>
      </c>
      <c r="AA327" s="15" t="s">
        <v>70</v>
      </c>
      <c r="AB327" s="19">
        <v>44020</v>
      </c>
      <c r="AC327" s="19">
        <v>44013</v>
      </c>
      <c r="AD327" s="102">
        <v>44019</v>
      </c>
      <c r="AE327" s="19">
        <v>44015</v>
      </c>
      <c r="AF327" s="19">
        <v>44015</v>
      </c>
      <c r="AG327" s="19" t="s">
        <v>164</v>
      </c>
      <c r="AH327" s="29" t="s">
        <v>58</v>
      </c>
      <c r="AI327" s="29" t="s">
        <v>58</v>
      </c>
      <c r="AJ327" s="29" t="s">
        <v>58</v>
      </c>
      <c r="AK327" s="19" t="s">
        <v>144</v>
      </c>
      <c r="AL327" s="17" t="s">
        <v>1482</v>
      </c>
      <c r="AM327" s="17" t="s">
        <v>58</v>
      </c>
      <c r="AN327" s="79" t="s">
        <v>1483</v>
      </c>
    </row>
    <row r="328" spans="2:40" x14ac:dyDescent="0.25">
      <c r="B328" s="146">
        <f t="shared" si="65"/>
        <v>269</v>
      </c>
      <c r="C328" s="16">
        <v>20200701</v>
      </c>
      <c r="D328" s="15" t="s">
        <v>3</v>
      </c>
      <c r="E328" s="75" t="s">
        <v>1363</v>
      </c>
      <c r="F328" s="223" t="s">
        <v>1499</v>
      </c>
      <c r="G328" s="17">
        <v>1539410</v>
      </c>
      <c r="H328" s="48" t="s">
        <v>58</v>
      </c>
      <c r="I328" s="15" t="s">
        <v>214</v>
      </c>
      <c r="J328" s="48" t="s">
        <v>58</v>
      </c>
      <c r="K328" s="15" t="s">
        <v>1070</v>
      </c>
      <c r="L328" s="15" t="s">
        <v>144</v>
      </c>
      <c r="M328" s="15" t="s">
        <v>1380</v>
      </c>
      <c r="N328" s="15" t="s">
        <v>1378</v>
      </c>
      <c r="O328" s="17" t="s">
        <v>58</v>
      </c>
      <c r="P328" s="17" t="s">
        <v>1377</v>
      </c>
      <c r="Q328" s="18"/>
      <c r="R328" s="48" t="s">
        <v>58</v>
      </c>
      <c r="S328" s="15" t="s">
        <v>231</v>
      </c>
      <c r="T328" s="15" t="s">
        <v>64</v>
      </c>
      <c r="U328" s="15" t="s">
        <v>1625</v>
      </c>
      <c r="V328" s="15">
        <v>27</v>
      </c>
      <c r="W328" s="15">
        <f t="shared" si="67"/>
        <v>54</v>
      </c>
      <c r="X328" s="15">
        <f t="shared" si="66"/>
        <v>54</v>
      </c>
      <c r="Y328" s="15">
        <f>ROUNDDOWN(W328/HLOOKUP(D328,Table!$C$3:$D$4,2,0)*8,2)</f>
        <v>0.96</v>
      </c>
      <c r="Z328" s="15">
        <v>0.15</v>
      </c>
      <c r="AA328" s="15" t="s">
        <v>70</v>
      </c>
      <c r="AB328" s="19">
        <v>44020</v>
      </c>
      <c r="AC328" s="19">
        <v>44013</v>
      </c>
      <c r="AD328" s="102">
        <v>44019</v>
      </c>
      <c r="AE328" s="19">
        <v>44015</v>
      </c>
      <c r="AF328" s="19">
        <v>44015</v>
      </c>
      <c r="AG328" s="19" t="s">
        <v>164</v>
      </c>
      <c r="AH328" s="29" t="s">
        <v>58</v>
      </c>
      <c r="AI328" s="29" t="s">
        <v>58</v>
      </c>
      <c r="AJ328" s="29" t="s">
        <v>58</v>
      </c>
      <c r="AK328" s="19" t="s">
        <v>144</v>
      </c>
      <c r="AL328" s="17" t="s">
        <v>1482</v>
      </c>
      <c r="AM328" s="17" t="s">
        <v>58</v>
      </c>
      <c r="AN328" s="79" t="s">
        <v>1483</v>
      </c>
    </row>
    <row r="329" spans="2:40" hidden="1" x14ac:dyDescent="0.25">
      <c r="B329" s="146">
        <f t="shared" si="65"/>
        <v>270</v>
      </c>
      <c r="C329" s="16">
        <v>20200701</v>
      </c>
      <c r="D329" s="15" t="s">
        <v>3</v>
      </c>
      <c r="E329" s="75" t="s">
        <v>1364</v>
      </c>
      <c r="F329" s="223" t="s">
        <v>1490</v>
      </c>
      <c r="G329" s="17">
        <v>1521356</v>
      </c>
      <c r="H329" s="48" t="s">
        <v>58</v>
      </c>
      <c r="I329" s="15" t="s">
        <v>1373</v>
      </c>
      <c r="J329" s="48" t="s">
        <v>58</v>
      </c>
      <c r="K329" s="15" t="s">
        <v>1070</v>
      </c>
      <c r="L329" s="15" t="s">
        <v>144</v>
      </c>
      <c r="M329" s="15" t="s">
        <v>1292</v>
      </c>
      <c r="N329" s="15" t="s">
        <v>1378</v>
      </c>
      <c r="O329" s="17" t="s">
        <v>58</v>
      </c>
      <c r="P329" s="17" t="s">
        <v>1377</v>
      </c>
      <c r="Q329" s="18"/>
      <c r="R329" s="48" t="s">
        <v>58</v>
      </c>
      <c r="S329" s="15" t="s">
        <v>231</v>
      </c>
      <c r="T329" s="15" t="s">
        <v>64</v>
      </c>
      <c r="U329" s="15" t="s">
        <v>1625</v>
      </c>
      <c r="V329" s="15">
        <v>119</v>
      </c>
      <c r="W329" s="15">
        <f t="shared" si="67"/>
        <v>238</v>
      </c>
      <c r="X329" s="15">
        <f t="shared" si="66"/>
        <v>238</v>
      </c>
      <c r="Y329" s="15">
        <f>ROUNDDOWN(W329/HLOOKUP(D329,Table!$C$3:$D$4,2,0)*8,2)</f>
        <v>4.2300000000000004</v>
      </c>
      <c r="Z329" s="15">
        <v>4.2</v>
      </c>
      <c r="AA329" s="15" t="s">
        <v>70</v>
      </c>
      <c r="AB329" s="19">
        <v>44020</v>
      </c>
      <c r="AC329" s="19">
        <v>44013</v>
      </c>
      <c r="AD329" s="102">
        <v>44019</v>
      </c>
      <c r="AE329" s="19">
        <v>44018</v>
      </c>
      <c r="AF329" s="19">
        <v>44018</v>
      </c>
      <c r="AG329" s="19" t="s">
        <v>164</v>
      </c>
      <c r="AH329" s="29">
        <v>1</v>
      </c>
      <c r="AI329" s="29">
        <v>1</v>
      </c>
      <c r="AJ329" s="29">
        <v>1</v>
      </c>
      <c r="AK329" s="19" t="s">
        <v>144</v>
      </c>
      <c r="AL329" s="17" t="s">
        <v>58</v>
      </c>
      <c r="AM329" s="17" t="s">
        <v>58</v>
      </c>
      <c r="AN329" s="79" t="s">
        <v>922</v>
      </c>
    </row>
    <row r="330" spans="2:40" hidden="1" x14ac:dyDescent="0.25">
      <c r="B330" s="146">
        <f t="shared" si="65"/>
        <v>271</v>
      </c>
      <c r="C330" s="16">
        <v>20200701</v>
      </c>
      <c r="D330" s="15" t="s">
        <v>3</v>
      </c>
      <c r="E330" s="75" t="s">
        <v>1364</v>
      </c>
      <c r="F330" s="17" t="s">
        <v>1497</v>
      </c>
      <c r="G330" s="17">
        <v>1548125</v>
      </c>
      <c r="H330" s="48" t="s">
        <v>58</v>
      </c>
      <c r="I330" s="15" t="s">
        <v>184</v>
      </c>
      <c r="J330" s="48" t="s">
        <v>58</v>
      </c>
      <c r="K330" s="15" t="s">
        <v>1070</v>
      </c>
      <c r="L330" s="15" t="s">
        <v>144</v>
      </c>
      <c r="M330" s="15" t="s">
        <v>1292</v>
      </c>
      <c r="N330" s="15" t="s">
        <v>1378</v>
      </c>
      <c r="O330" s="17" t="s">
        <v>58</v>
      </c>
      <c r="P330" s="17" t="s">
        <v>1377</v>
      </c>
      <c r="Q330" s="18"/>
      <c r="R330" s="48" t="s">
        <v>58</v>
      </c>
      <c r="S330" s="15" t="s">
        <v>231</v>
      </c>
      <c r="T330" s="15" t="s">
        <v>64</v>
      </c>
      <c r="U330" s="15" t="s">
        <v>1625</v>
      </c>
      <c r="V330" s="15">
        <v>41</v>
      </c>
      <c r="W330" s="15">
        <f t="shared" si="67"/>
        <v>82</v>
      </c>
      <c r="X330" s="15">
        <f t="shared" si="66"/>
        <v>82</v>
      </c>
      <c r="Y330" s="15">
        <f>ROUNDDOWN(W330/HLOOKUP(D330,Table!$C$3:$D$4,2,0)*8,2)</f>
        <v>1.45</v>
      </c>
      <c r="Z330" s="15">
        <v>1.4</v>
      </c>
      <c r="AA330" s="15" t="s">
        <v>70</v>
      </c>
      <c r="AB330" s="19">
        <v>44020</v>
      </c>
      <c r="AC330" s="19">
        <v>44013</v>
      </c>
      <c r="AD330" s="102">
        <v>44019</v>
      </c>
      <c r="AE330" s="19">
        <v>44018</v>
      </c>
      <c r="AF330" s="19">
        <v>44018</v>
      </c>
      <c r="AG330" s="19" t="s">
        <v>164</v>
      </c>
      <c r="AH330" s="29">
        <v>1</v>
      </c>
      <c r="AI330" s="29">
        <v>1</v>
      </c>
      <c r="AJ330" s="29">
        <v>1</v>
      </c>
      <c r="AK330" s="19" t="s">
        <v>144</v>
      </c>
      <c r="AL330" s="17" t="s">
        <v>58</v>
      </c>
      <c r="AM330" s="17" t="s">
        <v>58</v>
      </c>
      <c r="AN330" s="79" t="s">
        <v>922</v>
      </c>
    </row>
    <row r="331" spans="2:40" hidden="1" x14ac:dyDescent="0.25">
      <c r="B331" s="146">
        <f t="shared" si="65"/>
        <v>272</v>
      </c>
      <c r="C331" s="16">
        <v>20200701</v>
      </c>
      <c r="D331" s="15" t="s">
        <v>3</v>
      </c>
      <c r="E331" s="75" t="s">
        <v>1364</v>
      </c>
      <c r="F331" s="100" t="s">
        <v>1407</v>
      </c>
      <c r="G331" s="17">
        <v>1548125</v>
      </c>
      <c r="H331" s="48" t="s">
        <v>58</v>
      </c>
      <c r="I331" s="15" t="s">
        <v>1374</v>
      </c>
      <c r="J331" s="48" t="s">
        <v>58</v>
      </c>
      <c r="K331" s="15" t="s">
        <v>1070</v>
      </c>
      <c r="L331" s="15" t="s">
        <v>144</v>
      </c>
      <c r="M331" s="15" t="s">
        <v>1292</v>
      </c>
      <c r="N331" s="15" t="s">
        <v>1378</v>
      </c>
      <c r="O331" s="17" t="s">
        <v>58</v>
      </c>
      <c r="P331" s="17" t="s">
        <v>1377</v>
      </c>
      <c r="Q331" s="18"/>
      <c r="R331" s="48" t="s">
        <v>58</v>
      </c>
      <c r="S331" s="15" t="s">
        <v>233</v>
      </c>
      <c r="T331" s="15" t="s">
        <v>65</v>
      </c>
      <c r="U331" s="15" t="s">
        <v>1625</v>
      </c>
      <c r="V331" s="15">
        <v>100</v>
      </c>
      <c r="W331" s="15">
        <f t="shared" si="67"/>
        <v>200</v>
      </c>
      <c r="X331" s="15">
        <f t="shared" si="66"/>
        <v>200</v>
      </c>
      <c r="Y331" s="15">
        <f>ROUNDDOWN(W331/HLOOKUP(D331,Table!$C$3:$D$4,2,0)*8,2)</f>
        <v>3.55</v>
      </c>
      <c r="Z331" s="15">
        <v>3</v>
      </c>
      <c r="AA331" s="15" t="s">
        <v>70</v>
      </c>
      <c r="AB331" s="19">
        <v>44020</v>
      </c>
      <c r="AC331" s="19">
        <v>44013</v>
      </c>
      <c r="AD331" s="102">
        <v>44019</v>
      </c>
      <c r="AE331" s="19">
        <v>44015</v>
      </c>
      <c r="AF331" s="19">
        <v>44015</v>
      </c>
      <c r="AG331" s="19" t="s">
        <v>164</v>
      </c>
      <c r="AH331" s="29">
        <v>1</v>
      </c>
      <c r="AI331" s="29">
        <v>1</v>
      </c>
      <c r="AJ331" s="29">
        <v>1</v>
      </c>
      <c r="AK331" s="19" t="s">
        <v>144</v>
      </c>
      <c r="AL331" s="17" t="s">
        <v>58</v>
      </c>
      <c r="AM331" s="17" t="s">
        <v>58</v>
      </c>
      <c r="AN331" s="79" t="s">
        <v>922</v>
      </c>
    </row>
    <row r="332" spans="2:40" x14ac:dyDescent="0.25">
      <c r="B332" s="146">
        <f t="shared" si="65"/>
        <v>273</v>
      </c>
      <c r="C332" s="16">
        <v>20200701</v>
      </c>
      <c r="D332" s="15" t="s">
        <v>3</v>
      </c>
      <c r="E332" s="75" t="s">
        <v>1364</v>
      </c>
      <c r="F332" s="100" t="s">
        <v>1408</v>
      </c>
      <c r="G332" s="17">
        <v>1548125</v>
      </c>
      <c r="H332" s="48" t="s">
        <v>58</v>
      </c>
      <c r="I332" s="15" t="s">
        <v>1375</v>
      </c>
      <c r="J332" s="48" t="s">
        <v>58</v>
      </c>
      <c r="K332" s="15" t="s">
        <v>1070</v>
      </c>
      <c r="L332" s="15" t="s">
        <v>144</v>
      </c>
      <c r="M332" s="15" t="s">
        <v>1292</v>
      </c>
      <c r="N332" s="15" t="s">
        <v>1378</v>
      </c>
      <c r="O332" s="17" t="s">
        <v>58</v>
      </c>
      <c r="P332" s="17" t="s">
        <v>1377</v>
      </c>
      <c r="Q332" s="18"/>
      <c r="R332" s="48" t="s">
        <v>58</v>
      </c>
      <c r="S332" s="15" t="s">
        <v>233</v>
      </c>
      <c r="T332" s="15" t="s">
        <v>65</v>
      </c>
      <c r="U332" s="15" t="s">
        <v>1625</v>
      </c>
      <c r="V332" s="15">
        <v>4</v>
      </c>
      <c r="W332" s="15">
        <f t="shared" si="67"/>
        <v>8</v>
      </c>
      <c r="X332" s="15">
        <f t="shared" si="66"/>
        <v>8</v>
      </c>
      <c r="Y332" s="15">
        <f>ROUNDDOWN(W332/HLOOKUP(D332,Table!$C$3:$D$4,2,0)*8,2)</f>
        <v>0.14000000000000001</v>
      </c>
      <c r="Z332" s="15">
        <v>0.1</v>
      </c>
      <c r="AA332" s="15" t="s">
        <v>70</v>
      </c>
      <c r="AB332" s="19">
        <v>44020</v>
      </c>
      <c r="AC332" s="19">
        <v>44013</v>
      </c>
      <c r="AD332" s="102">
        <v>44019</v>
      </c>
      <c r="AE332" s="19">
        <v>44013</v>
      </c>
      <c r="AF332" s="19">
        <v>44013</v>
      </c>
      <c r="AG332" s="19" t="s">
        <v>164</v>
      </c>
      <c r="AH332" s="29" t="s">
        <v>58</v>
      </c>
      <c r="AI332" s="29" t="s">
        <v>58</v>
      </c>
      <c r="AJ332" s="29" t="s">
        <v>58</v>
      </c>
      <c r="AK332" s="19" t="s">
        <v>144</v>
      </c>
      <c r="AL332" s="17" t="s">
        <v>58</v>
      </c>
      <c r="AM332" s="17" t="s">
        <v>58</v>
      </c>
      <c r="AN332" s="84" t="s">
        <v>172</v>
      </c>
    </row>
    <row r="333" spans="2:40" hidden="1" x14ac:dyDescent="0.25">
      <c r="B333" s="146">
        <f t="shared" si="65"/>
        <v>274</v>
      </c>
      <c r="C333" s="16">
        <v>20200701</v>
      </c>
      <c r="D333" s="15" t="s">
        <v>3</v>
      </c>
      <c r="E333" s="75" t="s">
        <v>1364</v>
      </c>
      <c r="F333" s="100" t="s">
        <v>1409</v>
      </c>
      <c r="G333" s="17">
        <v>1548125</v>
      </c>
      <c r="H333" s="48" t="s">
        <v>58</v>
      </c>
      <c r="I333" s="15" t="s">
        <v>1376</v>
      </c>
      <c r="J333" s="48" t="s">
        <v>58</v>
      </c>
      <c r="K333" s="15" t="s">
        <v>1070</v>
      </c>
      <c r="L333" s="15" t="s">
        <v>144</v>
      </c>
      <c r="M333" s="15" t="s">
        <v>1292</v>
      </c>
      <c r="N333" s="15" t="s">
        <v>1378</v>
      </c>
      <c r="O333" s="17" t="s">
        <v>58</v>
      </c>
      <c r="P333" s="17" t="s">
        <v>1377</v>
      </c>
      <c r="Q333" s="18"/>
      <c r="R333" s="48" t="s">
        <v>58</v>
      </c>
      <c r="S333" s="15" t="s">
        <v>233</v>
      </c>
      <c r="T333" s="15" t="s">
        <v>65</v>
      </c>
      <c r="U333" s="15" t="s">
        <v>1625</v>
      </c>
      <c r="V333" s="15">
        <v>6</v>
      </c>
      <c r="W333" s="15">
        <f t="shared" si="67"/>
        <v>12</v>
      </c>
      <c r="X333" s="15">
        <f t="shared" si="66"/>
        <v>12</v>
      </c>
      <c r="Y333" s="15">
        <f>ROUNDDOWN(W333/HLOOKUP(D333,Table!$C$3:$D$4,2,0)*8,2)</f>
        <v>0.21</v>
      </c>
      <c r="Z333" s="15">
        <v>0.2</v>
      </c>
      <c r="AA333" s="15" t="s">
        <v>70</v>
      </c>
      <c r="AB333" s="19">
        <v>44020</v>
      </c>
      <c r="AC333" s="19">
        <v>44013</v>
      </c>
      <c r="AD333" s="102">
        <v>44019</v>
      </c>
      <c r="AE333" s="19">
        <v>44014</v>
      </c>
      <c r="AF333" s="19">
        <v>44014</v>
      </c>
      <c r="AG333" s="19" t="s">
        <v>164</v>
      </c>
      <c r="AH333" s="29">
        <v>1</v>
      </c>
      <c r="AI333" s="29">
        <v>1</v>
      </c>
      <c r="AJ333" s="29">
        <v>1</v>
      </c>
      <c r="AK333" s="19" t="s">
        <v>144</v>
      </c>
      <c r="AL333" s="17" t="s">
        <v>58</v>
      </c>
      <c r="AM333" s="17" t="s">
        <v>58</v>
      </c>
      <c r="AN333" s="79" t="s">
        <v>922</v>
      </c>
    </row>
    <row r="334" spans="2:40" hidden="1" x14ac:dyDescent="0.25">
      <c r="B334" s="146">
        <f t="shared" si="65"/>
        <v>275</v>
      </c>
      <c r="C334" s="16">
        <v>20200701</v>
      </c>
      <c r="D334" s="15" t="s">
        <v>3</v>
      </c>
      <c r="E334" s="75" t="s">
        <v>1364</v>
      </c>
      <c r="F334" s="100" t="s">
        <v>1490</v>
      </c>
      <c r="G334" s="17">
        <v>1548125</v>
      </c>
      <c r="H334" s="48" t="s">
        <v>58</v>
      </c>
      <c r="I334" s="15" t="s">
        <v>1373</v>
      </c>
      <c r="J334" s="48" t="s">
        <v>58</v>
      </c>
      <c r="K334" s="15" t="s">
        <v>1070</v>
      </c>
      <c r="L334" s="15" t="s">
        <v>144</v>
      </c>
      <c r="M334" s="15" t="s">
        <v>1292</v>
      </c>
      <c r="N334" s="15" t="s">
        <v>1378</v>
      </c>
      <c r="O334" s="17" t="s">
        <v>58</v>
      </c>
      <c r="P334" s="17" t="s">
        <v>1377</v>
      </c>
      <c r="Q334" s="18"/>
      <c r="R334" s="48" t="s">
        <v>58</v>
      </c>
      <c r="S334" s="15" t="s">
        <v>233</v>
      </c>
      <c r="T334" s="15" t="s">
        <v>65</v>
      </c>
      <c r="U334" s="15" t="s">
        <v>1625</v>
      </c>
      <c r="V334" s="15">
        <v>119</v>
      </c>
      <c r="W334" s="15">
        <f t="shared" si="67"/>
        <v>238</v>
      </c>
      <c r="X334" s="15">
        <f t="shared" si="66"/>
        <v>238</v>
      </c>
      <c r="Y334" s="15">
        <f>ROUNDDOWN(W334/HLOOKUP(D334,Table!$C$3:$D$4,2,0)*8,2)</f>
        <v>4.2300000000000004</v>
      </c>
      <c r="Z334" s="15">
        <v>3</v>
      </c>
      <c r="AA334" s="15" t="s">
        <v>70</v>
      </c>
      <c r="AB334" s="19">
        <v>44020</v>
      </c>
      <c r="AC334" s="19">
        <v>44013</v>
      </c>
      <c r="AD334" s="102">
        <v>44019</v>
      </c>
      <c r="AE334" s="19">
        <v>44015</v>
      </c>
      <c r="AF334" s="19">
        <v>44015</v>
      </c>
      <c r="AG334" s="19" t="s">
        <v>164</v>
      </c>
      <c r="AH334" s="29">
        <v>1</v>
      </c>
      <c r="AI334" s="29">
        <v>1</v>
      </c>
      <c r="AJ334" s="29">
        <v>1</v>
      </c>
      <c r="AK334" s="19" t="s">
        <v>144</v>
      </c>
      <c r="AL334" s="17" t="s">
        <v>58</v>
      </c>
      <c r="AM334" s="17" t="s">
        <v>58</v>
      </c>
      <c r="AN334" s="79" t="s">
        <v>922</v>
      </c>
    </row>
    <row r="335" spans="2:40" hidden="1" x14ac:dyDescent="0.25">
      <c r="B335" s="146">
        <f t="shared" si="65"/>
        <v>276</v>
      </c>
      <c r="C335" s="16">
        <v>20200701</v>
      </c>
      <c r="D335" s="15" t="s">
        <v>3</v>
      </c>
      <c r="E335" s="75" t="s">
        <v>1364</v>
      </c>
      <c r="F335" s="100" t="s">
        <v>1491</v>
      </c>
      <c r="G335" s="17">
        <v>1548125</v>
      </c>
      <c r="H335" s="48" t="s">
        <v>58</v>
      </c>
      <c r="I335" s="15" t="s">
        <v>175</v>
      </c>
      <c r="J335" s="48" t="s">
        <v>58</v>
      </c>
      <c r="K335" s="15" t="s">
        <v>1070</v>
      </c>
      <c r="L335" s="15" t="s">
        <v>144</v>
      </c>
      <c r="M335" s="15" t="s">
        <v>1292</v>
      </c>
      <c r="N335" s="15" t="s">
        <v>1378</v>
      </c>
      <c r="O335" s="17" t="s">
        <v>58</v>
      </c>
      <c r="P335" s="17" t="s">
        <v>1377</v>
      </c>
      <c r="Q335" s="18"/>
      <c r="R335" s="48" t="s">
        <v>58</v>
      </c>
      <c r="S335" s="15" t="s">
        <v>233</v>
      </c>
      <c r="T335" s="15" t="s">
        <v>65</v>
      </c>
      <c r="U335" s="15" t="s">
        <v>1625</v>
      </c>
      <c r="V335" s="15">
        <v>170</v>
      </c>
      <c r="W335" s="79">
        <v>360</v>
      </c>
      <c r="X335" s="15">
        <f t="shared" si="66"/>
        <v>360</v>
      </c>
      <c r="Y335" s="15">
        <f>ROUNDDOWN(W335/HLOOKUP(D335,Table!$C$3:$D$4,2,0)*8,2)</f>
        <v>6.4</v>
      </c>
      <c r="Z335" s="15">
        <v>3</v>
      </c>
      <c r="AA335" s="15" t="s">
        <v>70</v>
      </c>
      <c r="AB335" s="19">
        <v>44020</v>
      </c>
      <c r="AC335" s="19">
        <v>44013</v>
      </c>
      <c r="AD335" s="102">
        <v>44019</v>
      </c>
      <c r="AE335" s="19">
        <v>44016</v>
      </c>
      <c r="AF335" s="19">
        <v>44016</v>
      </c>
      <c r="AG335" s="19" t="s">
        <v>164</v>
      </c>
      <c r="AH335" s="29">
        <v>1</v>
      </c>
      <c r="AI335" s="29">
        <v>1</v>
      </c>
      <c r="AJ335" s="29">
        <v>1</v>
      </c>
      <c r="AK335" s="19" t="s">
        <v>144</v>
      </c>
      <c r="AL335" s="17" t="s">
        <v>58</v>
      </c>
      <c r="AM335" s="17" t="s">
        <v>58</v>
      </c>
      <c r="AN335" s="79" t="s">
        <v>1495</v>
      </c>
    </row>
    <row r="336" spans="2:40" hidden="1" x14ac:dyDescent="0.25">
      <c r="B336" s="201">
        <f t="shared" si="65"/>
        <v>277</v>
      </c>
      <c r="C336" s="16">
        <v>20200701</v>
      </c>
      <c r="D336" s="15" t="s">
        <v>2</v>
      </c>
      <c r="E336" s="75" t="s">
        <v>1381</v>
      </c>
      <c r="F336" s="73" t="s">
        <v>58</v>
      </c>
      <c r="G336" s="17">
        <v>1531665</v>
      </c>
      <c r="H336" s="48" t="s">
        <v>58</v>
      </c>
      <c r="I336" s="15" t="s">
        <v>1383</v>
      </c>
      <c r="J336" s="48" t="s">
        <v>58</v>
      </c>
      <c r="K336" s="15" t="s">
        <v>1070</v>
      </c>
      <c r="L336" s="15" t="s">
        <v>144</v>
      </c>
      <c r="M336" s="15" t="s">
        <v>144</v>
      </c>
      <c r="N336" s="15" t="s">
        <v>1386</v>
      </c>
      <c r="O336" s="17" t="s">
        <v>1388</v>
      </c>
      <c r="P336" s="17" t="s">
        <v>1389</v>
      </c>
      <c r="Q336" s="18"/>
      <c r="R336" s="48" t="s">
        <v>58</v>
      </c>
      <c r="S336" s="15" t="s">
        <v>66</v>
      </c>
      <c r="T336" s="15" t="s">
        <v>232</v>
      </c>
      <c r="U336" s="15" t="s">
        <v>0</v>
      </c>
      <c r="V336" s="15">
        <v>221</v>
      </c>
      <c r="W336" s="75">
        <f>((V336-221)+183)*2</f>
        <v>366</v>
      </c>
      <c r="X336" s="15">
        <f>W336</f>
        <v>366</v>
      </c>
      <c r="Y336" s="15">
        <f>ROUNDDOWN(W336/HLOOKUP(D336,Table!$C$3:$D$4,2,0)*8,2)</f>
        <v>22.52</v>
      </c>
      <c r="Z336" s="15">
        <v>8</v>
      </c>
      <c r="AA336" s="15" t="s">
        <v>21</v>
      </c>
      <c r="AB336" s="19">
        <v>44025</v>
      </c>
      <c r="AC336" s="19">
        <v>44013</v>
      </c>
      <c r="AD336" s="19">
        <v>44025</v>
      </c>
      <c r="AE336" s="19">
        <v>44025</v>
      </c>
      <c r="AF336" s="19">
        <v>44025</v>
      </c>
      <c r="AG336" s="19" t="s">
        <v>165</v>
      </c>
      <c r="AH336" s="29">
        <v>0.98</v>
      </c>
      <c r="AI336" s="29">
        <v>0.98</v>
      </c>
      <c r="AJ336" s="29">
        <v>1</v>
      </c>
      <c r="AK336" s="19" t="s">
        <v>134</v>
      </c>
      <c r="AL336" s="17" t="s">
        <v>1727</v>
      </c>
      <c r="AM336" s="17" t="s">
        <v>58</v>
      </c>
      <c r="AN336" s="79" t="s">
        <v>922</v>
      </c>
    </row>
    <row r="337" spans="2:40" ht="60" hidden="1" x14ac:dyDescent="0.25">
      <c r="B337" s="201">
        <f t="shared" si="65"/>
        <v>278</v>
      </c>
      <c r="C337" s="16">
        <v>20200701</v>
      </c>
      <c r="D337" s="15" t="s">
        <v>2</v>
      </c>
      <c r="E337" s="75" t="s">
        <v>1382</v>
      </c>
      <c r="F337" s="73" t="s">
        <v>58</v>
      </c>
      <c r="G337" s="17">
        <v>1526807</v>
      </c>
      <c r="H337" s="48" t="s">
        <v>58</v>
      </c>
      <c r="I337" s="15" t="s">
        <v>1384</v>
      </c>
      <c r="J337" s="48" t="s">
        <v>58</v>
      </c>
      <c r="K337" s="15" t="s">
        <v>1070</v>
      </c>
      <c r="L337" s="15" t="s">
        <v>144</v>
      </c>
      <c r="M337" s="15" t="s">
        <v>1385</v>
      </c>
      <c r="N337" s="15" t="s">
        <v>1387</v>
      </c>
      <c r="O337" s="17">
        <v>1.31</v>
      </c>
      <c r="P337" s="17" t="s">
        <v>1390</v>
      </c>
      <c r="Q337" s="18"/>
      <c r="R337" s="48" t="s">
        <v>58</v>
      </c>
      <c r="S337" s="15" t="s">
        <v>65</v>
      </c>
      <c r="T337" s="15" t="s">
        <v>231</v>
      </c>
      <c r="U337" s="15" t="s">
        <v>0</v>
      </c>
      <c r="V337" s="15">
        <v>220</v>
      </c>
      <c r="W337" s="79">
        <v>440</v>
      </c>
      <c r="X337" s="15">
        <f>W337</f>
        <v>440</v>
      </c>
      <c r="Y337" s="15">
        <f>ROUNDDOWN(W337/HLOOKUP(D337,Table!$C$3:$D$4,2,0)*8,2)</f>
        <v>27.07</v>
      </c>
      <c r="Z337" s="15">
        <f>Y337</f>
        <v>27.07</v>
      </c>
      <c r="AA337" s="79" t="s">
        <v>89</v>
      </c>
      <c r="AB337" s="19">
        <v>44025</v>
      </c>
      <c r="AC337" s="19">
        <v>44013</v>
      </c>
      <c r="AD337" s="19">
        <v>44025</v>
      </c>
      <c r="AE337" s="19">
        <v>44021</v>
      </c>
      <c r="AF337" s="19">
        <v>44025</v>
      </c>
      <c r="AG337" s="19" t="s">
        <v>165</v>
      </c>
      <c r="AH337" s="29">
        <v>1</v>
      </c>
      <c r="AI337" s="29">
        <v>1</v>
      </c>
      <c r="AJ337" s="29">
        <v>0.98299999999999998</v>
      </c>
      <c r="AK337" s="19" t="s">
        <v>134</v>
      </c>
      <c r="AL337" s="17" t="s">
        <v>1732</v>
      </c>
      <c r="AM337" s="17" t="s">
        <v>58</v>
      </c>
      <c r="AN337" s="202" t="s">
        <v>1729</v>
      </c>
    </row>
    <row r="338" spans="2:40" ht="90" hidden="1" x14ac:dyDescent="0.25">
      <c r="B338" s="203">
        <f t="shared" si="65"/>
        <v>279</v>
      </c>
      <c r="C338" s="16">
        <v>20200701</v>
      </c>
      <c r="D338" s="15" t="s">
        <v>2</v>
      </c>
      <c r="E338" s="75" t="s">
        <v>1394</v>
      </c>
      <c r="F338" s="214" t="s">
        <v>58</v>
      </c>
      <c r="G338" s="84">
        <v>1550364</v>
      </c>
      <c r="H338" s="48" t="s">
        <v>58</v>
      </c>
      <c r="I338" s="16" t="s">
        <v>1641</v>
      </c>
      <c r="J338" s="48" t="s">
        <v>58</v>
      </c>
      <c r="K338" s="15" t="s">
        <v>1070</v>
      </c>
      <c r="L338" s="15" t="s">
        <v>144</v>
      </c>
      <c r="M338" s="15" t="s">
        <v>1380</v>
      </c>
      <c r="N338" s="213" t="s">
        <v>1298</v>
      </c>
      <c r="O338" s="17" t="s">
        <v>1395</v>
      </c>
      <c r="P338" s="17" t="s">
        <v>291</v>
      </c>
      <c r="Q338" s="18"/>
      <c r="R338" s="48" t="s">
        <v>58</v>
      </c>
      <c r="S338" s="15" t="s">
        <v>64</v>
      </c>
      <c r="T338" s="15" t="s">
        <v>6</v>
      </c>
      <c r="U338" s="15" t="s">
        <v>1625</v>
      </c>
      <c r="V338" s="15">
        <v>138</v>
      </c>
      <c r="W338" s="15">
        <f>V338*2</f>
        <v>276</v>
      </c>
      <c r="X338" s="15">
        <f t="shared" ref="X338:X346" si="68">W338</f>
        <v>276</v>
      </c>
      <c r="Y338" s="15">
        <f>ROUNDDOWN(W338/HLOOKUP(D338,Table!$C$3:$D$4,2,0)*8,2)</f>
        <v>16.98</v>
      </c>
      <c r="Z338" s="15">
        <v>17</v>
      </c>
      <c r="AA338" s="15" t="s">
        <v>21</v>
      </c>
      <c r="AB338" s="19">
        <v>44022</v>
      </c>
      <c r="AC338" s="19">
        <v>44013</v>
      </c>
      <c r="AD338" s="102">
        <v>44022</v>
      </c>
      <c r="AE338" s="19">
        <v>44018</v>
      </c>
      <c r="AF338" s="19">
        <v>44021</v>
      </c>
      <c r="AG338" s="19" t="s">
        <v>165</v>
      </c>
      <c r="AH338" s="29">
        <v>0.97199999999999998</v>
      </c>
      <c r="AI338" s="29">
        <v>0.97399999999999998</v>
      </c>
      <c r="AJ338" s="29">
        <v>1</v>
      </c>
      <c r="AK338" s="19" t="s">
        <v>134</v>
      </c>
      <c r="AL338" s="216" t="s">
        <v>1700</v>
      </c>
      <c r="AM338" s="17" t="s">
        <v>58</v>
      </c>
      <c r="AN338" s="202" t="s">
        <v>1699</v>
      </c>
    </row>
    <row r="339" spans="2:40" hidden="1" x14ac:dyDescent="0.25">
      <c r="B339" s="203">
        <f t="shared" si="65"/>
        <v>280</v>
      </c>
      <c r="C339" s="16">
        <v>20200701</v>
      </c>
      <c r="D339" s="15" t="s">
        <v>2</v>
      </c>
      <c r="E339" s="75" t="s">
        <v>1394</v>
      </c>
      <c r="F339" s="73" t="s">
        <v>58</v>
      </c>
      <c r="G339" s="17">
        <v>1550364</v>
      </c>
      <c r="H339" s="48" t="s">
        <v>58</v>
      </c>
      <c r="I339" s="15" t="s">
        <v>1650</v>
      </c>
      <c r="J339" s="48" t="s">
        <v>58</v>
      </c>
      <c r="K339" s="15" t="s">
        <v>1070</v>
      </c>
      <c r="L339" s="15" t="s">
        <v>144</v>
      </c>
      <c r="M339" s="15" t="s">
        <v>1380</v>
      </c>
      <c r="N339" s="220" t="s">
        <v>1397</v>
      </c>
      <c r="O339" s="17" t="s">
        <v>1396</v>
      </c>
      <c r="P339" s="17" t="s">
        <v>291</v>
      </c>
      <c r="Q339" s="18"/>
      <c r="R339" s="48" t="s">
        <v>58</v>
      </c>
      <c r="S339" s="15" t="s">
        <v>6</v>
      </c>
      <c r="T339" s="15" t="s">
        <v>233</v>
      </c>
      <c r="U339" s="15" t="s">
        <v>1625</v>
      </c>
      <c r="V339" s="15">
        <v>24</v>
      </c>
      <c r="W339" s="15">
        <f>V339*2</f>
        <v>48</v>
      </c>
      <c r="X339" s="15">
        <f t="shared" si="68"/>
        <v>48</v>
      </c>
      <c r="Y339" s="15">
        <f>ROUNDDOWN(W339/HLOOKUP(D339,Table!$C$3:$D$4,2,0)*8,2)</f>
        <v>2.95</v>
      </c>
      <c r="Z339" s="15">
        <v>3</v>
      </c>
      <c r="AA339" s="15" t="s">
        <v>21</v>
      </c>
      <c r="AB339" s="19">
        <v>44022</v>
      </c>
      <c r="AC339" s="19">
        <v>44013</v>
      </c>
      <c r="AD339" s="102">
        <v>44022</v>
      </c>
      <c r="AE339" s="19">
        <v>44019</v>
      </c>
      <c r="AF339" s="19">
        <v>44019</v>
      </c>
      <c r="AG339" s="19" t="s">
        <v>164</v>
      </c>
      <c r="AH339" s="29">
        <v>1</v>
      </c>
      <c r="AI339" s="29">
        <v>1</v>
      </c>
      <c r="AJ339" s="29">
        <v>1</v>
      </c>
      <c r="AK339" s="19" t="s">
        <v>144</v>
      </c>
      <c r="AL339" s="17" t="s">
        <v>58</v>
      </c>
      <c r="AM339" s="17" t="s">
        <v>58</v>
      </c>
      <c r="AN339" s="79" t="s">
        <v>1457</v>
      </c>
    </row>
    <row r="340" spans="2:40" hidden="1" x14ac:dyDescent="0.25">
      <c r="B340" s="207">
        <f t="shared" si="65"/>
        <v>281</v>
      </c>
      <c r="C340" s="16">
        <v>20200626</v>
      </c>
      <c r="D340" s="15" t="s">
        <v>3</v>
      </c>
      <c r="E340" s="75" t="s">
        <v>1423</v>
      </c>
      <c r="F340" s="104" t="s">
        <v>1444</v>
      </c>
      <c r="G340" s="17">
        <v>1535528</v>
      </c>
      <c r="H340" s="48" t="s">
        <v>58</v>
      </c>
      <c r="I340" s="15" t="s">
        <v>868</v>
      </c>
      <c r="J340" s="48" t="s">
        <v>58</v>
      </c>
      <c r="K340" s="15" t="s">
        <v>1068</v>
      </c>
      <c r="L340" s="15" t="s">
        <v>144</v>
      </c>
      <c r="M340" s="15" t="s">
        <v>1006</v>
      </c>
      <c r="N340" s="15" t="s">
        <v>887</v>
      </c>
      <c r="O340" s="17" t="s">
        <v>58</v>
      </c>
      <c r="P340" s="17" t="s">
        <v>1429</v>
      </c>
      <c r="Q340" s="18"/>
      <c r="R340" s="48" t="s">
        <v>58</v>
      </c>
      <c r="S340" s="15" t="s">
        <v>6</v>
      </c>
      <c r="T340" s="15" t="s">
        <v>233</v>
      </c>
      <c r="U340" s="15" t="s">
        <v>1625</v>
      </c>
      <c r="V340" s="15">
        <v>265</v>
      </c>
      <c r="W340" s="15">
        <f>V340</f>
        <v>265</v>
      </c>
      <c r="X340" s="15">
        <f t="shared" si="68"/>
        <v>265</v>
      </c>
      <c r="Y340" s="15">
        <f>ROUNDDOWN(W340/HLOOKUP(D340,Table!$C$3:$D$4,2,0)*8,2)</f>
        <v>4.71</v>
      </c>
      <c r="Z340" s="15">
        <v>2</v>
      </c>
      <c r="AA340" s="15" t="s">
        <v>70</v>
      </c>
      <c r="AB340" s="19">
        <v>44018</v>
      </c>
      <c r="AC340" s="19">
        <v>44014</v>
      </c>
      <c r="AD340" s="85">
        <v>44018</v>
      </c>
      <c r="AE340" s="19">
        <v>44015</v>
      </c>
      <c r="AF340" s="19">
        <v>44015</v>
      </c>
      <c r="AG340" s="19" t="s">
        <v>164</v>
      </c>
      <c r="AH340" s="29">
        <v>1</v>
      </c>
      <c r="AI340" s="29">
        <v>1</v>
      </c>
      <c r="AJ340" s="29">
        <v>1</v>
      </c>
      <c r="AK340" s="19" t="s">
        <v>144</v>
      </c>
      <c r="AL340" s="17"/>
      <c r="AM340" s="17"/>
      <c r="AN340" s="17"/>
    </row>
    <row r="341" spans="2:40" hidden="1" x14ac:dyDescent="0.25">
      <c r="B341" s="207">
        <f t="shared" si="65"/>
        <v>282</v>
      </c>
      <c r="C341" s="16">
        <v>20200626</v>
      </c>
      <c r="D341" s="15" t="s">
        <v>3</v>
      </c>
      <c r="E341" s="75" t="s">
        <v>1423</v>
      </c>
      <c r="F341" s="104" t="s">
        <v>1445</v>
      </c>
      <c r="G341" s="17">
        <v>1535528</v>
      </c>
      <c r="H341" s="48" t="s">
        <v>58</v>
      </c>
      <c r="I341" s="15" t="s">
        <v>866</v>
      </c>
      <c r="J341" s="48" t="s">
        <v>58</v>
      </c>
      <c r="K341" s="15" t="s">
        <v>1068</v>
      </c>
      <c r="L341" s="15" t="s">
        <v>144</v>
      </c>
      <c r="M341" s="15" t="s">
        <v>1006</v>
      </c>
      <c r="N341" s="15" t="s">
        <v>887</v>
      </c>
      <c r="O341" s="17" t="s">
        <v>58</v>
      </c>
      <c r="P341" s="17" t="s">
        <v>1429</v>
      </c>
      <c r="Q341" s="18"/>
      <c r="R341" s="48" t="s">
        <v>58</v>
      </c>
      <c r="S341" s="15" t="s">
        <v>6</v>
      </c>
      <c r="T341" s="15" t="s">
        <v>233</v>
      </c>
      <c r="U341" s="15" t="s">
        <v>1625</v>
      </c>
      <c r="V341" s="15">
        <v>115</v>
      </c>
      <c r="W341" s="15">
        <f t="shared" ref="W341:W359" si="69">V341</f>
        <v>115</v>
      </c>
      <c r="X341" s="15">
        <f t="shared" si="68"/>
        <v>115</v>
      </c>
      <c r="Y341" s="15">
        <f>ROUNDDOWN(W341/HLOOKUP(D341,Table!$C$3:$D$4,2,0)*8,2)</f>
        <v>2.04</v>
      </c>
      <c r="Z341" s="15">
        <v>1</v>
      </c>
      <c r="AA341" s="15" t="s">
        <v>70</v>
      </c>
      <c r="AB341" s="19">
        <v>44018</v>
      </c>
      <c r="AC341" s="19">
        <v>44014</v>
      </c>
      <c r="AD341" s="85">
        <v>44018</v>
      </c>
      <c r="AE341" s="19">
        <v>44015</v>
      </c>
      <c r="AF341" s="19">
        <v>44015</v>
      </c>
      <c r="AG341" s="19" t="s">
        <v>164</v>
      </c>
      <c r="AH341" s="29">
        <v>1</v>
      </c>
      <c r="AI341" s="29">
        <v>1</v>
      </c>
      <c r="AJ341" s="29">
        <v>1</v>
      </c>
      <c r="AK341" s="19" t="s">
        <v>144</v>
      </c>
      <c r="AL341" s="17"/>
      <c r="AM341" s="17"/>
      <c r="AN341" s="17"/>
    </row>
    <row r="342" spans="2:40" x14ac:dyDescent="0.25">
      <c r="B342" s="207">
        <f t="shared" si="65"/>
        <v>283</v>
      </c>
      <c r="C342" s="16">
        <v>20200626</v>
      </c>
      <c r="D342" s="15" t="s">
        <v>3</v>
      </c>
      <c r="E342" s="75" t="s">
        <v>1423</v>
      </c>
      <c r="F342" s="100" t="s">
        <v>1446</v>
      </c>
      <c r="G342" s="17">
        <v>1535528</v>
      </c>
      <c r="H342" s="48" t="s">
        <v>58</v>
      </c>
      <c r="I342" s="15" t="s">
        <v>211</v>
      </c>
      <c r="J342" s="48" t="s">
        <v>58</v>
      </c>
      <c r="K342" s="15" t="s">
        <v>1068</v>
      </c>
      <c r="L342" s="15" t="s">
        <v>144</v>
      </c>
      <c r="M342" s="15" t="s">
        <v>1006</v>
      </c>
      <c r="N342" s="15" t="s">
        <v>887</v>
      </c>
      <c r="O342" s="17" t="s">
        <v>58</v>
      </c>
      <c r="P342" s="17" t="s">
        <v>1429</v>
      </c>
      <c r="Q342" s="18"/>
      <c r="R342" s="48" t="s">
        <v>58</v>
      </c>
      <c r="S342" s="15" t="s">
        <v>6</v>
      </c>
      <c r="T342" s="15" t="s">
        <v>233</v>
      </c>
      <c r="U342" s="15" t="s">
        <v>1625</v>
      </c>
      <c r="V342" s="15">
        <v>6</v>
      </c>
      <c r="W342" s="15">
        <f t="shared" si="69"/>
        <v>6</v>
      </c>
      <c r="X342" s="15">
        <f t="shared" si="68"/>
        <v>6</v>
      </c>
      <c r="Y342" s="15">
        <f>ROUNDDOWN(W342/HLOOKUP(D342,Table!$C$3:$D$4,2,0)*8,2)</f>
        <v>0.1</v>
      </c>
      <c r="Z342" s="15">
        <v>0</v>
      </c>
      <c r="AA342" s="15" t="s">
        <v>70</v>
      </c>
      <c r="AB342" s="19">
        <v>44018</v>
      </c>
      <c r="AC342" s="19">
        <v>44014</v>
      </c>
      <c r="AD342" s="85">
        <v>44018</v>
      </c>
      <c r="AE342" s="19">
        <v>44015</v>
      </c>
      <c r="AF342" s="19">
        <v>44015</v>
      </c>
      <c r="AG342" s="19" t="s">
        <v>164</v>
      </c>
      <c r="AH342" s="29" t="s">
        <v>58</v>
      </c>
      <c r="AI342" s="29" t="s">
        <v>58</v>
      </c>
      <c r="AJ342" s="29" t="s">
        <v>58</v>
      </c>
      <c r="AK342" s="19" t="s">
        <v>144</v>
      </c>
      <c r="AL342" s="17"/>
      <c r="AM342" s="17"/>
      <c r="AN342" s="221" t="s">
        <v>172</v>
      </c>
    </row>
    <row r="343" spans="2:40" hidden="1" x14ac:dyDescent="0.25">
      <c r="B343" s="207">
        <f t="shared" si="65"/>
        <v>284</v>
      </c>
      <c r="C343" s="16">
        <v>20200626</v>
      </c>
      <c r="D343" s="15" t="s">
        <v>3</v>
      </c>
      <c r="E343" s="75" t="s">
        <v>1423</v>
      </c>
      <c r="F343" s="100" t="s">
        <v>936</v>
      </c>
      <c r="G343" s="17">
        <v>1535528</v>
      </c>
      <c r="H343" s="48" t="s">
        <v>58</v>
      </c>
      <c r="I343" s="15" t="s">
        <v>182</v>
      </c>
      <c r="J343" s="48" t="s">
        <v>58</v>
      </c>
      <c r="K343" s="15" t="s">
        <v>1068</v>
      </c>
      <c r="L343" s="15" t="s">
        <v>144</v>
      </c>
      <c r="M343" s="15" t="s">
        <v>1006</v>
      </c>
      <c r="N343" s="15" t="s">
        <v>887</v>
      </c>
      <c r="O343" s="17" t="s">
        <v>58</v>
      </c>
      <c r="P343" s="17" t="s">
        <v>1429</v>
      </c>
      <c r="Q343" s="18"/>
      <c r="R343" s="48" t="s">
        <v>58</v>
      </c>
      <c r="S343" s="15" t="s">
        <v>233</v>
      </c>
      <c r="T343" s="15" t="s">
        <v>65</v>
      </c>
      <c r="U343" s="15" t="s">
        <v>1625</v>
      </c>
      <c r="V343" s="15">
        <v>280</v>
      </c>
      <c r="W343" s="15">
        <f t="shared" si="69"/>
        <v>280</v>
      </c>
      <c r="X343" s="15">
        <f t="shared" si="68"/>
        <v>280</v>
      </c>
      <c r="Y343" s="15">
        <f>ROUNDDOWN(W343/HLOOKUP(D343,Table!$C$3:$D$4,2,0)*8,2)</f>
        <v>4.97</v>
      </c>
      <c r="Z343" s="15">
        <v>4</v>
      </c>
      <c r="AA343" s="15" t="s">
        <v>70</v>
      </c>
      <c r="AB343" s="19">
        <v>44018</v>
      </c>
      <c r="AC343" s="19">
        <v>44014</v>
      </c>
      <c r="AD343" s="85">
        <v>44018</v>
      </c>
      <c r="AE343" s="19">
        <v>44015</v>
      </c>
      <c r="AF343" s="19">
        <v>44015</v>
      </c>
      <c r="AG343" s="19" t="s">
        <v>164</v>
      </c>
      <c r="AH343" s="29">
        <v>1</v>
      </c>
      <c r="AI343" s="29">
        <v>1</v>
      </c>
      <c r="AJ343" s="29">
        <v>1</v>
      </c>
      <c r="AK343" s="19" t="s">
        <v>144</v>
      </c>
      <c r="AL343" s="17" t="s">
        <v>58</v>
      </c>
      <c r="AM343" s="17" t="s">
        <v>58</v>
      </c>
      <c r="AN343" s="17" t="s">
        <v>58</v>
      </c>
    </row>
    <row r="344" spans="2:40" hidden="1" x14ac:dyDescent="0.25">
      <c r="B344" s="207">
        <f t="shared" si="65"/>
        <v>285</v>
      </c>
      <c r="C344" s="16">
        <v>20200626</v>
      </c>
      <c r="D344" s="15" t="s">
        <v>3</v>
      </c>
      <c r="E344" s="75" t="s">
        <v>1423</v>
      </c>
      <c r="F344" s="100" t="s">
        <v>937</v>
      </c>
      <c r="G344" s="17">
        <v>1535528</v>
      </c>
      <c r="H344" s="48" t="s">
        <v>58</v>
      </c>
      <c r="I344" s="15" t="s">
        <v>152</v>
      </c>
      <c r="J344" s="48" t="s">
        <v>58</v>
      </c>
      <c r="K344" s="15" t="s">
        <v>1068</v>
      </c>
      <c r="L344" s="15" t="s">
        <v>144</v>
      </c>
      <c r="M344" s="15" t="s">
        <v>1006</v>
      </c>
      <c r="N344" s="15" t="s">
        <v>887</v>
      </c>
      <c r="O344" s="17" t="s">
        <v>58</v>
      </c>
      <c r="P344" s="17" t="s">
        <v>1429</v>
      </c>
      <c r="Q344" s="18"/>
      <c r="R344" s="48" t="s">
        <v>58</v>
      </c>
      <c r="S344" s="15" t="s">
        <v>233</v>
      </c>
      <c r="T344" s="15" t="s">
        <v>65</v>
      </c>
      <c r="U344" s="15" t="s">
        <v>1625</v>
      </c>
      <c r="V344" s="15">
        <v>65</v>
      </c>
      <c r="W344" s="79">
        <v>81</v>
      </c>
      <c r="X344" s="15">
        <f t="shared" si="68"/>
        <v>81</v>
      </c>
      <c r="Y344" s="15">
        <f>ROUNDDOWN(W344/HLOOKUP(D344,Table!$C$3:$D$4,2,0)*8,2)</f>
        <v>1.44</v>
      </c>
      <c r="Z344" s="15">
        <v>1.5</v>
      </c>
      <c r="AA344" s="15" t="s">
        <v>70</v>
      </c>
      <c r="AB344" s="19">
        <v>44018</v>
      </c>
      <c r="AC344" s="19">
        <v>44014</v>
      </c>
      <c r="AD344" s="85">
        <v>44018</v>
      </c>
      <c r="AE344" s="19">
        <v>44015</v>
      </c>
      <c r="AF344" s="19">
        <v>44015</v>
      </c>
      <c r="AG344" s="19" t="s">
        <v>164</v>
      </c>
      <c r="AH344" s="29">
        <v>1</v>
      </c>
      <c r="AI344" s="29">
        <v>1</v>
      </c>
      <c r="AJ344" s="29">
        <v>1</v>
      </c>
      <c r="AK344" s="19" t="s">
        <v>144</v>
      </c>
      <c r="AL344" s="17" t="s">
        <v>58</v>
      </c>
      <c r="AM344" s="17" t="s">
        <v>58</v>
      </c>
      <c r="AN344" s="17" t="s">
        <v>1496</v>
      </c>
    </row>
    <row r="345" spans="2:40" hidden="1" x14ac:dyDescent="0.25">
      <c r="B345" s="207">
        <f t="shared" si="65"/>
        <v>286</v>
      </c>
      <c r="C345" s="16">
        <v>20200626</v>
      </c>
      <c r="D345" s="15" t="s">
        <v>3</v>
      </c>
      <c r="E345" s="75" t="s">
        <v>1423</v>
      </c>
      <c r="F345" s="100" t="s">
        <v>938</v>
      </c>
      <c r="G345" s="17">
        <v>1535528</v>
      </c>
      <c r="H345" s="48" t="s">
        <v>58</v>
      </c>
      <c r="I345" s="15" t="s">
        <v>867</v>
      </c>
      <c r="J345" s="48" t="s">
        <v>58</v>
      </c>
      <c r="K345" s="15" t="s">
        <v>1068</v>
      </c>
      <c r="L345" s="15" t="s">
        <v>144</v>
      </c>
      <c r="M345" s="15" t="s">
        <v>1006</v>
      </c>
      <c r="N345" s="15" t="s">
        <v>887</v>
      </c>
      <c r="O345" s="17" t="s">
        <v>58</v>
      </c>
      <c r="P345" s="17" t="s">
        <v>1429</v>
      </c>
      <c r="Q345" s="18"/>
      <c r="R345" s="48" t="s">
        <v>58</v>
      </c>
      <c r="S345" s="15" t="s">
        <v>233</v>
      </c>
      <c r="T345" s="15" t="s">
        <v>65</v>
      </c>
      <c r="U345" s="15" t="s">
        <v>1625</v>
      </c>
      <c r="V345" s="15">
        <v>33</v>
      </c>
      <c r="W345" s="15">
        <f t="shared" si="69"/>
        <v>33</v>
      </c>
      <c r="X345" s="15">
        <f t="shared" si="68"/>
        <v>33</v>
      </c>
      <c r="Y345" s="15">
        <f>ROUNDDOWN(W345/HLOOKUP(D345,Table!$C$3:$D$4,2,0)*8,2)</f>
        <v>0.57999999999999996</v>
      </c>
      <c r="Z345" s="15">
        <v>0.5</v>
      </c>
      <c r="AA345" s="15" t="s">
        <v>70</v>
      </c>
      <c r="AB345" s="19">
        <v>44018</v>
      </c>
      <c r="AC345" s="19">
        <v>44014</v>
      </c>
      <c r="AD345" s="85">
        <v>44018</v>
      </c>
      <c r="AE345" s="19">
        <v>44015</v>
      </c>
      <c r="AF345" s="19">
        <v>44015</v>
      </c>
      <c r="AG345" s="19" t="s">
        <v>164</v>
      </c>
      <c r="AH345" s="29">
        <v>1</v>
      </c>
      <c r="AI345" s="29">
        <v>1</v>
      </c>
      <c r="AJ345" s="29">
        <v>1</v>
      </c>
      <c r="AK345" s="19" t="s">
        <v>144</v>
      </c>
      <c r="AL345" s="17" t="s">
        <v>58</v>
      </c>
      <c r="AM345" s="17" t="s">
        <v>58</v>
      </c>
      <c r="AN345" s="17" t="s">
        <v>58</v>
      </c>
    </row>
    <row r="346" spans="2:40" hidden="1" x14ac:dyDescent="0.25">
      <c r="B346" s="207">
        <f t="shared" si="65"/>
        <v>287</v>
      </c>
      <c r="C346" s="16">
        <v>20200626</v>
      </c>
      <c r="D346" s="15" t="s">
        <v>3</v>
      </c>
      <c r="E346" s="75" t="s">
        <v>1423</v>
      </c>
      <c r="F346" s="100" t="s">
        <v>940</v>
      </c>
      <c r="G346" s="17">
        <v>1535528</v>
      </c>
      <c r="H346" s="48" t="s">
        <v>58</v>
      </c>
      <c r="I346" s="15" t="s">
        <v>869</v>
      </c>
      <c r="J346" s="48" t="s">
        <v>58</v>
      </c>
      <c r="K346" s="15" t="s">
        <v>1068</v>
      </c>
      <c r="L346" s="15" t="s">
        <v>144</v>
      </c>
      <c r="M346" s="15" t="s">
        <v>1006</v>
      </c>
      <c r="N346" s="15" t="s">
        <v>887</v>
      </c>
      <c r="O346" s="17" t="s">
        <v>58</v>
      </c>
      <c r="P346" s="17" t="s">
        <v>1429</v>
      </c>
      <c r="Q346" s="18"/>
      <c r="R346" s="48" t="s">
        <v>58</v>
      </c>
      <c r="S346" s="15" t="s">
        <v>233</v>
      </c>
      <c r="T346" s="15" t="s">
        <v>65</v>
      </c>
      <c r="U346" s="15" t="s">
        <v>1625</v>
      </c>
      <c r="V346" s="15">
        <v>65</v>
      </c>
      <c r="W346" s="15">
        <f t="shared" si="69"/>
        <v>65</v>
      </c>
      <c r="X346" s="15">
        <f t="shared" si="68"/>
        <v>65</v>
      </c>
      <c r="Y346" s="15">
        <f>ROUNDDOWN(W346/HLOOKUP(D346,Table!$C$3:$D$4,2,0)*8,2)</f>
        <v>1.1499999999999999</v>
      </c>
      <c r="Z346" s="15">
        <v>1</v>
      </c>
      <c r="AA346" s="15" t="s">
        <v>70</v>
      </c>
      <c r="AB346" s="19">
        <v>44018</v>
      </c>
      <c r="AC346" s="19">
        <v>44014</v>
      </c>
      <c r="AD346" s="85">
        <v>44018</v>
      </c>
      <c r="AE346" s="19">
        <v>44015</v>
      </c>
      <c r="AF346" s="19">
        <v>44015</v>
      </c>
      <c r="AG346" s="19" t="s">
        <v>164</v>
      </c>
      <c r="AH346" s="29">
        <v>1</v>
      </c>
      <c r="AI346" s="29">
        <v>1</v>
      </c>
      <c r="AJ346" s="29">
        <v>1</v>
      </c>
      <c r="AK346" s="19" t="s">
        <v>144</v>
      </c>
      <c r="AL346" s="17" t="s">
        <v>58</v>
      </c>
      <c r="AM346" s="17" t="s">
        <v>58</v>
      </c>
      <c r="AN346" s="17" t="s">
        <v>58</v>
      </c>
    </row>
    <row r="347" spans="2:40" hidden="1" x14ac:dyDescent="0.25">
      <c r="B347" s="207">
        <f t="shared" si="65"/>
        <v>288</v>
      </c>
      <c r="C347" s="16">
        <v>20200626</v>
      </c>
      <c r="D347" s="15" t="s">
        <v>3</v>
      </c>
      <c r="E347" s="75" t="s">
        <v>1423</v>
      </c>
      <c r="F347" s="100" t="s">
        <v>1447</v>
      </c>
      <c r="G347" s="17">
        <v>1535528</v>
      </c>
      <c r="H347" s="48" t="s">
        <v>58</v>
      </c>
      <c r="I347" s="16" t="s">
        <v>1424</v>
      </c>
      <c r="J347" s="48" t="s">
        <v>58</v>
      </c>
      <c r="K347" s="15" t="s">
        <v>1068</v>
      </c>
      <c r="L347" s="15" t="s">
        <v>144</v>
      </c>
      <c r="M347" s="15" t="s">
        <v>1006</v>
      </c>
      <c r="N347" s="15" t="s">
        <v>887</v>
      </c>
      <c r="O347" s="17" t="s">
        <v>58</v>
      </c>
      <c r="P347" s="17" t="s">
        <v>1429</v>
      </c>
      <c r="Q347" s="18"/>
      <c r="R347" s="48" t="s">
        <v>58</v>
      </c>
      <c r="S347" s="15" t="s">
        <v>232</v>
      </c>
      <c r="T347" s="15" t="s">
        <v>137</v>
      </c>
      <c r="U347" s="15" t="s">
        <v>1625</v>
      </c>
      <c r="V347" s="15">
        <v>3</v>
      </c>
      <c r="W347" s="15">
        <f t="shared" si="69"/>
        <v>3</v>
      </c>
      <c r="X347" s="15">
        <f t="shared" ref="X347:X352" si="70">W347</f>
        <v>3</v>
      </c>
      <c r="Y347" s="15">
        <f>ROUNDDOWN(W347/HLOOKUP(D347,Table!$C$3:$D$4,2,0)*8,2)</f>
        <v>0.05</v>
      </c>
      <c r="Z347" s="15">
        <v>0.05</v>
      </c>
      <c r="AA347" s="15" t="s">
        <v>70</v>
      </c>
      <c r="AB347" s="19">
        <v>44018</v>
      </c>
      <c r="AC347" s="19">
        <v>44014</v>
      </c>
      <c r="AD347" s="85">
        <v>44018</v>
      </c>
      <c r="AE347" s="19">
        <v>44014</v>
      </c>
      <c r="AF347" s="19">
        <v>44015</v>
      </c>
      <c r="AG347" s="19" t="s">
        <v>164</v>
      </c>
      <c r="AH347" s="29">
        <v>1</v>
      </c>
      <c r="AI347" s="29">
        <v>1</v>
      </c>
      <c r="AJ347" s="29">
        <v>1</v>
      </c>
      <c r="AK347" s="19" t="s">
        <v>144</v>
      </c>
      <c r="AL347" s="17" t="s">
        <v>58</v>
      </c>
      <c r="AM347" s="17" t="s">
        <v>58</v>
      </c>
      <c r="AN347" s="17" t="s">
        <v>58</v>
      </c>
    </row>
    <row r="348" spans="2:40" hidden="1" x14ac:dyDescent="0.25">
      <c r="B348" s="207">
        <f t="shared" si="65"/>
        <v>289</v>
      </c>
      <c r="C348" s="16">
        <v>20200626</v>
      </c>
      <c r="D348" s="15" t="s">
        <v>3</v>
      </c>
      <c r="E348" s="75" t="s">
        <v>1423</v>
      </c>
      <c r="F348" s="100" t="s">
        <v>1448</v>
      </c>
      <c r="G348" s="17">
        <v>1535528</v>
      </c>
      <c r="H348" s="48" t="s">
        <v>58</v>
      </c>
      <c r="I348" s="16" t="s">
        <v>1425</v>
      </c>
      <c r="J348" s="48" t="s">
        <v>58</v>
      </c>
      <c r="K348" s="15" t="s">
        <v>1068</v>
      </c>
      <c r="L348" s="15" t="s">
        <v>144</v>
      </c>
      <c r="M348" s="15" t="s">
        <v>1006</v>
      </c>
      <c r="N348" s="15" t="s">
        <v>887</v>
      </c>
      <c r="O348" s="17" t="s">
        <v>58</v>
      </c>
      <c r="P348" s="17" t="s">
        <v>1429</v>
      </c>
      <c r="Q348" s="18"/>
      <c r="R348" s="48" t="s">
        <v>58</v>
      </c>
      <c r="S348" s="15" t="s">
        <v>232</v>
      </c>
      <c r="T348" s="15" t="s">
        <v>137</v>
      </c>
      <c r="U348" s="15" t="s">
        <v>1625</v>
      </c>
      <c r="V348" s="15">
        <v>26</v>
      </c>
      <c r="W348" s="15">
        <f t="shared" si="69"/>
        <v>26</v>
      </c>
      <c r="X348" s="15">
        <f t="shared" si="70"/>
        <v>26</v>
      </c>
      <c r="Y348" s="15">
        <f>ROUNDDOWN(W348/HLOOKUP(D348,Table!$C$3:$D$4,2,0)*8,2)</f>
        <v>0.46</v>
      </c>
      <c r="Z348" s="15">
        <v>0.3</v>
      </c>
      <c r="AA348" s="15" t="s">
        <v>70</v>
      </c>
      <c r="AB348" s="19">
        <v>44018</v>
      </c>
      <c r="AC348" s="19">
        <v>44014</v>
      </c>
      <c r="AD348" s="85">
        <v>44018</v>
      </c>
      <c r="AE348" s="19">
        <v>44014</v>
      </c>
      <c r="AF348" s="19">
        <v>44015</v>
      </c>
      <c r="AG348" s="19" t="s">
        <v>164</v>
      </c>
      <c r="AH348" s="29">
        <v>1</v>
      </c>
      <c r="AI348" s="29">
        <v>1</v>
      </c>
      <c r="AJ348" s="29">
        <v>1</v>
      </c>
      <c r="AK348" s="19" t="s">
        <v>144</v>
      </c>
      <c r="AL348" s="17" t="s">
        <v>58</v>
      </c>
      <c r="AM348" s="17" t="s">
        <v>58</v>
      </c>
      <c r="AN348" s="17" t="s">
        <v>58</v>
      </c>
    </row>
    <row r="349" spans="2:40" hidden="1" x14ac:dyDescent="0.25">
      <c r="B349" s="207">
        <f t="shared" si="65"/>
        <v>290</v>
      </c>
      <c r="C349" s="16">
        <v>20200626</v>
      </c>
      <c r="D349" s="15" t="s">
        <v>3</v>
      </c>
      <c r="E349" s="75" t="s">
        <v>1423</v>
      </c>
      <c r="F349" s="100" t="s">
        <v>1449</v>
      </c>
      <c r="G349" s="17">
        <v>1535528</v>
      </c>
      <c r="H349" s="48" t="s">
        <v>58</v>
      </c>
      <c r="I349" s="16" t="s">
        <v>175</v>
      </c>
      <c r="J349" s="48" t="s">
        <v>58</v>
      </c>
      <c r="K349" s="15" t="s">
        <v>1068</v>
      </c>
      <c r="L349" s="15" t="s">
        <v>144</v>
      </c>
      <c r="M349" s="15" t="s">
        <v>1006</v>
      </c>
      <c r="N349" s="15" t="s">
        <v>887</v>
      </c>
      <c r="O349" s="17" t="s">
        <v>58</v>
      </c>
      <c r="P349" s="17" t="s">
        <v>1429</v>
      </c>
      <c r="Q349" s="18"/>
      <c r="R349" s="48" t="s">
        <v>58</v>
      </c>
      <c r="S349" s="15" t="s">
        <v>232</v>
      </c>
      <c r="T349" s="15" t="s">
        <v>137</v>
      </c>
      <c r="U349" s="15" t="s">
        <v>1625</v>
      </c>
      <c r="V349" s="15">
        <v>220</v>
      </c>
      <c r="W349" s="15">
        <f t="shared" si="69"/>
        <v>220</v>
      </c>
      <c r="X349" s="15">
        <f t="shared" si="70"/>
        <v>220</v>
      </c>
      <c r="Y349" s="15">
        <f>ROUNDDOWN(W349/HLOOKUP(D349,Table!$C$3:$D$4,2,0)*8,2)</f>
        <v>3.91</v>
      </c>
      <c r="Z349" s="15">
        <v>4</v>
      </c>
      <c r="AA349" s="15" t="s">
        <v>70</v>
      </c>
      <c r="AB349" s="19">
        <v>44018</v>
      </c>
      <c r="AC349" s="19">
        <v>44014</v>
      </c>
      <c r="AD349" s="85">
        <v>44018</v>
      </c>
      <c r="AE349" s="19">
        <v>44015</v>
      </c>
      <c r="AF349" s="19">
        <v>44015</v>
      </c>
      <c r="AG349" s="19" t="s">
        <v>164</v>
      </c>
      <c r="AH349" s="29">
        <v>1</v>
      </c>
      <c r="AI349" s="29">
        <v>1</v>
      </c>
      <c r="AJ349" s="29">
        <v>1</v>
      </c>
      <c r="AK349" s="19" t="s">
        <v>144</v>
      </c>
      <c r="AL349" s="17" t="s">
        <v>58</v>
      </c>
      <c r="AM349" s="17" t="s">
        <v>58</v>
      </c>
      <c r="AN349" s="17" t="s">
        <v>58</v>
      </c>
    </row>
    <row r="350" spans="2:40" hidden="1" x14ac:dyDescent="0.25">
      <c r="B350" s="207">
        <f t="shared" si="65"/>
        <v>291</v>
      </c>
      <c r="C350" s="16">
        <v>20200626</v>
      </c>
      <c r="D350" s="15" t="s">
        <v>3</v>
      </c>
      <c r="E350" s="75" t="s">
        <v>1423</v>
      </c>
      <c r="F350" s="100" t="s">
        <v>1450</v>
      </c>
      <c r="G350" s="17">
        <v>1535528</v>
      </c>
      <c r="H350" s="48" t="s">
        <v>58</v>
      </c>
      <c r="I350" s="16" t="s">
        <v>149</v>
      </c>
      <c r="J350" s="48" t="s">
        <v>58</v>
      </c>
      <c r="K350" s="15" t="s">
        <v>1068</v>
      </c>
      <c r="L350" s="15" t="s">
        <v>144</v>
      </c>
      <c r="M350" s="15" t="s">
        <v>1006</v>
      </c>
      <c r="N350" s="15" t="s">
        <v>887</v>
      </c>
      <c r="O350" s="17" t="s">
        <v>58</v>
      </c>
      <c r="P350" s="17" t="s">
        <v>1429</v>
      </c>
      <c r="Q350" s="18"/>
      <c r="R350" s="48" t="s">
        <v>58</v>
      </c>
      <c r="S350" s="15" t="s">
        <v>232</v>
      </c>
      <c r="T350" s="15" t="s">
        <v>137</v>
      </c>
      <c r="U350" s="15" t="s">
        <v>1625</v>
      </c>
      <c r="V350" s="15">
        <v>145</v>
      </c>
      <c r="W350" s="15">
        <f t="shared" si="69"/>
        <v>145</v>
      </c>
      <c r="X350" s="15">
        <f t="shared" si="70"/>
        <v>145</v>
      </c>
      <c r="Y350" s="15">
        <f>ROUNDDOWN(W350/HLOOKUP(D350,Table!$C$3:$D$4,2,0)*8,2)</f>
        <v>2.57</v>
      </c>
      <c r="Z350" s="15">
        <v>4</v>
      </c>
      <c r="AA350" s="15" t="s">
        <v>70</v>
      </c>
      <c r="AB350" s="19">
        <v>44018</v>
      </c>
      <c r="AC350" s="19">
        <v>44014</v>
      </c>
      <c r="AD350" s="85">
        <v>44018</v>
      </c>
      <c r="AE350" s="19">
        <v>44015</v>
      </c>
      <c r="AF350" s="19">
        <v>44015</v>
      </c>
      <c r="AG350" s="19" t="s">
        <v>164</v>
      </c>
      <c r="AH350" s="29">
        <v>1</v>
      </c>
      <c r="AI350" s="29">
        <v>1</v>
      </c>
      <c r="AJ350" s="29">
        <v>1</v>
      </c>
      <c r="AK350" s="19" t="s">
        <v>144</v>
      </c>
      <c r="AL350" s="17" t="s">
        <v>58</v>
      </c>
      <c r="AM350" s="17" t="s">
        <v>58</v>
      </c>
      <c r="AN350" s="17" t="s">
        <v>58</v>
      </c>
    </row>
    <row r="351" spans="2:40" hidden="1" x14ac:dyDescent="0.25">
      <c r="B351" s="207">
        <f t="shared" si="65"/>
        <v>292</v>
      </c>
      <c r="C351" s="16">
        <v>20200626</v>
      </c>
      <c r="D351" s="15" t="s">
        <v>3</v>
      </c>
      <c r="E351" s="75" t="s">
        <v>1423</v>
      </c>
      <c r="F351" s="100" t="s">
        <v>1451</v>
      </c>
      <c r="G351" s="17">
        <v>1535528</v>
      </c>
      <c r="H351" s="48" t="s">
        <v>58</v>
      </c>
      <c r="I351" s="15" t="s">
        <v>299</v>
      </c>
      <c r="J351" s="48" t="s">
        <v>58</v>
      </c>
      <c r="K351" s="15" t="s">
        <v>1068</v>
      </c>
      <c r="L351" s="15" t="s">
        <v>144</v>
      </c>
      <c r="M351" s="15" t="s">
        <v>1006</v>
      </c>
      <c r="N351" s="15" t="s">
        <v>887</v>
      </c>
      <c r="O351" s="17" t="s">
        <v>58</v>
      </c>
      <c r="P351" s="17" t="s">
        <v>1429</v>
      </c>
      <c r="Q351" s="18"/>
      <c r="R351" s="48" t="s">
        <v>58</v>
      </c>
      <c r="S351" s="15" t="s">
        <v>64</v>
      </c>
      <c r="T351" s="15" t="s">
        <v>925</v>
      </c>
      <c r="U351" s="15" t="s">
        <v>1625</v>
      </c>
      <c r="V351" s="15">
        <v>120</v>
      </c>
      <c r="W351" s="15">
        <f t="shared" si="69"/>
        <v>120</v>
      </c>
      <c r="X351" s="15">
        <f t="shared" si="70"/>
        <v>120</v>
      </c>
      <c r="Y351" s="15">
        <f>ROUNDDOWN(W351/HLOOKUP(D351,Table!$C$3:$D$4,2,0)*8,2)</f>
        <v>2.13</v>
      </c>
      <c r="Z351" s="15">
        <v>3</v>
      </c>
      <c r="AA351" s="15" t="s">
        <v>70</v>
      </c>
      <c r="AB351" s="19">
        <v>44018</v>
      </c>
      <c r="AC351" s="19">
        <v>44014</v>
      </c>
      <c r="AD351" s="85">
        <v>44018</v>
      </c>
      <c r="AE351" s="19">
        <v>44015</v>
      </c>
      <c r="AF351" s="19">
        <v>44015</v>
      </c>
      <c r="AG351" s="19" t="s">
        <v>164</v>
      </c>
      <c r="AH351" s="29">
        <v>1</v>
      </c>
      <c r="AI351" s="29">
        <v>1</v>
      </c>
      <c r="AJ351" s="29">
        <v>1</v>
      </c>
      <c r="AK351" s="19" t="s">
        <v>144</v>
      </c>
      <c r="AL351" s="17" t="s">
        <v>58</v>
      </c>
      <c r="AM351" s="17" t="s">
        <v>58</v>
      </c>
      <c r="AN351" s="17" t="s">
        <v>58</v>
      </c>
    </row>
    <row r="352" spans="2:40" hidden="1" x14ac:dyDescent="0.25">
      <c r="B352" s="207">
        <f t="shared" si="65"/>
        <v>293</v>
      </c>
      <c r="C352" s="16">
        <v>20200626</v>
      </c>
      <c r="D352" s="15" t="s">
        <v>3</v>
      </c>
      <c r="E352" s="75" t="s">
        <v>1423</v>
      </c>
      <c r="F352" s="100" t="s">
        <v>1452</v>
      </c>
      <c r="G352" s="17">
        <v>1535528</v>
      </c>
      <c r="H352" s="48" t="s">
        <v>58</v>
      </c>
      <c r="I352" s="15" t="s">
        <v>1074</v>
      </c>
      <c r="J352" s="48" t="s">
        <v>58</v>
      </c>
      <c r="K352" s="15" t="s">
        <v>1068</v>
      </c>
      <c r="L352" s="15" t="s">
        <v>144</v>
      </c>
      <c r="M352" s="15" t="s">
        <v>1006</v>
      </c>
      <c r="N352" s="15" t="s">
        <v>887</v>
      </c>
      <c r="O352" s="17" t="s">
        <v>58</v>
      </c>
      <c r="P352" s="17" t="s">
        <v>1429</v>
      </c>
      <c r="Q352" s="18"/>
      <c r="R352" s="48" t="s">
        <v>58</v>
      </c>
      <c r="S352" s="15" t="s">
        <v>64</v>
      </c>
      <c r="T352" s="15" t="s">
        <v>925</v>
      </c>
      <c r="U352" s="15" t="s">
        <v>1625</v>
      </c>
      <c r="V352" s="15">
        <v>133</v>
      </c>
      <c r="W352" s="15">
        <f t="shared" si="69"/>
        <v>133</v>
      </c>
      <c r="X352" s="15">
        <f t="shared" si="70"/>
        <v>133</v>
      </c>
      <c r="Y352" s="15">
        <f>ROUNDDOWN(W352/HLOOKUP(D352,Table!$C$3:$D$4,2,0)*8,2)</f>
        <v>2.36</v>
      </c>
      <c r="Z352" s="15">
        <f>Y352</f>
        <v>2.36</v>
      </c>
      <c r="AA352" s="15" t="s">
        <v>70</v>
      </c>
      <c r="AB352" s="19">
        <v>44018</v>
      </c>
      <c r="AC352" s="19">
        <v>44014</v>
      </c>
      <c r="AD352" s="85">
        <v>44018</v>
      </c>
      <c r="AE352" s="19">
        <v>44015</v>
      </c>
      <c r="AF352" s="19">
        <v>44015</v>
      </c>
      <c r="AG352" s="19" t="s">
        <v>164</v>
      </c>
      <c r="AH352" s="29">
        <v>1</v>
      </c>
      <c r="AI352" s="29">
        <v>1</v>
      </c>
      <c r="AJ352" s="29">
        <v>1</v>
      </c>
      <c r="AK352" s="19" t="s">
        <v>144</v>
      </c>
      <c r="AL352" s="17" t="s">
        <v>58</v>
      </c>
      <c r="AM352" s="17" t="s">
        <v>58</v>
      </c>
      <c r="AN352" s="17" t="s">
        <v>58</v>
      </c>
    </row>
    <row r="353" spans="2:40" hidden="1" x14ac:dyDescent="0.25">
      <c r="B353" s="207">
        <f t="shared" si="65"/>
        <v>294</v>
      </c>
      <c r="C353" s="16">
        <v>20200626</v>
      </c>
      <c r="D353" s="15" t="s">
        <v>3</v>
      </c>
      <c r="E353" s="75" t="s">
        <v>1423</v>
      </c>
      <c r="F353" s="215" t="s">
        <v>941</v>
      </c>
      <c r="G353" s="17">
        <v>1535528</v>
      </c>
      <c r="H353" s="48" t="s">
        <v>58</v>
      </c>
      <c r="I353" s="15" t="s">
        <v>215</v>
      </c>
      <c r="J353" s="48" t="s">
        <v>58</v>
      </c>
      <c r="K353" s="15" t="s">
        <v>1068</v>
      </c>
      <c r="L353" s="75" t="s">
        <v>144</v>
      </c>
      <c r="M353" s="15" t="s">
        <v>1006</v>
      </c>
      <c r="N353" s="15" t="s">
        <v>887</v>
      </c>
      <c r="O353" s="17" t="s">
        <v>58</v>
      </c>
      <c r="P353" s="17" t="s">
        <v>1429</v>
      </c>
      <c r="Q353" s="18"/>
      <c r="R353" s="48" t="s">
        <v>58</v>
      </c>
      <c r="S353" s="15" t="s">
        <v>64</v>
      </c>
      <c r="T353" s="15" t="s">
        <v>925</v>
      </c>
      <c r="U353" s="15" t="s">
        <v>1625</v>
      </c>
      <c r="V353" s="15">
        <v>66</v>
      </c>
      <c r="W353" s="15">
        <f t="shared" si="69"/>
        <v>66</v>
      </c>
      <c r="X353" s="15">
        <f>W353</f>
        <v>66</v>
      </c>
      <c r="Y353" s="15">
        <f>ROUNDDOWN(W353/HLOOKUP(D353,Table!$C$3:$D$4,2,0)*8,2)</f>
        <v>1.17</v>
      </c>
      <c r="Z353" s="15">
        <f>Y353</f>
        <v>1.17</v>
      </c>
      <c r="AA353" s="15" t="s">
        <v>70</v>
      </c>
      <c r="AB353" s="19">
        <v>44018</v>
      </c>
      <c r="AC353" s="19">
        <v>44014</v>
      </c>
      <c r="AD353" s="85">
        <v>44018</v>
      </c>
      <c r="AE353" s="19">
        <v>44015</v>
      </c>
      <c r="AF353" s="19">
        <v>44015</v>
      </c>
      <c r="AG353" s="19" t="s">
        <v>164</v>
      </c>
      <c r="AH353" s="29">
        <v>1</v>
      </c>
      <c r="AI353" s="29">
        <v>1</v>
      </c>
      <c r="AJ353" s="29">
        <v>1</v>
      </c>
      <c r="AK353" s="19" t="s">
        <v>144</v>
      </c>
      <c r="AL353" s="17" t="s">
        <v>58</v>
      </c>
      <c r="AM353" s="17" t="s">
        <v>58</v>
      </c>
      <c r="AN353" s="17" t="s">
        <v>1443</v>
      </c>
    </row>
    <row r="354" spans="2:40" hidden="1" x14ac:dyDescent="0.25">
      <c r="B354" s="207">
        <f t="shared" si="65"/>
        <v>295</v>
      </c>
      <c r="C354" s="16">
        <v>20200626</v>
      </c>
      <c r="D354" s="15" t="s">
        <v>3</v>
      </c>
      <c r="E354" s="75" t="s">
        <v>1422</v>
      </c>
      <c r="F354" s="104" t="s">
        <v>1435</v>
      </c>
      <c r="G354" s="17">
        <v>1540633</v>
      </c>
      <c r="H354" s="48" t="s">
        <v>58</v>
      </c>
      <c r="I354" s="15" t="s">
        <v>173</v>
      </c>
      <c r="J354" s="48" t="s">
        <v>58</v>
      </c>
      <c r="K354" s="15" t="s">
        <v>1068</v>
      </c>
      <c r="L354" s="15" t="s">
        <v>1428</v>
      </c>
      <c r="M354" s="15" t="s">
        <v>1006</v>
      </c>
      <c r="N354" s="15" t="s">
        <v>1427</v>
      </c>
      <c r="O354" s="17" t="s">
        <v>58</v>
      </c>
      <c r="P354" s="17" t="s">
        <v>1304</v>
      </c>
      <c r="Q354" s="18"/>
      <c r="R354" s="48" t="s">
        <v>58</v>
      </c>
      <c r="S354" s="15" t="s">
        <v>66</v>
      </c>
      <c r="T354" s="15" t="s">
        <v>232</v>
      </c>
      <c r="U354" s="15" t="s">
        <v>1625</v>
      </c>
      <c r="V354" s="15">
        <v>371</v>
      </c>
      <c r="W354" s="15">
        <f t="shared" si="69"/>
        <v>371</v>
      </c>
      <c r="X354" s="15">
        <f t="shared" ref="X354:X359" si="71">W354</f>
        <v>371</v>
      </c>
      <c r="Y354" s="15">
        <f>ROUNDDOWN(W354/HLOOKUP(D354,Table!$C$3:$D$4,2,0)*8,2)</f>
        <v>6.59</v>
      </c>
      <c r="Z354" s="15">
        <v>2</v>
      </c>
      <c r="AA354" s="15" t="s">
        <v>70</v>
      </c>
      <c r="AB354" s="19">
        <v>44015</v>
      </c>
      <c r="AC354" s="19">
        <v>44014</v>
      </c>
      <c r="AD354" s="85">
        <v>44015</v>
      </c>
      <c r="AE354" s="19">
        <v>44014</v>
      </c>
      <c r="AF354" s="19">
        <v>44014</v>
      </c>
      <c r="AG354" s="19" t="s">
        <v>165</v>
      </c>
      <c r="AH354" s="29">
        <v>1</v>
      </c>
      <c r="AI354" s="29">
        <v>1</v>
      </c>
      <c r="AJ354" s="29">
        <v>0.96</v>
      </c>
      <c r="AK354" s="19" t="s">
        <v>144</v>
      </c>
      <c r="AL354" s="17" t="s">
        <v>1434</v>
      </c>
      <c r="AM354" s="17" t="s">
        <v>58</v>
      </c>
      <c r="AN354" s="17" t="s">
        <v>1459</v>
      </c>
    </row>
    <row r="355" spans="2:40" hidden="1" x14ac:dyDescent="0.25">
      <c r="B355" s="207">
        <f t="shared" si="65"/>
        <v>296</v>
      </c>
      <c r="C355" s="16">
        <v>20200626</v>
      </c>
      <c r="D355" s="15" t="s">
        <v>3</v>
      </c>
      <c r="E355" s="75" t="s">
        <v>1422</v>
      </c>
      <c r="F355" s="104" t="s">
        <v>1432</v>
      </c>
      <c r="G355" s="17">
        <v>1540633</v>
      </c>
      <c r="H355" s="48" t="s">
        <v>58</v>
      </c>
      <c r="I355" s="15" t="s">
        <v>210</v>
      </c>
      <c r="J355" s="48" t="s">
        <v>58</v>
      </c>
      <c r="K355" s="15" t="s">
        <v>1068</v>
      </c>
      <c r="L355" s="15" t="s">
        <v>1428</v>
      </c>
      <c r="M355" s="15" t="s">
        <v>1006</v>
      </c>
      <c r="N355" s="15" t="s">
        <v>1427</v>
      </c>
      <c r="O355" s="17" t="s">
        <v>58</v>
      </c>
      <c r="P355" s="17" t="s">
        <v>1304</v>
      </c>
      <c r="Q355" s="18"/>
      <c r="R355" s="48" t="s">
        <v>58</v>
      </c>
      <c r="S355" s="15" t="s">
        <v>66</v>
      </c>
      <c r="T355" s="15" t="s">
        <v>232</v>
      </c>
      <c r="U355" s="15" t="s">
        <v>1625</v>
      </c>
      <c r="V355" s="15">
        <v>199</v>
      </c>
      <c r="W355" s="15">
        <f t="shared" si="69"/>
        <v>199</v>
      </c>
      <c r="X355" s="15">
        <f t="shared" si="71"/>
        <v>199</v>
      </c>
      <c r="Y355" s="15">
        <f>ROUNDDOWN(W355/HLOOKUP(D355,Table!$C$3:$D$4,2,0)*8,2)</f>
        <v>3.53</v>
      </c>
      <c r="Z355" s="15">
        <v>1</v>
      </c>
      <c r="AA355" s="15" t="s">
        <v>70</v>
      </c>
      <c r="AB355" s="19">
        <v>44015</v>
      </c>
      <c r="AC355" s="19">
        <v>44014</v>
      </c>
      <c r="AD355" s="85">
        <v>44015</v>
      </c>
      <c r="AE355" s="19">
        <v>44014</v>
      </c>
      <c r="AF355" s="19">
        <v>44014</v>
      </c>
      <c r="AG355" s="19" t="s">
        <v>164</v>
      </c>
      <c r="AH355" s="29">
        <v>1</v>
      </c>
      <c r="AI355" s="29">
        <v>1</v>
      </c>
      <c r="AJ355" s="29">
        <v>1</v>
      </c>
      <c r="AK355" s="19" t="s">
        <v>144</v>
      </c>
      <c r="AL355" s="17" t="s">
        <v>58</v>
      </c>
      <c r="AM355" s="17" t="s">
        <v>58</v>
      </c>
      <c r="AN355" s="17" t="s">
        <v>58</v>
      </c>
    </row>
    <row r="356" spans="2:40" x14ac:dyDescent="0.25">
      <c r="B356" s="207">
        <f t="shared" si="65"/>
        <v>297</v>
      </c>
      <c r="C356" s="16">
        <v>20200626</v>
      </c>
      <c r="D356" s="15" t="s">
        <v>3</v>
      </c>
      <c r="E356" s="75" t="s">
        <v>1422</v>
      </c>
      <c r="F356" s="128" t="s">
        <v>1433</v>
      </c>
      <c r="G356" s="17">
        <v>1540633</v>
      </c>
      <c r="H356" s="48" t="s">
        <v>58</v>
      </c>
      <c r="I356" s="15" t="s">
        <v>1426</v>
      </c>
      <c r="J356" s="48" t="s">
        <v>58</v>
      </c>
      <c r="K356" s="15" t="s">
        <v>1068</v>
      </c>
      <c r="L356" s="15" t="s">
        <v>1428</v>
      </c>
      <c r="M356" s="15" t="s">
        <v>1006</v>
      </c>
      <c r="N356" s="15" t="s">
        <v>1427</v>
      </c>
      <c r="O356" s="17" t="s">
        <v>58</v>
      </c>
      <c r="P356" s="17" t="s">
        <v>1304</v>
      </c>
      <c r="Q356" s="18"/>
      <c r="R356" s="48" t="s">
        <v>58</v>
      </c>
      <c r="S356" s="15" t="s">
        <v>66</v>
      </c>
      <c r="T356" s="15" t="s">
        <v>232</v>
      </c>
      <c r="U356" s="15" t="s">
        <v>1625</v>
      </c>
      <c r="V356" s="15">
        <v>44</v>
      </c>
      <c r="W356" s="15">
        <f t="shared" si="69"/>
        <v>44</v>
      </c>
      <c r="X356" s="15">
        <f t="shared" si="71"/>
        <v>44</v>
      </c>
      <c r="Y356" s="15">
        <f>ROUNDDOWN(W356/HLOOKUP(D356,Table!$C$3:$D$4,2,0)*8,2)</f>
        <v>0.78</v>
      </c>
      <c r="Z356" s="15">
        <v>0.2</v>
      </c>
      <c r="AA356" s="15" t="s">
        <v>70</v>
      </c>
      <c r="AB356" s="19">
        <v>44015</v>
      </c>
      <c r="AC356" s="19">
        <v>44014</v>
      </c>
      <c r="AD356" s="85">
        <v>44015</v>
      </c>
      <c r="AE356" s="19">
        <v>44014</v>
      </c>
      <c r="AF356" s="19">
        <v>44014</v>
      </c>
      <c r="AG356" s="19" t="s">
        <v>164</v>
      </c>
      <c r="AH356" s="29" t="s">
        <v>58</v>
      </c>
      <c r="AI356" s="29" t="s">
        <v>58</v>
      </c>
      <c r="AJ356" s="29" t="s">
        <v>58</v>
      </c>
      <c r="AK356" s="19" t="s">
        <v>144</v>
      </c>
      <c r="AL356" s="17" t="s">
        <v>945</v>
      </c>
      <c r="AM356" s="17" t="s">
        <v>58</v>
      </c>
      <c r="AN356" s="221" t="s">
        <v>172</v>
      </c>
    </row>
    <row r="357" spans="2:40" hidden="1" x14ac:dyDescent="0.25">
      <c r="B357" s="207">
        <f t="shared" si="65"/>
        <v>298</v>
      </c>
      <c r="C357" s="16">
        <v>20200626</v>
      </c>
      <c r="D357" s="15" t="s">
        <v>3</v>
      </c>
      <c r="E357" s="75" t="s">
        <v>1422</v>
      </c>
      <c r="F357" s="104" t="s">
        <v>1430</v>
      </c>
      <c r="G357" s="17">
        <v>1540633</v>
      </c>
      <c r="H357" s="48" t="s">
        <v>58</v>
      </c>
      <c r="I357" s="15" t="s">
        <v>147</v>
      </c>
      <c r="J357" s="48" t="s">
        <v>58</v>
      </c>
      <c r="K357" s="15" t="s">
        <v>1068</v>
      </c>
      <c r="L357" s="15" t="s">
        <v>1428</v>
      </c>
      <c r="M357" s="15" t="s">
        <v>1006</v>
      </c>
      <c r="N357" s="15" t="s">
        <v>1427</v>
      </c>
      <c r="O357" s="17" t="s">
        <v>58</v>
      </c>
      <c r="P357" s="17" t="s">
        <v>1304</v>
      </c>
      <c r="Q357" s="18"/>
      <c r="R357" s="48" t="s">
        <v>58</v>
      </c>
      <c r="S357" s="15" t="s">
        <v>66</v>
      </c>
      <c r="T357" s="15" t="s">
        <v>232</v>
      </c>
      <c r="U357" s="15" t="s">
        <v>1625</v>
      </c>
      <c r="V357" s="15">
        <v>101</v>
      </c>
      <c r="W357" s="15">
        <f t="shared" si="69"/>
        <v>101</v>
      </c>
      <c r="X357" s="15">
        <f t="shared" si="71"/>
        <v>101</v>
      </c>
      <c r="Y357" s="15">
        <f>ROUNDDOWN(W357/HLOOKUP(D357,Table!$C$3:$D$4,2,0)*8,2)</f>
        <v>1.79</v>
      </c>
      <c r="Z357" s="15">
        <v>1</v>
      </c>
      <c r="AA357" s="15" t="s">
        <v>70</v>
      </c>
      <c r="AB357" s="19">
        <v>44015</v>
      </c>
      <c r="AC357" s="19">
        <v>44014</v>
      </c>
      <c r="AD357" s="85">
        <v>44015</v>
      </c>
      <c r="AE357" s="19">
        <v>44014</v>
      </c>
      <c r="AF357" s="19">
        <v>44014</v>
      </c>
      <c r="AG357" s="19" t="s">
        <v>164</v>
      </c>
      <c r="AH357" s="29">
        <v>1</v>
      </c>
      <c r="AI357" s="29">
        <v>1</v>
      </c>
      <c r="AJ357" s="29">
        <v>1</v>
      </c>
      <c r="AK357" s="19" t="s">
        <v>144</v>
      </c>
      <c r="AL357" s="17" t="s">
        <v>58</v>
      </c>
      <c r="AM357" s="17" t="s">
        <v>58</v>
      </c>
      <c r="AN357" s="17" t="s">
        <v>58</v>
      </c>
    </row>
    <row r="358" spans="2:40" hidden="1" x14ac:dyDescent="0.25">
      <c r="B358" s="207">
        <f t="shared" si="65"/>
        <v>299</v>
      </c>
      <c r="C358" s="16">
        <v>20200626</v>
      </c>
      <c r="D358" s="15" t="s">
        <v>3</v>
      </c>
      <c r="E358" s="75" t="s">
        <v>1422</v>
      </c>
      <c r="F358" s="104" t="s">
        <v>1430</v>
      </c>
      <c r="G358" s="17">
        <v>1540633</v>
      </c>
      <c r="H358" s="48" t="s">
        <v>58</v>
      </c>
      <c r="I358" s="15" t="s">
        <v>299</v>
      </c>
      <c r="J358" s="48" t="s">
        <v>58</v>
      </c>
      <c r="K358" s="15" t="s">
        <v>1068</v>
      </c>
      <c r="L358" s="15" t="s">
        <v>1428</v>
      </c>
      <c r="M358" s="15" t="s">
        <v>1006</v>
      </c>
      <c r="N358" s="15" t="s">
        <v>1427</v>
      </c>
      <c r="O358" s="17" t="s">
        <v>58</v>
      </c>
      <c r="P358" s="17" t="s">
        <v>1304</v>
      </c>
      <c r="Q358" s="18"/>
      <c r="R358" s="48" t="s">
        <v>58</v>
      </c>
      <c r="S358" s="15" t="s">
        <v>66</v>
      </c>
      <c r="T358" s="15" t="s">
        <v>232</v>
      </c>
      <c r="U358" s="15" t="s">
        <v>1625</v>
      </c>
      <c r="V358" s="15">
        <v>120</v>
      </c>
      <c r="W358" s="15">
        <f t="shared" si="69"/>
        <v>120</v>
      </c>
      <c r="X358" s="15">
        <f t="shared" si="71"/>
        <v>120</v>
      </c>
      <c r="Y358" s="15">
        <f>ROUNDDOWN(W358/HLOOKUP(D358,Table!$C$3:$D$4,2,0)*8,2)</f>
        <v>2.13</v>
      </c>
      <c r="Z358" s="15">
        <v>1</v>
      </c>
      <c r="AA358" s="15" t="s">
        <v>70</v>
      </c>
      <c r="AB358" s="19">
        <v>44015</v>
      </c>
      <c r="AC358" s="19">
        <v>44014</v>
      </c>
      <c r="AD358" s="85">
        <v>44015</v>
      </c>
      <c r="AE358" s="19">
        <v>44014</v>
      </c>
      <c r="AF358" s="19">
        <v>44014</v>
      </c>
      <c r="AG358" s="19" t="s">
        <v>164</v>
      </c>
      <c r="AH358" s="29">
        <v>1</v>
      </c>
      <c r="AI358" s="29">
        <v>1</v>
      </c>
      <c r="AJ358" s="29">
        <v>1</v>
      </c>
      <c r="AK358" s="19" t="s">
        <v>144</v>
      </c>
      <c r="AL358" s="17" t="s">
        <v>58</v>
      </c>
      <c r="AM358" s="17" t="s">
        <v>58</v>
      </c>
      <c r="AN358" s="17" t="s">
        <v>58</v>
      </c>
    </row>
    <row r="359" spans="2:40" hidden="1" x14ac:dyDescent="0.25">
      <c r="B359" s="207">
        <f t="shared" si="65"/>
        <v>300</v>
      </c>
      <c r="C359" s="16">
        <v>20200626</v>
      </c>
      <c r="D359" s="15" t="s">
        <v>3</v>
      </c>
      <c r="E359" s="75" t="s">
        <v>1422</v>
      </c>
      <c r="F359" s="104" t="s">
        <v>1430</v>
      </c>
      <c r="G359" s="17">
        <v>1540633</v>
      </c>
      <c r="H359" s="48" t="s">
        <v>58</v>
      </c>
      <c r="I359" s="15" t="s">
        <v>334</v>
      </c>
      <c r="J359" s="48" t="s">
        <v>58</v>
      </c>
      <c r="K359" s="15" t="s">
        <v>1068</v>
      </c>
      <c r="L359" s="15" t="s">
        <v>1428</v>
      </c>
      <c r="M359" s="15" t="s">
        <v>1006</v>
      </c>
      <c r="N359" s="15" t="s">
        <v>1427</v>
      </c>
      <c r="O359" s="17" t="s">
        <v>58</v>
      </c>
      <c r="P359" s="17" t="s">
        <v>1304</v>
      </c>
      <c r="Q359" s="18"/>
      <c r="R359" s="48" t="s">
        <v>58</v>
      </c>
      <c r="S359" s="15" t="s">
        <v>66</v>
      </c>
      <c r="T359" s="15" t="s">
        <v>232</v>
      </c>
      <c r="U359" s="15" t="s">
        <v>1625</v>
      </c>
      <c r="V359" s="15">
        <v>178</v>
      </c>
      <c r="W359" s="15">
        <f t="shared" si="69"/>
        <v>178</v>
      </c>
      <c r="X359" s="15">
        <f t="shared" si="71"/>
        <v>178</v>
      </c>
      <c r="Y359" s="15">
        <f>ROUNDDOWN(W359/HLOOKUP(D359,Table!$C$3:$D$4,2,0)*8,2)</f>
        <v>3.16</v>
      </c>
      <c r="Z359" s="15">
        <v>2</v>
      </c>
      <c r="AA359" s="15" t="s">
        <v>70</v>
      </c>
      <c r="AB359" s="19">
        <v>44015</v>
      </c>
      <c r="AC359" s="19">
        <v>44014</v>
      </c>
      <c r="AD359" s="85">
        <v>44015</v>
      </c>
      <c r="AE359" s="19">
        <v>44014</v>
      </c>
      <c r="AF359" s="19">
        <v>44014</v>
      </c>
      <c r="AG359" s="19" t="s">
        <v>164</v>
      </c>
      <c r="AH359" s="29">
        <v>1</v>
      </c>
      <c r="AI359" s="29">
        <v>1</v>
      </c>
      <c r="AJ359" s="29">
        <v>1</v>
      </c>
      <c r="AK359" s="19" t="s">
        <v>144</v>
      </c>
      <c r="AL359" s="17" t="s">
        <v>58</v>
      </c>
      <c r="AM359" s="17" t="s">
        <v>58</v>
      </c>
      <c r="AN359" s="17" t="s">
        <v>58</v>
      </c>
    </row>
    <row r="360" spans="2:40" hidden="1" x14ac:dyDescent="0.25">
      <c r="B360" s="207">
        <f t="shared" si="65"/>
        <v>301</v>
      </c>
      <c r="C360" s="16">
        <v>20200703</v>
      </c>
      <c r="D360" s="15" t="s">
        <v>3</v>
      </c>
      <c r="E360" s="75" t="s">
        <v>1464</v>
      </c>
      <c r="F360" s="73" t="s">
        <v>1467</v>
      </c>
      <c r="G360" s="75">
        <v>1550411</v>
      </c>
      <c r="H360" s="48" t="s">
        <v>58</v>
      </c>
      <c r="I360" s="75" t="s">
        <v>152</v>
      </c>
      <c r="J360" s="48" t="s">
        <v>58</v>
      </c>
      <c r="K360" s="15" t="s">
        <v>1068</v>
      </c>
      <c r="L360" s="75" t="s">
        <v>881</v>
      </c>
      <c r="M360" s="222" t="s">
        <v>144</v>
      </c>
      <c r="N360" s="75" t="s">
        <v>885</v>
      </c>
      <c r="O360" s="84" t="s">
        <v>58</v>
      </c>
      <c r="P360" s="73" t="s">
        <v>1485</v>
      </c>
      <c r="Q360" s="18"/>
      <c r="R360" s="48"/>
      <c r="S360" s="15" t="s">
        <v>65</v>
      </c>
      <c r="T360" s="15" t="s">
        <v>231</v>
      </c>
      <c r="U360" s="15" t="s">
        <v>0</v>
      </c>
      <c r="V360" s="75">
        <v>65</v>
      </c>
      <c r="W360" s="15">
        <f t="shared" ref="W360" si="72">V360</f>
        <v>65</v>
      </c>
      <c r="X360" s="15">
        <f t="shared" ref="X360:X409" si="73">W360</f>
        <v>65</v>
      </c>
      <c r="Y360" s="15">
        <f>ROUNDDOWN(W360/HLOOKUP(D360,Table!$C$3:$D$4,2,0)*8,2)</f>
        <v>1.1499999999999999</v>
      </c>
      <c r="Z360" s="15">
        <f t="shared" ref="Z360:Z365" si="74">Y360</f>
        <v>1.1499999999999999</v>
      </c>
      <c r="AA360" s="15" t="s">
        <v>21</v>
      </c>
      <c r="AB360" s="19">
        <v>44025</v>
      </c>
      <c r="AC360" s="19">
        <v>44018</v>
      </c>
      <c r="AD360" s="19">
        <v>44025</v>
      </c>
      <c r="AE360" s="19">
        <v>44019</v>
      </c>
      <c r="AF360" s="80">
        <v>44019</v>
      </c>
      <c r="AG360" s="19" t="s">
        <v>164</v>
      </c>
      <c r="AH360" s="29">
        <v>1</v>
      </c>
      <c r="AI360" s="29">
        <v>1</v>
      </c>
      <c r="AJ360" s="29">
        <v>1</v>
      </c>
      <c r="AK360" s="19" t="s">
        <v>144</v>
      </c>
      <c r="AL360" s="17" t="s">
        <v>58</v>
      </c>
      <c r="AM360" s="17" t="s">
        <v>58</v>
      </c>
      <c r="AN360" s="17" t="s">
        <v>58</v>
      </c>
    </row>
    <row r="361" spans="2:40" hidden="1" x14ac:dyDescent="0.25">
      <c r="B361" s="207">
        <f t="shared" si="65"/>
        <v>302</v>
      </c>
      <c r="C361" s="16">
        <v>20200703</v>
      </c>
      <c r="D361" s="15" t="s">
        <v>3</v>
      </c>
      <c r="E361" s="75" t="s">
        <v>1464</v>
      </c>
      <c r="F361" s="73" t="s">
        <v>1467</v>
      </c>
      <c r="G361" s="75">
        <v>1550411</v>
      </c>
      <c r="H361" s="48" t="s">
        <v>58</v>
      </c>
      <c r="I361" s="75" t="s">
        <v>1471</v>
      </c>
      <c r="J361" s="48" t="s">
        <v>58</v>
      </c>
      <c r="K361" s="15" t="s">
        <v>1068</v>
      </c>
      <c r="L361" s="75" t="s">
        <v>881</v>
      </c>
      <c r="M361" s="222" t="s">
        <v>144</v>
      </c>
      <c r="N361" s="75" t="s">
        <v>885</v>
      </c>
      <c r="O361" s="84" t="s">
        <v>58</v>
      </c>
      <c r="P361" s="17" t="s">
        <v>1485</v>
      </c>
      <c r="Q361" s="18"/>
      <c r="R361" s="48"/>
      <c r="S361" s="15" t="s">
        <v>65</v>
      </c>
      <c r="T361" s="15" t="s">
        <v>231</v>
      </c>
      <c r="U361" s="15" t="s">
        <v>0</v>
      </c>
      <c r="V361" s="75">
        <v>35</v>
      </c>
      <c r="W361" s="79">
        <v>52</v>
      </c>
      <c r="X361" s="15">
        <f t="shared" si="73"/>
        <v>52</v>
      </c>
      <c r="Y361" s="15">
        <f>ROUNDDOWN(W361/HLOOKUP(D361,Table!$C$3:$D$4,2,0)*8,2)</f>
        <v>0.92</v>
      </c>
      <c r="Z361" s="15">
        <f t="shared" si="74"/>
        <v>0.92</v>
      </c>
      <c r="AA361" s="15" t="s">
        <v>21</v>
      </c>
      <c r="AB361" s="19">
        <v>44025</v>
      </c>
      <c r="AC361" s="19">
        <v>44018</v>
      </c>
      <c r="AD361" s="19">
        <v>44025</v>
      </c>
      <c r="AE361" s="19">
        <v>44019</v>
      </c>
      <c r="AF361" s="19">
        <v>44019</v>
      </c>
      <c r="AG361" s="19" t="s">
        <v>164</v>
      </c>
      <c r="AH361" s="29">
        <v>1</v>
      </c>
      <c r="AI361" s="29">
        <v>1</v>
      </c>
      <c r="AJ361" s="29">
        <v>1</v>
      </c>
      <c r="AK361" s="19" t="s">
        <v>144</v>
      </c>
      <c r="AL361" s="17" t="s">
        <v>58</v>
      </c>
      <c r="AM361" s="17" t="s">
        <v>58</v>
      </c>
      <c r="AN361" s="17" t="s">
        <v>58</v>
      </c>
    </row>
    <row r="362" spans="2:40" hidden="1" x14ac:dyDescent="0.25">
      <c r="B362" s="207">
        <f t="shared" si="65"/>
        <v>303</v>
      </c>
      <c r="C362" s="16">
        <v>20200703</v>
      </c>
      <c r="D362" s="15" t="s">
        <v>3</v>
      </c>
      <c r="E362" s="75" t="s">
        <v>1464</v>
      </c>
      <c r="F362" s="73" t="s">
        <v>1468</v>
      </c>
      <c r="G362" s="75">
        <v>1550411</v>
      </c>
      <c r="H362" s="48" t="s">
        <v>58</v>
      </c>
      <c r="I362" s="75" t="s">
        <v>182</v>
      </c>
      <c r="J362" s="48" t="s">
        <v>58</v>
      </c>
      <c r="K362" s="15" t="s">
        <v>1068</v>
      </c>
      <c r="L362" s="75" t="s">
        <v>881</v>
      </c>
      <c r="M362" s="222" t="s">
        <v>144</v>
      </c>
      <c r="N362" s="75" t="s">
        <v>885</v>
      </c>
      <c r="O362" s="84" t="s">
        <v>58</v>
      </c>
      <c r="P362" s="17" t="s">
        <v>1485</v>
      </c>
      <c r="Q362" s="18"/>
      <c r="R362" s="48"/>
      <c r="S362" s="15" t="s">
        <v>65</v>
      </c>
      <c r="T362" s="15" t="s">
        <v>231</v>
      </c>
      <c r="U362" s="15" t="s">
        <v>0</v>
      </c>
      <c r="V362" s="75">
        <v>280</v>
      </c>
      <c r="W362" s="15">
        <f t="shared" ref="W362:W366" si="75">V362</f>
        <v>280</v>
      </c>
      <c r="X362" s="15">
        <f t="shared" si="73"/>
        <v>280</v>
      </c>
      <c r="Y362" s="15">
        <f>ROUNDDOWN(W362/HLOOKUP(D362,Table!$C$3:$D$4,2,0)*8,2)</f>
        <v>4.97</v>
      </c>
      <c r="Z362" s="15">
        <f t="shared" si="74"/>
        <v>4.97</v>
      </c>
      <c r="AA362" s="15" t="s">
        <v>21</v>
      </c>
      <c r="AB362" s="19">
        <v>44025</v>
      </c>
      <c r="AC362" s="19">
        <v>44018</v>
      </c>
      <c r="AD362" s="19">
        <v>44025</v>
      </c>
      <c r="AE362" s="19">
        <v>44019</v>
      </c>
      <c r="AF362" s="19">
        <v>44019</v>
      </c>
      <c r="AG362" s="19" t="s">
        <v>164</v>
      </c>
      <c r="AH362" s="29">
        <v>1</v>
      </c>
      <c r="AI362" s="29">
        <v>1</v>
      </c>
      <c r="AJ362" s="29">
        <v>1</v>
      </c>
      <c r="AK362" s="19" t="s">
        <v>144</v>
      </c>
      <c r="AL362" s="17" t="s">
        <v>58</v>
      </c>
      <c r="AM362" s="17" t="s">
        <v>58</v>
      </c>
      <c r="AN362" s="17" t="s">
        <v>58</v>
      </c>
    </row>
    <row r="363" spans="2:40" hidden="1" x14ac:dyDescent="0.25">
      <c r="B363" s="207">
        <f t="shared" si="65"/>
        <v>304</v>
      </c>
      <c r="C363" s="16">
        <v>20200703</v>
      </c>
      <c r="D363" s="15" t="s">
        <v>3</v>
      </c>
      <c r="E363" s="75" t="s">
        <v>1464</v>
      </c>
      <c r="F363" s="73" t="s">
        <v>1469</v>
      </c>
      <c r="G363" s="75">
        <v>1550411</v>
      </c>
      <c r="H363" s="48" t="s">
        <v>58</v>
      </c>
      <c r="I363" s="75" t="s">
        <v>345</v>
      </c>
      <c r="J363" s="48" t="s">
        <v>58</v>
      </c>
      <c r="K363" s="15" t="s">
        <v>1068</v>
      </c>
      <c r="L363" s="75" t="s">
        <v>881</v>
      </c>
      <c r="M363" s="222" t="s">
        <v>144</v>
      </c>
      <c r="N363" s="75" t="s">
        <v>885</v>
      </c>
      <c r="O363" s="84" t="s">
        <v>58</v>
      </c>
      <c r="P363" s="17" t="s">
        <v>1485</v>
      </c>
      <c r="Q363" s="18"/>
      <c r="R363" s="48"/>
      <c r="S363" s="15" t="s">
        <v>65</v>
      </c>
      <c r="T363" s="15" t="s">
        <v>231</v>
      </c>
      <c r="U363" s="15" t="s">
        <v>0</v>
      </c>
      <c r="V363" s="75">
        <v>235</v>
      </c>
      <c r="W363" s="15">
        <f t="shared" si="75"/>
        <v>235</v>
      </c>
      <c r="X363" s="15">
        <f t="shared" si="73"/>
        <v>235</v>
      </c>
      <c r="Y363" s="15">
        <f>ROUNDDOWN(W363/HLOOKUP(D363,Table!$C$3:$D$4,2,0)*8,2)</f>
        <v>4.17</v>
      </c>
      <c r="Z363" s="15">
        <f t="shared" si="74"/>
        <v>4.17</v>
      </c>
      <c r="AA363" s="15" t="s">
        <v>21</v>
      </c>
      <c r="AB363" s="19">
        <v>44025</v>
      </c>
      <c r="AC363" s="19">
        <v>44018</v>
      </c>
      <c r="AD363" s="19">
        <v>44025</v>
      </c>
      <c r="AE363" s="19">
        <v>44019</v>
      </c>
      <c r="AF363" s="19">
        <v>44019</v>
      </c>
      <c r="AG363" s="19" t="s">
        <v>164</v>
      </c>
      <c r="AH363" s="29">
        <v>1</v>
      </c>
      <c r="AI363" s="29">
        <v>1</v>
      </c>
      <c r="AJ363" s="29">
        <v>1</v>
      </c>
      <c r="AK363" s="19" t="s">
        <v>144</v>
      </c>
      <c r="AL363" s="17" t="s">
        <v>58</v>
      </c>
      <c r="AM363" s="17" t="s">
        <v>58</v>
      </c>
      <c r="AN363" s="17" t="s">
        <v>58</v>
      </c>
    </row>
    <row r="364" spans="2:40" hidden="1" x14ac:dyDescent="0.25">
      <c r="B364" s="207">
        <f t="shared" si="65"/>
        <v>305</v>
      </c>
      <c r="C364" s="16">
        <v>20200703</v>
      </c>
      <c r="D364" s="15" t="s">
        <v>3</v>
      </c>
      <c r="E364" s="75" t="s">
        <v>1465</v>
      </c>
      <c r="F364" s="100" t="s">
        <v>1647</v>
      </c>
      <c r="G364" s="75">
        <v>1521618</v>
      </c>
      <c r="H364" s="48" t="s">
        <v>58</v>
      </c>
      <c r="I364" s="75" t="s">
        <v>175</v>
      </c>
      <c r="J364" s="48" t="s">
        <v>58</v>
      </c>
      <c r="K364" s="15" t="s">
        <v>1068</v>
      </c>
      <c r="L364" s="75" t="s">
        <v>1479</v>
      </c>
      <c r="M364" s="75" t="s">
        <v>1488</v>
      </c>
      <c r="N364" s="75" t="s">
        <v>218</v>
      </c>
      <c r="O364" s="84" t="s">
        <v>58</v>
      </c>
      <c r="P364" s="17" t="s">
        <v>288</v>
      </c>
      <c r="Q364" s="18"/>
      <c r="R364" s="48"/>
      <c r="S364" s="15" t="s">
        <v>65</v>
      </c>
      <c r="T364" s="15" t="s">
        <v>231</v>
      </c>
      <c r="U364" s="15" t="s">
        <v>0</v>
      </c>
      <c r="V364" s="75">
        <v>227</v>
      </c>
      <c r="W364" s="15">
        <f t="shared" si="75"/>
        <v>227</v>
      </c>
      <c r="X364" s="15">
        <f t="shared" si="73"/>
        <v>227</v>
      </c>
      <c r="Y364" s="15">
        <f>ROUNDDOWN(W364/HLOOKUP(D364,Table!$C$3:$D$4,2,0)*8,2)</f>
        <v>4.03</v>
      </c>
      <c r="Z364" s="15">
        <f t="shared" si="74"/>
        <v>4.03</v>
      </c>
      <c r="AA364" s="15" t="s">
        <v>21</v>
      </c>
      <c r="AB364" s="19">
        <v>44025</v>
      </c>
      <c r="AC364" s="19">
        <v>44018</v>
      </c>
      <c r="AD364" s="19">
        <v>44025</v>
      </c>
      <c r="AE364" s="19">
        <v>44019</v>
      </c>
      <c r="AF364" s="19">
        <v>44019</v>
      </c>
      <c r="AG364" s="19" t="s">
        <v>164</v>
      </c>
      <c r="AH364" s="29">
        <v>1</v>
      </c>
      <c r="AI364" s="29">
        <v>1</v>
      </c>
      <c r="AJ364" s="29">
        <v>1</v>
      </c>
      <c r="AK364" s="19" t="s">
        <v>144</v>
      </c>
      <c r="AL364" s="17" t="s">
        <v>58</v>
      </c>
      <c r="AM364" s="17" t="s">
        <v>58</v>
      </c>
      <c r="AN364" s="17" t="s">
        <v>1649</v>
      </c>
    </row>
    <row r="365" spans="2:40" hidden="1" x14ac:dyDescent="0.25">
      <c r="B365" s="207">
        <f t="shared" si="65"/>
        <v>306</v>
      </c>
      <c r="C365" s="16">
        <v>20200703</v>
      </c>
      <c r="D365" s="15" t="s">
        <v>3</v>
      </c>
      <c r="E365" s="75" t="s">
        <v>1465</v>
      </c>
      <c r="F365" s="100" t="s">
        <v>1648</v>
      </c>
      <c r="G365" s="75">
        <v>1521618</v>
      </c>
      <c r="H365" s="48" t="s">
        <v>58</v>
      </c>
      <c r="I365" s="75" t="s">
        <v>216</v>
      </c>
      <c r="J365" s="48" t="s">
        <v>58</v>
      </c>
      <c r="K365" s="15" t="s">
        <v>1068</v>
      </c>
      <c r="L365" s="75" t="s">
        <v>1479</v>
      </c>
      <c r="M365" s="75" t="s">
        <v>1488</v>
      </c>
      <c r="N365" s="75" t="s">
        <v>218</v>
      </c>
      <c r="O365" s="84" t="s">
        <v>58</v>
      </c>
      <c r="P365" s="73" t="s">
        <v>288</v>
      </c>
      <c r="Q365" s="18"/>
      <c r="R365" s="48"/>
      <c r="S365" s="15" t="s">
        <v>65</v>
      </c>
      <c r="T365" s="15" t="s">
        <v>231</v>
      </c>
      <c r="U365" s="15" t="s">
        <v>0</v>
      </c>
      <c r="V365" s="75">
        <v>42</v>
      </c>
      <c r="W365" s="15">
        <f t="shared" si="75"/>
        <v>42</v>
      </c>
      <c r="X365" s="15">
        <f t="shared" si="73"/>
        <v>42</v>
      </c>
      <c r="Y365" s="15">
        <f>ROUNDDOWN(W365/HLOOKUP(D365,Table!$C$3:$D$4,2,0)*8,2)</f>
        <v>0.74</v>
      </c>
      <c r="Z365" s="15">
        <f t="shared" si="74"/>
        <v>0.74</v>
      </c>
      <c r="AA365" s="15" t="s">
        <v>21</v>
      </c>
      <c r="AB365" s="19">
        <v>44025</v>
      </c>
      <c r="AC365" s="19">
        <v>44018</v>
      </c>
      <c r="AD365" s="19">
        <v>44025</v>
      </c>
      <c r="AE365" s="19">
        <v>44020</v>
      </c>
      <c r="AF365" s="80">
        <v>44020</v>
      </c>
      <c r="AG365" s="19" t="s">
        <v>164</v>
      </c>
      <c r="AH365" s="29">
        <v>1</v>
      </c>
      <c r="AI365" s="29">
        <v>1</v>
      </c>
      <c r="AJ365" s="29">
        <v>1</v>
      </c>
      <c r="AK365" s="19" t="s">
        <v>144</v>
      </c>
      <c r="AL365" s="17" t="s">
        <v>58</v>
      </c>
      <c r="AM365" s="17" t="s">
        <v>58</v>
      </c>
      <c r="AN365" s="17" t="s">
        <v>1649</v>
      </c>
    </row>
    <row r="366" spans="2:40" ht="60" hidden="1" x14ac:dyDescent="0.25">
      <c r="B366" s="207">
        <f t="shared" si="65"/>
        <v>307</v>
      </c>
      <c r="C366" s="16">
        <v>20200703</v>
      </c>
      <c r="D366" s="15" t="s">
        <v>2</v>
      </c>
      <c r="E366" s="75" t="s">
        <v>863</v>
      </c>
      <c r="F366" s="73" t="s">
        <v>58</v>
      </c>
      <c r="G366" s="75">
        <v>1551037</v>
      </c>
      <c r="H366" s="48" t="s">
        <v>58</v>
      </c>
      <c r="I366" s="75" t="s">
        <v>1472</v>
      </c>
      <c r="J366" s="48" t="s">
        <v>58</v>
      </c>
      <c r="K366" s="15" t="s">
        <v>1068</v>
      </c>
      <c r="L366" s="15" t="s">
        <v>144</v>
      </c>
      <c r="M366" s="222" t="s">
        <v>144</v>
      </c>
      <c r="N366" s="75" t="s">
        <v>1476</v>
      </c>
      <c r="O366" s="84" t="s">
        <v>1475</v>
      </c>
      <c r="P366" s="73" t="s">
        <v>1486</v>
      </c>
      <c r="Q366" s="18"/>
      <c r="R366" s="48"/>
      <c r="S366" s="15" t="s">
        <v>66</v>
      </c>
      <c r="T366" s="15" t="s">
        <v>232</v>
      </c>
      <c r="U366" s="15" t="s">
        <v>1625</v>
      </c>
      <c r="V366" s="75">
        <v>60</v>
      </c>
      <c r="W366" s="15">
        <f t="shared" si="75"/>
        <v>60</v>
      </c>
      <c r="X366" s="15">
        <f t="shared" si="73"/>
        <v>60</v>
      </c>
      <c r="Y366" s="15">
        <f>ROUNDDOWN(W366/HLOOKUP(D366,Table!$C$3:$D$4,2,0)*8,2)</f>
        <v>3.69</v>
      </c>
      <c r="Z366" s="15">
        <v>2</v>
      </c>
      <c r="AA366" s="15" t="s">
        <v>21</v>
      </c>
      <c r="AB366" s="19">
        <v>44021</v>
      </c>
      <c r="AC366" s="19">
        <v>44018</v>
      </c>
      <c r="AD366" s="102">
        <v>44021</v>
      </c>
      <c r="AE366" s="19">
        <v>44020</v>
      </c>
      <c r="AF366" s="80">
        <v>44020</v>
      </c>
      <c r="AG366" s="19" t="s">
        <v>164</v>
      </c>
      <c r="AH366" s="29">
        <v>1</v>
      </c>
      <c r="AI366" s="29">
        <v>1</v>
      </c>
      <c r="AJ366" s="29">
        <v>1</v>
      </c>
      <c r="AK366" s="19" t="s">
        <v>144</v>
      </c>
      <c r="AL366" s="216" t="s">
        <v>1728</v>
      </c>
      <c r="AM366" s="17" t="s">
        <v>58</v>
      </c>
      <c r="AN366" s="17" t="s">
        <v>58</v>
      </c>
    </row>
    <row r="367" spans="2:40" hidden="1" x14ac:dyDescent="0.25">
      <c r="B367" s="207">
        <f t="shared" si="65"/>
        <v>308</v>
      </c>
      <c r="C367" s="16">
        <v>20200703</v>
      </c>
      <c r="D367" s="15" t="s">
        <v>3</v>
      </c>
      <c r="E367" s="75" t="s">
        <v>863</v>
      </c>
      <c r="F367" s="73" t="s">
        <v>1470</v>
      </c>
      <c r="G367" s="75">
        <v>1554344</v>
      </c>
      <c r="H367" s="48" t="s">
        <v>58</v>
      </c>
      <c r="I367" s="75" t="s">
        <v>873</v>
      </c>
      <c r="J367" s="48" t="s">
        <v>58</v>
      </c>
      <c r="K367" s="15" t="s">
        <v>1068</v>
      </c>
      <c r="L367" s="75" t="s">
        <v>881</v>
      </c>
      <c r="M367" s="222" t="s">
        <v>144</v>
      </c>
      <c r="N367" s="75" t="s">
        <v>885</v>
      </c>
      <c r="O367" s="84" t="s">
        <v>58</v>
      </c>
      <c r="P367" s="73" t="s">
        <v>891</v>
      </c>
      <c r="Q367" s="18"/>
      <c r="R367" s="48"/>
      <c r="S367" s="15" t="s">
        <v>64</v>
      </c>
      <c r="T367" s="15" t="s">
        <v>6</v>
      </c>
      <c r="U367" s="15" t="s">
        <v>0</v>
      </c>
      <c r="V367" s="75">
        <v>641</v>
      </c>
      <c r="W367" s="15">
        <f t="shared" ref="W367" si="76">V367</f>
        <v>641</v>
      </c>
      <c r="X367" s="15">
        <f t="shared" si="73"/>
        <v>641</v>
      </c>
      <c r="Y367" s="15">
        <f>ROUNDDOWN(W367/HLOOKUP(D367,Table!$C$3:$D$4,2,0)*8,2)</f>
        <v>11.39</v>
      </c>
      <c r="Z367" s="15">
        <v>12</v>
      </c>
      <c r="AA367" s="15" t="s">
        <v>21</v>
      </c>
      <c r="AB367" s="19">
        <v>44025</v>
      </c>
      <c r="AC367" s="19">
        <v>44018</v>
      </c>
      <c r="AD367" s="19">
        <v>44026</v>
      </c>
      <c r="AE367" s="19">
        <v>44018</v>
      </c>
      <c r="AF367" s="80">
        <v>44018</v>
      </c>
      <c r="AG367" s="19" t="s">
        <v>164</v>
      </c>
      <c r="AH367" s="29">
        <v>1</v>
      </c>
      <c r="AI367" s="29">
        <v>1</v>
      </c>
      <c r="AJ367" s="29">
        <v>1</v>
      </c>
      <c r="AK367" s="19" t="s">
        <v>144</v>
      </c>
      <c r="AL367" s="17" t="s">
        <v>58</v>
      </c>
      <c r="AM367" s="17" t="s">
        <v>58</v>
      </c>
      <c r="AN367" s="17" t="s">
        <v>58</v>
      </c>
    </row>
    <row r="368" spans="2:40" ht="30" hidden="1" x14ac:dyDescent="0.25">
      <c r="B368" s="207">
        <f t="shared" si="65"/>
        <v>309</v>
      </c>
      <c r="C368" s="16">
        <v>20200703</v>
      </c>
      <c r="D368" s="15" t="s">
        <v>3</v>
      </c>
      <c r="E368" s="75" t="s">
        <v>1739</v>
      </c>
      <c r="F368" s="100" t="s">
        <v>1740</v>
      </c>
      <c r="G368" s="75">
        <v>1500263</v>
      </c>
      <c r="H368" s="48" t="s">
        <v>58</v>
      </c>
      <c r="I368" s="75" t="s">
        <v>147</v>
      </c>
      <c r="J368" s="48" t="s">
        <v>58</v>
      </c>
      <c r="K368" s="15" t="s">
        <v>1068</v>
      </c>
      <c r="L368" s="75" t="s">
        <v>1741</v>
      </c>
      <c r="M368" s="222" t="s">
        <v>1742</v>
      </c>
      <c r="N368" s="75" t="s">
        <v>1743</v>
      </c>
      <c r="O368" s="84" t="s">
        <v>58</v>
      </c>
      <c r="P368" s="73" t="s">
        <v>1744</v>
      </c>
      <c r="Q368" s="18"/>
      <c r="R368" s="48"/>
      <c r="S368" s="15" t="s">
        <v>65</v>
      </c>
      <c r="T368" s="15" t="s">
        <v>231</v>
      </c>
      <c r="U368" s="15" t="s">
        <v>0</v>
      </c>
      <c r="V368" s="75">
        <v>101</v>
      </c>
      <c r="W368" s="79">
        <v>198</v>
      </c>
      <c r="X368" s="15">
        <f t="shared" si="73"/>
        <v>198</v>
      </c>
      <c r="Y368" s="15">
        <f>ROUNDDOWN(W368/HLOOKUP(D368,[1]Table!$C$3:$D$4,2,0)*8,2)</f>
        <v>3.52</v>
      </c>
      <c r="Z368" s="15">
        <f>Y368</f>
        <v>3.52</v>
      </c>
      <c r="AA368" s="15" t="s">
        <v>21</v>
      </c>
      <c r="AB368" s="19">
        <v>44026</v>
      </c>
      <c r="AC368" s="19">
        <v>44018</v>
      </c>
      <c r="AD368" s="19">
        <v>44032</v>
      </c>
      <c r="AE368" s="19">
        <v>44018</v>
      </c>
      <c r="AF368" s="19">
        <v>44018</v>
      </c>
      <c r="AG368" s="19" t="s">
        <v>165</v>
      </c>
      <c r="AH368" s="29">
        <v>1</v>
      </c>
      <c r="AI368" s="29">
        <v>1</v>
      </c>
      <c r="AJ368" s="29">
        <v>0.5</v>
      </c>
      <c r="AK368" s="19" t="s">
        <v>134</v>
      </c>
      <c r="AL368" s="17" t="s">
        <v>1745</v>
      </c>
      <c r="AM368" s="17" t="s">
        <v>58</v>
      </c>
      <c r="AN368" s="216" t="s">
        <v>1746</v>
      </c>
    </row>
    <row r="369" spans="2:40" hidden="1" x14ac:dyDescent="0.25">
      <c r="B369" s="207">
        <f t="shared" si="65"/>
        <v>310</v>
      </c>
      <c r="C369" s="16">
        <v>20200703</v>
      </c>
      <c r="D369" s="15" t="s">
        <v>3</v>
      </c>
      <c r="E369" s="75" t="s">
        <v>1739</v>
      </c>
      <c r="F369" s="100" t="s">
        <v>1747</v>
      </c>
      <c r="G369" s="75">
        <v>1500263</v>
      </c>
      <c r="H369" s="48" t="s">
        <v>58</v>
      </c>
      <c r="I369" s="75" t="s">
        <v>215</v>
      </c>
      <c r="J369" s="48" t="s">
        <v>58</v>
      </c>
      <c r="K369" s="15" t="s">
        <v>1068</v>
      </c>
      <c r="L369" s="75" t="s">
        <v>1741</v>
      </c>
      <c r="M369" s="222" t="s">
        <v>1742</v>
      </c>
      <c r="N369" s="75" t="s">
        <v>1743</v>
      </c>
      <c r="O369" s="84" t="s">
        <v>58</v>
      </c>
      <c r="P369" s="17" t="s">
        <v>1744</v>
      </c>
      <c r="Q369" s="18"/>
      <c r="R369" s="48"/>
      <c r="S369" s="15" t="s">
        <v>65</v>
      </c>
      <c r="T369" s="15" t="s">
        <v>231</v>
      </c>
      <c r="U369" s="15" t="s">
        <v>0</v>
      </c>
      <c r="V369" s="75">
        <v>66</v>
      </c>
      <c r="W369" s="15">
        <f>V369</f>
        <v>66</v>
      </c>
      <c r="X369" s="15">
        <f t="shared" si="73"/>
        <v>66</v>
      </c>
      <c r="Y369" s="15">
        <f>ROUNDDOWN(W369/HLOOKUP(D369,[1]Table!$C$3:$D$4,2,0)*8,2)</f>
        <v>1.17</v>
      </c>
      <c r="Z369" s="15">
        <f>Y369</f>
        <v>1.17</v>
      </c>
      <c r="AA369" s="15" t="s">
        <v>21</v>
      </c>
      <c r="AB369" s="19">
        <v>44026</v>
      </c>
      <c r="AC369" s="19">
        <v>44018</v>
      </c>
      <c r="AD369" s="19">
        <v>44032</v>
      </c>
      <c r="AE369" s="19">
        <v>44018</v>
      </c>
      <c r="AF369" s="80">
        <v>44018</v>
      </c>
      <c r="AG369" s="19" t="s">
        <v>164</v>
      </c>
      <c r="AH369" s="29">
        <v>1</v>
      </c>
      <c r="AI369" s="29">
        <v>1</v>
      </c>
      <c r="AJ369" s="29">
        <v>1</v>
      </c>
      <c r="AK369" s="19" t="s">
        <v>144</v>
      </c>
      <c r="AL369" s="17" t="s">
        <v>58</v>
      </c>
      <c r="AM369" s="17" t="s">
        <v>58</v>
      </c>
      <c r="AN369" s="17" t="s">
        <v>1649</v>
      </c>
    </row>
    <row r="370" spans="2:40" ht="30" hidden="1" x14ac:dyDescent="0.25">
      <c r="B370" s="207">
        <f t="shared" si="65"/>
        <v>311</v>
      </c>
      <c r="C370" s="16">
        <v>20200703</v>
      </c>
      <c r="D370" s="15" t="s">
        <v>3</v>
      </c>
      <c r="E370" s="75" t="s">
        <v>1748</v>
      </c>
      <c r="F370" s="100" t="s">
        <v>1749</v>
      </c>
      <c r="G370" s="75">
        <v>1511887</v>
      </c>
      <c r="H370" s="48" t="s">
        <v>58</v>
      </c>
      <c r="I370" s="75" t="s">
        <v>147</v>
      </c>
      <c r="J370" s="48" t="s">
        <v>58</v>
      </c>
      <c r="K370" s="15" t="s">
        <v>1068</v>
      </c>
      <c r="L370" s="75" t="s">
        <v>1750</v>
      </c>
      <c r="M370" s="75" t="s">
        <v>289</v>
      </c>
      <c r="N370" s="75" t="s">
        <v>1751</v>
      </c>
      <c r="O370" s="84" t="s">
        <v>58</v>
      </c>
      <c r="P370" s="17" t="s">
        <v>1744</v>
      </c>
      <c r="Q370" s="18"/>
      <c r="R370" s="48"/>
      <c r="S370" s="15" t="s">
        <v>65</v>
      </c>
      <c r="T370" s="15" t="s">
        <v>231</v>
      </c>
      <c r="U370" s="15" t="s">
        <v>0</v>
      </c>
      <c r="V370" s="75">
        <v>101</v>
      </c>
      <c r="W370" s="79">
        <v>198</v>
      </c>
      <c r="X370" s="15">
        <f t="shared" si="73"/>
        <v>198</v>
      </c>
      <c r="Y370" s="15">
        <f>ROUNDDOWN(W370/HLOOKUP(D370,[1]Table!$C$3:$D$4,2,0)*8,2)</f>
        <v>3.52</v>
      </c>
      <c r="Z370" s="15">
        <f>Y370</f>
        <v>3.52</v>
      </c>
      <c r="AA370" s="15" t="s">
        <v>21</v>
      </c>
      <c r="AB370" s="19">
        <v>44026</v>
      </c>
      <c r="AC370" s="19">
        <v>44018</v>
      </c>
      <c r="AD370" s="19">
        <v>44032</v>
      </c>
      <c r="AE370" s="19">
        <v>44018</v>
      </c>
      <c r="AF370" s="80">
        <v>44018</v>
      </c>
      <c r="AG370" s="19" t="s">
        <v>165</v>
      </c>
      <c r="AH370" s="29">
        <v>1</v>
      </c>
      <c r="AI370" s="29">
        <v>1</v>
      </c>
      <c r="AJ370" s="29">
        <v>0.5</v>
      </c>
      <c r="AK370" s="19" t="s">
        <v>134</v>
      </c>
      <c r="AL370" s="17" t="s">
        <v>1745</v>
      </c>
      <c r="AM370" s="17" t="s">
        <v>58</v>
      </c>
      <c r="AN370" s="216" t="s">
        <v>1746</v>
      </c>
    </row>
    <row r="371" spans="2:40" ht="30" hidden="1" x14ac:dyDescent="0.25">
      <c r="B371" s="207">
        <f t="shared" si="65"/>
        <v>312</v>
      </c>
      <c r="C371" s="16">
        <v>20200703</v>
      </c>
      <c r="D371" s="15" t="s">
        <v>3</v>
      </c>
      <c r="E371" s="75" t="s">
        <v>1748</v>
      </c>
      <c r="F371" s="100" t="s">
        <v>1749</v>
      </c>
      <c r="G371" s="75">
        <v>1511887</v>
      </c>
      <c r="H371" s="48" t="s">
        <v>58</v>
      </c>
      <c r="I371" s="75" t="s">
        <v>298</v>
      </c>
      <c r="J371" s="48" t="s">
        <v>58</v>
      </c>
      <c r="K371" s="15" t="s">
        <v>1068</v>
      </c>
      <c r="L371" s="15" t="s">
        <v>1750</v>
      </c>
      <c r="M371" s="75" t="s">
        <v>289</v>
      </c>
      <c r="N371" s="75" t="s">
        <v>1751</v>
      </c>
      <c r="O371" s="84" t="s">
        <v>58</v>
      </c>
      <c r="P371" s="17" t="s">
        <v>1744</v>
      </c>
      <c r="Q371" s="18"/>
      <c r="R371" s="48"/>
      <c r="S371" s="15" t="s">
        <v>65</v>
      </c>
      <c r="T371" s="15" t="s">
        <v>231</v>
      </c>
      <c r="U371" s="15" t="s">
        <v>0</v>
      </c>
      <c r="V371" s="75">
        <v>154</v>
      </c>
      <c r="W371" s="15">
        <f t="shared" ref="W371:X386" si="77">V371</f>
        <v>154</v>
      </c>
      <c r="X371" s="15">
        <f t="shared" si="73"/>
        <v>154</v>
      </c>
      <c r="Y371" s="15">
        <f>ROUNDDOWN(W371/HLOOKUP(D371,[1]Table!$C$3:$D$4,2,0)*8,2)</f>
        <v>2.73</v>
      </c>
      <c r="Z371" s="15">
        <f>Y371</f>
        <v>2.73</v>
      </c>
      <c r="AA371" s="15" t="s">
        <v>21</v>
      </c>
      <c r="AB371" s="19">
        <v>44026</v>
      </c>
      <c r="AC371" s="19">
        <v>44018</v>
      </c>
      <c r="AD371" s="19">
        <v>44032</v>
      </c>
      <c r="AE371" s="19">
        <v>44018</v>
      </c>
      <c r="AF371" s="19">
        <v>44018</v>
      </c>
      <c r="AG371" s="19" t="s">
        <v>165</v>
      </c>
      <c r="AH371" s="29">
        <v>0.93</v>
      </c>
      <c r="AI371" s="29">
        <v>0.8</v>
      </c>
      <c r="AJ371" s="29">
        <v>1</v>
      </c>
      <c r="AK371" s="19" t="s">
        <v>134</v>
      </c>
      <c r="AL371" s="17" t="s">
        <v>1752</v>
      </c>
      <c r="AM371" s="17" t="s">
        <v>58</v>
      </c>
      <c r="AN371" s="216" t="s">
        <v>1753</v>
      </c>
    </row>
    <row r="372" spans="2:40" ht="30" hidden="1" x14ac:dyDescent="0.25">
      <c r="B372" s="207">
        <f t="shared" si="65"/>
        <v>313</v>
      </c>
      <c r="C372" s="16">
        <v>20200703</v>
      </c>
      <c r="D372" s="15" t="s">
        <v>3</v>
      </c>
      <c r="E372" s="75" t="s">
        <v>1748</v>
      </c>
      <c r="F372" s="247" t="s">
        <v>1747</v>
      </c>
      <c r="G372" s="75">
        <v>1511887</v>
      </c>
      <c r="H372" s="48" t="s">
        <v>58</v>
      </c>
      <c r="I372" s="75" t="s">
        <v>215</v>
      </c>
      <c r="J372" s="48" t="s">
        <v>58</v>
      </c>
      <c r="K372" s="15" t="s">
        <v>1068</v>
      </c>
      <c r="L372" s="15" t="s">
        <v>1750</v>
      </c>
      <c r="M372" s="75" t="s">
        <v>289</v>
      </c>
      <c r="N372" s="75" t="s">
        <v>1751</v>
      </c>
      <c r="O372" s="84" t="s">
        <v>58</v>
      </c>
      <c r="P372" s="17" t="s">
        <v>1744</v>
      </c>
      <c r="Q372" s="18"/>
      <c r="R372" s="48"/>
      <c r="S372" s="15" t="s">
        <v>66</v>
      </c>
      <c r="T372" s="15" t="s">
        <v>232</v>
      </c>
      <c r="U372" s="15" t="s">
        <v>0</v>
      </c>
      <c r="V372" s="75">
        <v>66</v>
      </c>
      <c r="W372" s="15">
        <f t="shared" si="77"/>
        <v>66</v>
      </c>
      <c r="X372" s="15">
        <f t="shared" si="73"/>
        <v>66</v>
      </c>
      <c r="Y372" s="15">
        <f>ROUNDDOWN(W372/HLOOKUP(D372,[1]Table!$C$3:$D$4,2,0)*8,2)</f>
        <v>1.17</v>
      </c>
      <c r="Z372" s="15">
        <v>1</v>
      </c>
      <c r="AA372" s="15" t="s">
        <v>21</v>
      </c>
      <c r="AB372" s="19">
        <v>44026</v>
      </c>
      <c r="AC372" s="19">
        <v>44018</v>
      </c>
      <c r="AD372" s="19">
        <v>44032</v>
      </c>
      <c r="AE372" s="19">
        <v>44020</v>
      </c>
      <c r="AF372" s="19">
        <v>44020</v>
      </c>
      <c r="AG372" s="19" t="s">
        <v>164</v>
      </c>
      <c r="AH372" s="29">
        <v>1</v>
      </c>
      <c r="AI372" s="29">
        <v>1</v>
      </c>
      <c r="AJ372" s="29">
        <v>1</v>
      </c>
      <c r="AK372" s="19" t="s">
        <v>144</v>
      </c>
      <c r="AL372" s="17" t="s">
        <v>58</v>
      </c>
      <c r="AM372" s="17" t="s">
        <v>58</v>
      </c>
      <c r="AN372" s="248" t="s">
        <v>1754</v>
      </c>
    </row>
    <row r="373" spans="2:40" hidden="1" x14ac:dyDescent="0.25">
      <c r="B373" s="207">
        <f t="shared" si="65"/>
        <v>314</v>
      </c>
      <c r="C373" s="16">
        <v>20200703</v>
      </c>
      <c r="D373" s="15" t="s">
        <v>3</v>
      </c>
      <c r="E373" s="75" t="s">
        <v>1748</v>
      </c>
      <c r="F373" s="247" t="s">
        <v>1755</v>
      </c>
      <c r="G373" s="75">
        <v>1511887</v>
      </c>
      <c r="H373" s="48" t="s">
        <v>58</v>
      </c>
      <c r="I373" s="75" t="s">
        <v>1040</v>
      </c>
      <c r="J373" s="48" t="s">
        <v>58</v>
      </c>
      <c r="K373" s="15" t="s">
        <v>1068</v>
      </c>
      <c r="L373" s="15" t="s">
        <v>1750</v>
      </c>
      <c r="M373" s="75" t="s">
        <v>289</v>
      </c>
      <c r="N373" s="75" t="s">
        <v>1751</v>
      </c>
      <c r="O373" s="84" t="s">
        <v>58</v>
      </c>
      <c r="P373" s="17" t="s">
        <v>1744</v>
      </c>
      <c r="Q373" s="18"/>
      <c r="R373" s="48"/>
      <c r="S373" s="15" t="s">
        <v>66</v>
      </c>
      <c r="T373" s="15" t="s">
        <v>232</v>
      </c>
      <c r="U373" s="15" t="s">
        <v>0</v>
      </c>
      <c r="V373" s="75">
        <v>77</v>
      </c>
      <c r="W373" s="15">
        <f t="shared" si="77"/>
        <v>77</v>
      </c>
      <c r="X373" s="15">
        <f t="shared" si="73"/>
        <v>77</v>
      </c>
      <c r="Y373" s="15">
        <f>ROUNDDOWN(W373/HLOOKUP(D373,[1]Table!$C$3:$D$4,2,0)*8,2)</f>
        <v>1.36</v>
      </c>
      <c r="Z373" s="15">
        <v>1</v>
      </c>
      <c r="AA373" s="15" t="s">
        <v>21</v>
      </c>
      <c r="AB373" s="19">
        <v>44026</v>
      </c>
      <c r="AC373" s="19">
        <v>44018</v>
      </c>
      <c r="AD373" s="19">
        <v>44032</v>
      </c>
      <c r="AE373" s="19">
        <v>44020</v>
      </c>
      <c r="AF373" s="19">
        <v>44020</v>
      </c>
      <c r="AG373" s="19" t="s">
        <v>164</v>
      </c>
      <c r="AH373" s="29">
        <v>1</v>
      </c>
      <c r="AI373" s="29">
        <v>1</v>
      </c>
      <c r="AJ373" s="29">
        <v>1</v>
      </c>
      <c r="AK373" s="19" t="s">
        <v>144</v>
      </c>
      <c r="AL373" s="17" t="s">
        <v>58</v>
      </c>
      <c r="AM373" s="17" t="s">
        <v>58</v>
      </c>
      <c r="AN373" s="17" t="s">
        <v>58</v>
      </c>
    </row>
    <row r="374" spans="2:40" hidden="1" x14ac:dyDescent="0.25">
      <c r="B374" s="207">
        <f t="shared" si="65"/>
        <v>315</v>
      </c>
      <c r="C374" s="16">
        <v>20200703</v>
      </c>
      <c r="D374" s="15" t="s">
        <v>3</v>
      </c>
      <c r="E374" s="75" t="s">
        <v>1748</v>
      </c>
      <c r="F374" s="247" t="s">
        <v>1756</v>
      </c>
      <c r="G374" s="75">
        <v>1511887</v>
      </c>
      <c r="H374" s="48" t="s">
        <v>58</v>
      </c>
      <c r="I374" s="75" t="s">
        <v>1039</v>
      </c>
      <c r="J374" s="48" t="s">
        <v>58</v>
      </c>
      <c r="K374" s="15" t="s">
        <v>1068</v>
      </c>
      <c r="L374" s="15" t="s">
        <v>1750</v>
      </c>
      <c r="M374" s="75" t="s">
        <v>289</v>
      </c>
      <c r="N374" s="75" t="s">
        <v>1751</v>
      </c>
      <c r="O374" s="84" t="s">
        <v>58</v>
      </c>
      <c r="P374" s="17" t="s">
        <v>1744</v>
      </c>
      <c r="Q374" s="18"/>
      <c r="R374" s="48"/>
      <c r="S374" s="15" t="s">
        <v>66</v>
      </c>
      <c r="T374" s="15" t="s">
        <v>232</v>
      </c>
      <c r="U374" s="15" t="s">
        <v>0</v>
      </c>
      <c r="V374" s="75">
        <v>58</v>
      </c>
      <c r="W374" s="15">
        <f t="shared" si="77"/>
        <v>58</v>
      </c>
      <c r="X374" s="15">
        <f t="shared" si="73"/>
        <v>58</v>
      </c>
      <c r="Y374" s="15">
        <f>ROUNDDOWN(W374/HLOOKUP(D374,[1]Table!$C$3:$D$4,2,0)*8,2)</f>
        <v>1.03</v>
      </c>
      <c r="Z374" s="15">
        <v>1</v>
      </c>
      <c r="AA374" s="15" t="s">
        <v>21</v>
      </c>
      <c r="AB374" s="19">
        <v>44026</v>
      </c>
      <c r="AC374" s="19">
        <v>44018</v>
      </c>
      <c r="AD374" s="19">
        <v>44032</v>
      </c>
      <c r="AE374" s="19">
        <v>44021</v>
      </c>
      <c r="AF374" s="19">
        <v>44021</v>
      </c>
      <c r="AG374" s="19" t="s">
        <v>164</v>
      </c>
      <c r="AH374" s="29">
        <v>1</v>
      </c>
      <c r="AI374" s="29">
        <v>1</v>
      </c>
      <c r="AJ374" s="29">
        <v>1</v>
      </c>
      <c r="AK374" s="19" t="s">
        <v>144</v>
      </c>
      <c r="AL374" s="17" t="s">
        <v>58</v>
      </c>
      <c r="AM374" s="17" t="s">
        <v>58</v>
      </c>
      <c r="AN374" s="17" t="s">
        <v>58</v>
      </c>
    </row>
    <row r="375" spans="2:40" hidden="1" x14ac:dyDescent="0.25">
      <c r="B375" s="207">
        <f t="shared" si="65"/>
        <v>316</v>
      </c>
      <c r="C375" s="16">
        <v>20200703</v>
      </c>
      <c r="D375" s="15" t="s">
        <v>3</v>
      </c>
      <c r="E375" s="75" t="s">
        <v>1748</v>
      </c>
      <c r="F375" s="247" t="s">
        <v>1756</v>
      </c>
      <c r="G375" s="75">
        <v>1511887</v>
      </c>
      <c r="H375" s="48" t="s">
        <v>58</v>
      </c>
      <c r="I375" s="75" t="s">
        <v>1757</v>
      </c>
      <c r="J375" s="48" t="s">
        <v>58</v>
      </c>
      <c r="K375" s="15" t="s">
        <v>1068</v>
      </c>
      <c r="L375" s="15" t="s">
        <v>1750</v>
      </c>
      <c r="M375" s="75" t="s">
        <v>289</v>
      </c>
      <c r="N375" s="75" t="s">
        <v>1751</v>
      </c>
      <c r="O375" s="84" t="s">
        <v>58</v>
      </c>
      <c r="P375" s="17" t="s">
        <v>1744</v>
      </c>
      <c r="Q375" s="18"/>
      <c r="R375" s="48"/>
      <c r="S375" s="15" t="s">
        <v>66</v>
      </c>
      <c r="T375" s="15" t="s">
        <v>232</v>
      </c>
      <c r="U375" s="15" t="s">
        <v>0</v>
      </c>
      <c r="V375" s="75">
        <v>78</v>
      </c>
      <c r="W375" s="15">
        <f t="shared" si="77"/>
        <v>78</v>
      </c>
      <c r="X375" s="15">
        <f>W375</f>
        <v>78</v>
      </c>
      <c r="Y375" s="15">
        <f>ROUNDDOWN(W375/HLOOKUP(D375,[1]Table!$C$3:$D$4,2,0)*8,2)</f>
        <v>1.38</v>
      </c>
      <c r="Z375" s="15">
        <v>2</v>
      </c>
      <c r="AA375" s="15" t="s">
        <v>21</v>
      </c>
      <c r="AB375" s="19">
        <v>44026</v>
      </c>
      <c r="AC375" s="19">
        <v>44018</v>
      </c>
      <c r="AD375" s="19">
        <v>44032</v>
      </c>
      <c r="AE375" s="19">
        <v>44025</v>
      </c>
      <c r="AF375" s="19">
        <v>44025</v>
      </c>
      <c r="AG375" s="19" t="s">
        <v>164</v>
      </c>
      <c r="AH375" s="29">
        <v>1</v>
      </c>
      <c r="AI375" s="29">
        <v>1</v>
      </c>
      <c r="AJ375" s="29">
        <v>1</v>
      </c>
      <c r="AK375" s="19" t="s">
        <v>144</v>
      </c>
      <c r="AL375" s="17" t="s">
        <v>58</v>
      </c>
      <c r="AM375" s="17" t="s">
        <v>58</v>
      </c>
      <c r="AN375" s="17" t="s">
        <v>58</v>
      </c>
    </row>
    <row r="376" spans="2:40" hidden="1" x14ac:dyDescent="0.25">
      <c r="B376" s="207">
        <f t="shared" si="65"/>
        <v>317</v>
      </c>
      <c r="C376" s="16">
        <v>20200703</v>
      </c>
      <c r="D376" s="15" t="s">
        <v>3</v>
      </c>
      <c r="E376" s="75" t="s">
        <v>1463</v>
      </c>
      <c r="F376" s="73" t="s">
        <v>1758</v>
      </c>
      <c r="G376" s="75">
        <v>1550329</v>
      </c>
      <c r="H376" s="48" t="s">
        <v>58</v>
      </c>
      <c r="I376" s="75" t="s">
        <v>152</v>
      </c>
      <c r="J376" s="48" t="s">
        <v>58</v>
      </c>
      <c r="K376" s="15" t="s">
        <v>1068</v>
      </c>
      <c r="L376" s="75" t="s">
        <v>1478</v>
      </c>
      <c r="M376" s="222" t="s">
        <v>289</v>
      </c>
      <c r="N376" s="75" t="s">
        <v>980</v>
      </c>
      <c r="O376" s="84" t="s">
        <v>58</v>
      </c>
      <c r="P376" s="17" t="s">
        <v>989</v>
      </c>
      <c r="Q376" s="18"/>
      <c r="R376" s="48"/>
      <c r="S376" s="15" t="s">
        <v>66</v>
      </c>
      <c r="T376" s="15" t="s">
        <v>232</v>
      </c>
      <c r="U376" s="15" t="s">
        <v>0</v>
      </c>
      <c r="V376" s="75">
        <v>257</v>
      </c>
      <c r="W376" s="15">
        <f t="shared" si="77"/>
        <v>257</v>
      </c>
      <c r="X376" s="15">
        <f>W376</f>
        <v>257</v>
      </c>
      <c r="Y376" s="15">
        <f>ROUNDDOWN(W376/HLOOKUP(D376,[1]Table!$C$3:$D$4,2,0)*8,2)</f>
        <v>4.5599999999999996</v>
      </c>
      <c r="Z376" s="15">
        <v>1</v>
      </c>
      <c r="AA376" s="15" t="s">
        <v>21</v>
      </c>
      <c r="AB376" s="19">
        <v>44026</v>
      </c>
      <c r="AC376" s="19">
        <v>44018</v>
      </c>
      <c r="AD376" s="19">
        <v>44032</v>
      </c>
      <c r="AE376" s="19">
        <v>44026</v>
      </c>
      <c r="AF376" s="19">
        <v>44026</v>
      </c>
      <c r="AG376" s="19" t="s">
        <v>164</v>
      </c>
      <c r="AH376" s="29">
        <v>1</v>
      </c>
      <c r="AI376" s="29">
        <v>1</v>
      </c>
      <c r="AJ376" s="29">
        <v>1</v>
      </c>
      <c r="AK376" s="19" t="s">
        <v>144</v>
      </c>
      <c r="AL376" s="17" t="s">
        <v>58</v>
      </c>
      <c r="AM376" s="17" t="s">
        <v>58</v>
      </c>
      <c r="AN376" s="17" t="s">
        <v>58</v>
      </c>
    </row>
    <row r="377" spans="2:40" hidden="1" x14ac:dyDescent="0.25">
      <c r="B377" s="207">
        <f t="shared" si="65"/>
        <v>318</v>
      </c>
      <c r="C377" s="16">
        <v>20200703</v>
      </c>
      <c r="D377" s="15" t="s">
        <v>3</v>
      </c>
      <c r="E377" s="75" t="s">
        <v>1463</v>
      </c>
      <c r="F377" s="73" t="s">
        <v>1758</v>
      </c>
      <c r="G377" s="75">
        <v>1550329</v>
      </c>
      <c r="H377" s="48" t="s">
        <v>58</v>
      </c>
      <c r="I377" s="75" t="s">
        <v>146</v>
      </c>
      <c r="J377" s="48" t="s">
        <v>58</v>
      </c>
      <c r="K377" s="15" t="s">
        <v>1068</v>
      </c>
      <c r="L377" s="75" t="s">
        <v>1478</v>
      </c>
      <c r="M377" s="222" t="s">
        <v>289</v>
      </c>
      <c r="N377" s="75" t="s">
        <v>980</v>
      </c>
      <c r="O377" s="84" t="s">
        <v>58</v>
      </c>
      <c r="P377" s="73" t="s">
        <v>989</v>
      </c>
      <c r="Q377" s="18"/>
      <c r="R377" s="48"/>
      <c r="S377" s="15" t="s">
        <v>64</v>
      </c>
      <c r="T377" s="15" t="s">
        <v>6</v>
      </c>
      <c r="U377" s="15" t="s">
        <v>0</v>
      </c>
      <c r="V377" s="75">
        <v>997</v>
      </c>
      <c r="W377" s="15">
        <f t="shared" si="77"/>
        <v>997</v>
      </c>
      <c r="X377" s="15">
        <f t="shared" si="77"/>
        <v>997</v>
      </c>
      <c r="Y377" s="15">
        <f>ROUNDDOWN(W377/HLOOKUP(D377,[1]Table!$C$3:$D$4,2,0)*8,2)</f>
        <v>17.72</v>
      </c>
      <c r="Z377" s="15">
        <v>18</v>
      </c>
      <c r="AA377" s="15" t="s">
        <v>21</v>
      </c>
      <c r="AB377" s="19">
        <v>44026</v>
      </c>
      <c r="AC377" s="19">
        <v>44018</v>
      </c>
      <c r="AD377" s="19">
        <v>44032</v>
      </c>
      <c r="AE377" s="19">
        <v>44018</v>
      </c>
      <c r="AF377" s="80">
        <v>44018</v>
      </c>
      <c r="AG377" s="19" t="s">
        <v>164</v>
      </c>
      <c r="AH377" s="29">
        <v>1</v>
      </c>
      <c r="AI377" s="29">
        <v>1</v>
      </c>
      <c r="AJ377" s="29">
        <v>1</v>
      </c>
      <c r="AK377" s="19" t="s">
        <v>144</v>
      </c>
      <c r="AL377" s="17" t="s">
        <v>58</v>
      </c>
      <c r="AM377" s="17" t="s">
        <v>58</v>
      </c>
      <c r="AN377" s="17" t="s">
        <v>1759</v>
      </c>
    </row>
    <row r="378" spans="2:40" hidden="1" x14ac:dyDescent="0.25">
      <c r="B378" s="207">
        <f t="shared" si="65"/>
        <v>319</v>
      </c>
      <c r="C378" s="16">
        <v>20200703</v>
      </c>
      <c r="D378" s="15" t="s">
        <v>3</v>
      </c>
      <c r="E378" s="75" t="s">
        <v>1760</v>
      </c>
      <c r="F378" s="100" t="s">
        <v>1761</v>
      </c>
      <c r="G378" s="75">
        <v>1536787</v>
      </c>
      <c r="H378" s="48" t="s">
        <v>58</v>
      </c>
      <c r="I378" s="75" t="s">
        <v>1762</v>
      </c>
      <c r="J378" s="48" t="s">
        <v>58</v>
      </c>
      <c r="K378" s="15" t="s">
        <v>1068</v>
      </c>
      <c r="L378" s="75" t="s">
        <v>1763</v>
      </c>
      <c r="M378" s="75" t="s">
        <v>290</v>
      </c>
      <c r="N378" s="75" t="s">
        <v>1764</v>
      </c>
      <c r="O378" s="84" t="s">
        <v>58</v>
      </c>
      <c r="P378" s="73" t="s">
        <v>1487</v>
      </c>
      <c r="Q378" s="18"/>
      <c r="R378" s="48"/>
      <c r="S378" s="15" t="s">
        <v>233</v>
      </c>
      <c r="T378" s="15" t="s">
        <v>65</v>
      </c>
      <c r="U378" s="15" t="s">
        <v>1625</v>
      </c>
      <c r="V378" s="75">
        <v>8</v>
      </c>
      <c r="W378" s="15">
        <f t="shared" si="77"/>
        <v>8</v>
      </c>
      <c r="X378" s="15">
        <f t="shared" si="77"/>
        <v>8</v>
      </c>
      <c r="Y378" s="15">
        <f>ROUNDDOWN(W378/HLOOKUP(D378,[1]Table!$C$3:$D$4,2,0)*8,2)</f>
        <v>0.14000000000000001</v>
      </c>
      <c r="Z378" s="15">
        <v>0.1</v>
      </c>
      <c r="AA378" s="15" t="s">
        <v>21</v>
      </c>
      <c r="AB378" s="19">
        <v>44026</v>
      </c>
      <c r="AC378" s="19">
        <v>44018</v>
      </c>
      <c r="AD378" s="19">
        <v>44039</v>
      </c>
      <c r="AE378" s="19">
        <v>44018</v>
      </c>
      <c r="AF378" s="80">
        <v>44018</v>
      </c>
      <c r="AG378" s="19" t="s">
        <v>164</v>
      </c>
      <c r="AH378" s="29">
        <v>1</v>
      </c>
      <c r="AI378" s="29">
        <v>1</v>
      </c>
      <c r="AJ378" s="29">
        <v>1</v>
      </c>
      <c r="AK378" s="19" t="s">
        <v>144</v>
      </c>
      <c r="AL378" s="17" t="s">
        <v>58</v>
      </c>
      <c r="AM378" s="17" t="s">
        <v>58</v>
      </c>
      <c r="AN378" s="17" t="s">
        <v>58</v>
      </c>
    </row>
    <row r="379" spans="2:40" hidden="1" x14ac:dyDescent="0.25">
      <c r="B379" s="207">
        <f t="shared" si="65"/>
        <v>320</v>
      </c>
      <c r="C379" s="16">
        <v>20200703</v>
      </c>
      <c r="D379" s="15" t="s">
        <v>3</v>
      </c>
      <c r="E379" s="75" t="s">
        <v>1760</v>
      </c>
      <c r="F379" s="100" t="s">
        <v>1765</v>
      </c>
      <c r="G379" s="75">
        <v>1536787</v>
      </c>
      <c r="H379" s="48" t="s">
        <v>58</v>
      </c>
      <c r="I379" s="75" t="s">
        <v>1766</v>
      </c>
      <c r="J379" s="48" t="s">
        <v>58</v>
      </c>
      <c r="K379" s="15" t="s">
        <v>1068</v>
      </c>
      <c r="L379" s="15" t="s">
        <v>1763</v>
      </c>
      <c r="M379" s="75" t="s">
        <v>290</v>
      </c>
      <c r="N379" s="75" t="s">
        <v>1764</v>
      </c>
      <c r="O379" s="84" t="s">
        <v>58</v>
      </c>
      <c r="P379" s="17" t="s">
        <v>1487</v>
      </c>
      <c r="Q379" s="18"/>
      <c r="R379" s="48"/>
      <c r="S379" s="15" t="s">
        <v>233</v>
      </c>
      <c r="T379" s="15" t="s">
        <v>65</v>
      </c>
      <c r="U379" s="15" t="s">
        <v>1625</v>
      </c>
      <c r="V379" s="75">
        <v>165</v>
      </c>
      <c r="W379" s="15">
        <f t="shared" si="77"/>
        <v>165</v>
      </c>
      <c r="X379" s="15">
        <f t="shared" si="77"/>
        <v>165</v>
      </c>
      <c r="Y379" s="15">
        <f>ROUNDDOWN(W379/HLOOKUP(D379,[1]Table!$C$3:$D$4,2,0)*8,2)</f>
        <v>2.93</v>
      </c>
      <c r="Z379" s="15">
        <v>2.5</v>
      </c>
      <c r="AA379" s="15" t="s">
        <v>21</v>
      </c>
      <c r="AB379" s="19">
        <v>44026</v>
      </c>
      <c r="AC379" s="19">
        <v>44018</v>
      </c>
      <c r="AD379" s="19">
        <v>44039</v>
      </c>
      <c r="AE379" s="19">
        <v>44018</v>
      </c>
      <c r="AF379" s="19">
        <v>44018</v>
      </c>
      <c r="AG379" s="19" t="s">
        <v>164</v>
      </c>
      <c r="AH379" s="29">
        <v>1</v>
      </c>
      <c r="AI379" s="29">
        <v>1</v>
      </c>
      <c r="AJ379" s="29">
        <v>1</v>
      </c>
      <c r="AK379" s="19" t="s">
        <v>144</v>
      </c>
      <c r="AL379" s="17" t="s">
        <v>58</v>
      </c>
      <c r="AM379" s="17" t="s">
        <v>58</v>
      </c>
      <c r="AN379" s="17" t="s">
        <v>58</v>
      </c>
    </row>
    <row r="380" spans="2:40" hidden="1" x14ac:dyDescent="0.25">
      <c r="B380" s="207">
        <f t="shared" si="65"/>
        <v>321</v>
      </c>
      <c r="C380" s="16">
        <v>20200703</v>
      </c>
      <c r="D380" s="15" t="s">
        <v>3</v>
      </c>
      <c r="E380" s="75" t="s">
        <v>1760</v>
      </c>
      <c r="F380" s="100" t="s">
        <v>1767</v>
      </c>
      <c r="G380" s="75">
        <v>1536787</v>
      </c>
      <c r="H380" s="48" t="s">
        <v>58</v>
      </c>
      <c r="I380" s="75" t="s">
        <v>221</v>
      </c>
      <c r="J380" s="48" t="s">
        <v>58</v>
      </c>
      <c r="K380" s="15" t="s">
        <v>1068</v>
      </c>
      <c r="L380" s="15" t="s">
        <v>1763</v>
      </c>
      <c r="M380" s="75" t="s">
        <v>290</v>
      </c>
      <c r="N380" s="75" t="s">
        <v>1764</v>
      </c>
      <c r="O380" s="84" t="s">
        <v>58</v>
      </c>
      <c r="P380" s="17" t="s">
        <v>1487</v>
      </c>
      <c r="Q380" s="18"/>
      <c r="R380" s="48"/>
      <c r="S380" s="15" t="s">
        <v>233</v>
      </c>
      <c r="T380" s="15" t="s">
        <v>65</v>
      </c>
      <c r="U380" s="15" t="s">
        <v>1625</v>
      </c>
      <c r="V380" s="75">
        <v>12</v>
      </c>
      <c r="W380" s="15">
        <f t="shared" si="77"/>
        <v>12</v>
      </c>
      <c r="X380" s="15">
        <f t="shared" si="77"/>
        <v>12</v>
      </c>
      <c r="Y380" s="15">
        <f>ROUNDDOWN(W380/HLOOKUP(D380,[1]Table!$C$3:$D$4,2,0)*8,2)</f>
        <v>0.21</v>
      </c>
      <c r="Z380" s="15">
        <v>0.1</v>
      </c>
      <c r="AA380" s="15" t="s">
        <v>21</v>
      </c>
      <c r="AB380" s="19">
        <v>44026</v>
      </c>
      <c r="AC380" s="19">
        <v>44018</v>
      </c>
      <c r="AD380" s="19">
        <v>44039</v>
      </c>
      <c r="AE380" s="19">
        <v>44018</v>
      </c>
      <c r="AF380" s="19">
        <v>44018</v>
      </c>
      <c r="AG380" s="19" t="s">
        <v>164</v>
      </c>
      <c r="AH380" s="29">
        <v>1</v>
      </c>
      <c r="AI380" s="29">
        <v>1</v>
      </c>
      <c r="AJ380" s="29">
        <v>1</v>
      </c>
      <c r="AK380" s="19" t="s">
        <v>144</v>
      </c>
      <c r="AL380" s="17" t="s">
        <v>58</v>
      </c>
      <c r="AM380" s="17" t="s">
        <v>58</v>
      </c>
      <c r="AN380" s="17" t="s">
        <v>58</v>
      </c>
    </row>
    <row r="381" spans="2:40" hidden="1" x14ac:dyDescent="0.25">
      <c r="B381" s="207">
        <f t="shared" si="65"/>
        <v>322</v>
      </c>
      <c r="C381" s="16">
        <v>20200703</v>
      </c>
      <c r="D381" s="15" t="s">
        <v>3</v>
      </c>
      <c r="E381" s="75" t="s">
        <v>1760</v>
      </c>
      <c r="F381" s="100" t="s">
        <v>1768</v>
      </c>
      <c r="G381" s="75">
        <v>1536787</v>
      </c>
      <c r="H381" s="48" t="s">
        <v>58</v>
      </c>
      <c r="I381" s="75" t="s">
        <v>220</v>
      </c>
      <c r="J381" s="48" t="s">
        <v>58</v>
      </c>
      <c r="K381" s="15" t="s">
        <v>1068</v>
      </c>
      <c r="L381" s="15" t="s">
        <v>1763</v>
      </c>
      <c r="M381" s="75" t="s">
        <v>290</v>
      </c>
      <c r="N381" s="75" t="s">
        <v>1764</v>
      </c>
      <c r="O381" s="84" t="s">
        <v>58</v>
      </c>
      <c r="P381" s="17" t="s">
        <v>1487</v>
      </c>
      <c r="Q381" s="18"/>
      <c r="R381" s="48"/>
      <c r="S381" s="15" t="s">
        <v>233</v>
      </c>
      <c r="T381" s="15" t="s">
        <v>65</v>
      </c>
      <c r="U381" s="15" t="s">
        <v>1625</v>
      </c>
      <c r="V381" s="75">
        <v>71</v>
      </c>
      <c r="W381" s="15">
        <f t="shared" si="77"/>
        <v>71</v>
      </c>
      <c r="X381" s="15">
        <f t="shared" si="77"/>
        <v>71</v>
      </c>
      <c r="Y381" s="15">
        <f>ROUNDDOWN(W381/HLOOKUP(D381,[1]Table!$C$3:$D$4,2,0)*8,2)</f>
        <v>1.26</v>
      </c>
      <c r="Z381" s="15">
        <v>1</v>
      </c>
      <c r="AA381" s="15" t="s">
        <v>21</v>
      </c>
      <c r="AB381" s="19">
        <v>44026</v>
      </c>
      <c r="AC381" s="19">
        <v>44018</v>
      </c>
      <c r="AD381" s="19">
        <v>44039</v>
      </c>
      <c r="AE381" s="19">
        <v>44018</v>
      </c>
      <c r="AF381" s="19">
        <v>44018</v>
      </c>
      <c r="AG381" s="19" t="s">
        <v>164</v>
      </c>
      <c r="AH381" s="29">
        <v>1</v>
      </c>
      <c r="AI381" s="29">
        <v>1</v>
      </c>
      <c r="AJ381" s="29">
        <v>1</v>
      </c>
      <c r="AK381" s="19" t="s">
        <v>144</v>
      </c>
      <c r="AL381" s="17" t="s">
        <v>58</v>
      </c>
      <c r="AM381" s="17" t="s">
        <v>58</v>
      </c>
      <c r="AN381" s="17" t="s">
        <v>58</v>
      </c>
    </row>
    <row r="382" spans="2:40" hidden="1" x14ac:dyDescent="0.25">
      <c r="B382" s="207">
        <f t="shared" si="65"/>
        <v>323</v>
      </c>
      <c r="C382" s="16">
        <v>20200703</v>
      </c>
      <c r="D382" s="15" t="s">
        <v>3</v>
      </c>
      <c r="E382" s="75" t="s">
        <v>1760</v>
      </c>
      <c r="F382" s="100" t="s">
        <v>1769</v>
      </c>
      <c r="G382" s="75">
        <v>1536787</v>
      </c>
      <c r="H382" s="48" t="s">
        <v>58</v>
      </c>
      <c r="I382" s="75" t="s">
        <v>1770</v>
      </c>
      <c r="J382" s="48" t="s">
        <v>58</v>
      </c>
      <c r="K382" s="15" t="s">
        <v>1068</v>
      </c>
      <c r="L382" s="15" t="s">
        <v>1763</v>
      </c>
      <c r="M382" s="75" t="s">
        <v>290</v>
      </c>
      <c r="N382" s="75" t="s">
        <v>1764</v>
      </c>
      <c r="O382" s="84" t="s">
        <v>58</v>
      </c>
      <c r="P382" s="17" t="s">
        <v>1487</v>
      </c>
      <c r="Q382" s="18"/>
      <c r="R382" s="48"/>
      <c r="S382" s="15" t="s">
        <v>233</v>
      </c>
      <c r="T382" s="15" t="s">
        <v>65</v>
      </c>
      <c r="U382" s="15" t="s">
        <v>1625</v>
      </c>
      <c r="V382" s="75">
        <v>87</v>
      </c>
      <c r="W382" s="15">
        <f t="shared" si="77"/>
        <v>87</v>
      </c>
      <c r="X382" s="15">
        <f t="shared" si="77"/>
        <v>87</v>
      </c>
      <c r="Y382" s="15">
        <f>ROUNDDOWN(W382/HLOOKUP(D382,[1]Table!$C$3:$D$4,2,0)*8,2)</f>
        <v>1.54</v>
      </c>
      <c r="Z382" s="15">
        <v>1</v>
      </c>
      <c r="AA382" s="15" t="s">
        <v>21</v>
      </c>
      <c r="AB382" s="19">
        <v>44026</v>
      </c>
      <c r="AC382" s="19">
        <v>44018</v>
      </c>
      <c r="AD382" s="19">
        <v>44039</v>
      </c>
      <c r="AE382" s="19">
        <v>44018</v>
      </c>
      <c r="AF382" s="19">
        <v>44018</v>
      </c>
      <c r="AG382" s="19" t="s">
        <v>164</v>
      </c>
      <c r="AH382" s="29">
        <v>1</v>
      </c>
      <c r="AI382" s="29">
        <v>1</v>
      </c>
      <c r="AJ382" s="29">
        <v>1</v>
      </c>
      <c r="AK382" s="19" t="s">
        <v>144</v>
      </c>
      <c r="AL382" s="17" t="s">
        <v>58</v>
      </c>
      <c r="AM382" s="17" t="s">
        <v>58</v>
      </c>
      <c r="AN382" s="17" t="s">
        <v>58</v>
      </c>
    </row>
    <row r="383" spans="2:40" hidden="1" x14ac:dyDescent="0.25">
      <c r="B383" s="207">
        <f t="shared" si="65"/>
        <v>324</v>
      </c>
      <c r="C383" s="16">
        <v>20200703</v>
      </c>
      <c r="D383" s="15" t="s">
        <v>3</v>
      </c>
      <c r="E383" s="75" t="s">
        <v>1760</v>
      </c>
      <c r="F383" s="100" t="s">
        <v>1771</v>
      </c>
      <c r="G383" s="75">
        <v>1536787</v>
      </c>
      <c r="H383" s="48" t="s">
        <v>58</v>
      </c>
      <c r="I383" s="75" t="s">
        <v>1772</v>
      </c>
      <c r="J383" s="48" t="s">
        <v>58</v>
      </c>
      <c r="K383" s="15" t="s">
        <v>1068</v>
      </c>
      <c r="L383" s="15" t="s">
        <v>1763</v>
      </c>
      <c r="M383" s="75" t="s">
        <v>290</v>
      </c>
      <c r="N383" s="75" t="s">
        <v>1764</v>
      </c>
      <c r="O383" s="84" t="s">
        <v>58</v>
      </c>
      <c r="P383" s="17" t="s">
        <v>1487</v>
      </c>
      <c r="Q383" s="18"/>
      <c r="R383" s="48"/>
      <c r="S383" s="15" t="s">
        <v>233</v>
      </c>
      <c r="T383" s="15" t="s">
        <v>65</v>
      </c>
      <c r="U383" s="15" t="s">
        <v>1625</v>
      </c>
      <c r="V383" s="75">
        <v>64</v>
      </c>
      <c r="W383" s="15">
        <f t="shared" si="77"/>
        <v>64</v>
      </c>
      <c r="X383" s="15">
        <f t="shared" si="77"/>
        <v>64</v>
      </c>
      <c r="Y383" s="15">
        <f>ROUNDDOWN(W383/HLOOKUP(D383,[1]Table!$C$3:$D$4,2,0)*8,2)</f>
        <v>1.1299999999999999</v>
      </c>
      <c r="Z383" s="15">
        <v>1</v>
      </c>
      <c r="AA383" s="15" t="s">
        <v>21</v>
      </c>
      <c r="AB383" s="19">
        <v>44026</v>
      </c>
      <c r="AC383" s="19">
        <v>44018</v>
      </c>
      <c r="AD383" s="19">
        <v>44039</v>
      </c>
      <c r="AE383" s="19">
        <v>44018</v>
      </c>
      <c r="AF383" s="19">
        <v>44018</v>
      </c>
      <c r="AG383" s="19" t="s">
        <v>164</v>
      </c>
      <c r="AH383" s="29">
        <v>1</v>
      </c>
      <c r="AI383" s="29">
        <v>1</v>
      </c>
      <c r="AJ383" s="29">
        <v>1</v>
      </c>
      <c r="AK383" s="19" t="s">
        <v>144</v>
      </c>
      <c r="AL383" s="17" t="s">
        <v>58</v>
      </c>
      <c r="AM383" s="17" t="s">
        <v>58</v>
      </c>
      <c r="AN383" s="17" t="s">
        <v>58</v>
      </c>
    </row>
    <row r="384" spans="2:40" x14ac:dyDescent="0.25">
      <c r="B384" s="207">
        <f t="shared" si="65"/>
        <v>325</v>
      </c>
      <c r="C384" s="16">
        <v>20200703</v>
      </c>
      <c r="D384" s="15" t="s">
        <v>3</v>
      </c>
      <c r="E384" s="75" t="s">
        <v>1760</v>
      </c>
      <c r="F384" s="100" t="s">
        <v>1773</v>
      </c>
      <c r="G384" s="75">
        <v>1536787</v>
      </c>
      <c r="H384" s="48" t="s">
        <v>58</v>
      </c>
      <c r="I384" s="75" t="s">
        <v>1774</v>
      </c>
      <c r="J384" s="48" t="s">
        <v>58</v>
      </c>
      <c r="K384" s="15" t="s">
        <v>1068</v>
      </c>
      <c r="L384" s="15" t="s">
        <v>1763</v>
      </c>
      <c r="M384" s="75" t="s">
        <v>290</v>
      </c>
      <c r="N384" s="75" t="s">
        <v>1764</v>
      </c>
      <c r="O384" s="84" t="s">
        <v>58</v>
      </c>
      <c r="P384" s="17" t="s">
        <v>1487</v>
      </c>
      <c r="Q384" s="18"/>
      <c r="R384" s="48"/>
      <c r="S384" s="15" t="s">
        <v>233</v>
      </c>
      <c r="T384" s="15" t="s">
        <v>65</v>
      </c>
      <c r="U384" s="15" t="s">
        <v>1625</v>
      </c>
      <c r="V384" s="75">
        <v>5</v>
      </c>
      <c r="W384" s="15">
        <f t="shared" si="77"/>
        <v>5</v>
      </c>
      <c r="X384" s="15">
        <f t="shared" si="77"/>
        <v>5</v>
      </c>
      <c r="Y384" s="15">
        <f>ROUNDDOWN(W384/HLOOKUP(D384,[1]Table!$C$3:$D$4,2,0)*8,2)</f>
        <v>0.08</v>
      </c>
      <c r="Z384" s="15">
        <v>0</v>
      </c>
      <c r="AA384" s="15" t="s">
        <v>21</v>
      </c>
      <c r="AB384" s="19">
        <v>44026</v>
      </c>
      <c r="AC384" s="19">
        <v>44018</v>
      </c>
      <c r="AD384" s="19">
        <v>44039</v>
      </c>
      <c r="AE384" s="19">
        <v>44018</v>
      </c>
      <c r="AF384" s="19">
        <v>44018</v>
      </c>
      <c r="AG384" s="19" t="s">
        <v>164</v>
      </c>
      <c r="AH384" s="29" t="s">
        <v>58</v>
      </c>
      <c r="AI384" s="29" t="s">
        <v>58</v>
      </c>
      <c r="AJ384" s="29" t="s">
        <v>58</v>
      </c>
      <c r="AK384" s="19" t="s">
        <v>144</v>
      </c>
      <c r="AL384" s="17" t="s">
        <v>58</v>
      </c>
      <c r="AM384" s="17" t="s">
        <v>58</v>
      </c>
      <c r="AN384" s="221" t="s">
        <v>172</v>
      </c>
    </row>
    <row r="385" spans="2:40" hidden="1" x14ac:dyDescent="0.25">
      <c r="B385" s="207">
        <f t="shared" si="65"/>
        <v>326</v>
      </c>
      <c r="C385" s="16">
        <v>20200703</v>
      </c>
      <c r="D385" s="15" t="s">
        <v>3</v>
      </c>
      <c r="E385" s="75" t="s">
        <v>1760</v>
      </c>
      <c r="F385" s="100" t="s">
        <v>1775</v>
      </c>
      <c r="G385" s="75">
        <v>1536787</v>
      </c>
      <c r="H385" s="48" t="s">
        <v>58</v>
      </c>
      <c r="I385" s="75" t="s">
        <v>1424</v>
      </c>
      <c r="J385" s="48" t="s">
        <v>58</v>
      </c>
      <c r="K385" s="15" t="s">
        <v>1068</v>
      </c>
      <c r="L385" s="15" t="s">
        <v>1763</v>
      </c>
      <c r="M385" s="75" t="s">
        <v>290</v>
      </c>
      <c r="N385" s="75" t="s">
        <v>1764</v>
      </c>
      <c r="O385" s="84" t="s">
        <v>58</v>
      </c>
      <c r="P385" s="17" t="s">
        <v>1487</v>
      </c>
      <c r="Q385" s="18"/>
      <c r="R385" s="48"/>
      <c r="S385" s="15" t="s">
        <v>233</v>
      </c>
      <c r="T385" s="15" t="s">
        <v>65</v>
      </c>
      <c r="U385" s="15" t="s">
        <v>1625</v>
      </c>
      <c r="V385" s="75">
        <v>3</v>
      </c>
      <c r="W385" s="15">
        <f t="shared" si="77"/>
        <v>3</v>
      </c>
      <c r="X385" s="15">
        <f t="shared" si="77"/>
        <v>3</v>
      </c>
      <c r="Y385" s="15">
        <f>ROUNDDOWN(W385/HLOOKUP(D385,[1]Table!$C$3:$D$4,2,0)*8,2)</f>
        <v>0.05</v>
      </c>
      <c r="Z385" s="15">
        <v>0.05</v>
      </c>
      <c r="AA385" s="15" t="s">
        <v>21</v>
      </c>
      <c r="AB385" s="19">
        <v>44026</v>
      </c>
      <c r="AC385" s="19">
        <v>44018</v>
      </c>
      <c r="AD385" s="19">
        <v>44039</v>
      </c>
      <c r="AE385" s="19">
        <v>44018</v>
      </c>
      <c r="AF385" s="19">
        <v>44018</v>
      </c>
      <c r="AG385" s="19" t="s">
        <v>164</v>
      </c>
      <c r="AH385" s="29">
        <v>1</v>
      </c>
      <c r="AI385" s="29">
        <v>1</v>
      </c>
      <c r="AJ385" s="29">
        <v>1</v>
      </c>
      <c r="AK385" s="19" t="s">
        <v>144</v>
      </c>
      <c r="AL385" s="17" t="s">
        <v>58</v>
      </c>
      <c r="AM385" s="17" t="s">
        <v>58</v>
      </c>
      <c r="AN385" s="17" t="s">
        <v>58</v>
      </c>
    </row>
    <row r="386" spans="2:40" hidden="1" x14ac:dyDescent="0.25">
      <c r="B386" s="207">
        <f t="shared" si="65"/>
        <v>327</v>
      </c>
      <c r="C386" s="16">
        <v>20200703</v>
      </c>
      <c r="D386" s="15" t="s">
        <v>3</v>
      </c>
      <c r="E386" s="75" t="s">
        <v>1760</v>
      </c>
      <c r="F386" s="100" t="s">
        <v>1776</v>
      </c>
      <c r="G386" s="75">
        <v>1536787</v>
      </c>
      <c r="H386" s="48" t="s">
        <v>58</v>
      </c>
      <c r="I386" s="75" t="s">
        <v>210</v>
      </c>
      <c r="J386" s="48" t="s">
        <v>58</v>
      </c>
      <c r="K386" s="15" t="s">
        <v>1068</v>
      </c>
      <c r="L386" s="15" t="s">
        <v>1763</v>
      </c>
      <c r="M386" s="75" t="s">
        <v>290</v>
      </c>
      <c r="N386" s="75" t="s">
        <v>1764</v>
      </c>
      <c r="O386" s="84" t="s">
        <v>58</v>
      </c>
      <c r="P386" s="17" t="s">
        <v>1487</v>
      </c>
      <c r="Q386" s="18"/>
      <c r="R386" s="48"/>
      <c r="S386" s="15" t="s">
        <v>233</v>
      </c>
      <c r="T386" s="15" t="s">
        <v>65</v>
      </c>
      <c r="U386" s="15" t="s">
        <v>1625</v>
      </c>
      <c r="V386" s="75">
        <v>199</v>
      </c>
      <c r="W386" s="15">
        <f t="shared" si="77"/>
        <v>199</v>
      </c>
      <c r="X386" s="15">
        <f t="shared" si="77"/>
        <v>199</v>
      </c>
      <c r="Y386" s="15">
        <f>ROUNDDOWN(W386/HLOOKUP(D386,[1]Table!$C$3:$D$4,2,0)*8,2)</f>
        <v>3.53</v>
      </c>
      <c r="Z386" s="15">
        <v>3</v>
      </c>
      <c r="AA386" s="15" t="s">
        <v>21</v>
      </c>
      <c r="AB386" s="19">
        <v>44026</v>
      </c>
      <c r="AC386" s="19">
        <v>44018</v>
      </c>
      <c r="AD386" s="19">
        <v>44039</v>
      </c>
      <c r="AE386" s="19">
        <v>44018</v>
      </c>
      <c r="AF386" s="19">
        <v>44018</v>
      </c>
      <c r="AG386" s="19" t="s">
        <v>164</v>
      </c>
      <c r="AH386" s="29">
        <v>1</v>
      </c>
      <c r="AI386" s="29">
        <v>1</v>
      </c>
      <c r="AJ386" s="29">
        <v>1</v>
      </c>
      <c r="AK386" s="19" t="s">
        <v>144</v>
      </c>
      <c r="AL386" s="17" t="s">
        <v>58</v>
      </c>
      <c r="AM386" s="17" t="s">
        <v>58</v>
      </c>
      <c r="AN386" s="17" t="s">
        <v>58</v>
      </c>
    </row>
    <row r="387" spans="2:40" x14ac:dyDescent="0.25">
      <c r="B387" s="207">
        <f t="shared" si="65"/>
        <v>328</v>
      </c>
      <c r="C387" s="16">
        <v>20200703</v>
      </c>
      <c r="D387" s="15" t="s">
        <v>3</v>
      </c>
      <c r="E387" s="75" t="s">
        <v>1760</v>
      </c>
      <c r="F387" s="100" t="s">
        <v>1777</v>
      </c>
      <c r="G387" s="75">
        <v>1536787</v>
      </c>
      <c r="H387" s="48" t="s">
        <v>58</v>
      </c>
      <c r="I387" s="75" t="s">
        <v>211</v>
      </c>
      <c r="J387" s="48" t="s">
        <v>58</v>
      </c>
      <c r="K387" s="15" t="s">
        <v>1068</v>
      </c>
      <c r="L387" s="15" t="s">
        <v>1763</v>
      </c>
      <c r="M387" s="75" t="s">
        <v>290</v>
      </c>
      <c r="N387" s="75" t="s">
        <v>1764</v>
      </c>
      <c r="O387" s="84" t="s">
        <v>58</v>
      </c>
      <c r="P387" s="17" t="s">
        <v>1487</v>
      </c>
      <c r="Q387" s="18"/>
      <c r="R387" s="48"/>
      <c r="S387" s="15" t="s">
        <v>233</v>
      </c>
      <c r="T387" s="15" t="s">
        <v>65</v>
      </c>
      <c r="U387" s="15" t="s">
        <v>1625</v>
      </c>
      <c r="V387" s="75">
        <v>6</v>
      </c>
      <c r="W387" s="15">
        <f t="shared" ref="W387:X400" si="78">V387</f>
        <v>6</v>
      </c>
      <c r="X387" s="15">
        <f t="shared" si="78"/>
        <v>6</v>
      </c>
      <c r="Y387" s="15">
        <f>ROUNDDOWN(W387/HLOOKUP(D387,[1]Table!$C$3:$D$4,2,0)*8,2)</f>
        <v>0.1</v>
      </c>
      <c r="Z387" s="15">
        <v>0</v>
      </c>
      <c r="AA387" s="15" t="s">
        <v>21</v>
      </c>
      <c r="AB387" s="19">
        <v>44026</v>
      </c>
      <c r="AC387" s="19">
        <v>44018</v>
      </c>
      <c r="AD387" s="19">
        <v>44039</v>
      </c>
      <c r="AE387" s="19">
        <v>44018</v>
      </c>
      <c r="AF387" s="19">
        <v>44018</v>
      </c>
      <c r="AG387" s="19" t="s">
        <v>164</v>
      </c>
      <c r="AH387" s="29" t="s">
        <v>58</v>
      </c>
      <c r="AI387" s="29" t="s">
        <v>58</v>
      </c>
      <c r="AJ387" s="29" t="s">
        <v>58</v>
      </c>
      <c r="AK387" s="19" t="s">
        <v>144</v>
      </c>
      <c r="AL387" s="17" t="s">
        <v>58</v>
      </c>
      <c r="AM387" s="17" t="s">
        <v>58</v>
      </c>
      <c r="AN387" s="221" t="s">
        <v>172</v>
      </c>
    </row>
    <row r="388" spans="2:40" ht="105" hidden="1" x14ac:dyDescent="0.25">
      <c r="B388" s="207">
        <f t="shared" si="65"/>
        <v>329</v>
      </c>
      <c r="C388" s="16">
        <v>20200703</v>
      </c>
      <c r="D388" s="15" t="s">
        <v>3</v>
      </c>
      <c r="E388" s="75" t="s">
        <v>1463</v>
      </c>
      <c r="F388" s="73" t="s">
        <v>58</v>
      </c>
      <c r="G388" s="75">
        <v>1553405</v>
      </c>
      <c r="H388" s="48" t="s">
        <v>58</v>
      </c>
      <c r="I388" s="75" t="s">
        <v>1778</v>
      </c>
      <c r="J388" s="48" t="s">
        <v>58</v>
      </c>
      <c r="K388" s="15" t="s">
        <v>1068</v>
      </c>
      <c r="L388" s="15" t="s">
        <v>144</v>
      </c>
      <c r="M388" s="75" t="s">
        <v>289</v>
      </c>
      <c r="N388" s="75" t="s">
        <v>1297</v>
      </c>
      <c r="O388" s="16">
        <v>1.3</v>
      </c>
      <c r="P388" s="73" t="s">
        <v>1779</v>
      </c>
      <c r="Q388" s="18"/>
      <c r="R388" s="48"/>
      <c r="S388" s="15" t="s">
        <v>233</v>
      </c>
      <c r="T388" s="15" t="s">
        <v>65</v>
      </c>
      <c r="U388" s="15" t="s">
        <v>0</v>
      </c>
      <c r="V388" s="75">
        <v>37</v>
      </c>
      <c r="W388" s="15">
        <f t="shared" si="78"/>
        <v>37</v>
      </c>
      <c r="X388" s="15">
        <f t="shared" si="78"/>
        <v>37</v>
      </c>
      <c r="Y388" s="15">
        <f>ROUNDDOWN(W388/HLOOKUP(D388,[1]Table!$C$3:$D$4,2,0)*8,2)</f>
        <v>0.65</v>
      </c>
      <c r="Z388" s="15">
        <v>2.2000000000000002</v>
      </c>
      <c r="AA388" s="15" t="s">
        <v>21</v>
      </c>
      <c r="AB388" s="19">
        <v>44026</v>
      </c>
      <c r="AC388" s="19">
        <v>44018</v>
      </c>
      <c r="AD388" s="19">
        <v>44039</v>
      </c>
      <c r="AE388" s="19">
        <v>44019</v>
      </c>
      <c r="AF388" s="19">
        <v>44019</v>
      </c>
      <c r="AG388" s="19" t="s">
        <v>165</v>
      </c>
      <c r="AH388" s="29">
        <v>1</v>
      </c>
      <c r="AI388" s="29">
        <v>0.94399999999999995</v>
      </c>
      <c r="AJ388" s="29">
        <v>0.63600000000000001</v>
      </c>
      <c r="AK388" s="19" t="s">
        <v>134</v>
      </c>
      <c r="AL388" s="216" t="s">
        <v>1780</v>
      </c>
      <c r="AM388" s="17" t="s">
        <v>58</v>
      </c>
      <c r="AN388" s="17" t="s">
        <v>1023</v>
      </c>
    </row>
    <row r="389" spans="2:40" hidden="1" x14ac:dyDescent="0.25">
      <c r="B389" s="207">
        <f t="shared" si="65"/>
        <v>330</v>
      </c>
      <c r="C389" s="16">
        <v>20200703</v>
      </c>
      <c r="D389" s="15" t="s">
        <v>3</v>
      </c>
      <c r="E389" s="75" t="s">
        <v>1466</v>
      </c>
      <c r="F389" s="100" t="s">
        <v>1638</v>
      </c>
      <c r="G389" s="75">
        <v>1554102</v>
      </c>
      <c r="H389" s="48" t="s">
        <v>58</v>
      </c>
      <c r="I389" s="75" t="s">
        <v>1473</v>
      </c>
      <c r="J389" s="48" t="s">
        <v>58</v>
      </c>
      <c r="K389" s="15" t="s">
        <v>1068</v>
      </c>
      <c r="L389" s="75" t="s">
        <v>1480</v>
      </c>
      <c r="M389" s="75" t="s">
        <v>1489</v>
      </c>
      <c r="N389" s="75" t="s">
        <v>1477</v>
      </c>
      <c r="O389" s="84" t="s">
        <v>58</v>
      </c>
      <c r="P389" s="73" t="s">
        <v>1487</v>
      </c>
      <c r="Q389" s="18"/>
      <c r="R389" s="48"/>
      <c r="S389" s="15" t="s">
        <v>233</v>
      </c>
      <c r="T389" s="15" t="s">
        <v>65</v>
      </c>
      <c r="U389" s="15" t="s">
        <v>0</v>
      </c>
      <c r="V389" s="75">
        <v>111</v>
      </c>
      <c r="W389" s="15">
        <f t="shared" si="78"/>
        <v>111</v>
      </c>
      <c r="X389" s="15">
        <f t="shared" si="78"/>
        <v>111</v>
      </c>
      <c r="Y389" s="15">
        <f>ROUNDDOWN(W389/HLOOKUP(D389,[1]Table!$C$3:$D$4,2,0)*8,2)</f>
        <v>1.97</v>
      </c>
      <c r="Z389" s="15">
        <v>1.5</v>
      </c>
      <c r="AA389" s="15" t="s">
        <v>21</v>
      </c>
      <c r="AB389" s="19">
        <v>44026</v>
      </c>
      <c r="AC389" s="19">
        <v>44018</v>
      </c>
      <c r="AD389" s="19">
        <v>44039</v>
      </c>
      <c r="AE389" s="19">
        <v>44019</v>
      </c>
      <c r="AF389" s="19">
        <v>44019</v>
      </c>
      <c r="AG389" s="19" t="s">
        <v>164</v>
      </c>
      <c r="AH389" s="29">
        <v>1</v>
      </c>
      <c r="AI389" s="29">
        <v>1</v>
      </c>
      <c r="AJ389" s="29">
        <v>1</v>
      </c>
      <c r="AK389" s="19" t="s">
        <v>144</v>
      </c>
      <c r="AL389" s="17" t="s">
        <v>58</v>
      </c>
      <c r="AM389" s="17" t="s">
        <v>58</v>
      </c>
      <c r="AN389" s="17" t="s">
        <v>58</v>
      </c>
    </row>
    <row r="390" spans="2:40" x14ac:dyDescent="0.25">
      <c r="B390" s="207">
        <f t="shared" si="65"/>
        <v>331</v>
      </c>
      <c r="C390" s="16">
        <v>20200703</v>
      </c>
      <c r="D390" s="15" t="s">
        <v>3</v>
      </c>
      <c r="E390" s="75" t="s">
        <v>1466</v>
      </c>
      <c r="F390" s="100" t="s">
        <v>1639</v>
      </c>
      <c r="G390" s="75">
        <v>1554102</v>
      </c>
      <c r="H390" s="48" t="s">
        <v>58</v>
      </c>
      <c r="I390" s="75" t="s">
        <v>1474</v>
      </c>
      <c r="J390" s="48" t="s">
        <v>58</v>
      </c>
      <c r="K390" s="15" t="s">
        <v>1068</v>
      </c>
      <c r="L390" s="75" t="s">
        <v>1480</v>
      </c>
      <c r="M390" s="75" t="s">
        <v>1489</v>
      </c>
      <c r="N390" s="75" t="s">
        <v>1477</v>
      </c>
      <c r="O390" s="84" t="s">
        <v>58</v>
      </c>
      <c r="P390" s="17" t="s">
        <v>1487</v>
      </c>
      <c r="Q390" s="18"/>
      <c r="R390" s="48"/>
      <c r="S390" s="15" t="s">
        <v>233</v>
      </c>
      <c r="T390" s="15" t="s">
        <v>65</v>
      </c>
      <c r="U390" s="15" t="s">
        <v>0</v>
      </c>
      <c r="V390" s="75">
        <v>57</v>
      </c>
      <c r="W390" s="15">
        <f t="shared" si="78"/>
        <v>57</v>
      </c>
      <c r="X390" s="15">
        <f t="shared" si="78"/>
        <v>57</v>
      </c>
      <c r="Y390" s="15">
        <f>ROUNDDOWN(W390/HLOOKUP(D390,[1]Table!$C$3:$D$4,2,0)*8,2)</f>
        <v>1.01</v>
      </c>
      <c r="Z390" s="15">
        <v>0</v>
      </c>
      <c r="AA390" s="15" t="s">
        <v>21</v>
      </c>
      <c r="AB390" s="19">
        <v>44026</v>
      </c>
      <c r="AC390" s="19">
        <v>44018</v>
      </c>
      <c r="AD390" s="19">
        <v>44039</v>
      </c>
      <c r="AE390" s="19">
        <v>44019</v>
      </c>
      <c r="AF390" s="19">
        <v>44019</v>
      </c>
      <c r="AG390" s="19" t="s">
        <v>164</v>
      </c>
      <c r="AH390" s="29" t="s">
        <v>58</v>
      </c>
      <c r="AI390" s="29" t="s">
        <v>58</v>
      </c>
      <c r="AJ390" s="29" t="s">
        <v>58</v>
      </c>
      <c r="AK390" s="19" t="s">
        <v>144</v>
      </c>
      <c r="AL390" s="17" t="s">
        <v>58</v>
      </c>
      <c r="AM390" s="17" t="s">
        <v>58</v>
      </c>
      <c r="AN390" s="221" t="s">
        <v>172</v>
      </c>
    </row>
    <row r="391" spans="2:40" hidden="1" x14ac:dyDescent="0.25">
      <c r="B391" s="207">
        <f t="shared" si="65"/>
        <v>332</v>
      </c>
      <c r="C391" s="16">
        <v>20200703</v>
      </c>
      <c r="D391" s="15" t="s">
        <v>3</v>
      </c>
      <c r="E391" s="75" t="s">
        <v>1781</v>
      </c>
      <c r="F391" s="100" t="s">
        <v>1782</v>
      </c>
      <c r="G391" s="75">
        <v>1554393</v>
      </c>
      <c r="H391" s="48" t="s">
        <v>58</v>
      </c>
      <c r="I391" s="75" t="s">
        <v>1783</v>
      </c>
      <c r="J391" s="48" t="s">
        <v>58</v>
      </c>
      <c r="K391" s="15" t="s">
        <v>1068</v>
      </c>
      <c r="L391" s="75" t="s">
        <v>660</v>
      </c>
      <c r="M391" s="75" t="s">
        <v>1488</v>
      </c>
      <c r="N391" s="75" t="s">
        <v>192</v>
      </c>
      <c r="O391" s="84" t="s">
        <v>58</v>
      </c>
      <c r="P391" s="73" t="s">
        <v>188</v>
      </c>
      <c r="Q391" s="18"/>
      <c r="R391" s="48"/>
      <c r="S391" s="15" t="s">
        <v>6</v>
      </c>
      <c r="T391" s="15" t="s">
        <v>233</v>
      </c>
      <c r="U391" s="15" t="s">
        <v>0</v>
      </c>
      <c r="V391" s="75">
        <v>35</v>
      </c>
      <c r="W391" s="79">
        <v>42</v>
      </c>
      <c r="X391" s="15">
        <f t="shared" si="78"/>
        <v>42</v>
      </c>
      <c r="Y391" s="15">
        <f>ROUNDDOWN(W391/HLOOKUP(D391,[1]Table!$C$3:$D$4,2,0)*8,2)</f>
        <v>0.74</v>
      </c>
      <c r="Z391" s="15">
        <v>0.5</v>
      </c>
      <c r="AA391" s="15" t="s">
        <v>21</v>
      </c>
      <c r="AB391" s="19">
        <v>44026</v>
      </c>
      <c r="AC391" s="19">
        <v>44018</v>
      </c>
      <c r="AD391" s="19">
        <v>44032</v>
      </c>
      <c r="AE391" s="19">
        <v>44020</v>
      </c>
      <c r="AF391" s="80">
        <v>44020</v>
      </c>
      <c r="AG391" s="19" t="s">
        <v>164</v>
      </c>
      <c r="AH391" s="29">
        <v>1</v>
      </c>
      <c r="AI391" s="29">
        <v>1</v>
      </c>
      <c r="AJ391" s="29">
        <v>1</v>
      </c>
      <c r="AK391" s="19" t="s">
        <v>144</v>
      </c>
      <c r="AL391" s="17" t="s">
        <v>58</v>
      </c>
      <c r="AM391" s="17" t="s">
        <v>58</v>
      </c>
      <c r="AN391" s="17" t="s">
        <v>1784</v>
      </c>
    </row>
    <row r="392" spans="2:40" hidden="1" x14ac:dyDescent="0.25">
      <c r="B392" s="207">
        <f t="shared" si="65"/>
        <v>333</v>
      </c>
      <c r="C392" s="16">
        <v>20200703</v>
      </c>
      <c r="D392" s="15" t="s">
        <v>3</v>
      </c>
      <c r="E392" s="75" t="s">
        <v>1781</v>
      </c>
      <c r="F392" s="100" t="s">
        <v>1785</v>
      </c>
      <c r="G392" s="75">
        <v>1554393</v>
      </c>
      <c r="H392" s="48" t="s">
        <v>58</v>
      </c>
      <c r="I392" s="75" t="s">
        <v>180</v>
      </c>
      <c r="J392" s="48" t="s">
        <v>58</v>
      </c>
      <c r="K392" s="15" t="s">
        <v>1068</v>
      </c>
      <c r="L392" s="15" t="s">
        <v>660</v>
      </c>
      <c r="M392" s="75" t="s">
        <v>1488</v>
      </c>
      <c r="N392" s="75" t="s">
        <v>192</v>
      </c>
      <c r="O392" s="84" t="s">
        <v>58</v>
      </c>
      <c r="P392" s="17" t="s">
        <v>188</v>
      </c>
      <c r="Q392" s="18"/>
      <c r="R392" s="48"/>
      <c r="S392" s="15" t="s">
        <v>6</v>
      </c>
      <c r="T392" s="15" t="s">
        <v>233</v>
      </c>
      <c r="U392" s="15" t="s">
        <v>0</v>
      </c>
      <c r="V392" s="75">
        <v>259</v>
      </c>
      <c r="W392" s="79">
        <v>269</v>
      </c>
      <c r="X392" s="15">
        <f t="shared" si="78"/>
        <v>269</v>
      </c>
      <c r="Y392" s="15">
        <f>ROUNDDOWN(W392/HLOOKUP(D392,[1]Table!$C$3:$D$4,2,0)*8,2)</f>
        <v>4.78</v>
      </c>
      <c r="Z392" s="15">
        <v>2</v>
      </c>
      <c r="AA392" s="15" t="s">
        <v>21</v>
      </c>
      <c r="AB392" s="19">
        <v>44026</v>
      </c>
      <c r="AC392" s="19">
        <v>44018</v>
      </c>
      <c r="AD392" s="19">
        <v>44032</v>
      </c>
      <c r="AE392" s="19">
        <v>44020</v>
      </c>
      <c r="AF392" s="19">
        <v>44020</v>
      </c>
      <c r="AG392" s="19" t="s">
        <v>165</v>
      </c>
      <c r="AH392" s="29">
        <v>1</v>
      </c>
      <c r="AI392" s="29">
        <v>1</v>
      </c>
      <c r="AJ392" s="29">
        <v>0.94</v>
      </c>
      <c r="AK392" s="19" t="s">
        <v>134</v>
      </c>
      <c r="AL392" s="17" t="s">
        <v>1786</v>
      </c>
      <c r="AM392" s="17" t="s">
        <v>58</v>
      </c>
      <c r="AN392" s="17" t="s">
        <v>1787</v>
      </c>
    </row>
    <row r="393" spans="2:40" hidden="1" x14ac:dyDescent="0.25">
      <c r="B393" s="207">
        <f t="shared" si="65"/>
        <v>334</v>
      </c>
      <c r="C393" s="16">
        <v>20200703</v>
      </c>
      <c r="D393" s="15" t="s">
        <v>3</v>
      </c>
      <c r="E393" s="75" t="s">
        <v>1781</v>
      </c>
      <c r="F393" s="100" t="s">
        <v>1788</v>
      </c>
      <c r="G393" s="75">
        <v>1554393</v>
      </c>
      <c r="H393" s="48" t="s">
        <v>58</v>
      </c>
      <c r="I393" s="75" t="s">
        <v>554</v>
      </c>
      <c r="J393" s="48" t="s">
        <v>58</v>
      </c>
      <c r="K393" s="15" t="s">
        <v>1068</v>
      </c>
      <c r="L393" s="15" t="s">
        <v>660</v>
      </c>
      <c r="M393" s="75" t="s">
        <v>1488</v>
      </c>
      <c r="N393" s="75" t="s">
        <v>192</v>
      </c>
      <c r="O393" s="84" t="s">
        <v>58</v>
      </c>
      <c r="P393" s="17" t="s">
        <v>188</v>
      </c>
      <c r="Q393" s="18"/>
      <c r="R393" s="48"/>
      <c r="S393" s="15" t="s">
        <v>6</v>
      </c>
      <c r="T393" s="15" t="s">
        <v>233</v>
      </c>
      <c r="U393" s="15" t="s">
        <v>0</v>
      </c>
      <c r="V393" s="75">
        <v>54</v>
      </c>
      <c r="W393" s="79">
        <v>89</v>
      </c>
      <c r="X393" s="15">
        <f t="shared" si="78"/>
        <v>89</v>
      </c>
      <c r="Y393" s="15">
        <f>ROUNDDOWN(W393/HLOOKUP(D393,[1]Table!$C$3:$D$4,2,0)*8,2)</f>
        <v>1.58</v>
      </c>
      <c r="Z393" s="15">
        <v>1</v>
      </c>
      <c r="AA393" s="15" t="s">
        <v>21</v>
      </c>
      <c r="AB393" s="19">
        <v>44026</v>
      </c>
      <c r="AC393" s="19">
        <v>44018</v>
      </c>
      <c r="AD393" s="19">
        <v>44032</v>
      </c>
      <c r="AE393" s="19">
        <v>44020</v>
      </c>
      <c r="AF393" s="19">
        <v>44020</v>
      </c>
      <c r="AG393" s="19" t="s">
        <v>164</v>
      </c>
      <c r="AH393" s="29">
        <v>1</v>
      </c>
      <c r="AI393" s="29">
        <v>1</v>
      </c>
      <c r="AJ393" s="29">
        <v>1</v>
      </c>
      <c r="AK393" s="19" t="s">
        <v>144</v>
      </c>
      <c r="AL393" s="17" t="s">
        <v>58</v>
      </c>
      <c r="AM393" s="17" t="s">
        <v>58</v>
      </c>
      <c r="AN393" s="17" t="s">
        <v>1789</v>
      </c>
    </row>
    <row r="394" spans="2:40" hidden="1" x14ac:dyDescent="0.25">
      <c r="B394" s="207">
        <f t="shared" si="65"/>
        <v>335</v>
      </c>
      <c r="C394" s="16">
        <v>20200703</v>
      </c>
      <c r="D394" s="15" t="s">
        <v>3</v>
      </c>
      <c r="E394" s="75" t="s">
        <v>1781</v>
      </c>
      <c r="F394" s="100" t="s">
        <v>1790</v>
      </c>
      <c r="G394" s="75">
        <v>1554393</v>
      </c>
      <c r="H394" s="48" t="s">
        <v>58</v>
      </c>
      <c r="I394" s="75" t="s">
        <v>1791</v>
      </c>
      <c r="J394" s="48" t="s">
        <v>58</v>
      </c>
      <c r="K394" s="15" t="s">
        <v>1068</v>
      </c>
      <c r="L394" s="15" t="s">
        <v>660</v>
      </c>
      <c r="M394" s="75" t="s">
        <v>1488</v>
      </c>
      <c r="N394" s="75" t="s">
        <v>192</v>
      </c>
      <c r="O394" s="84" t="s">
        <v>58</v>
      </c>
      <c r="P394" s="17" t="s">
        <v>188</v>
      </c>
      <c r="Q394" s="18"/>
      <c r="R394" s="48"/>
      <c r="S394" s="15" t="s">
        <v>6</v>
      </c>
      <c r="T394" s="15" t="s">
        <v>233</v>
      </c>
      <c r="U394" s="15" t="s">
        <v>0</v>
      </c>
      <c r="V394" s="75">
        <v>61</v>
      </c>
      <c r="W394" s="79">
        <v>62</v>
      </c>
      <c r="X394" s="15">
        <f t="shared" si="78"/>
        <v>62</v>
      </c>
      <c r="Y394" s="15">
        <f>ROUNDDOWN(W394/HLOOKUP(D394,[1]Table!$C$3:$D$4,2,0)*8,2)</f>
        <v>1.1000000000000001</v>
      </c>
      <c r="Z394" s="15">
        <v>1</v>
      </c>
      <c r="AA394" s="15" t="s">
        <v>21</v>
      </c>
      <c r="AB394" s="19">
        <v>44026</v>
      </c>
      <c r="AC394" s="19">
        <v>44018</v>
      </c>
      <c r="AD394" s="19">
        <v>44032</v>
      </c>
      <c r="AE394" s="19">
        <v>44021</v>
      </c>
      <c r="AF394" s="19">
        <v>44021</v>
      </c>
      <c r="AG394" s="19" t="s">
        <v>164</v>
      </c>
      <c r="AH394" s="29">
        <v>1</v>
      </c>
      <c r="AI394" s="29">
        <v>1</v>
      </c>
      <c r="AJ394" s="29">
        <v>1</v>
      </c>
      <c r="AK394" s="19" t="s">
        <v>144</v>
      </c>
      <c r="AL394" s="17" t="s">
        <v>58</v>
      </c>
      <c r="AM394" s="17" t="s">
        <v>58</v>
      </c>
      <c r="AN394" s="17" t="s">
        <v>1792</v>
      </c>
    </row>
    <row r="395" spans="2:40" hidden="1" x14ac:dyDescent="0.25">
      <c r="B395" s="207">
        <f t="shared" si="65"/>
        <v>336</v>
      </c>
      <c r="C395" s="16">
        <v>20200703</v>
      </c>
      <c r="D395" s="15" t="s">
        <v>3</v>
      </c>
      <c r="E395" s="75" t="s">
        <v>1781</v>
      </c>
      <c r="F395" s="100" t="s">
        <v>1793</v>
      </c>
      <c r="G395" s="75">
        <v>1554393</v>
      </c>
      <c r="H395" s="48" t="s">
        <v>58</v>
      </c>
      <c r="I395" s="75" t="s">
        <v>1794</v>
      </c>
      <c r="J395" s="48" t="s">
        <v>58</v>
      </c>
      <c r="K395" s="15" t="s">
        <v>1068</v>
      </c>
      <c r="L395" s="15" t="s">
        <v>660</v>
      </c>
      <c r="M395" s="75" t="s">
        <v>1488</v>
      </c>
      <c r="N395" s="75" t="s">
        <v>192</v>
      </c>
      <c r="O395" s="84" t="s">
        <v>58</v>
      </c>
      <c r="P395" s="17" t="s">
        <v>188</v>
      </c>
      <c r="Q395" s="18"/>
      <c r="R395" s="48"/>
      <c r="S395" s="15" t="s">
        <v>6</v>
      </c>
      <c r="T395" s="15" t="s">
        <v>233</v>
      </c>
      <c r="U395" s="15" t="s">
        <v>0</v>
      </c>
      <c r="V395" s="75">
        <v>60</v>
      </c>
      <c r="W395" s="15">
        <f t="shared" ref="W395:W400" si="79">V395</f>
        <v>60</v>
      </c>
      <c r="X395" s="15">
        <f t="shared" si="78"/>
        <v>60</v>
      </c>
      <c r="Y395" s="15">
        <f>ROUNDDOWN(W395/HLOOKUP(D395,[1]Table!$C$3:$D$4,2,0)*8,2)</f>
        <v>1.06</v>
      </c>
      <c r="Z395" s="15">
        <v>1</v>
      </c>
      <c r="AA395" s="15" t="s">
        <v>21</v>
      </c>
      <c r="AB395" s="19">
        <v>44026</v>
      </c>
      <c r="AC395" s="19">
        <v>44018</v>
      </c>
      <c r="AD395" s="19">
        <v>44032</v>
      </c>
      <c r="AE395" s="19">
        <v>44021</v>
      </c>
      <c r="AF395" s="19">
        <v>44021</v>
      </c>
      <c r="AG395" s="19" t="s">
        <v>164</v>
      </c>
      <c r="AH395" s="29">
        <v>1</v>
      </c>
      <c r="AI395" s="29">
        <v>1</v>
      </c>
      <c r="AJ395" s="29">
        <v>1</v>
      </c>
      <c r="AK395" s="19" t="s">
        <v>144</v>
      </c>
      <c r="AL395" s="17" t="s">
        <v>58</v>
      </c>
      <c r="AM395" s="17" t="s">
        <v>58</v>
      </c>
      <c r="AN395" s="17" t="s">
        <v>58</v>
      </c>
    </row>
    <row r="396" spans="2:40" hidden="1" x14ac:dyDescent="0.25">
      <c r="B396" s="207">
        <f t="shared" si="65"/>
        <v>337</v>
      </c>
      <c r="C396" s="16">
        <v>20200703</v>
      </c>
      <c r="D396" s="15" t="s">
        <v>3</v>
      </c>
      <c r="E396" s="75" t="s">
        <v>1781</v>
      </c>
      <c r="F396" s="100" t="s">
        <v>1795</v>
      </c>
      <c r="G396" s="75">
        <v>1555092</v>
      </c>
      <c r="H396" s="48" t="s">
        <v>58</v>
      </c>
      <c r="I396" s="231" t="s">
        <v>1796</v>
      </c>
      <c r="J396" s="48" t="s">
        <v>58</v>
      </c>
      <c r="K396" s="15" t="s">
        <v>1068</v>
      </c>
      <c r="L396" s="75" t="s">
        <v>1797</v>
      </c>
      <c r="M396" s="75" t="s">
        <v>1488</v>
      </c>
      <c r="N396" s="75" t="s">
        <v>192</v>
      </c>
      <c r="O396" s="84" t="s">
        <v>58</v>
      </c>
      <c r="P396" s="73" t="s">
        <v>1798</v>
      </c>
      <c r="Q396" s="18"/>
      <c r="R396" s="48"/>
      <c r="S396" s="15" t="s">
        <v>231</v>
      </c>
      <c r="T396" s="15" t="s">
        <v>64</v>
      </c>
      <c r="U396" s="15" t="s">
        <v>0</v>
      </c>
      <c r="V396" s="75">
        <v>50</v>
      </c>
      <c r="W396" s="15">
        <f t="shared" si="79"/>
        <v>50</v>
      </c>
      <c r="X396" s="15">
        <f t="shared" si="78"/>
        <v>50</v>
      </c>
      <c r="Y396" s="15">
        <f>ROUNDDOWN(W396/HLOOKUP(D396,[1]Table!$C$3:$D$4,2,0)*8,2)</f>
        <v>0.88</v>
      </c>
      <c r="Z396" s="15">
        <v>0.5</v>
      </c>
      <c r="AA396" s="15" t="s">
        <v>21</v>
      </c>
      <c r="AB396" s="19">
        <v>44026</v>
      </c>
      <c r="AC396" s="19">
        <v>44018</v>
      </c>
      <c r="AD396" s="19">
        <v>44032</v>
      </c>
      <c r="AE396" s="19">
        <v>44019</v>
      </c>
      <c r="AF396" s="19">
        <v>44019</v>
      </c>
      <c r="AG396" s="19" t="s">
        <v>164</v>
      </c>
      <c r="AH396" s="29">
        <v>1</v>
      </c>
      <c r="AI396" s="29">
        <v>1</v>
      </c>
      <c r="AJ396" s="29">
        <v>1</v>
      </c>
      <c r="AK396" s="19" t="s">
        <v>144</v>
      </c>
      <c r="AL396" s="17" t="s">
        <v>58</v>
      </c>
      <c r="AM396" s="17" t="s">
        <v>58</v>
      </c>
      <c r="AN396" s="17" t="s">
        <v>58</v>
      </c>
    </row>
    <row r="397" spans="2:40" hidden="1" x14ac:dyDescent="0.25">
      <c r="B397" s="207">
        <f t="shared" si="65"/>
        <v>338</v>
      </c>
      <c r="C397" s="16">
        <v>20200703</v>
      </c>
      <c r="D397" s="15" t="s">
        <v>3</v>
      </c>
      <c r="E397" s="75" t="s">
        <v>1781</v>
      </c>
      <c r="F397" s="100" t="s">
        <v>1799</v>
      </c>
      <c r="G397" s="75">
        <v>1555092</v>
      </c>
      <c r="H397" s="48" t="s">
        <v>58</v>
      </c>
      <c r="I397" s="231" t="s">
        <v>872</v>
      </c>
      <c r="J397" s="48" t="s">
        <v>58</v>
      </c>
      <c r="K397" s="15" t="s">
        <v>1068</v>
      </c>
      <c r="L397" s="15" t="s">
        <v>1797</v>
      </c>
      <c r="M397" s="75" t="s">
        <v>1488</v>
      </c>
      <c r="N397" s="75" t="s">
        <v>192</v>
      </c>
      <c r="O397" s="84" t="s">
        <v>58</v>
      </c>
      <c r="P397" s="17" t="s">
        <v>1798</v>
      </c>
      <c r="Q397" s="18"/>
      <c r="R397" s="48"/>
      <c r="S397" s="15" t="s">
        <v>231</v>
      </c>
      <c r="T397" s="15" t="s">
        <v>64</v>
      </c>
      <c r="U397" s="15" t="s">
        <v>0</v>
      </c>
      <c r="V397" s="75">
        <v>148</v>
      </c>
      <c r="W397" s="15">
        <f t="shared" si="79"/>
        <v>148</v>
      </c>
      <c r="X397" s="15">
        <f t="shared" si="78"/>
        <v>148</v>
      </c>
      <c r="Y397" s="15">
        <f>ROUNDDOWN(W397/HLOOKUP(D397,[1]Table!$C$3:$D$4,2,0)*8,2)</f>
        <v>2.63</v>
      </c>
      <c r="Z397" s="15">
        <v>2.5</v>
      </c>
      <c r="AA397" s="15" t="s">
        <v>21</v>
      </c>
      <c r="AB397" s="19">
        <v>44026</v>
      </c>
      <c r="AC397" s="19">
        <v>44018</v>
      </c>
      <c r="AD397" s="19">
        <v>44032</v>
      </c>
      <c r="AE397" s="19">
        <v>44019</v>
      </c>
      <c r="AF397" s="19">
        <v>44019</v>
      </c>
      <c r="AG397" s="19" t="s">
        <v>164</v>
      </c>
      <c r="AH397" s="29">
        <v>1</v>
      </c>
      <c r="AI397" s="29">
        <v>1</v>
      </c>
      <c r="AJ397" s="29">
        <v>1</v>
      </c>
      <c r="AK397" s="19" t="s">
        <v>144</v>
      </c>
      <c r="AL397" s="17" t="s">
        <v>58</v>
      </c>
      <c r="AM397" s="17" t="s">
        <v>58</v>
      </c>
      <c r="AN397" s="17" t="s">
        <v>58</v>
      </c>
    </row>
    <row r="398" spans="2:40" hidden="1" x14ac:dyDescent="0.25">
      <c r="B398" s="207">
        <f t="shared" si="65"/>
        <v>339</v>
      </c>
      <c r="C398" s="16">
        <v>20200703</v>
      </c>
      <c r="D398" s="15" t="s">
        <v>3</v>
      </c>
      <c r="E398" s="75" t="s">
        <v>1781</v>
      </c>
      <c r="F398" s="100" t="s">
        <v>1804</v>
      </c>
      <c r="G398" s="75">
        <v>1555092</v>
      </c>
      <c r="H398" s="48" t="s">
        <v>58</v>
      </c>
      <c r="I398" s="75" t="s">
        <v>178</v>
      </c>
      <c r="J398" s="48" t="s">
        <v>58</v>
      </c>
      <c r="K398" s="15" t="s">
        <v>1068</v>
      </c>
      <c r="L398" s="15" t="s">
        <v>1797</v>
      </c>
      <c r="M398" s="75" t="s">
        <v>1488</v>
      </c>
      <c r="N398" s="75" t="s">
        <v>192</v>
      </c>
      <c r="O398" s="84" t="s">
        <v>58</v>
      </c>
      <c r="P398" s="17" t="s">
        <v>1798</v>
      </c>
      <c r="Q398" s="18"/>
      <c r="R398" s="48"/>
      <c r="S398" s="15" t="s">
        <v>232</v>
      </c>
      <c r="T398" s="15" t="s">
        <v>65</v>
      </c>
      <c r="U398" s="15" t="s">
        <v>0</v>
      </c>
      <c r="V398" s="75">
        <v>178</v>
      </c>
      <c r="W398" s="15">
        <f t="shared" si="79"/>
        <v>178</v>
      </c>
      <c r="X398" s="15">
        <f t="shared" si="78"/>
        <v>178</v>
      </c>
      <c r="Y398" s="15">
        <f>ROUNDDOWN(W398/HLOOKUP(D398,[1]Table!$C$3:$D$4,2,0)*8,2)</f>
        <v>3.16</v>
      </c>
      <c r="Z398" s="15">
        <v>3</v>
      </c>
      <c r="AA398" s="79" t="s">
        <v>89</v>
      </c>
      <c r="AB398" s="19">
        <v>44026</v>
      </c>
      <c r="AC398" s="19">
        <v>44018</v>
      </c>
      <c r="AD398" s="19">
        <v>44032</v>
      </c>
      <c r="AE398" s="19">
        <v>44019</v>
      </c>
      <c r="AF398" s="19">
        <v>44019</v>
      </c>
      <c r="AG398" s="19" t="s">
        <v>165</v>
      </c>
      <c r="AH398" s="29">
        <v>0.98</v>
      </c>
      <c r="AI398" s="29">
        <v>0.96</v>
      </c>
      <c r="AJ398" s="29">
        <v>0.8</v>
      </c>
      <c r="AK398" s="19" t="s">
        <v>134</v>
      </c>
      <c r="AL398" s="17" t="s">
        <v>1800</v>
      </c>
      <c r="AM398" s="17" t="s">
        <v>58</v>
      </c>
      <c r="AN398" s="17" t="s">
        <v>1805</v>
      </c>
    </row>
    <row r="399" spans="2:40" x14ac:dyDescent="0.25">
      <c r="B399" s="207">
        <f t="shared" si="65"/>
        <v>340</v>
      </c>
      <c r="C399" s="16">
        <v>20200703</v>
      </c>
      <c r="D399" s="15" t="s">
        <v>3</v>
      </c>
      <c r="E399" s="75" t="s">
        <v>1781</v>
      </c>
      <c r="F399" s="73" t="s">
        <v>1801</v>
      </c>
      <c r="G399" s="75">
        <v>1555092</v>
      </c>
      <c r="H399" s="48" t="s">
        <v>58</v>
      </c>
      <c r="I399" s="75" t="s">
        <v>1802</v>
      </c>
      <c r="J399" s="48" t="s">
        <v>58</v>
      </c>
      <c r="K399" s="15" t="s">
        <v>1068</v>
      </c>
      <c r="L399" s="15" t="s">
        <v>1797</v>
      </c>
      <c r="M399" s="75" t="s">
        <v>1488</v>
      </c>
      <c r="N399" s="75" t="s">
        <v>192</v>
      </c>
      <c r="O399" s="84" t="s">
        <v>58</v>
      </c>
      <c r="P399" s="17" t="s">
        <v>1798</v>
      </c>
      <c r="Q399" s="18"/>
      <c r="R399" s="48"/>
      <c r="S399" s="15" t="s">
        <v>232</v>
      </c>
      <c r="T399" s="15" t="s">
        <v>65</v>
      </c>
      <c r="U399" s="15" t="s">
        <v>0</v>
      </c>
      <c r="V399" s="75">
        <v>6</v>
      </c>
      <c r="W399" s="15">
        <f t="shared" si="79"/>
        <v>6</v>
      </c>
      <c r="X399" s="15">
        <f t="shared" si="78"/>
        <v>6</v>
      </c>
      <c r="Y399" s="15">
        <f>ROUNDDOWN(W399/HLOOKUP(D399,[1]Table!$C$3:$D$4,2,0)*8,2)</f>
        <v>0.1</v>
      </c>
      <c r="Z399" s="15">
        <v>0</v>
      </c>
      <c r="AA399" s="15" t="s">
        <v>21</v>
      </c>
      <c r="AB399" s="19">
        <v>44026</v>
      </c>
      <c r="AC399" s="19">
        <v>44018</v>
      </c>
      <c r="AD399" s="19">
        <v>44032</v>
      </c>
      <c r="AE399" s="19">
        <v>44019</v>
      </c>
      <c r="AF399" s="19">
        <v>44019</v>
      </c>
      <c r="AG399" s="19" t="s">
        <v>164</v>
      </c>
      <c r="AH399" s="29" t="s">
        <v>58</v>
      </c>
      <c r="AI399" s="29" t="s">
        <v>58</v>
      </c>
      <c r="AJ399" s="29" t="s">
        <v>58</v>
      </c>
      <c r="AK399" s="19" t="s">
        <v>144</v>
      </c>
      <c r="AL399" s="17" t="s">
        <v>58</v>
      </c>
      <c r="AM399" s="17" t="s">
        <v>58</v>
      </c>
      <c r="AN399" s="221" t="s">
        <v>1803</v>
      </c>
    </row>
    <row r="400" spans="2:40" hidden="1" x14ac:dyDescent="0.25">
      <c r="B400" s="207">
        <f t="shared" si="65"/>
        <v>341</v>
      </c>
      <c r="C400" s="16">
        <v>20200703</v>
      </c>
      <c r="D400" s="15" t="s">
        <v>3</v>
      </c>
      <c r="E400" s="75" t="s">
        <v>1781</v>
      </c>
      <c r="F400" s="100" t="s">
        <v>1806</v>
      </c>
      <c r="G400" s="75">
        <v>1555092</v>
      </c>
      <c r="H400" s="48" t="s">
        <v>58</v>
      </c>
      <c r="I400" s="75" t="s">
        <v>219</v>
      </c>
      <c r="J400" s="48" t="s">
        <v>58</v>
      </c>
      <c r="K400" s="15" t="s">
        <v>1068</v>
      </c>
      <c r="L400" s="15" t="s">
        <v>1797</v>
      </c>
      <c r="M400" s="75" t="s">
        <v>1488</v>
      </c>
      <c r="N400" s="75" t="s">
        <v>192</v>
      </c>
      <c r="O400" s="84" t="s">
        <v>58</v>
      </c>
      <c r="P400" s="17" t="s">
        <v>1798</v>
      </c>
      <c r="Q400" s="18"/>
      <c r="R400" s="48"/>
      <c r="S400" s="15" t="s">
        <v>232</v>
      </c>
      <c r="T400" s="15" t="s">
        <v>65</v>
      </c>
      <c r="U400" s="15" t="s">
        <v>0</v>
      </c>
      <c r="V400" s="75">
        <v>51</v>
      </c>
      <c r="W400" s="15">
        <f t="shared" si="79"/>
        <v>51</v>
      </c>
      <c r="X400" s="15">
        <f t="shared" si="78"/>
        <v>51</v>
      </c>
      <c r="Y400" s="15">
        <f>ROUNDDOWN(W400/HLOOKUP(D400,[1]Table!$C$3:$D$4,2,0)*8,2)</f>
        <v>0.9</v>
      </c>
      <c r="Z400" s="15">
        <v>0.5</v>
      </c>
      <c r="AA400" s="15" t="s">
        <v>21</v>
      </c>
      <c r="AB400" s="19">
        <v>44026</v>
      </c>
      <c r="AC400" s="19">
        <v>44018</v>
      </c>
      <c r="AD400" s="19">
        <v>44032</v>
      </c>
      <c r="AE400" s="19">
        <v>44019</v>
      </c>
      <c r="AF400" s="19">
        <v>44019</v>
      </c>
      <c r="AG400" s="19" t="s">
        <v>164</v>
      </c>
      <c r="AH400" s="29">
        <v>1</v>
      </c>
      <c r="AI400" s="29">
        <v>1</v>
      </c>
      <c r="AJ400" s="29">
        <v>1</v>
      </c>
      <c r="AK400" s="19" t="s">
        <v>144</v>
      </c>
      <c r="AL400" s="17" t="s">
        <v>58</v>
      </c>
      <c r="AM400" s="17" t="s">
        <v>58</v>
      </c>
      <c r="AN400" s="17" t="s">
        <v>1807</v>
      </c>
    </row>
    <row r="401" spans="2:40" hidden="1" x14ac:dyDescent="0.25">
      <c r="B401" s="207">
        <f t="shared" si="65"/>
        <v>342</v>
      </c>
      <c r="C401" s="16">
        <v>20200707</v>
      </c>
      <c r="D401" s="15" t="s">
        <v>3</v>
      </c>
      <c r="E401" s="75" t="s">
        <v>1466</v>
      </c>
      <c r="F401" s="100" t="s">
        <v>1638</v>
      </c>
      <c r="G401" s="75">
        <v>1554102</v>
      </c>
      <c r="H401" s="48" t="s">
        <v>58</v>
      </c>
      <c r="I401" s="75" t="s">
        <v>1473</v>
      </c>
      <c r="J401" s="48" t="s">
        <v>58</v>
      </c>
      <c r="K401" s="15" t="s">
        <v>1068</v>
      </c>
      <c r="L401" s="75" t="s">
        <v>1480</v>
      </c>
      <c r="M401" s="75" t="s">
        <v>1489</v>
      </c>
      <c r="N401" s="75" t="s">
        <v>1477</v>
      </c>
      <c r="O401" s="17" t="s">
        <v>58</v>
      </c>
      <c r="P401" s="73" t="s">
        <v>1487</v>
      </c>
      <c r="Q401" s="18"/>
      <c r="R401" s="48"/>
      <c r="S401" s="15" t="s">
        <v>233</v>
      </c>
      <c r="T401" s="15" t="s">
        <v>66</v>
      </c>
      <c r="U401" s="15" t="s">
        <v>0</v>
      </c>
      <c r="V401" s="75">
        <v>101</v>
      </c>
      <c r="W401" s="188">
        <v>111</v>
      </c>
      <c r="X401" s="15">
        <f t="shared" si="73"/>
        <v>111</v>
      </c>
      <c r="Y401" s="15">
        <f>ROUNDDOWN(W401/HLOOKUP(D401,Table!$C$3:$D$4,2,0)*8,2)</f>
        <v>1.97</v>
      </c>
      <c r="Z401" s="15">
        <v>0.2</v>
      </c>
      <c r="AA401" s="15" t="s">
        <v>21</v>
      </c>
      <c r="AB401" s="19">
        <v>44025</v>
      </c>
      <c r="AC401" s="19">
        <v>44019</v>
      </c>
      <c r="AD401" s="19">
        <v>44026</v>
      </c>
      <c r="AE401" s="19">
        <v>44020</v>
      </c>
      <c r="AF401" s="19">
        <v>44020</v>
      </c>
      <c r="AG401" s="19" t="s">
        <v>164</v>
      </c>
      <c r="AH401" s="29">
        <v>1</v>
      </c>
      <c r="AI401" s="29">
        <v>1</v>
      </c>
      <c r="AJ401" s="29">
        <v>1</v>
      </c>
      <c r="AK401" s="19" t="s">
        <v>144</v>
      </c>
      <c r="AL401" s="17" t="s">
        <v>58</v>
      </c>
      <c r="AM401" s="17" t="s">
        <v>58</v>
      </c>
      <c r="AN401" s="17" t="s">
        <v>1675</v>
      </c>
    </row>
    <row r="402" spans="2:40" x14ac:dyDescent="0.25">
      <c r="B402" s="207">
        <f t="shared" si="65"/>
        <v>343</v>
      </c>
      <c r="C402" s="16">
        <v>20200707</v>
      </c>
      <c r="D402" s="15" t="s">
        <v>3</v>
      </c>
      <c r="E402" s="75" t="s">
        <v>1466</v>
      </c>
      <c r="F402" s="100" t="s">
        <v>1639</v>
      </c>
      <c r="G402" s="75">
        <v>1554102</v>
      </c>
      <c r="H402" s="48" t="s">
        <v>58</v>
      </c>
      <c r="I402" s="75" t="s">
        <v>1474</v>
      </c>
      <c r="J402" s="48" t="s">
        <v>58</v>
      </c>
      <c r="K402" s="15" t="s">
        <v>1068</v>
      </c>
      <c r="L402" s="75" t="s">
        <v>1480</v>
      </c>
      <c r="M402" s="75" t="s">
        <v>1489</v>
      </c>
      <c r="N402" s="75" t="s">
        <v>1477</v>
      </c>
      <c r="O402" s="17" t="s">
        <v>58</v>
      </c>
      <c r="P402" s="73" t="s">
        <v>1487</v>
      </c>
      <c r="Q402" s="18"/>
      <c r="R402" s="48"/>
      <c r="S402" s="15" t="s">
        <v>233</v>
      </c>
      <c r="T402" s="15" t="s">
        <v>66</v>
      </c>
      <c r="U402" s="15" t="s">
        <v>0</v>
      </c>
      <c r="V402" s="75">
        <v>51</v>
      </c>
      <c r="W402" s="15">
        <f>V402</f>
        <v>51</v>
      </c>
      <c r="X402" s="15">
        <f t="shared" si="73"/>
        <v>51</v>
      </c>
      <c r="Y402" s="15">
        <f>ROUNDDOWN(W402/HLOOKUP(D402,Table!$C$3:$D$4,2,0)*8,2)</f>
        <v>0.9</v>
      </c>
      <c r="Z402" s="15">
        <v>0</v>
      </c>
      <c r="AA402" s="15" t="s">
        <v>21</v>
      </c>
      <c r="AB402" s="19">
        <v>44025</v>
      </c>
      <c r="AC402" s="19">
        <v>44019</v>
      </c>
      <c r="AD402" s="19">
        <v>44026</v>
      </c>
      <c r="AE402" s="19">
        <v>44020</v>
      </c>
      <c r="AF402" s="19">
        <v>44020</v>
      </c>
      <c r="AG402" s="19" t="s">
        <v>164</v>
      </c>
      <c r="AH402" s="29" t="s">
        <v>58</v>
      </c>
      <c r="AI402" s="29" t="s">
        <v>58</v>
      </c>
      <c r="AJ402" s="29" t="s">
        <v>58</v>
      </c>
      <c r="AK402" s="19" t="s">
        <v>144</v>
      </c>
      <c r="AL402" s="17" t="s">
        <v>58</v>
      </c>
      <c r="AM402" s="17" t="s">
        <v>58</v>
      </c>
      <c r="AN402" s="221" t="s">
        <v>1482</v>
      </c>
    </row>
    <row r="403" spans="2:40" hidden="1" x14ac:dyDescent="0.25">
      <c r="B403" s="207">
        <f t="shared" si="65"/>
        <v>344</v>
      </c>
      <c r="C403" s="16">
        <v>20200707</v>
      </c>
      <c r="D403" s="15" t="s">
        <v>3</v>
      </c>
      <c r="E403" s="75" t="s">
        <v>1466</v>
      </c>
      <c r="F403" s="100" t="s">
        <v>1638</v>
      </c>
      <c r="G403" s="75">
        <v>1554888</v>
      </c>
      <c r="H403" s="48" t="s">
        <v>58</v>
      </c>
      <c r="I403" s="75" t="s">
        <v>1473</v>
      </c>
      <c r="J403" s="48" t="s">
        <v>58</v>
      </c>
      <c r="K403" s="15" t="s">
        <v>1068</v>
      </c>
      <c r="L403" s="15" t="s">
        <v>1480</v>
      </c>
      <c r="M403" s="75" t="s">
        <v>1489</v>
      </c>
      <c r="N403" s="75" t="s">
        <v>1662</v>
      </c>
      <c r="O403" s="17" t="s">
        <v>58</v>
      </c>
      <c r="P403" s="17" t="s">
        <v>1487</v>
      </c>
      <c r="Q403" s="18"/>
      <c r="R403" s="48"/>
      <c r="S403" s="15" t="s">
        <v>233</v>
      </c>
      <c r="T403" s="15" t="s">
        <v>66</v>
      </c>
      <c r="U403" s="15" t="s">
        <v>0</v>
      </c>
      <c r="V403" s="75">
        <v>101</v>
      </c>
      <c r="W403" s="79">
        <v>109</v>
      </c>
      <c r="X403" s="15">
        <f t="shared" si="73"/>
        <v>109</v>
      </c>
      <c r="Y403" s="15">
        <f>ROUNDDOWN(W403/HLOOKUP(D403,Table!$C$3:$D$4,2,0)*8,2)</f>
        <v>1.93</v>
      </c>
      <c r="Z403" s="15">
        <v>1</v>
      </c>
      <c r="AA403" s="15" t="s">
        <v>21</v>
      </c>
      <c r="AB403" s="19">
        <v>44025</v>
      </c>
      <c r="AC403" s="19">
        <v>44019</v>
      </c>
      <c r="AD403" s="19">
        <v>44026</v>
      </c>
      <c r="AE403" s="19">
        <v>44020</v>
      </c>
      <c r="AF403" s="19">
        <v>44020</v>
      </c>
      <c r="AG403" s="19" t="s">
        <v>164</v>
      </c>
      <c r="AH403" s="29">
        <v>1</v>
      </c>
      <c r="AI403" s="29">
        <v>1</v>
      </c>
      <c r="AJ403" s="29">
        <v>1</v>
      </c>
      <c r="AK403" s="19" t="s">
        <v>144</v>
      </c>
      <c r="AL403" s="17" t="s">
        <v>58</v>
      </c>
      <c r="AM403" s="17" t="s">
        <v>58</v>
      </c>
      <c r="AN403" s="17" t="s">
        <v>1676</v>
      </c>
    </row>
    <row r="404" spans="2:40" x14ac:dyDescent="0.25">
      <c r="B404" s="207">
        <f t="shared" si="65"/>
        <v>345</v>
      </c>
      <c r="C404" s="16">
        <v>20200707</v>
      </c>
      <c r="D404" s="15" t="s">
        <v>3</v>
      </c>
      <c r="E404" s="75" t="s">
        <v>1466</v>
      </c>
      <c r="F404" s="100" t="s">
        <v>1639</v>
      </c>
      <c r="G404" s="75">
        <v>1554888</v>
      </c>
      <c r="H404" s="48" t="s">
        <v>58</v>
      </c>
      <c r="I404" s="75" t="s">
        <v>1474</v>
      </c>
      <c r="J404" s="48" t="s">
        <v>58</v>
      </c>
      <c r="K404" s="15" t="s">
        <v>1068</v>
      </c>
      <c r="L404" s="15" t="s">
        <v>1480</v>
      </c>
      <c r="M404" s="75" t="s">
        <v>1489</v>
      </c>
      <c r="N404" s="75" t="s">
        <v>1662</v>
      </c>
      <c r="O404" s="17" t="s">
        <v>58</v>
      </c>
      <c r="P404" s="17" t="s">
        <v>1487</v>
      </c>
      <c r="Q404" s="18"/>
      <c r="R404" s="48"/>
      <c r="S404" s="15" t="s">
        <v>233</v>
      </c>
      <c r="T404" s="15" t="s">
        <v>66</v>
      </c>
      <c r="U404" s="15" t="s">
        <v>0</v>
      </c>
      <c r="V404" s="75">
        <v>51</v>
      </c>
      <c r="W404" s="15">
        <f t="shared" ref="W404:W411" si="80">V404</f>
        <v>51</v>
      </c>
      <c r="X404" s="15">
        <f t="shared" si="73"/>
        <v>51</v>
      </c>
      <c r="Y404" s="15">
        <f>ROUNDDOWN(W404/HLOOKUP(D404,Table!$C$3:$D$4,2,0)*8,2)</f>
        <v>0.9</v>
      </c>
      <c r="Z404" s="15">
        <v>0</v>
      </c>
      <c r="AA404" s="15" t="s">
        <v>21</v>
      </c>
      <c r="AB404" s="19">
        <v>44025</v>
      </c>
      <c r="AC404" s="19">
        <v>44019</v>
      </c>
      <c r="AD404" s="19">
        <v>44026</v>
      </c>
      <c r="AE404" s="19">
        <v>44020</v>
      </c>
      <c r="AF404" s="19">
        <v>44020</v>
      </c>
      <c r="AG404" s="19" t="s">
        <v>164</v>
      </c>
      <c r="AH404" s="29" t="s">
        <v>58</v>
      </c>
      <c r="AI404" s="29" t="s">
        <v>58</v>
      </c>
      <c r="AJ404" s="29" t="s">
        <v>58</v>
      </c>
      <c r="AK404" s="19" t="s">
        <v>144</v>
      </c>
      <c r="AL404" s="17" t="s">
        <v>58</v>
      </c>
      <c r="AM404" s="17" t="s">
        <v>58</v>
      </c>
      <c r="AN404" s="221" t="s">
        <v>1482</v>
      </c>
    </row>
    <row r="405" spans="2:40" x14ac:dyDescent="0.25">
      <c r="B405" s="207">
        <f t="shared" si="65"/>
        <v>346</v>
      </c>
      <c r="C405" s="16">
        <v>20200707</v>
      </c>
      <c r="D405" s="15" t="s">
        <v>3</v>
      </c>
      <c r="E405" s="75" t="s">
        <v>1654</v>
      </c>
      <c r="F405" s="100" t="s">
        <v>1677</v>
      </c>
      <c r="G405" s="75">
        <v>1556682</v>
      </c>
      <c r="H405" s="48" t="s">
        <v>58</v>
      </c>
      <c r="I405" s="75" t="s">
        <v>1659</v>
      </c>
      <c r="J405" s="48" t="s">
        <v>58</v>
      </c>
      <c r="K405" s="15" t="s">
        <v>1068</v>
      </c>
      <c r="L405" s="15" t="s">
        <v>1480</v>
      </c>
      <c r="M405" s="75" t="s">
        <v>1661</v>
      </c>
      <c r="N405" s="15" t="s">
        <v>1662</v>
      </c>
      <c r="O405" s="17" t="s">
        <v>58</v>
      </c>
      <c r="P405" s="73" t="s">
        <v>1663</v>
      </c>
      <c r="Q405" s="18"/>
      <c r="R405" s="48"/>
      <c r="S405" s="15" t="s">
        <v>233</v>
      </c>
      <c r="T405" s="15" t="s">
        <v>66</v>
      </c>
      <c r="U405" s="15" t="s">
        <v>0</v>
      </c>
      <c r="V405" s="75">
        <v>101</v>
      </c>
      <c r="W405" s="15">
        <f t="shared" si="80"/>
        <v>101</v>
      </c>
      <c r="X405" s="15">
        <f t="shared" si="73"/>
        <v>101</v>
      </c>
      <c r="Y405" s="15">
        <f>ROUNDDOWN(W405/HLOOKUP(D405,Table!$C$3:$D$4,2,0)*8,2)</f>
        <v>1.79</v>
      </c>
      <c r="Z405" s="15">
        <v>0</v>
      </c>
      <c r="AA405" s="15" t="s">
        <v>21</v>
      </c>
      <c r="AB405" s="19">
        <v>44025</v>
      </c>
      <c r="AC405" s="19">
        <v>44019</v>
      </c>
      <c r="AD405" s="19">
        <v>44026</v>
      </c>
      <c r="AE405" s="19">
        <v>44020</v>
      </c>
      <c r="AF405" s="19">
        <v>44020</v>
      </c>
      <c r="AG405" s="19" t="s">
        <v>164</v>
      </c>
      <c r="AH405" s="29" t="s">
        <v>58</v>
      </c>
      <c r="AI405" s="29" t="s">
        <v>58</v>
      </c>
      <c r="AJ405" s="29" t="s">
        <v>58</v>
      </c>
      <c r="AK405" s="19" t="s">
        <v>144</v>
      </c>
      <c r="AL405" s="17" t="s">
        <v>58</v>
      </c>
      <c r="AM405" s="17" t="s">
        <v>58</v>
      </c>
      <c r="AN405" s="221" t="s">
        <v>1482</v>
      </c>
    </row>
    <row r="406" spans="2:40" hidden="1" x14ac:dyDescent="0.25">
      <c r="B406" s="207">
        <f t="shared" si="65"/>
        <v>347</v>
      </c>
      <c r="C406" s="16">
        <v>20200707</v>
      </c>
      <c r="D406" s="15" t="s">
        <v>3</v>
      </c>
      <c r="E406" s="75" t="s">
        <v>1654</v>
      </c>
      <c r="F406" s="73" t="s">
        <v>1656</v>
      </c>
      <c r="G406" s="75">
        <v>1556682</v>
      </c>
      <c r="H406" s="48" t="s">
        <v>58</v>
      </c>
      <c r="I406" s="147" t="s">
        <v>152</v>
      </c>
      <c r="J406" s="48" t="s">
        <v>58</v>
      </c>
      <c r="K406" s="15" t="s">
        <v>1068</v>
      </c>
      <c r="L406" s="15" t="s">
        <v>1480</v>
      </c>
      <c r="M406" s="15" t="s">
        <v>1661</v>
      </c>
      <c r="N406" s="15" t="s">
        <v>1662</v>
      </c>
      <c r="O406" s="17" t="s">
        <v>58</v>
      </c>
      <c r="P406" s="17" t="s">
        <v>1663</v>
      </c>
      <c r="Q406" s="18"/>
      <c r="R406" s="48"/>
      <c r="S406" s="15" t="s">
        <v>232</v>
      </c>
      <c r="T406" s="15" t="s">
        <v>65</v>
      </c>
      <c r="U406" s="15" t="s">
        <v>0</v>
      </c>
      <c r="V406" s="75">
        <v>257</v>
      </c>
      <c r="W406" s="15">
        <f t="shared" si="80"/>
        <v>257</v>
      </c>
      <c r="X406" s="15">
        <f t="shared" si="73"/>
        <v>257</v>
      </c>
      <c r="Y406" s="15">
        <f>ROUNDDOWN(W406/HLOOKUP(D406,Table!$C$3:$D$4,2,0)*8,2)</f>
        <v>4.5599999999999996</v>
      </c>
      <c r="Z406" s="15">
        <v>4</v>
      </c>
      <c r="AA406" s="15" t="s">
        <v>21</v>
      </c>
      <c r="AB406" s="19">
        <v>44025</v>
      </c>
      <c r="AC406" s="19">
        <v>44019</v>
      </c>
      <c r="AD406" s="19">
        <v>44026</v>
      </c>
      <c r="AE406" s="19">
        <v>44019</v>
      </c>
      <c r="AF406" s="19">
        <v>44020</v>
      </c>
      <c r="AG406" s="19" t="s">
        <v>164</v>
      </c>
      <c r="AH406" s="29">
        <v>1</v>
      </c>
      <c r="AI406" s="29">
        <v>1</v>
      </c>
      <c r="AJ406" s="29">
        <v>1</v>
      </c>
      <c r="AK406" s="19" t="s">
        <v>144</v>
      </c>
      <c r="AL406" s="17" t="s">
        <v>58</v>
      </c>
      <c r="AM406" s="17" t="s">
        <v>58</v>
      </c>
      <c r="AN406" s="17" t="s">
        <v>58</v>
      </c>
    </row>
    <row r="407" spans="2:40" hidden="1" x14ac:dyDescent="0.25">
      <c r="B407" s="207">
        <f t="shared" si="65"/>
        <v>348</v>
      </c>
      <c r="C407" s="16">
        <v>20200707</v>
      </c>
      <c r="D407" s="15" t="s">
        <v>3</v>
      </c>
      <c r="E407" s="75" t="s">
        <v>1654</v>
      </c>
      <c r="F407" s="223" t="s">
        <v>1688</v>
      </c>
      <c r="G407" s="75">
        <v>1556682</v>
      </c>
      <c r="H407" s="48" t="s">
        <v>58</v>
      </c>
      <c r="I407" s="231" t="s">
        <v>1471</v>
      </c>
      <c r="J407" s="48" t="s">
        <v>58</v>
      </c>
      <c r="K407" s="15" t="s">
        <v>1068</v>
      </c>
      <c r="L407" s="15" t="s">
        <v>1480</v>
      </c>
      <c r="M407" s="15" t="s">
        <v>1661</v>
      </c>
      <c r="N407" s="15" t="s">
        <v>1662</v>
      </c>
      <c r="O407" s="17" t="s">
        <v>58</v>
      </c>
      <c r="P407" s="17" t="s">
        <v>1663</v>
      </c>
      <c r="Q407" s="18"/>
      <c r="R407" s="48"/>
      <c r="S407" s="15" t="s">
        <v>231</v>
      </c>
      <c r="T407" s="15" t="s">
        <v>64</v>
      </c>
      <c r="U407" s="15" t="s">
        <v>0</v>
      </c>
      <c r="V407" s="75">
        <v>1141</v>
      </c>
      <c r="W407" s="15">
        <f t="shared" si="80"/>
        <v>1141</v>
      </c>
      <c r="X407" s="15">
        <f t="shared" si="73"/>
        <v>1141</v>
      </c>
      <c r="Y407" s="15">
        <f>ROUNDDOWN(W407/HLOOKUP(D407,Table!$C$3:$D$4,2,0)*8,2)</f>
        <v>20.28</v>
      </c>
      <c r="Z407" s="15">
        <v>10</v>
      </c>
      <c r="AA407" s="15" t="s">
        <v>21</v>
      </c>
      <c r="AB407" s="19">
        <v>44025</v>
      </c>
      <c r="AC407" s="19">
        <v>44019</v>
      </c>
      <c r="AD407" s="19">
        <v>44026</v>
      </c>
      <c r="AE407" s="19">
        <v>44020</v>
      </c>
      <c r="AF407" s="19">
        <v>44020</v>
      </c>
      <c r="AG407" s="19" t="s">
        <v>164</v>
      </c>
      <c r="AH407" s="29">
        <v>1</v>
      </c>
      <c r="AI407" s="29">
        <v>1</v>
      </c>
      <c r="AJ407" s="29">
        <v>1</v>
      </c>
      <c r="AK407" s="19" t="s">
        <v>144</v>
      </c>
      <c r="AL407" s="17" t="s">
        <v>58</v>
      </c>
      <c r="AM407" s="17" t="s">
        <v>58</v>
      </c>
      <c r="AN407" s="17" t="s">
        <v>58</v>
      </c>
    </row>
    <row r="408" spans="2:40" hidden="1" x14ac:dyDescent="0.25">
      <c r="B408" s="207">
        <f t="shared" si="65"/>
        <v>349</v>
      </c>
      <c r="C408" s="16">
        <v>20200707</v>
      </c>
      <c r="D408" s="15" t="s">
        <v>3</v>
      </c>
      <c r="E408" s="75" t="s">
        <v>1654</v>
      </c>
      <c r="F408" s="73" t="s">
        <v>1656</v>
      </c>
      <c r="G408" s="75">
        <v>1556682</v>
      </c>
      <c r="H408" s="48" t="s">
        <v>58</v>
      </c>
      <c r="I408" s="147" t="s">
        <v>146</v>
      </c>
      <c r="J408" s="48" t="s">
        <v>58</v>
      </c>
      <c r="K408" s="15" t="s">
        <v>1068</v>
      </c>
      <c r="L408" s="15" t="s">
        <v>1480</v>
      </c>
      <c r="M408" s="15" t="s">
        <v>1661</v>
      </c>
      <c r="N408" s="15" t="s">
        <v>1662</v>
      </c>
      <c r="O408" s="17" t="s">
        <v>58</v>
      </c>
      <c r="P408" s="17" t="s">
        <v>1663</v>
      </c>
      <c r="Q408" s="18"/>
      <c r="R408" s="48"/>
      <c r="S408" s="15" t="s">
        <v>232</v>
      </c>
      <c r="T408" s="15" t="s">
        <v>65</v>
      </c>
      <c r="U408" s="15" t="s">
        <v>0</v>
      </c>
      <c r="V408" s="75">
        <v>997</v>
      </c>
      <c r="W408" s="15">
        <f t="shared" si="80"/>
        <v>997</v>
      </c>
      <c r="X408" s="15">
        <f t="shared" si="73"/>
        <v>997</v>
      </c>
      <c r="Y408" s="15">
        <f>ROUNDDOWN(W408/HLOOKUP(D408,Table!$C$3:$D$4,2,0)*8,2)</f>
        <v>17.72</v>
      </c>
      <c r="Z408" s="15">
        <v>10</v>
      </c>
      <c r="AA408" s="15" t="s">
        <v>21</v>
      </c>
      <c r="AB408" s="19">
        <v>44025</v>
      </c>
      <c r="AC408" s="19">
        <v>44019</v>
      </c>
      <c r="AD408" s="19">
        <v>44026</v>
      </c>
      <c r="AE408" s="19">
        <v>44020</v>
      </c>
      <c r="AF408" s="19">
        <v>44021</v>
      </c>
      <c r="AG408" s="19" t="s">
        <v>164</v>
      </c>
      <c r="AH408" s="29">
        <v>1</v>
      </c>
      <c r="AI408" s="29">
        <v>1</v>
      </c>
      <c r="AJ408" s="29">
        <v>1</v>
      </c>
      <c r="AK408" s="19" t="s">
        <v>144</v>
      </c>
      <c r="AL408" s="17" t="s">
        <v>58</v>
      </c>
      <c r="AM408" s="17" t="s">
        <v>58</v>
      </c>
      <c r="AN408" s="17" t="s">
        <v>58</v>
      </c>
    </row>
    <row r="409" spans="2:40" hidden="1" x14ac:dyDescent="0.25">
      <c r="B409" s="207">
        <f t="shared" si="65"/>
        <v>350</v>
      </c>
      <c r="C409" s="16">
        <v>20200707</v>
      </c>
      <c r="D409" s="15" t="s">
        <v>3</v>
      </c>
      <c r="E409" s="75" t="s">
        <v>1463</v>
      </c>
      <c r="F409" s="73" t="s">
        <v>1657</v>
      </c>
      <c r="G409" s="75">
        <v>1545885</v>
      </c>
      <c r="H409" s="48" t="s">
        <v>58</v>
      </c>
      <c r="I409" s="75" t="s">
        <v>287</v>
      </c>
      <c r="J409" s="48" t="s">
        <v>58</v>
      </c>
      <c r="K409" s="15" t="s">
        <v>1068</v>
      </c>
      <c r="L409" s="75" t="s">
        <v>1478</v>
      </c>
      <c r="M409" s="75" t="s">
        <v>289</v>
      </c>
      <c r="N409" s="75" t="s">
        <v>980</v>
      </c>
      <c r="O409" s="17" t="s">
        <v>58</v>
      </c>
      <c r="P409" s="73" t="s">
        <v>988</v>
      </c>
      <c r="Q409" s="18"/>
      <c r="R409" s="48"/>
      <c r="S409" s="15" t="s">
        <v>65</v>
      </c>
      <c r="T409" s="15" t="s">
        <v>231</v>
      </c>
      <c r="U409" s="15" t="s">
        <v>0</v>
      </c>
      <c r="V409" s="75">
        <v>1581</v>
      </c>
      <c r="W409" s="15">
        <f t="shared" si="80"/>
        <v>1581</v>
      </c>
      <c r="X409" s="15">
        <f t="shared" si="73"/>
        <v>1581</v>
      </c>
      <c r="Y409" s="15">
        <f>ROUNDDOWN(W409/HLOOKUP(D409,Table!$C$3:$D$4,2,0)*8,2)</f>
        <v>28.1</v>
      </c>
      <c r="Z409" s="15">
        <f>Y409</f>
        <v>28.1</v>
      </c>
      <c r="AA409" s="15" t="s">
        <v>21</v>
      </c>
      <c r="AB409" s="19">
        <v>44025</v>
      </c>
      <c r="AC409" s="19">
        <v>44019</v>
      </c>
      <c r="AD409" s="80">
        <v>44026</v>
      </c>
      <c r="AE409" s="19">
        <v>44020</v>
      </c>
      <c r="AF409" s="19">
        <v>44021</v>
      </c>
      <c r="AG409" s="19" t="s">
        <v>164</v>
      </c>
      <c r="AH409" s="29">
        <v>1</v>
      </c>
      <c r="AI409" s="29">
        <v>1</v>
      </c>
      <c r="AJ409" s="29">
        <v>1</v>
      </c>
      <c r="AK409" s="19" t="s">
        <v>144</v>
      </c>
      <c r="AL409" s="17" t="s">
        <v>58</v>
      </c>
      <c r="AM409" s="17" t="s">
        <v>58</v>
      </c>
      <c r="AN409" s="17" t="s">
        <v>58</v>
      </c>
    </row>
    <row r="410" spans="2:40" hidden="1" x14ac:dyDescent="0.25">
      <c r="B410" s="207">
        <f t="shared" si="65"/>
        <v>351</v>
      </c>
      <c r="C410" s="16">
        <v>20200707</v>
      </c>
      <c r="D410" s="15" t="s">
        <v>3</v>
      </c>
      <c r="E410" s="75" t="s">
        <v>1655</v>
      </c>
      <c r="F410" s="73" t="s">
        <v>1658</v>
      </c>
      <c r="G410" s="75">
        <v>1534324</v>
      </c>
      <c r="H410" s="48" t="s">
        <v>58</v>
      </c>
      <c r="I410" s="75" t="s">
        <v>1660</v>
      </c>
      <c r="J410" s="48" t="s">
        <v>58</v>
      </c>
      <c r="K410" s="15" t="s">
        <v>1068</v>
      </c>
      <c r="L410" s="15" t="s">
        <v>144</v>
      </c>
      <c r="M410" s="75" t="s">
        <v>1666</v>
      </c>
      <c r="N410" s="75" t="s">
        <v>1665</v>
      </c>
      <c r="O410" s="17" t="s">
        <v>58</v>
      </c>
      <c r="P410" s="73" t="s">
        <v>1664</v>
      </c>
      <c r="Q410" s="18"/>
      <c r="R410" s="48"/>
      <c r="S410" s="15" t="s">
        <v>65</v>
      </c>
      <c r="T410" s="15" t="s">
        <v>231</v>
      </c>
      <c r="U410" s="15" t="s">
        <v>0</v>
      </c>
      <c r="V410" s="75">
        <v>88</v>
      </c>
      <c r="W410" s="15">
        <f t="shared" si="80"/>
        <v>88</v>
      </c>
      <c r="X410" s="15">
        <f>W410</f>
        <v>88</v>
      </c>
      <c r="Y410" s="15">
        <f>ROUNDDOWN(W410/HLOOKUP(D410,Table!$C$3:$D$4,2,0)*8,2)</f>
        <v>1.56</v>
      </c>
      <c r="Z410" s="15">
        <f>Y410</f>
        <v>1.56</v>
      </c>
      <c r="AA410" s="15" t="s">
        <v>21</v>
      </c>
      <c r="AB410" s="19">
        <v>44025</v>
      </c>
      <c r="AC410" s="19">
        <v>44019</v>
      </c>
      <c r="AD410" s="80">
        <v>44025</v>
      </c>
      <c r="AE410" s="19">
        <v>44025</v>
      </c>
      <c r="AF410" s="19">
        <v>44025</v>
      </c>
      <c r="AG410" s="19" t="s">
        <v>164</v>
      </c>
      <c r="AH410" s="29">
        <v>1</v>
      </c>
      <c r="AI410" s="29">
        <v>1</v>
      </c>
      <c r="AJ410" s="29">
        <v>1</v>
      </c>
      <c r="AK410" s="19" t="s">
        <v>144</v>
      </c>
      <c r="AL410" s="17" t="s">
        <v>58</v>
      </c>
      <c r="AM410" s="17" t="s">
        <v>58</v>
      </c>
      <c r="AN410" s="17" t="s">
        <v>58</v>
      </c>
    </row>
    <row r="411" spans="2:40" hidden="1" x14ac:dyDescent="0.25">
      <c r="B411" s="207">
        <f t="shared" si="65"/>
        <v>352</v>
      </c>
      <c r="C411" s="16">
        <v>20200708</v>
      </c>
      <c r="D411" s="15" t="s">
        <v>3</v>
      </c>
      <c r="E411" s="75" t="s">
        <v>968</v>
      </c>
      <c r="F411" s="73" t="s">
        <v>1680</v>
      </c>
      <c r="G411" s="75">
        <v>1559425</v>
      </c>
      <c r="H411" s="48" t="s">
        <v>58</v>
      </c>
      <c r="I411" s="75" t="s">
        <v>1682</v>
      </c>
      <c r="J411" s="48" t="s">
        <v>58</v>
      </c>
      <c r="K411" s="15" t="s">
        <v>1068</v>
      </c>
      <c r="L411" s="75" t="s">
        <v>1001</v>
      </c>
      <c r="M411" s="75" t="s">
        <v>1009</v>
      </c>
      <c r="N411" s="15" t="s">
        <v>984</v>
      </c>
      <c r="O411" s="17" t="s">
        <v>58</v>
      </c>
      <c r="P411" s="73" t="s">
        <v>1685</v>
      </c>
      <c r="Q411" s="18"/>
      <c r="R411" s="48"/>
      <c r="S411" s="15" t="s">
        <v>66</v>
      </c>
      <c r="T411" s="15" t="s">
        <v>925</v>
      </c>
      <c r="U411" s="15" t="s">
        <v>1625</v>
      </c>
      <c r="V411" s="75">
        <v>189</v>
      </c>
      <c r="W411" s="15">
        <f t="shared" si="80"/>
        <v>189</v>
      </c>
      <c r="X411" s="15">
        <f>W411</f>
        <v>189</v>
      </c>
      <c r="Y411" s="15">
        <f>ROUNDDOWN(W411/HLOOKUP(D411,Table!$C$3:$D$4,2,0)*8,2)</f>
        <v>3.36</v>
      </c>
      <c r="Z411" s="15">
        <v>3</v>
      </c>
      <c r="AA411" s="15" t="s">
        <v>21</v>
      </c>
      <c r="AB411" s="19">
        <v>44022</v>
      </c>
      <c r="AC411" s="19">
        <v>44020</v>
      </c>
      <c r="AD411" s="102">
        <v>44022</v>
      </c>
      <c r="AE411" s="19">
        <v>44022</v>
      </c>
      <c r="AF411" s="19">
        <v>44022</v>
      </c>
      <c r="AG411" s="19" t="s">
        <v>164</v>
      </c>
      <c r="AH411" s="29">
        <v>1</v>
      </c>
      <c r="AI411" s="29">
        <v>1</v>
      </c>
      <c r="AJ411" s="29">
        <v>1</v>
      </c>
      <c r="AK411" s="19" t="s">
        <v>144</v>
      </c>
      <c r="AL411" s="17" t="s">
        <v>58</v>
      </c>
      <c r="AM411" s="17" t="s">
        <v>58</v>
      </c>
      <c r="AN411" s="17" t="s">
        <v>58</v>
      </c>
    </row>
    <row r="412" spans="2:40" hidden="1" x14ac:dyDescent="0.25">
      <c r="B412" s="207">
        <f t="shared" ref="B412" si="81">B411+1</f>
        <v>353</v>
      </c>
      <c r="C412" s="16">
        <v>20200708</v>
      </c>
      <c r="D412" s="15" t="s">
        <v>3</v>
      </c>
      <c r="E412" s="75" t="s">
        <v>1679</v>
      </c>
      <c r="F412" s="73" t="s">
        <v>1681</v>
      </c>
      <c r="G412" s="75">
        <v>1559481</v>
      </c>
      <c r="H412" s="48" t="s">
        <v>58</v>
      </c>
      <c r="I412" s="75" t="s">
        <v>1682</v>
      </c>
      <c r="J412" s="48" t="s">
        <v>58</v>
      </c>
      <c r="K412" s="15" t="s">
        <v>1068</v>
      </c>
      <c r="L412" s="75" t="s">
        <v>1683</v>
      </c>
      <c r="M412" s="75" t="s">
        <v>1009</v>
      </c>
      <c r="N412" s="15" t="s">
        <v>1684</v>
      </c>
      <c r="O412" s="17" t="s">
        <v>58</v>
      </c>
      <c r="P412" s="73" t="s">
        <v>1685</v>
      </c>
      <c r="Q412" s="18"/>
      <c r="R412" s="48"/>
      <c r="S412" s="15" t="s">
        <v>66</v>
      </c>
      <c r="T412" s="15" t="s">
        <v>925</v>
      </c>
      <c r="U412" s="15" t="s">
        <v>1625</v>
      </c>
      <c r="V412" s="75">
        <v>189</v>
      </c>
      <c r="W412" s="15">
        <f>V412</f>
        <v>189</v>
      </c>
      <c r="X412" s="15">
        <f>W412</f>
        <v>189</v>
      </c>
      <c r="Y412" s="15">
        <f>ROUNDDOWN(W412/HLOOKUP(D412,Table!$C$3:$D$4,2,0)*8,2)</f>
        <v>3.36</v>
      </c>
      <c r="Z412" s="15">
        <v>2</v>
      </c>
      <c r="AA412" s="15" t="s">
        <v>21</v>
      </c>
      <c r="AB412" s="19">
        <v>44022</v>
      </c>
      <c r="AC412" s="19">
        <v>44020</v>
      </c>
      <c r="AD412" s="102">
        <v>44022</v>
      </c>
      <c r="AE412" s="19">
        <v>44022</v>
      </c>
      <c r="AF412" s="19">
        <v>44022</v>
      </c>
      <c r="AG412" s="19" t="s">
        <v>164</v>
      </c>
      <c r="AH412" s="29">
        <v>1</v>
      </c>
      <c r="AI412" s="29">
        <v>1</v>
      </c>
      <c r="AJ412" s="29">
        <v>1</v>
      </c>
      <c r="AK412" s="19" t="s">
        <v>144</v>
      </c>
      <c r="AL412" s="17" t="s">
        <v>58</v>
      </c>
      <c r="AM412" s="17" t="s">
        <v>58</v>
      </c>
      <c r="AN412" s="17" t="s">
        <v>58</v>
      </c>
    </row>
    <row r="422" spans="17:18" x14ac:dyDescent="0.25">
      <c r="Q422" s="15" t="s">
        <v>6</v>
      </c>
      <c r="R422">
        <f>SUMIFS($W$90:$W$405,$S$90:$S$405,$S$90,$AH$90:$AH$405,$AH$90)</f>
        <v>1017</v>
      </c>
    </row>
    <row r="423" spans="17:18" x14ac:dyDescent="0.25">
      <c r="Q423" s="15" t="s">
        <v>231</v>
      </c>
      <c r="R423">
        <f>SUMIFS($W$90:$W$405,$S$90:$S$405,S159,$AH$90:$AH$405,$AH$90)</f>
        <v>307</v>
      </c>
    </row>
    <row r="424" spans="17:18" x14ac:dyDescent="0.25">
      <c r="Q424" s="15" t="s">
        <v>66</v>
      </c>
      <c r="R424">
        <f>SUMIFS($W$90:$W$405,$S$90:$S$405,S163,$AH$90:$AH$405,$AH$90)</f>
        <v>628</v>
      </c>
    </row>
    <row r="425" spans="17:18" x14ac:dyDescent="0.25">
      <c r="Q425" s="15" t="s">
        <v>233</v>
      </c>
      <c r="R425">
        <f>SUMIFS($W$90:$W$405,$S$90:$S$405,S190,$AH$90:$AH$405,$AH$90)</f>
        <v>291</v>
      </c>
    </row>
    <row r="426" spans="17:18" x14ac:dyDescent="0.25">
      <c r="Q426" s="15" t="s">
        <v>232</v>
      </c>
      <c r="R426">
        <f>SUMIFS($W$90:$W$405,$S$90:$S$405,S399,$AH$90:$AH$405,$AH$90)</f>
        <v>12</v>
      </c>
    </row>
  </sheetData>
  <autoFilter ref="B59:AN412">
    <filterColumn colId="32">
      <filters>
        <filter val="-"/>
      </filters>
    </filterColumn>
  </autoFilter>
  <customSheetViews>
    <customSheetView guid="{99BC1C51-34DC-4BF2-906C-1E31B6171D71}" scale="85" filter="1" showAutoFilter="1" topLeftCell="A335">
      <selection activeCell="M462" sqref="M462"/>
      <pageMargins left="0.7" right="0.7" top="0.75" bottom="0.75" header="0.3" footer="0.3"/>
      <pageSetup orientation="portrait" horizontalDpi="300" verticalDpi="0" r:id="rId1"/>
      <autoFilter ref="A59:AN457">
        <filterColumn colId="18">
          <filters>
            <filter val="huy.nguyen-hoang"/>
          </filters>
        </filterColumn>
      </autoFilter>
    </customSheetView>
    <customSheetView guid="{7ECC2B8E-6A82-42F5-8AB0-4A51C54EA5EC}" scale="70" topLeftCell="F1">
      <selection activeCell="A430" sqref="A430:XFD433"/>
      <pageMargins left="0.7" right="0.7" top="0.75" bottom="0.75" header="0.3" footer="0.3"/>
      <pageSetup orientation="portrait" horizontalDpi="300" r:id="rId2"/>
    </customSheetView>
    <customSheetView guid="{A2C66332-A809-458E-971B-FDB6D62C74C3}" filter="1" showAutoFilter="1" topLeftCell="F54">
      <pane xSplit="1" topLeftCell="AI1" activePane="topRight" state="frozen"/>
      <selection pane="topRight" activeCell="A100" sqref="A100:XFD100"/>
      <pageMargins left="0.7" right="0.7" top="0.75" bottom="0.75" header="0.3" footer="0.3"/>
      <pageSetup orientation="portrait" horizontalDpi="300" verticalDpi="0" r:id="rId3"/>
      <autoFilter ref="B59:AN457">
        <filterColumn colId="17">
          <filters>
            <filter val="bang.nguyen-duy"/>
          </filters>
        </filterColumn>
      </autoFilter>
    </customSheetView>
    <customSheetView guid="{60D2C030-4E31-4E07-8E1C-44D2EE84B177}" scale="85" filter="1" showAutoFilter="1" topLeftCell="P263">
      <selection activeCell="AK380" sqref="AK380"/>
      <pageMargins left="0.7" right="0.7" top="0.75" bottom="0.75" header="0.3" footer="0.3"/>
      <pageSetup orientation="portrait" horizontalDpi="300" verticalDpi="0" r:id="rId4"/>
      <autoFilter ref="A59:AN457">
        <filterColumn colId="18">
          <filters>
            <filter val="chung.ly"/>
          </filters>
        </filterColumn>
        <filterColumn colId="29">
          <filters>
            <dateGroupItem year="2020" month="7" dateTimeGrouping="month"/>
          </filters>
        </filterColumn>
      </autoFilter>
    </customSheetView>
    <customSheetView guid="{3B3E6719-EACB-4D2C-89C1-05FFAB6020FD}" scale="70" filter="1" showAutoFilter="1" topLeftCell="F55">
      <selection activeCell="A430" sqref="A430:XFD433"/>
      <pageMargins left="0.7" right="0.7" top="0.75" bottom="0.75" header="0.3" footer="0.3"/>
      <pageSetup orientation="portrait" horizontalDpi="300" r:id="rId5"/>
      <autoFilter ref="B59:AN457">
        <filterColumn colId="17">
          <filters>
            <filter val="nam.phan-the"/>
          </filters>
        </filterColumn>
        <filterColumn colId="28">
          <filters>
            <dateGroupItem year="2020" month="7" day="8" dateTimeGrouping="day"/>
          </filters>
        </filterColumn>
      </autoFilter>
    </customSheetView>
    <customSheetView guid="{FECB4C41-27E8-4A22-AFB3-4F54CDD4960E}" scale="85" filter="1" showAutoFilter="1" topLeftCell="I190">
      <selection activeCell="AD413" sqref="AD413:AD415"/>
      <pageMargins left="0.7" right="0.7" top="0.75" bottom="0.75" header="0.3" footer="0.3"/>
      <pageSetup orientation="portrait" horizontalDpi="300" verticalDpi="0" r:id="rId6"/>
      <autoFilter ref="A59:AN457">
        <filterColumn colId="18">
          <filters>
            <filter val="chuong.nguyen-minh"/>
          </filters>
        </filterColumn>
      </autoFilter>
    </customSheetView>
    <customSheetView guid="{D33AC7AF-C8AB-4CE9-94C7-9237011A5FC3}" scale="70" topLeftCell="T92">
      <selection activeCell="A430" sqref="A430:XFD433"/>
      <pageMargins left="0.7" right="0.7" top="0.75" bottom="0.75" header="0.3" footer="0.3"/>
      <pageSetup orientation="portrait" horizontalDpi="300" verticalDpi="0" r:id="rId7"/>
    </customSheetView>
    <customSheetView guid="{C94451EF-7A3E-4D72-B5A4-3D1B193192CC}" scale="85" filter="1" showAutoFilter="1" topLeftCell="I29">
      <selection activeCell="AM430" sqref="AM430:AN430"/>
      <pageMargins left="0.7" right="0.7" top="0.75" bottom="0.75" header="0.3" footer="0.3"/>
      <pageSetup orientation="portrait" horizontalDpi="300" r:id="rId8"/>
      <autoFilter ref="A59:AN457">
        <filterColumn colId="13">
          <filters>
            <filter val="FAW_E115_iBGen2_Int"/>
          </filters>
        </filterColumn>
        <filterColumn colId="18">
          <filters>
            <filter val="loc.do-phu"/>
          </filters>
        </filterColumn>
      </autoFilter>
    </customSheetView>
    <customSheetView guid="{89C03E1E-B6A8-49A1-B29C-5DC4FAB2FBC6}" scale="85" filter="1" showAutoFilter="1" topLeftCell="F39">
      <selection activeCell="Q460" sqref="Q460"/>
      <pageMargins left="0.7" right="0.7" top="0.75" bottom="0.75" header="0.3" footer="0.3"/>
      <pageSetup orientation="portrait" horizontalDpi="300" verticalDpi="0" r:id="rId9"/>
      <autoFilter ref="B59:AN457">
        <filterColumn colId="17">
          <filters>
            <filter val="nam.phan-the"/>
          </filters>
        </filterColumn>
        <filterColumn colId="25">
          <filters blank="1">
            <filter val="Pending for OPL"/>
            <filter val="Ready for review"/>
          </filters>
        </filterColumn>
      </autoFilter>
    </customSheetView>
    <customSheetView guid="{336B6883-2145-4B58-921E-CEC7185A847E}" scale="85" showAutoFilter="1" topLeftCell="A10">
      <selection activeCell="A430" sqref="A430:XFD433"/>
      <pageMargins left="0.7" right="0.7" top="0.75" bottom="0.75" header="0.3" footer="0.3"/>
      <pageSetup orientation="portrait" horizontalDpi="300" verticalDpi="0" r:id="rId10"/>
      <autoFilter ref="P59:P458"/>
    </customSheetView>
    <customSheetView guid="{4E06BDBF-2CED-473B-850B-2A6C7311FF41}" scale="85" filter="1" showAutoFilter="1" topLeftCell="AB53">
      <selection activeCell="AN364" sqref="AN364"/>
      <pageMargins left="0.7" right="0.7" top="0.75" bottom="0.75" header="0.3" footer="0.3"/>
      <pageSetup orientation="portrait" horizontalDpi="300" r:id="rId11"/>
      <autoFilter ref="A59:AN457">
        <filterColumn colId="18">
          <filters>
            <filter val="thanh.nguyen-kim"/>
          </filters>
        </filterColumn>
        <filterColumn colId="28">
          <filters>
            <dateGroupItem year="2020" month="7" dateTimeGrouping="month"/>
          </filters>
        </filterColumn>
      </autoFilter>
    </customSheetView>
    <customSheetView guid="{A2E8CE38-D15E-4374-89B2-69D9421C4465}" scale="85" showPageBreaks="1" topLeftCell="C286">
      <selection activeCell="A430" sqref="A430:XFD433"/>
      <pageMargins left="0.7" right="0.7" top="0.75" bottom="0.75" header="0.3" footer="0.3"/>
      <pageSetup orientation="portrait" horizontalDpi="300" r:id="rId12"/>
    </customSheetView>
    <customSheetView guid="{F96FC7D9-4F89-4FE0-8D00-C0083DEB0472}" scale="85" topLeftCell="A280">
      <selection activeCell="J295" sqref="J295"/>
      <pageMargins left="0.7" right="0.7" top="0.75" bottom="0.75" header="0.3" footer="0.3"/>
      <pageSetup orientation="portrait" horizontalDpi="300" verticalDpi="0" r:id="rId13"/>
    </customSheetView>
    <customSheetView guid="{970EE037-F5E5-47AF-896A-0F6222879EBC}" scale="70">
      <pageMargins left="0.7" right="0.7" top="0.75" bottom="0.75" header="0.3" footer="0.3"/>
      <pageSetup orientation="portrait" horizontalDpi="300" r:id="rId14"/>
    </customSheetView>
    <customSheetView guid="{7E0EA425-A420-4443-B9E0-CDF0AA9E5D09}" scale="70">
      <selection activeCell="X379" sqref="X379"/>
      <pageMargins left="0.7" right="0.7" top="0.75" bottom="0.75" header="0.3" footer="0.3"/>
      <pageSetup orientation="portrait" horizontalDpi="300" verticalDpi="0" r:id="rId15"/>
    </customSheetView>
  </customSheetViews>
  <conditionalFormatting sqref="H4:H17 H23:H37 H43:H55">
    <cfRule type="cellIs" dxfId="135" priority="152" operator="equal">
      <formula>1</formula>
    </cfRule>
    <cfRule type="cellIs" dxfId="134" priority="153" operator="lessThan">
      <formula>1</formula>
    </cfRule>
  </conditionalFormatting>
  <conditionalFormatting sqref="AK60:AK249 AG60:AG249 AG251:AG367 AK251:AK367 AK401:AK412 AG401:AG412">
    <cfRule type="cellIs" dxfId="133" priority="150" operator="equal">
      <formula>"OK"</formula>
    </cfRule>
    <cfRule type="cellIs" dxfId="132" priority="151" operator="equal">
      <formula>"NG"</formula>
    </cfRule>
  </conditionalFormatting>
  <conditionalFormatting sqref="O252:O259 P254:P259 O60:P251 O260:P367 O401:P412">
    <cfRule type="cellIs" dxfId="131" priority="149" operator="equal">
      <formula>"PUT_VERSION"</formula>
    </cfRule>
  </conditionalFormatting>
  <conditionalFormatting sqref="D18">
    <cfRule type="expression" dxfId="130" priority="137">
      <formula>$D$18=SUM($D$4:$D$17)</formula>
    </cfRule>
  </conditionalFormatting>
  <conditionalFormatting sqref="E18">
    <cfRule type="expression" dxfId="129" priority="136">
      <formula>$E$18=SUM($E$4:$E$17)</formula>
    </cfRule>
  </conditionalFormatting>
  <conditionalFormatting sqref="F18">
    <cfRule type="expression" dxfId="128" priority="135">
      <formula>$F$18=SUM($F$4:$F$17)</formula>
    </cfRule>
  </conditionalFormatting>
  <conditionalFormatting sqref="D37">
    <cfRule type="expression" dxfId="127" priority="134">
      <formula>$D$37=SUM($D$23:$D$36)</formula>
    </cfRule>
  </conditionalFormatting>
  <conditionalFormatting sqref="E37">
    <cfRule type="expression" dxfId="126" priority="133">
      <formula>$E$37=SUM($E$23:$E$36)</formula>
    </cfRule>
  </conditionalFormatting>
  <conditionalFormatting sqref="H42">
    <cfRule type="cellIs" dxfId="125" priority="118" operator="equal">
      <formula>1</formula>
    </cfRule>
    <cfRule type="cellIs" dxfId="124" priority="119" operator="lessThan">
      <formula>1</formula>
    </cfRule>
  </conditionalFormatting>
  <conditionalFormatting sqref="H56">
    <cfRule type="cellIs" dxfId="123" priority="110" operator="equal">
      <formula>1</formula>
    </cfRule>
    <cfRule type="cellIs" dxfId="122" priority="111" operator="lessThan">
      <formula>1</formula>
    </cfRule>
  </conditionalFormatting>
  <conditionalFormatting sqref="F37">
    <cfRule type="expression" dxfId="121" priority="170">
      <formula>$F$37=SUM($F$23:$F$36)</formula>
    </cfRule>
  </conditionalFormatting>
  <conditionalFormatting sqref="H18">
    <cfRule type="cellIs" dxfId="120" priority="48" operator="equal">
      <formula>1</formula>
    </cfRule>
    <cfRule type="cellIs" dxfId="119" priority="49" operator="lessThan">
      <formula>1</formula>
    </cfRule>
  </conditionalFormatting>
  <conditionalFormatting sqref="AK368:AK400 AG368:AG400">
    <cfRule type="cellIs" dxfId="118" priority="10" operator="equal">
      <formula>"OK"</formula>
    </cfRule>
    <cfRule type="cellIs" dxfId="117" priority="11" operator="equal">
      <formula>"NG"</formula>
    </cfRule>
  </conditionalFormatting>
  <conditionalFormatting sqref="O368:P400">
    <cfRule type="cellIs" dxfId="116" priority="9" operator="equal">
      <formula>"PUT_VERSION"</formula>
    </cfRule>
  </conditionalFormatting>
  <dataValidations count="2">
    <dataValidation type="list" allowBlank="1" showInputMessage="1" showErrorMessage="1" sqref="AG60:AG249 AG251:AG412">
      <formula1>"OK,NG"</formula1>
    </dataValidation>
    <dataValidation type="list" allowBlank="1" showInputMessage="1" showErrorMessage="1" sqref="U60:U412">
      <formula1>"Yes,No"</formula1>
    </dataValidation>
  </dataValidations>
  <pageMargins left="0.7" right="0.7" top="0.75" bottom="0.75" header="0.3" footer="0.3"/>
  <pageSetup orientation="portrait" horizontalDpi="300" verticalDpi="0" r:id="rId16"/>
  <legacyDrawing r:id="rId1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0" operator="equal" id="{2B9DA05D-2BDF-40F2-AAB9-55EE4E3A4914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51" operator="equal" id="{CF72E758-246C-461F-BACD-F624487058C4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D60:D412</xm:sqref>
        </x14:conditionalFormatting>
        <x14:conditionalFormatting xmlns:xm="http://schemas.microsoft.com/office/excel/2006/main">
          <x14:cfRule type="cellIs" priority="154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5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156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57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130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31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128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9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126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7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cellIs" priority="54" operator="equal" id="{19639308-71F0-43E5-B386-FDDD54B39B80}">
            <xm:f>Table!$C$42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55" operator="equal" id="{49FA013F-6BB2-447B-B4B6-033B25DE33AE}">
            <xm:f>Table!$C$41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AK60:AK249 AK251:AK367 AK401:AK412</xm:sqref>
        </x14:conditionalFormatting>
        <x14:conditionalFormatting xmlns:xm="http://schemas.microsoft.com/office/excel/2006/main">
          <x14:cfRule type="cellIs" priority="46" operator="greaterThanOrEqual" id="{39C34B30-1D0D-45D1-9BAB-954B98AFAB8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7" operator="lessThan" id="{ADC86572-2E14-4DA3-8A2E-11E42925159A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44" operator="greaterThanOrEqual" id="{BD7F74A2-B3C8-498A-BCE7-6AE3E677F811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5" operator="lessThan" id="{A4AB96BB-A990-4DAF-AA7F-905328B062C7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42" operator="greaterThanOrEqual" id="{1971CF28-F3C4-4644-8E05-146F21A19FBC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3" operator="lessThan" id="{CCE83745-A5CD-48F2-9AB5-F05D07398ED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K23:K36</xm:sqref>
        </x14:conditionalFormatting>
        <x14:conditionalFormatting xmlns:xm="http://schemas.microsoft.com/office/excel/2006/main">
          <x14:cfRule type="cellIs" priority="40" operator="greaterThanOrEqual" id="{8B3B4DC9-0B16-4049-A7D1-1072CDCE776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1" operator="lessThan" id="{938D2BDA-A3EC-48C5-BA3A-D8B9C26EE1B5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38" operator="greaterThanOrEqual" id="{125F0AD4-C4E9-4190-B052-5A0E86A7949F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9" operator="lessThan" id="{DAF92003-25A2-487E-A0B8-23FECC9592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K42:K55</xm:sqref>
        </x14:conditionalFormatting>
        <x14:conditionalFormatting xmlns:xm="http://schemas.microsoft.com/office/excel/2006/main">
          <x14:cfRule type="cellIs" priority="36" operator="greaterThanOrEqual" id="{0072668A-D40D-442D-B5B0-AC4A15375DC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7" operator="lessThan" id="{5F91402D-09C2-4063-8A5D-E562ED4D31D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35" operator="equal" id="{C18B6663-2E71-4228-A138-E247E89EFC5F}">
            <xm:f>Table!$C$54</xm:f>
            <x14:dxf>
              <fill>
                <patternFill>
                  <bgColor rgb="FF92D050"/>
                </patternFill>
              </fill>
            </x14:dxf>
          </x14:cfRule>
          <x14:cfRule type="cellIs" priority="52" operator="equal" id="{43B8B481-5A1B-47CE-90DF-2054C2B8C882}">
            <xm:f>Table!$C$52</xm:f>
            <x14:dxf>
              <font>
                <b/>
                <i val="0"/>
              </font>
              <fill>
                <patternFill>
                  <bgColor rgb="FF00B0F0"/>
                </patternFill>
              </fill>
            </x14:dxf>
          </x14:cfRule>
          <x14:cfRule type="cellIs" priority="53" operator="equal" id="{3A078E76-5017-4189-B74E-BB3DF4883A63}">
            <xm:f>Table!$C$53</xm:f>
            <x14:dxf>
              <fill>
                <patternFill>
                  <bgColor theme="9" tint="0.39994506668294322"/>
                </patternFill>
              </fill>
            </x14:dxf>
          </x14:cfRule>
          <xm:sqref>K415:K1265 K60:K367 K401:K412</xm:sqref>
        </x14:conditionalFormatting>
        <x14:conditionalFormatting xmlns:xm="http://schemas.microsoft.com/office/excel/2006/main">
          <x14:cfRule type="cellIs" priority="34" operator="equal" id="{71FBB74D-7765-4F51-95B0-1D5BE3310EFE}">
            <xm:f>Table!$C$55</xm:f>
            <x14:dxf>
              <fill>
                <patternFill>
                  <bgColor rgb="FFFFFF00"/>
                </patternFill>
              </fill>
            </x14:dxf>
          </x14:cfRule>
          <xm:sqref>K60:K367 K401:K412</xm:sqref>
        </x14:conditionalFormatting>
        <x14:conditionalFormatting xmlns:xm="http://schemas.microsoft.com/office/excel/2006/main">
          <x14:cfRule type="cellIs" priority="3" operator="equal" id="{63697050-ECFA-4595-BFEE-61649F3ECEBB}">
            <xm:f>'\duongnguyen\0000_Project\001_Prj\02_JOEM\[Summary_JOEM_COEM_20200801.xlsm]Table'!#REF!</xm:f>
            <x14:dxf>
              <fill>
                <patternFill>
                  <bgColor rgb="FF0066FF"/>
                </patternFill>
              </fill>
            </x14:dxf>
          </x14:cfRule>
          <x14:cfRule type="cellIs" priority="4" operator="equal" id="{813092AA-A346-4CBC-B44C-9B460A13387D}">
            <xm:f>'\duongnguyen\0000_Project\001_Prj\02_JOEM\[Summary_JOEM_COEM_20200801.xlsm]Table'!#REF!</xm:f>
            <x14:dxf>
              <fill>
                <patternFill>
                  <bgColor rgb="FF92D050"/>
                </patternFill>
              </fill>
            </x14:dxf>
          </x14:cfRule>
          <xm:sqref>D368:D400</xm:sqref>
        </x14:conditionalFormatting>
        <x14:conditionalFormatting xmlns:xm="http://schemas.microsoft.com/office/excel/2006/main">
          <x14:cfRule type="cellIs" priority="7" operator="equal" id="{18A4CBE1-7C2E-4BAE-BB45-CA22CA8A7A38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14:cfRule type="cellIs" priority="8" operator="equal" id="{115F8EC4-57C9-4CD9-B520-061786BD2C46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m:sqref>AK368:AK400</xm:sqref>
        </x14:conditionalFormatting>
        <x14:conditionalFormatting xmlns:xm="http://schemas.microsoft.com/office/excel/2006/main">
          <x14:cfRule type="cellIs" priority="2" operator="equal" id="{E206BC33-E8F2-414D-B57B-BAB31AAEF787}">
            <xm:f>'\duongnguyen\0000_Project\001_Prj\02_JOEM\[Summary_JOEM_COEM_20200801.xlsm]Table'!#REF!</xm:f>
            <x14:dxf>
              <fill>
                <patternFill>
                  <bgColor rgb="FF92D050"/>
                </patternFill>
              </fill>
            </x14:dxf>
          </x14:cfRule>
          <x14:cfRule type="cellIs" priority="5" operator="equal" id="{735E5541-FC83-43EE-B333-B1B2DF46341E}">
            <xm:f>'\duongnguyen\0000_Project\001_Prj\02_JOEM\[Summary_JOEM_COEM_20200801.xlsm]Table'!#REF!</xm:f>
            <x14:dxf>
              <font>
                <b/>
                <i val="0"/>
              </font>
              <fill>
                <patternFill>
                  <bgColor rgb="FF00B0F0"/>
                </patternFill>
              </fill>
            </x14:dxf>
          </x14:cfRule>
          <x14:cfRule type="cellIs" priority="6" operator="equal" id="{E52778C6-EF87-4381-96C8-0E950E63F54A}">
            <xm:f>'\duongnguyen\0000_Project\001_Prj\02_JOEM\[Summary_JOEM_COEM_20200801.xlsm]Table'!#REF!</xm:f>
            <x14:dxf>
              <fill>
                <patternFill>
                  <bgColor theme="9" tint="0.39994506668294322"/>
                </patternFill>
              </fill>
            </x14:dxf>
          </x14:cfRule>
          <xm:sqref>K368:K400</xm:sqref>
        </x14:conditionalFormatting>
        <x14:conditionalFormatting xmlns:xm="http://schemas.microsoft.com/office/excel/2006/main">
          <x14:cfRule type="cellIs" priority="1" operator="equal" id="{24822C35-8D4E-46C6-8C4B-B871A57262F2}">
            <xm:f>'\duongnguyen\0000_Project\001_Prj\02_JOEM\[Summary_JOEM_COEM_20200801.xlsm]Table'!#REF!</xm:f>
            <x14:dxf>
              <fill>
                <patternFill>
                  <bgColor rgb="FFFFFF00"/>
                </patternFill>
              </fill>
            </x14:dxf>
          </x14:cfRule>
          <xm:sqref>K368:K400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Table!$C$41:$C$43</xm:f>
          </x14:formula1>
          <xm:sqref>AK60:AK249 AK251:AK367 AK401:AK412</xm:sqref>
        </x14:dataValidation>
        <x14:dataValidation type="list" allowBlank="1" showInputMessage="1" showErrorMessage="1">
          <x14:formula1>
            <xm:f>Table!$C$31:$C$37</xm:f>
          </x14:formula1>
          <xm:sqref>AA401:AA412 AA60:AA367</xm:sqref>
        </x14:dataValidation>
        <x14:dataValidation type="list" allowBlank="1" showInputMessage="1" showErrorMessage="1">
          <x14:formula1>
            <xm:f>Table!$C$13:$C$27</xm:f>
          </x14:formula1>
          <xm:sqref>S60:T367 S401:T412 Q422:Q426</xm:sqref>
        </x14:dataValidation>
        <x14:dataValidation type="list" allowBlank="1" showInputMessage="1" showErrorMessage="1">
          <x14:formula1>
            <xm:f>Table!$C$8:$C$9</xm:f>
          </x14:formula1>
          <xm:sqref>D60:D412</xm:sqref>
        </x14:dataValidation>
        <x14:dataValidation type="list" allowBlank="1" showInputMessage="1" showErrorMessage="1">
          <x14:formula1>
            <xm:f>Table!$C$52:$C$55</xm:f>
          </x14:formula1>
          <xm:sqref>K60:K367 K401:K412</xm:sqref>
        </x14:dataValidation>
        <x14:dataValidation type="list" allowBlank="1" showInputMessage="1" showErrorMessage="1">
          <x14:formula1>
            <xm:f>[Summary_JOEM_COEM_20200801.xlsm]Table!#REF!</xm:f>
          </x14:formula1>
          <xm:sqref>K368:K400</xm:sqref>
        </x14:dataValidation>
        <x14:dataValidation type="list" allowBlank="1" showInputMessage="1" showErrorMessage="1">
          <x14:formula1>
            <xm:f>[Summary_JOEM_COEM_20200801.xlsm]Table!#REF!</xm:f>
          </x14:formula1>
          <xm:sqref>S368:T400</xm:sqref>
        </x14:dataValidation>
        <x14:dataValidation type="list" allowBlank="1" showInputMessage="1" showErrorMessage="1">
          <x14:formula1>
            <xm:f>[Summary_JOEM_COEM_20200801.xlsm]Table!#REF!</xm:f>
          </x14:formula1>
          <xm:sqref>AA368:AA400</xm:sqref>
        </x14:dataValidation>
        <x14:dataValidation type="list" allowBlank="1" showInputMessage="1" showErrorMessage="1">
          <x14:formula1>
            <xm:f>[Summary_JOEM_COEM_20200801.xlsm]Table!#REF!</xm:f>
          </x14:formula1>
          <xm:sqref>AK368:AK400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N355"/>
  <sheetViews>
    <sheetView topLeftCell="A305" zoomScale="70" zoomScaleNormal="70" workbookViewId="0">
      <selection activeCell="J31" sqref="J31"/>
    </sheetView>
  </sheetViews>
  <sheetFormatPr defaultRowHeight="15" x14ac:dyDescent="0.25"/>
  <cols>
    <col min="2" max="2" width="9.28515625" bestFit="1" customWidth="1"/>
    <col min="3" max="3" width="21" bestFit="1" customWidth="1"/>
    <col min="4" max="4" width="9.28515625" bestFit="1" customWidth="1"/>
    <col min="5" max="5" width="24.42578125" bestFit="1" customWidth="1"/>
    <col min="6" max="6" width="36" bestFit="1" customWidth="1"/>
    <col min="7" max="8" width="9.28515625" bestFit="1" customWidth="1"/>
    <col min="9" max="9" width="59.7109375" customWidth="1"/>
    <col min="10" max="10" width="9.28515625" bestFit="1" customWidth="1"/>
    <col min="11" max="11" width="12.42578125" customWidth="1"/>
    <col min="12" max="12" width="9.28515625" bestFit="1" customWidth="1"/>
    <col min="13" max="13" width="12.85546875" customWidth="1"/>
    <col min="14" max="14" width="36.140625" bestFit="1" customWidth="1"/>
    <col min="15" max="15" width="17" customWidth="1"/>
    <col min="16" max="16" width="11.5703125" bestFit="1" customWidth="1"/>
    <col min="18" max="18" width="11.5703125" bestFit="1" customWidth="1"/>
    <col min="19" max="19" width="21.42578125" bestFit="1" customWidth="1"/>
    <col min="26" max="26" width="11.140625" bestFit="1" customWidth="1"/>
    <col min="27" max="27" width="16.85546875" bestFit="1" customWidth="1"/>
    <col min="28" max="28" width="17.140625" bestFit="1" customWidth="1"/>
    <col min="29" max="29" width="17.42578125" bestFit="1" customWidth="1"/>
    <col min="30" max="30" width="16" bestFit="1" customWidth="1"/>
    <col min="31" max="32" width="14.5703125" bestFit="1" customWidth="1"/>
    <col min="34" max="36" width="10.140625" bestFit="1" customWidth="1"/>
    <col min="37" max="37" width="11.140625" bestFit="1" customWidth="1"/>
  </cols>
  <sheetData>
    <row r="1" spans="1:17" x14ac:dyDescent="0.25">
      <c r="A1" s="64" t="s">
        <v>135</v>
      </c>
    </row>
    <row r="2" spans="1:17" x14ac:dyDescent="0.25">
      <c r="B2" s="64" t="s">
        <v>49</v>
      </c>
      <c r="C2" s="22"/>
      <c r="D2" s="22"/>
      <c r="E2" s="22"/>
      <c r="F2" s="22"/>
      <c r="G2" s="22"/>
      <c r="H2" s="22"/>
    </row>
    <row r="3" spans="1:17" x14ac:dyDescent="0.25">
      <c r="B3" s="57" t="s">
        <v>0</v>
      </c>
      <c r="C3" s="57" t="s">
        <v>8</v>
      </c>
      <c r="D3" s="57" t="s">
        <v>400</v>
      </c>
      <c r="E3" s="57" t="s">
        <v>50</v>
      </c>
      <c r="F3" s="57" t="s">
        <v>125</v>
      </c>
      <c r="G3" s="57" t="s">
        <v>22</v>
      </c>
      <c r="H3" s="58" t="s">
        <v>24</v>
      </c>
      <c r="I3" s="2" t="s">
        <v>949</v>
      </c>
      <c r="J3" s="2" t="s">
        <v>950</v>
      </c>
      <c r="K3" s="2" t="s">
        <v>22</v>
      </c>
      <c r="O3" s="64" t="s">
        <v>39</v>
      </c>
    </row>
    <row r="4" spans="1:17" x14ac:dyDescent="0.25">
      <c r="B4" s="59">
        <v>1</v>
      </c>
      <c r="C4" s="72" t="s">
        <v>6</v>
      </c>
      <c r="D4" s="61">
        <f>SUMIFS($W$60:$W$352,$D$60:$D$352,Table!$D$3,$S$60:$S$352,C4)</f>
        <v>0</v>
      </c>
      <c r="E4" s="61">
        <f>SUMIFS($X$60:$X$352,$D$60:$D$352,Table!$D$3,$S$60:$S$352,C4)-SUM(SUMIFS($X$60:$X$352,$D$60:$D$352,Table!$D$3,$S$60:$S$352,C4,$AA$60:$AA$352,{"Ongoing","N\A",""}))</f>
        <v>0</v>
      </c>
      <c r="F4" s="61">
        <f>ROUND(1/8*(SUMIFS($Z$60:$Z$352,$D$60:$D$352,Table!$D$3,$S$60:$S$352,C4)-SUM(SUMIFS($Z$60:$Z$352,$D$60:$D$352,Table!$D$3,$S$60:$S$352,C4,$AA$60:$AA$352,{"Ongoing","N/A",""}))),4)</f>
        <v>0</v>
      </c>
      <c r="G4" s="61" t="str">
        <f>IF(ISERROR(E4/(F4)),"N/A",E4/F4)</f>
        <v>N/A</v>
      </c>
      <c r="H4" s="62" t="str">
        <f>IF(ISERROR(E4/D4),"N/A",E4/D4)</f>
        <v>N/A</v>
      </c>
      <c r="I4" s="3">
        <v>0</v>
      </c>
      <c r="J4" s="3">
        <f t="shared" ref="J4:J17" si="0">E4-I4</f>
        <v>0</v>
      </c>
      <c r="K4" s="61" t="str">
        <f>IF(J4&lt;&gt;0,J4/$P$20,G4)</f>
        <v>N/A</v>
      </c>
      <c r="P4" s="64" t="s">
        <v>41</v>
      </c>
    </row>
    <row r="5" spans="1:17" x14ac:dyDescent="0.25">
      <c r="B5" s="59">
        <v>2</v>
      </c>
      <c r="C5" s="69" t="s">
        <v>61</v>
      </c>
      <c r="D5" s="61">
        <f>SUMIFS($W$60:$W$352,$D$60:$D$352,Table!$D$3,$S$60:$S$352,C5)</f>
        <v>0</v>
      </c>
      <c r="E5" s="61">
        <f>SUMIFS($X$60:$X$352,$D$60:$D$352,Table!$D$3,$S$60:$S$352,C5)-SUM(SUMIFS($X$60:$X$352,$D$60:$D$352,Table!$D$3,$S$60:$S$352,C5,$AA$60:$AA$352,{"Ongoing","N\A",""}))</f>
        <v>0</v>
      </c>
      <c r="F5" s="61">
        <f>ROUND(1/8*(SUMIFS($Z$60:$Z$352,$D$60:$D$352,Table!$D$3,$S$60:$S$352,C5)-SUM(SUMIFS($Z$60:$Z$352,$D$60:$D$352,Table!$D$3,$S$60:$S$352,C5,$AA$60:$AA$352,{"Ongoing","N/A",""}))),4)</f>
        <v>0</v>
      </c>
      <c r="G5" s="61" t="str">
        <f t="shared" ref="G5:G12" si="1">IF(ISERROR(E5/(F5)),"N/A",E5/F5)</f>
        <v>N/A</v>
      </c>
      <c r="H5" s="62" t="str">
        <f t="shared" ref="H5:H18" si="2">IF(ISERROR(E5/D5),"N/A",E5/D5)</f>
        <v>N/A</v>
      </c>
      <c r="I5" s="3">
        <v>0</v>
      </c>
      <c r="J5" s="3">
        <f t="shared" si="0"/>
        <v>0</v>
      </c>
      <c r="K5" s="61" t="str">
        <f t="shared" ref="K5:K17" si="3">IF(J5&lt;&gt;0,J5/$P$20,G5)</f>
        <v>N/A</v>
      </c>
      <c r="Q5" s="22" t="s">
        <v>40</v>
      </c>
    </row>
    <row r="6" spans="1:17" x14ac:dyDescent="0.25">
      <c r="B6" s="59">
        <v>3</v>
      </c>
      <c r="C6" s="72" t="s">
        <v>62</v>
      </c>
      <c r="D6" s="61">
        <f>SUMIFS($W$60:$W$352,$D$60:$D$352,Table!$D$3,$S$60:$S$352,C6)</f>
        <v>0</v>
      </c>
      <c r="E6" s="61">
        <f>SUMIFS($X$60:$X$352,$D$60:$D$352,Table!$D$3,$S$60:$S$352,C6)-SUM(SUMIFS($X$60:$X$352,$D$60:$D$352,Table!$D$3,$S$60:$S$352,C6,$AA$60:$AA$352,{"Ongoing","N\A",""}))</f>
        <v>0</v>
      </c>
      <c r="F6" s="61">
        <f>ROUND(1/8*(SUMIFS($Z$60:$Z$352,$D$60:$D$352,Table!$D$3,$S$60:$S$352,C6)-SUM(SUMIFS($Z$60:$Z$352,$D$60:$D$352,Table!$D$3,$S$60:$S$352,C6,$AA$60:$AA$352,{"Ongoing","N/A",""}))),4)</f>
        <v>0</v>
      </c>
      <c r="G6" s="61" t="str">
        <f t="shared" si="1"/>
        <v>N/A</v>
      </c>
      <c r="H6" s="62" t="str">
        <f t="shared" si="2"/>
        <v>N/A</v>
      </c>
      <c r="I6" s="3">
        <v>0</v>
      </c>
      <c r="J6" s="3">
        <f t="shared" si="0"/>
        <v>0</v>
      </c>
      <c r="K6" s="61" t="str">
        <f t="shared" si="3"/>
        <v>N/A</v>
      </c>
      <c r="Q6" s="22" t="s">
        <v>93</v>
      </c>
    </row>
    <row r="7" spans="1:17" x14ac:dyDescent="0.25">
      <c r="B7" s="59">
        <v>4</v>
      </c>
      <c r="C7" s="69" t="s">
        <v>63</v>
      </c>
      <c r="D7" s="61">
        <f>SUMIFS($W$60:$W$352,$D$60:$D$352,Table!$D$3,$S$60:$S$352,C7)</f>
        <v>0</v>
      </c>
      <c r="E7" s="61">
        <f>SUMIFS($X$60:$X$352,$D$60:$D$352,Table!$D$3,$S$60:$S$352,C7)-SUM(SUMIFS($X$60:$X$352,$D$60:$D$352,Table!$D$3,$S$60:$S$352,C7,$AA$60:$AA$352,{"Ongoing","N\A",""}))</f>
        <v>0</v>
      </c>
      <c r="F7" s="61">
        <f>ROUND(1/8*(SUMIFS($Z$60:$Z$352,$D$60:$D$352,Table!$D$3,$S$60:$S$352,C7)-SUM(SUMIFS($Z$60:$Z$352,$D$60:$D$352,Table!$D$3,$S$60:$S$352,C7,$AA$60:$AA$352,{"Ongoing","N/A",""}))),4)</f>
        <v>0</v>
      </c>
      <c r="G7" s="61" t="str">
        <f t="shared" si="1"/>
        <v>N/A</v>
      </c>
      <c r="H7" s="62" t="str">
        <f t="shared" si="2"/>
        <v>N/A</v>
      </c>
      <c r="I7" s="3">
        <v>0</v>
      </c>
      <c r="J7" s="3">
        <f t="shared" si="0"/>
        <v>0</v>
      </c>
      <c r="K7" s="61" t="str">
        <f t="shared" si="3"/>
        <v>N/A</v>
      </c>
      <c r="P7" s="64"/>
    </row>
    <row r="8" spans="1:17" x14ac:dyDescent="0.25">
      <c r="B8" s="59">
        <v>5</v>
      </c>
      <c r="C8" s="69" t="s">
        <v>925</v>
      </c>
      <c r="D8" s="61">
        <f>SUMIFS($W$60:$W$352,$D$60:$D$352,Table!$D$3,$S$60:$S$352,C8)</f>
        <v>0</v>
      </c>
      <c r="E8" s="61">
        <f>SUMIFS($X$60:$X$352,$D$60:$D$352,Table!$D$3,$S$60:$S$352,C8)-SUM(SUMIFS($X$60:$X$352,$D$60:$D$352,Table!$D$3,$S$60:$S$352,C8,$AA$60:$AA$352,{"Ongoing","N\A",""}))</f>
        <v>0</v>
      </c>
      <c r="F8" s="61">
        <f>ROUND(1/8*(SUMIFS($Z$60:$Z$352,$D$60:$D$352,Table!$D$3,$S$60:$S$352,C8)-SUM(SUMIFS($Z$60:$Z$352,$D$60:$D$352,Table!$D$3,$S$60:$S$352,C8,$AA$60:$AA$352,{"Ongoing","N/A",""}))),4)</f>
        <v>0</v>
      </c>
      <c r="G8" s="61" t="str">
        <f t="shared" si="1"/>
        <v>N/A</v>
      </c>
      <c r="H8" s="62" t="str">
        <f t="shared" si="2"/>
        <v>N/A</v>
      </c>
      <c r="I8" s="3">
        <v>0</v>
      </c>
      <c r="J8" s="3">
        <f t="shared" si="0"/>
        <v>0</v>
      </c>
      <c r="K8" s="61" t="str">
        <f t="shared" si="3"/>
        <v>N/A</v>
      </c>
      <c r="Q8" s="22"/>
    </row>
    <row r="9" spans="1:17" x14ac:dyDescent="0.25">
      <c r="B9" s="59">
        <v>6</v>
      </c>
      <c r="C9" s="60" t="s">
        <v>64</v>
      </c>
      <c r="D9" s="61">
        <f>SUMIFS($W$60:$W$352,$D$60:$D$352,Table!$D$3,$S$60:$S$352,C9)</f>
        <v>0</v>
      </c>
      <c r="E9" s="61">
        <f>SUMIFS($X$60:$X$352,$D$60:$D$352,Table!$D$3,$S$60:$S$352,C9)-SUM(SUMIFS($X$60:$X$352,$D$60:$D$352,Table!$D$3,$S$60:$S$352,C9,$AA$60:$AA$352,{"Ongoing","N\A",""}))</f>
        <v>0</v>
      </c>
      <c r="F9" s="61">
        <f>ROUND(1/8*(SUMIFS($Z$60:$Z$352,$D$60:$D$352,Table!$D$3,$S$60:$S$352,C9)-SUM(SUMIFS($Z$60:$Z$352,$D$60:$D$352,Table!$D$3,$S$60:$S$352,C9,$AA$60:$AA$352,{"Ongoing","N/A",""}))),4)</f>
        <v>0</v>
      </c>
      <c r="G9" s="61" t="str">
        <f t="shared" si="1"/>
        <v>N/A</v>
      </c>
      <c r="H9" s="62" t="str">
        <f t="shared" si="2"/>
        <v>N/A</v>
      </c>
      <c r="I9" s="3">
        <v>0</v>
      </c>
      <c r="J9" s="3">
        <f t="shared" si="0"/>
        <v>0</v>
      </c>
      <c r="K9" s="61" t="str">
        <f t="shared" si="3"/>
        <v>N/A</v>
      </c>
      <c r="Q9" s="22"/>
    </row>
    <row r="10" spans="1:17" x14ac:dyDescent="0.25">
      <c r="B10" s="59">
        <v>7</v>
      </c>
      <c r="C10" s="60" t="s">
        <v>65</v>
      </c>
      <c r="D10" s="61">
        <f>SUMIFS($W$60:$W$352,$D$60:$D$352,Table!$D$3,$S$60:$S$352,C10)</f>
        <v>0</v>
      </c>
      <c r="E10" s="61">
        <f>SUMIFS($X$60:$X$352,$D$60:$D$352,Table!$D$3,$S$60:$S$352,C10)-SUM(SUMIFS($X$60:$X$352,$D$60:$D$352,Table!$D$3,$S$60:$S$352,C10,$AA$60:$AA$352,{"Ongoing","N\A",""}))</f>
        <v>0</v>
      </c>
      <c r="F10" s="61">
        <f>ROUND(1/8*(SUMIFS($Z$60:$Z$352,$D$60:$D$352,Table!$D$3,$S$60:$S$352,C10)-SUM(SUMIFS($Z$60:$Z$352,$D$60:$D$352,Table!$D$3,$S$60:$S$352,C10,$AA$60:$AA$352,{"Ongoing","N/A",""}))),4)</f>
        <v>0</v>
      </c>
      <c r="G10" s="61" t="str">
        <f t="shared" si="1"/>
        <v>N/A</v>
      </c>
      <c r="H10" s="62" t="str">
        <f t="shared" si="2"/>
        <v>N/A</v>
      </c>
      <c r="I10" s="3">
        <v>0</v>
      </c>
      <c r="J10" s="3">
        <f t="shared" si="0"/>
        <v>0</v>
      </c>
      <c r="K10" s="61" t="str">
        <f t="shared" si="3"/>
        <v>N/A</v>
      </c>
    </row>
    <row r="11" spans="1:17" x14ac:dyDescent="0.25">
      <c r="B11" s="59">
        <v>8</v>
      </c>
      <c r="C11" s="60" t="s">
        <v>66</v>
      </c>
      <c r="D11" s="61">
        <f>SUMIFS($W$60:$W$352,$D$60:$D$352,Table!$D$3,$S$60:$S$352,C11)</f>
        <v>0</v>
      </c>
      <c r="E11" s="61">
        <f>SUMIFS($X$60:$X$352,$D$60:$D$352,Table!$D$3,$S$60:$S$352,C11)-SUM(SUMIFS($X$60:$X$352,$D$60:$D$352,Table!$D$3,$S$60:$S$352,C11,$AA$60:$AA$352,{"Ongoing","N\A",""}))</f>
        <v>0</v>
      </c>
      <c r="F11" s="61">
        <f>ROUND(1/8*(SUMIFS($Z$60:$Z$352,$D$60:$D$352,Table!$D$3,$S$60:$S$352,C11)-SUM(SUMIFS($Z$60:$Z$352,$D$60:$D$352,Table!$D$3,$S$60:$S$352,C11,$AA$60:$AA$352,{"Ongoing","N/A",""}))),4)</f>
        <v>0</v>
      </c>
      <c r="G11" s="61" t="str">
        <f t="shared" si="1"/>
        <v>N/A</v>
      </c>
      <c r="H11" s="62" t="str">
        <f t="shared" si="2"/>
        <v>N/A</v>
      </c>
      <c r="I11" s="3">
        <v>0</v>
      </c>
      <c r="J11" s="3">
        <f t="shared" si="0"/>
        <v>0</v>
      </c>
      <c r="K11" s="61" t="str">
        <f t="shared" si="3"/>
        <v>N/A</v>
      </c>
    </row>
    <row r="12" spans="1:17" x14ac:dyDescent="0.25">
      <c r="B12" s="59">
        <v>9</v>
      </c>
      <c r="C12" s="69" t="s">
        <v>136</v>
      </c>
      <c r="D12" s="61">
        <f>SUMIFS($W$60:$W$352,$D$60:$D$352,Table!$D$3,$S$60:$S$352,C12)</f>
        <v>0</v>
      </c>
      <c r="E12" s="61">
        <f>SUMIFS($X$60:$X$352,$D$60:$D$352,Table!$D$3,$S$60:$S$352,C12)-SUM(SUMIFS($X$60:$X$352,$D$60:$D$352,Table!$D$3,$S$60:$S$352,C12,$AA$60:$AA$352,{"Ongoing","N\A",""}))</f>
        <v>0</v>
      </c>
      <c r="F12" s="61">
        <f>ROUND(1/8*(SUMIFS($Z$60:$Z$352,$D$60:$D$352,Table!$D$3,$S$60:$S$352,C12)-SUM(SUMIFS($Z$60:$Z$352,$D$60:$D$352,Table!$D$3,$S$60:$S$352,C12,$AA$60:$AA$352,{"Ongoing","N/A",""}))),4)</f>
        <v>0</v>
      </c>
      <c r="G12" s="61" t="str">
        <f t="shared" si="1"/>
        <v>N/A</v>
      </c>
      <c r="H12" s="62" t="str">
        <f t="shared" si="2"/>
        <v>N/A</v>
      </c>
      <c r="I12" s="3">
        <v>0</v>
      </c>
      <c r="J12" s="3">
        <f t="shared" si="0"/>
        <v>0</v>
      </c>
      <c r="K12" s="61" t="str">
        <f t="shared" si="3"/>
        <v>N/A</v>
      </c>
    </row>
    <row r="13" spans="1:17" x14ac:dyDescent="0.25">
      <c r="B13" s="59">
        <v>10</v>
      </c>
      <c r="C13" s="69" t="s">
        <v>137</v>
      </c>
      <c r="D13" s="61">
        <f>SUMIFS($W$60:$W$352,$D$60:$D$352,Table!$D$3,$S$60:$S$352,C13)</f>
        <v>0</v>
      </c>
      <c r="E13" s="61">
        <f>SUMIFS($X$60:$X$352,$D$60:$D$352,Table!$D$3,$S$60:$S$352,C13)-SUM(SUMIFS($X$60:$X$352,$D$60:$D$352,Table!$D$3,$S$60:$S$352,C13,$AA$60:$AA$352,{"Ongoing","N\A",""}))</f>
        <v>0</v>
      </c>
      <c r="F13" s="61">
        <f>ROUND(1/8*(SUMIFS($Z$60:$Z$352,$D$60:$D$352,Table!$D$3,$S$60:$S$352,C13)-SUM(SUMIFS($Z$60:$Z$352,$D$60:$D$352,Table!$D$3,$S$60:$S$352,C13,$AA$60:$AA$352,{"Ongoing","N/A",""}))),4)</f>
        <v>0</v>
      </c>
      <c r="G13" s="61" t="str">
        <f t="shared" ref="G13:G17" si="4">IF(ISERROR(E13/(F13)),"N/A",E13/F13)</f>
        <v>N/A</v>
      </c>
      <c r="H13" s="62" t="str">
        <f t="shared" ref="H13:H17" si="5">IF(ISERROR(E13/D13),"N/A",E13/D13)</f>
        <v>N/A</v>
      </c>
      <c r="I13" s="3">
        <v>0</v>
      </c>
      <c r="J13" s="3">
        <f t="shared" si="0"/>
        <v>0</v>
      </c>
      <c r="K13" s="61" t="str">
        <f t="shared" si="3"/>
        <v>N/A</v>
      </c>
    </row>
    <row r="14" spans="1:17" x14ac:dyDescent="0.25">
      <c r="B14" s="59">
        <v>11</v>
      </c>
      <c r="C14" s="72" t="s">
        <v>327</v>
      </c>
      <c r="D14" s="61">
        <f>SUMIFS($W$60:$W$352,$D$60:$D$352,Table!$D$3,$S$60:$S$352,C14)</f>
        <v>1440</v>
      </c>
      <c r="E14" s="61">
        <f>SUMIFS($X$60:$X$352,$D$60:$D$352,Table!$D$3,$S$60:$S$352,C14)-SUM(SUMIFS($X$60:$X$352,$D$60:$D$352,Table!$D$3,$S$60:$S$352,C14,$AA$60:$AA$352,{"Ongoing","N\A",""}))</f>
        <v>1440</v>
      </c>
      <c r="F14" s="61">
        <f>ROUND(1/8*(SUMIFS($Z$60:$Z$352,$D$60:$D$352,Table!$D$3,$S$60:$S$352,C14)-SUM(SUMIFS($Z$60:$Z$352,$D$60:$D$352,Table!$D$3,$S$60:$S$352,C14,$AA$60:$AA$352,{"Ongoing","N/A",""}))),4)</f>
        <v>3.2</v>
      </c>
      <c r="G14" s="61">
        <f t="shared" si="4"/>
        <v>450</v>
      </c>
      <c r="H14" s="62">
        <f t="shared" si="5"/>
        <v>1</v>
      </c>
      <c r="I14" s="3">
        <v>0</v>
      </c>
      <c r="J14" s="3">
        <f t="shared" si="0"/>
        <v>1440</v>
      </c>
      <c r="K14" s="61">
        <f t="shared" ca="1" si="3"/>
        <v>80</v>
      </c>
    </row>
    <row r="15" spans="1:17" x14ac:dyDescent="0.25">
      <c r="B15" s="59">
        <v>12</v>
      </c>
      <c r="C15" s="72" t="s">
        <v>231</v>
      </c>
      <c r="D15" s="61">
        <f>SUMIFS($W$60:$W$352,$D$60:$D$352,Table!$D$3,$S$60:$S$352,C15)</f>
        <v>0</v>
      </c>
      <c r="E15" s="61">
        <f>SUMIFS($X$60:$X$352,$D$60:$D$352,Table!$D$3,$S$60:$S$352,C15)-SUM(SUMIFS($X$60:$X$352,$D$60:$D$352,Table!$D$3,$S$60:$S$352,C15,$AA$60:$AA$352,{"Ongoing","N\A",""}))</f>
        <v>0</v>
      </c>
      <c r="F15" s="61">
        <f>ROUND(1/8*(SUMIFS($Z$60:$Z$352,$D$60:$D$352,Table!$D$3,$S$60:$S$352,C15)-SUM(SUMIFS($Z$60:$Z$352,$D$60:$D$352,Table!$D$3,$S$60:$S$352,C15,$AA$60:$AA$352,{"Ongoing","N/A",""}))),4)</f>
        <v>0</v>
      </c>
      <c r="G15" s="61" t="str">
        <f t="shared" si="4"/>
        <v>N/A</v>
      </c>
      <c r="H15" s="62" t="str">
        <f t="shared" si="5"/>
        <v>N/A</v>
      </c>
      <c r="I15" s="3">
        <v>0</v>
      </c>
      <c r="J15" s="3">
        <f t="shared" si="0"/>
        <v>0</v>
      </c>
      <c r="K15" s="61" t="str">
        <f t="shared" si="3"/>
        <v>N/A</v>
      </c>
    </row>
    <row r="16" spans="1:17" x14ac:dyDescent="0.25">
      <c r="B16" s="59">
        <v>13</v>
      </c>
      <c r="C16" s="72" t="s">
        <v>232</v>
      </c>
      <c r="D16" s="61">
        <f>SUMIFS($W$60:$W$352,$D$60:$D$352,Table!$D$3,$S$60:$S$352,C16)</f>
        <v>0</v>
      </c>
      <c r="E16" s="61">
        <f>SUMIFS($X$60:$X$352,$D$60:$D$352,Table!$D$3,$S$60:$S$352,C16)-SUM(SUMIFS($X$60:$X$352,$D$60:$D$352,Table!$D$3,$S$60:$S$352,C16,$AA$60:$AA$352,{"Ongoing","N\A",""}))</f>
        <v>0</v>
      </c>
      <c r="F16" s="61">
        <f>ROUND(1/8*(SUMIFS($Z$60:$Z$352,$D$60:$D$352,Table!$D$3,$S$60:$S$352,C16)-SUM(SUMIFS($Z$60:$Z$352,$D$60:$D$352,Table!$D$3,$S$60:$S$352,C16,$AA$60:$AA$352,{"Ongoing","N/A",""}))),4)</f>
        <v>0</v>
      </c>
      <c r="G16" s="61" t="str">
        <f t="shared" si="4"/>
        <v>N/A</v>
      </c>
      <c r="H16" s="62" t="str">
        <f t="shared" si="5"/>
        <v>N/A</v>
      </c>
      <c r="I16" s="3">
        <v>0</v>
      </c>
      <c r="J16" s="3">
        <f t="shared" si="0"/>
        <v>0</v>
      </c>
      <c r="K16" s="61" t="str">
        <f t="shared" si="3"/>
        <v>N/A</v>
      </c>
    </row>
    <row r="17" spans="2:24" x14ac:dyDescent="0.25">
      <c r="B17" s="59">
        <v>14</v>
      </c>
      <c r="C17" s="72" t="s">
        <v>233</v>
      </c>
      <c r="D17" s="61">
        <f>SUMIFS($W$60:$W$352,$D$60:$D$352,Table!$D$3,$S$60:$S$352,C17)</f>
        <v>0</v>
      </c>
      <c r="E17" s="61">
        <f>SUMIFS($X$60:$X$352,$D$60:$D$352,Table!$D$3,$S$60:$S$352,C17)-SUM(SUMIFS($X$60:$X$352,$D$60:$D$352,Table!$D$3,$S$60:$S$352,C17,$AA$60:$AA$352,{"Ongoing","N\A",""}))</f>
        <v>0</v>
      </c>
      <c r="F17" s="61">
        <f>ROUND(1/8*(SUMIFS($Z$60:$Z$352,$D$60:$D$352,Table!$D$3,$S$60:$S$352,C17)-SUM(SUMIFS($Z$60:$Z$352,$D$60:$D$352,Table!$D$3,$S$60:$S$352,C17,$AA$60:$AA$352,{"Ongoing","N/A",""}))),4)</f>
        <v>0</v>
      </c>
      <c r="G17" s="61" t="str">
        <f t="shared" si="4"/>
        <v>N/A</v>
      </c>
      <c r="H17" s="62" t="str">
        <f t="shared" si="5"/>
        <v>N/A</v>
      </c>
      <c r="I17" s="3">
        <v>0</v>
      </c>
      <c r="J17" s="3">
        <f t="shared" si="0"/>
        <v>0</v>
      </c>
      <c r="K17" s="61" t="str">
        <f t="shared" si="3"/>
        <v>N/A</v>
      </c>
      <c r="O17" s="64" t="s">
        <v>38</v>
      </c>
      <c r="P17" s="66">
        <f>Template_Total_Report!B23</f>
        <v>44003</v>
      </c>
      <c r="R17" s="66">
        <f>Template_Total_Report!D23</f>
        <v>44027</v>
      </c>
    </row>
    <row r="18" spans="2:24" x14ac:dyDescent="0.25">
      <c r="B18" s="57" t="s">
        <v>102</v>
      </c>
      <c r="C18" s="63"/>
      <c r="D18" s="65">
        <f>SUMIFS($W$60:$W$352,$D$60:$D$352,Table!$D$3)</f>
        <v>1440</v>
      </c>
      <c r="E18" s="65">
        <f>ROUND(SUMIFS($W$60:$W$352,$D$60:$D$352,Table!$D$3)-SUM(SUMIFS($W$60:$W$352,$D$60:$D$352,Table!$D$3,$AA$60:$AA$352,{"Ongoing","N/A",""})),3)</f>
        <v>1440</v>
      </c>
      <c r="F18" s="65">
        <f>ROUND(1/8*(SUMIFS($Z$60:$Z$352,$D$60:$D$352,Table!$D$3)-SUM(SUMIFS($Z$60:$Z$352,$D$60:$D$352,Table!$D$3,$AA$60:$AA$352,{"Ongoing","N/A",""}))),4)</f>
        <v>3.2</v>
      </c>
      <c r="G18" s="61">
        <f>IF(ISERROR(E18/(F18)),"N/A",E18/F18)</f>
        <v>450</v>
      </c>
      <c r="H18" s="62">
        <f t="shared" si="2"/>
        <v>1</v>
      </c>
      <c r="I18" s="3">
        <f>SUM(I4:I17)</f>
        <v>0</v>
      </c>
      <c r="J18" s="3">
        <f>SUM(J4:J17)</f>
        <v>1440</v>
      </c>
      <c r="K18" s="61">
        <f ca="1">AVERAGE(K4:K17)</f>
        <v>80</v>
      </c>
      <c r="O18" s="64" t="s">
        <v>30</v>
      </c>
      <c r="P18" s="67">
        <f>Template_Total_Report!B24</f>
        <v>18</v>
      </c>
    </row>
    <row r="19" spans="2:24" x14ac:dyDescent="0.25">
      <c r="O19" s="64" t="s">
        <v>131</v>
      </c>
      <c r="P19" s="67">
        <f>Template_Total_Report!B25</f>
        <v>0</v>
      </c>
      <c r="Q19" s="68"/>
    </row>
    <row r="20" spans="2:24" x14ac:dyDescent="0.25">
      <c r="O20" s="64" t="s">
        <v>104</v>
      </c>
      <c r="P20" s="22">
        <f ca="1">Template_Total_Report!B26</f>
        <v>18</v>
      </c>
    </row>
    <row r="21" spans="2:24" x14ac:dyDescent="0.25">
      <c r="B21" s="64" t="s">
        <v>48</v>
      </c>
    </row>
    <row r="22" spans="2:24" x14ac:dyDescent="0.25">
      <c r="B22" s="57" t="s">
        <v>0</v>
      </c>
      <c r="C22" s="57" t="s">
        <v>8</v>
      </c>
      <c r="D22" s="57" t="s">
        <v>400</v>
      </c>
      <c r="E22" s="57" t="s">
        <v>50</v>
      </c>
      <c r="F22" s="57" t="s">
        <v>125</v>
      </c>
      <c r="G22" s="57" t="s">
        <v>22</v>
      </c>
      <c r="H22" s="58" t="s">
        <v>24</v>
      </c>
      <c r="I22" s="2" t="s">
        <v>949</v>
      </c>
      <c r="J22" s="2" t="s">
        <v>950</v>
      </c>
      <c r="K22" s="2" t="s">
        <v>22</v>
      </c>
      <c r="X22" s="9" t="s">
        <v>1696</v>
      </c>
    </row>
    <row r="23" spans="2:24" x14ac:dyDescent="0.25">
      <c r="B23" s="59">
        <v>1</v>
      </c>
      <c r="C23" s="72" t="s">
        <v>6</v>
      </c>
      <c r="D23" s="61">
        <f>SUMIFS($W$60:$W$352,$D$60:$D$352,Table!$C$3,$S$60:$S$352,C23)</f>
        <v>0</v>
      </c>
      <c r="E23" s="61">
        <f>SUMIFS($X$60:$X$352,$D$60:$D$352,Table!$C$3,$S$60:$S$352,C23)-SUM(SUMIFS($X$60:$X$352,$D$60:$D$352,Table!$C$3,$S$60:$S$352,C23,$AA$60:$AA$352,{"Ongoing","N/A",""}))</f>
        <v>0</v>
      </c>
      <c r="F23" s="61">
        <f>ROUND(1/8*(SUMIFS($Z$60:$Z$352,$D$60:$D$352,Table!$C$3,$S$60:$S$352,C23)-SUM(SUMIFS($Z$60:$Z$352,$D$60:$D$352,Table!$C$3,$S$60:$S$352,C23,$AA$60:$AA$352,{"Ongoing","N/A",""}))),4)</f>
        <v>0</v>
      </c>
      <c r="G23" s="61" t="str">
        <f>IF(ISERROR(E23/(F23)),"N/A",E23/F23)</f>
        <v>N/A</v>
      </c>
      <c r="H23" s="62" t="str">
        <f>IF(ISERROR(E23/D23),"N/A",E23/D23)</f>
        <v>N/A</v>
      </c>
      <c r="I23" s="3">
        <v>0</v>
      </c>
      <c r="J23" s="3">
        <f t="shared" ref="J23:J36" si="6">E23-I23</f>
        <v>0</v>
      </c>
      <c r="K23" s="61" t="str">
        <f>IF(J23&lt;&gt;0,J23/$P$20,G23)</f>
        <v>N/A</v>
      </c>
    </row>
    <row r="24" spans="2:24" x14ac:dyDescent="0.25">
      <c r="B24" s="59">
        <v>2</v>
      </c>
      <c r="C24" s="69" t="s">
        <v>61</v>
      </c>
      <c r="D24" s="61">
        <f>SUMIFS($W$60:$W$352,$D$60:$D$352,Table!$C$3,$S$60:$S$352,C24)</f>
        <v>2102.9010000000003</v>
      </c>
      <c r="E24" s="61">
        <f>SUMIFS($X$60:$X$352,$D$60:$D$352,Table!$C$3,$S$60:$S$352,C24)-SUM(SUMIFS($X$60:$X$352,$D$60:$D$352,Table!$C$3,$S$60:$S$352,C24,$AA$60:$AA$352,{"Ongoing","N/A",""}))</f>
        <v>2102.9010000000003</v>
      </c>
      <c r="F24" s="61">
        <f>ROUND(1/8*(SUMIFS($Z$60:$Z$352,$D$60:$D$352,Table!$C$3,$S$60:$S$352,C24)-SUM(SUMIFS($Z$60:$Z$352,$D$60:$D$352,Table!$C$3,$S$60:$S$352,C24,$AA$60:$AA$352,{"Ongoing","N/A",""}))),4)</f>
        <v>12.545</v>
      </c>
      <c r="G24" s="61">
        <f t="shared" ref="G24:G37" si="7">IF(ISERROR(E24/(F24)),"N/A",E24/F24)</f>
        <v>167.62861697887607</v>
      </c>
      <c r="H24" s="62">
        <f t="shared" ref="H24:H37" si="8">IF(ISERROR(E24/D24),"N/A",E24/D24)</f>
        <v>1</v>
      </c>
      <c r="I24" s="3">
        <v>0</v>
      </c>
      <c r="J24" s="3">
        <f t="shared" si="6"/>
        <v>2102.9010000000003</v>
      </c>
      <c r="K24" s="61">
        <f t="shared" ref="K24:K36" ca="1" si="9">IF(J24&lt;&gt;0,J24/$P$20,G24)</f>
        <v>116.82783333333334</v>
      </c>
    </row>
    <row r="25" spans="2:24" x14ac:dyDescent="0.25">
      <c r="B25" s="59">
        <v>3</v>
      </c>
      <c r="C25" s="72" t="s">
        <v>62</v>
      </c>
      <c r="D25" s="61">
        <f>SUMIFS($W$60:$W$352,$D$60:$D$352,Table!$C$3,$S$60:$S$352,C25)</f>
        <v>2030.6020000000003</v>
      </c>
      <c r="E25" s="61">
        <f>SUMIFS($X$60:$X$352,$D$60:$D$352,Table!$C$3,$S$60:$S$352,C25)-SUM(SUMIFS($X$60:$X$352,$D$60:$D$352,Table!$C$3,$S$60:$S$352,C25,$AA$60:$AA$352,{"Ongoing","N/A",""}))</f>
        <v>2030.6020000000003</v>
      </c>
      <c r="F25" s="61">
        <f>ROUND(1/8*(SUMIFS($Z$60:$Z$352,$D$60:$D$352,Table!$C$3,$S$60:$S$352,C25)-SUM(SUMIFS($Z$60:$Z$352,$D$60:$D$352,Table!$C$3,$S$60:$S$352,C25,$AA$60:$AA$352,{"Ongoing","N/A",""}))),4)</f>
        <v>6</v>
      </c>
      <c r="G25" s="61">
        <f t="shared" si="7"/>
        <v>338.43366666666674</v>
      </c>
      <c r="H25" s="62">
        <f t="shared" si="8"/>
        <v>1</v>
      </c>
      <c r="I25" s="3">
        <v>0</v>
      </c>
      <c r="J25" s="3">
        <f t="shared" si="6"/>
        <v>2030.6020000000003</v>
      </c>
      <c r="K25" s="61">
        <f t="shared" ca="1" si="9"/>
        <v>112.81122222222224</v>
      </c>
    </row>
    <row r="26" spans="2:24" x14ac:dyDescent="0.25">
      <c r="B26" s="59">
        <v>4</v>
      </c>
      <c r="C26" s="69" t="s">
        <v>63</v>
      </c>
      <c r="D26" s="61">
        <f>SUMIFS($W$60:$W$352,$D$60:$D$352,Table!$C$3,$S$60:$S$352,C26)</f>
        <v>2047.0660000000003</v>
      </c>
      <c r="E26" s="61">
        <f>SUMIFS($X$60:$X$352,$D$60:$D$352,Table!$C$3,$S$60:$S$352,C26)-SUM(SUMIFS($X$60:$X$352,$D$60:$D$352,Table!$C$3,$S$60:$S$352,C26,$AA$60:$AA$352,{"Ongoing","N/A",""}))</f>
        <v>2047.0660000000003</v>
      </c>
      <c r="F26" s="61">
        <f>ROUND(1/8*(SUMIFS($Z$60:$Z$352,$D$60:$D$352,Table!$C$3,$S$60:$S$352,C26)-SUM(SUMIFS($Z$60:$Z$352,$D$60:$D$352,Table!$C$3,$S$60:$S$352,C26,$AA$60:$AA$352,{"Ongoing","N/A",""}))),4)</f>
        <v>10.25</v>
      </c>
      <c r="G26" s="61">
        <f t="shared" si="7"/>
        <v>199.713756097561</v>
      </c>
      <c r="H26" s="62">
        <f t="shared" si="8"/>
        <v>1</v>
      </c>
      <c r="I26" s="3">
        <v>0</v>
      </c>
      <c r="J26" s="3">
        <f t="shared" si="6"/>
        <v>2047.0660000000003</v>
      </c>
      <c r="K26" s="61">
        <f t="shared" ca="1" si="9"/>
        <v>113.7258888888889</v>
      </c>
    </row>
    <row r="27" spans="2:24" x14ac:dyDescent="0.25">
      <c r="B27" s="59">
        <v>5</v>
      </c>
      <c r="C27" s="69" t="s">
        <v>925</v>
      </c>
      <c r="D27" s="61">
        <f>SUMIFS($W$60:$W$352,$D$60:$D$352,Table!$C$3,$S$60:$S$352,C27)</f>
        <v>1062.0999999999999</v>
      </c>
      <c r="E27" s="61">
        <f>SUMIFS($X$60:$X$352,$D$60:$D$352,Table!$C$3,$S$60:$S$352,C27)-SUM(SUMIFS($X$60:$X$352,$D$60:$D$352,Table!$C$3,$S$60:$S$352,C27,$AA$60:$AA$352,{"Ongoing","N/A",""}))</f>
        <v>1062.0999999999999</v>
      </c>
      <c r="F27" s="61">
        <f>ROUND(1/8*(SUMIFS($Z$60:$Z$352,$D$60:$D$352,Table!$C$3,$S$60:$S$352,C27)-SUM(SUMIFS($Z$60:$Z$352,$D$60:$D$352,Table!$C$3,$S$60:$S$352,C27,$AA$60:$AA$352,{"Ongoing","N/A",""}))),4)</f>
        <v>8</v>
      </c>
      <c r="G27" s="61">
        <f t="shared" si="7"/>
        <v>132.76249999999999</v>
      </c>
      <c r="H27" s="62">
        <f t="shared" si="8"/>
        <v>1</v>
      </c>
      <c r="I27" s="3">
        <v>0</v>
      </c>
      <c r="J27" s="3">
        <f t="shared" si="6"/>
        <v>1062.0999999999999</v>
      </c>
      <c r="K27" s="61">
        <f t="shared" ca="1" si="9"/>
        <v>59.005555555555553</v>
      </c>
    </row>
    <row r="28" spans="2:24" x14ac:dyDescent="0.25">
      <c r="B28" s="59">
        <v>6</v>
      </c>
      <c r="C28" s="60" t="s">
        <v>64</v>
      </c>
      <c r="D28" s="61">
        <f>SUMIFS($W$60:$W$352,$D$60:$D$352,Table!$C$3,$S$60:$S$352,C28)</f>
        <v>0</v>
      </c>
      <c r="E28" s="61">
        <f>SUMIFS($X$60:$X$352,$D$60:$D$352,Table!$C$3,$S$60:$S$352,C28)-SUM(SUMIFS($X$60:$X$352,$D$60:$D$352,Table!$C$3,$S$60:$S$352,C28,$AA$60:$AA$352,{"Ongoing","N/A",""}))</f>
        <v>0</v>
      </c>
      <c r="F28" s="61">
        <f>ROUND(1/8*(SUMIFS($Z$60:$Z$352,$D$60:$D$352,Table!$C$3,$S$60:$S$352,C28)-SUM(SUMIFS($Z$60:$Z$352,$D$60:$D$352,Table!$C$3,$S$60:$S$352,C28,$AA$60:$AA$352,{"Ongoing","N/A",""}))),4)</f>
        <v>0</v>
      </c>
      <c r="G28" s="61" t="str">
        <f t="shared" si="7"/>
        <v>N/A</v>
      </c>
      <c r="H28" s="62" t="str">
        <f t="shared" si="8"/>
        <v>N/A</v>
      </c>
      <c r="I28" s="3">
        <v>0</v>
      </c>
      <c r="J28" s="3">
        <f t="shared" si="6"/>
        <v>0</v>
      </c>
      <c r="K28" s="61" t="str">
        <f t="shared" si="9"/>
        <v>N/A</v>
      </c>
    </row>
    <row r="29" spans="2:24" x14ac:dyDescent="0.25">
      <c r="B29" s="59">
        <v>7</v>
      </c>
      <c r="C29" s="60" t="s">
        <v>65</v>
      </c>
      <c r="D29" s="61">
        <f>SUMIFS($W$60:$W$352,$D$60:$D$352,Table!$C$3,$S$60:$S$352,C29)</f>
        <v>0</v>
      </c>
      <c r="E29" s="61">
        <f>SUMIFS($X$60:$X$352,$D$60:$D$352,Table!$C$3,$S$60:$S$352,C29)-SUM(SUMIFS($X$60:$X$352,$D$60:$D$352,Table!$C$3,$S$60:$S$352,C29,$AA$60:$AA$352,{"Ongoing","N/A",""}))</f>
        <v>0</v>
      </c>
      <c r="F29" s="61">
        <f>ROUND(1/8*(SUMIFS($Z$60:$Z$352,$D$60:$D$352,Table!$C$3,$S$60:$S$352,C29)-SUM(SUMIFS($Z$60:$Z$352,$D$60:$D$352,Table!$C$3,$S$60:$S$352,C29,$AA$60:$AA$352,{"Ongoing","N/A",""}))),4)</f>
        <v>0</v>
      </c>
      <c r="G29" s="61" t="str">
        <f t="shared" si="7"/>
        <v>N/A</v>
      </c>
      <c r="H29" s="62" t="str">
        <f t="shared" si="8"/>
        <v>N/A</v>
      </c>
      <c r="I29" s="3">
        <v>0</v>
      </c>
      <c r="J29" s="3">
        <f t="shared" si="6"/>
        <v>0</v>
      </c>
      <c r="K29" s="61" t="str">
        <f t="shared" si="9"/>
        <v>N/A</v>
      </c>
    </row>
    <row r="30" spans="2:24" x14ac:dyDescent="0.25">
      <c r="B30" s="59">
        <v>8</v>
      </c>
      <c r="C30" s="60" t="s">
        <v>66</v>
      </c>
      <c r="D30" s="61">
        <f>SUMIFS($W$60:$W$352,$D$60:$D$352,Table!$C$3,$S$60:$S$352,C30)</f>
        <v>0</v>
      </c>
      <c r="E30" s="61">
        <f>SUMIFS($X$60:$X$352,$D$60:$D$352,Table!$C$3,$S$60:$S$352,C30)-SUM(SUMIFS($X$60:$X$352,$D$60:$D$352,Table!$C$3,$S$60:$S$352,C30,$AA$60:$AA$352,{"Ongoing","N/A",""}))</f>
        <v>0</v>
      </c>
      <c r="F30" s="61">
        <f>ROUND(1/8*(SUMIFS($Z$60:$Z$352,$D$60:$D$352,Table!$C$3,$S$60:$S$352,C30)-SUM(SUMIFS($Z$60:$Z$352,$D$60:$D$352,Table!$C$3,$S$60:$S$352,C30,$AA$60:$AA$352,{"Ongoing","N/A",""}))),4)</f>
        <v>0</v>
      </c>
      <c r="G30" s="61" t="str">
        <f t="shared" si="7"/>
        <v>N/A</v>
      </c>
      <c r="H30" s="62" t="str">
        <f t="shared" si="8"/>
        <v>N/A</v>
      </c>
      <c r="I30" s="3">
        <v>0</v>
      </c>
      <c r="J30" s="3">
        <f t="shared" si="6"/>
        <v>0</v>
      </c>
      <c r="K30" s="61" t="str">
        <f t="shared" si="9"/>
        <v>N/A</v>
      </c>
    </row>
    <row r="31" spans="2:24" x14ac:dyDescent="0.25">
      <c r="B31" s="59">
        <v>9</v>
      </c>
      <c r="C31" s="69" t="s">
        <v>136</v>
      </c>
      <c r="D31" s="61">
        <f>SUMIFS($W$60:$W$352,$D$60:$D$352,Table!$C$3,$S$60:$S$352,C31)</f>
        <v>2085.8679999999999</v>
      </c>
      <c r="E31" s="61">
        <f>SUMIFS($X$60:$X$352,$D$60:$D$352,Table!$C$3,$S$60:$S$352,C31)-SUM(SUMIFS($X$60:$X$352,$D$60:$D$352,Table!$C$3,$S$60:$S$352,C31,$AA$60:$AA$352,{"Ongoing","N/A",""}))</f>
        <v>2085.8679999999999</v>
      </c>
      <c r="F31" s="61">
        <f>ROUND(1/8*(SUMIFS($Z$60:$Z$352,$D$60:$D$352,Table!$C$3,$S$60:$S$352,C31)-SUM(SUMIFS($Z$60:$Z$352,$D$60:$D$352,Table!$C$3,$S$60:$S$352,C31,$AA$60:$AA$352,{"Ongoing","N/A",""}))),4)</f>
        <v>12.625</v>
      </c>
      <c r="G31" s="61">
        <f t="shared" si="7"/>
        <v>165.21726732673267</v>
      </c>
      <c r="H31" s="62">
        <f t="shared" si="8"/>
        <v>1</v>
      </c>
      <c r="I31" s="3">
        <v>0</v>
      </c>
      <c r="J31" s="3">
        <f t="shared" si="6"/>
        <v>2085.8679999999999</v>
      </c>
      <c r="K31" s="61">
        <f t="shared" ca="1" si="9"/>
        <v>115.88155555555555</v>
      </c>
    </row>
    <row r="32" spans="2:24" x14ac:dyDescent="0.25">
      <c r="B32" s="59">
        <v>10</v>
      </c>
      <c r="C32" s="69" t="s">
        <v>137</v>
      </c>
      <c r="D32" s="61">
        <f>SUMIFS($W$60:$W$352,$D$60:$D$352,Table!$C$3,$S$60:$S$352,C32)</f>
        <v>939.90000000000009</v>
      </c>
      <c r="E32" s="61">
        <f>SUMIFS($X$60:$X$352,$D$60:$D$352,Table!$C$3,$S$60:$S$352,C32)-SUM(SUMIFS($X$60:$X$352,$D$60:$D$352,Table!$C$3,$S$60:$S$352,C32,$AA$60:$AA$352,{"Ongoing","N/A",""}))</f>
        <v>939.90000000000009</v>
      </c>
      <c r="F32" s="61">
        <f>ROUND(1/8*(SUMIFS($Z$60:$Z$352,$D$60:$D$352,Table!$C$3,$S$60:$S$352,C32)-SUM(SUMIFS($Z$60:$Z$352,$D$60:$D$352,Table!$C$3,$S$60:$S$352,C32,$AA$60:$AA$352,{"Ongoing","N/A",""}))),4)</f>
        <v>7.0250000000000004</v>
      </c>
      <c r="G32" s="61">
        <f t="shared" ref="G32:G36" si="10">IF(ISERROR(E32/(F32)),"N/A",E32/F32)</f>
        <v>133.79359430604984</v>
      </c>
      <c r="H32" s="62">
        <f t="shared" ref="H32:H36" si="11">IF(ISERROR(E32/D32),"N/A",E32/D32)</f>
        <v>1</v>
      </c>
      <c r="I32" s="3">
        <v>0</v>
      </c>
      <c r="J32" s="3">
        <f t="shared" si="6"/>
        <v>939.90000000000009</v>
      </c>
      <c r="K32" s="61">
        <f t="shared" ca="1" si="9"/>
        <v>52.216666666666669</v>
      </c>
    </row>
    <row r="33" spans="1:13" x14ac:dyDescent="0.25">
      <c r="B33" s="59">
        <v>11</v>
      </c>
      <c r="C33" s="69" t="s">
        <v>327</v>
      </c>
      <c r="D33" s="61">
        <f>SUMIFS($W$60:$W$352,$D$60:$D$352,Table!$C$3,$S$60:$S$352,C33)</f>
        <v>1421.924</v>
      </c>
      <c r="E33" s="61">
        <f>SUMIFS($X$60:$X$352,$D$60:$D$352,Table!$C$3,$S$60:$S$352,C33)-SUM(SUMIFS($X$60:$X$352,$D$60:$D$352,Table!$C$3,$S$60:$S$352,C33,$AA$60:$AA$352,{"Ongoing","N/A",""}))</f>
        <v>1421.924</v>
      </c>
      <c r="F33" s="61">
        <f>ROUND(1/8*(SUMIFS($Z$60:$Z$352,$D$60:$D$352,Table!$C$3,$S$60:$S$352,C33)-SUM(SUMIFS($Z$60:$Z$352,$D$60:$D$352,Table!$C$3,$S$60:$S$352,C33,$AA$60:$AA$352,{"Ongoing","N/A",""}))),4)</f>
        <v>9.8880999999999997</v>
      </c>
      <c r="G33" s="61">
        <f t="shared" si="10"/>
        <v>143.80153922391563</v>
      </c>
      <c r="H33" s="62">
        <f t="shared" si="11"/>
        <v>1</v>
      </c>
      <c r="I33" s="3">
        <v>0</v>
      </c>
      <c r="J33" s="3">
        <f t="shared" si="6"/>
        <v>1421.924</v>
      </c>
      <c r="K33" s="61">
        <f t="shared" ca="1" si="9"/>
        <v>78.995777777777775</v>
      </c>
    </row>
    <row r="34" spans="1:13" x14ac:dyDescent="0.25">
      <c r="B34" s="59">
        <v>12</v>
      </c>
      <c r="C34" s="72" t="s">
        <v>231</v>
      </c>
      <c r="D34" s="61">
        <f>SUMIFS($W$60:$W$352,$D$60:$D$352,Table!$C$3,$S$60:$S$352,C34)</f>
        <v>0</v>
      </c>
      <c r="E34" s="61">
        <f>SUMIFS($X$60:$X$352,$D$60:$D$352,Table!$C$3,$S$60:$S$352,C34)-SUM(SUMIFS($X$60:$X$352,$D$60:$D$352,Table!$C$3,$S$60:$S$352,C34,$AA$60:$AA$352,{"Ongoing","N/A",""}))</f>
        <v>0</v>
      </c>
      <c r="F34" s="61">
        <f>ROUND(1/8*(SUMIFS($Z$60:$Z$352,$D$60:$D$352,Table!$C$3,$S$60:$S$352,C34)-SUM(SUMIFS($Z$60:$Z$352,$D$60:$D$352,Table!$C$3,$S$60:$S$352,C34,$AA$60:$AA$352,{"Ongoing","N/A",""}))),4)</f>
        <v>0</v>
      </c>
      <c r="G34" s="61" t="str">
        <f t="shared" si="10"/>
        <v>N/A</v>
      </c>
      <c r="H34" s="62" t="str">
        <f t="shared" si="11"/>
        <v>N/A</v>
      </c>
      <c r="I34" s="3">
        <v>0</v>
      </c>
      <c r="J34" s="3">
        <f t="shared" si="6"/>
        <v>0</v>
      </c>
      <c r="K34" s="61" t="str">
        <f t="shared" si="9"/>
        <v>N/A</v>
      </c>
    </row>
    <row r="35" spans="1:13" x14ac:dyDescent="0.25">
      <c r="B35" s="59">
        <v>13</v>
      </c>
      <c r="C35" s="72" t="s">
        <v>232</v>
      </c>
      <c r="D35" s="61">
        <f>SUMIFS($W$60:$W$352,$D$60:$D$352,Table!$C$3,$S$60:$S$352,C35)</f>
        <v>0</v>
      </c>
      <c r="E35" s="61">
        <f>SUMIFS($X$60:$X$352,$D$60:$D$352,Table!$C$3,$S$60:$S$352,C35)-SUM(SUMIFS($X$60:$X$352,$D$60:$D$352,Table!$C$3,$S$60:$S$352,C35,$AA$60:$AA$352,{"Ongoing","N/A",""}))</f>
        <v>0</v>
      </c>
      <c r="F35" s="61">
        <f>ROUND(1/8*(SUMIFS($Z$60:$Z$352,$D$60:$D$352,Table!$C$3,$S$60:$S$352,C35)-SUM(SUMIFS($Z$60:$Z$352,$D$60:$D$352,Table!$C$3,$S$60:$S$352,C35,$AA$60:$AA$352,{"Ongoing","N/A",""}))),4)</f>
        <v>0</v>
      </c>
      <c r="G35" s="61" t="str">
        <f t="shared" si="10"/>
        <v>N/A</v>
      </c>
      <c r="H35" s="62" t="str">
        <f t="shared" si="11"/>
        <v>N/A</v>
      </c>
      <c r="I35" s="3">
        <v>0</v>
      </c>
      <c r="J35" s="3">
        <f t="shared" si="6"/>
        <v>0</v>
      </c>
      <c r="K35" s="61" t="str">
        <f t="shared" si="9"/>
        <v>N/A</v>
      </c>
    </row>
    <row r="36" spans="1:13" x14ac:dyDescent="0.25">
      <c r="B36" s="59">
        <v>14</v>
      </c>
      <c r="C36" s="72" t="s">
        <v>233</v>
      </c>
      <c r="D36" s="61">
        <f>SUMIFS($W$60:$W$352,$D$60:$D$352,Table!$C$3,$S$60:$S$352,C36)</f>
        <v>0</v>
      </c>
      <c r="E36" s="61">
        <f>SUMIFS($X$60:$X$352,$D$60:$D$352,Table!$C$3,$S$60:$S$352,C36)-SUM(SUMIFS($X$60:$X$352,$D$60:$D$352,Table!$C$3,$S$60:$S$352,C36,$AA$60:$AA$352,{"Ongoing","N/A",""}))</f>
        <v>0</v>
      </c>
      <c r="F36" s="61">
        <f>ROUND(1/8*(SUMIFS($Z$60:$Z$352,$D$60:$D$352,Table!$C$3,$S$60:$S$352,C36)-SUM(SUMIFS($Z$60:$Z$352,$D$60:$D$352,Table!$C$3,$S$60:$S$352,C36,$AA$60:$AA$352,{"Ongoing","N/A",""}))),4)</f>
        <v>0</v>
      </c>
      <c r="G36" s="61" t="str">
        <f t="shared" si="10"/>
        <v>N/A</v>
      </c>
      <c r="H36" s="62" t="str">
        <f t="shared" si="11"/>
        <v>N/A</v>
      </c>
      <c r="I36" s="3">
        <v>0</v>
      </c>
      <c r="J36" s="3">
        <f t="shared" si="6"/>
        <v>0</v>
      </c>
      <c r="K36" s="61" t="str">
        <f t="shared" si="9"/>
        <v>N/A</v>
      </c>
    </row>
    <row r="37" spans="1:13" x14ac:dyDescent="0.25">
      <c r="B37" s="57" t="s">
        <v>102</v>
      </c>
      <c r="C37" s="63"/>
      <c r="D37" s="65">
        <f>ROUND(SUMIFS($W$60:$W$352,$D$60:$D$352,Table!$C$3),3)</f>
        <v>11690.361000000001</v>
      </c>
      <c r="E37" s="65">
        <f>ROUND(SUMIFS($W$60:$W$352,$D$60:$D$352,Table!$C$3)-SUM(SUMIFS($W$60:$W$352,$D$60:$D$352,Table!$C$3,$AA$60:$AA$352,{"Ongoing","N/A",""})),3)</f>
        <v>11690.361000000001</v>
      </c>
      <c r="F37" s="65">
        <f>ROUND(1/8*(SUMIFS($Z$60:$Z$352,$D$60:$D$352,Table!$C$3)-SUM(SUMIFS($Z$60:$Z$352,$D$60:$D$352,Table!$C$3,$AA$60:$AA$352,{"Ongoing","N/A",""}))),4)</f>
        <v>66.333100000000002</v>
      </c>
      <c r="G37" s="61">
        <f t="shared" si="7"/>
        <v>176.23721791986205</v>
      </c>
      <c r="H37" s="62">
        <f t="shared" si="8"/>
        <v>1</v>
      </c>
      <c r="I37" s="3">
        <f>SUM(I23:I36)</f>
        <v>0</v>
      </c>
      <c r="J37" s="3">
        <f>SUM(J23:J36)</f>
        <v>11690.361000000001</v>
      </c>
      <c r="K37" s="61">
        <f ca="1">AVERAGE(K23:K36)</f>
        <v>92.780642857142865</v>
      </c>
      <c r="L37" s="6"/>
    </row>
    <row r="40" spans="1:13" x14ac:dyDescent="0.25">
      <c r="A40" s="1" t="s">
        <v>171</v>
      </c>
      <c r="B40" s="64" t="s">
        <v>103</v>
      </c>
    </row>
    <row r="41" spans="1:13" x14ac:dyDescent="0.25">
      <c r="B41" s="57" t="s">
        <v>0</v>
      </c>
      <c r="C41" s="57" t="s">
        <v>8</v>
      </c>
      <c r="D41" s="57" t="s">
        <v>400</v>
      </c>
      <c r="E41" s="57" t="s">
        <v>50</v>
      </c>
      <c r="F41" s="57" t="s">
        <v>95</v>
      </c>
      <c r="G41" s="57" t="s">
        <v>22</v>
      </c>
      <c r="H41" s="58" t="s">
        <v>24</v>
      </c>
      <c r="I41" s="2" t="s">
        <v>949</v>
      </c>
      <c r="J41" s="2" t="s">
        <v>950</v>
      </c>
      <c r="K41" s="2" t="s">
        <v>22</v>
      </c>
      <c r="L41" s="76" t="s">
        <v>134</v>
      </c>
      <c r="M41" s="77" t="s">
        <v>143</v>
      </c>
    </row>
    <row r="42" spans="1:13" x14ac:dyDescent="0.25">
      <c r="B42" s="59">
        <v>1</v>
      </c>
      <c r="C42" s="72" t="s">
        <v>6</v>
      </c>
      <c r="D42" s="61">
        <f>SUM(D23*Table!$D$4/Table!$C$4,D4)</f>
        <v>0</v>
      </c>
      <c r="E42" s="61">
        <f>SUM(E23*Table!$D$4/Table!$C$4,E4)</f>
        <v>0</v>
      </c>
      <c r="F42" s="61">
        <f t="shared" ref="F42:F55" ca="1" si="12">$P$20</f>
        <v>18</v>
      </c>
      <c r="G42" s="61">
        <f t="shared" ref="G42" ca="1" si="13">IF(ISERROR(E42/(F42)),"N/A",E42/F42)</f>
        <v>0</v>
      </c>
      <c r="H42" s="62" t="str">
        <f t="shared" ref="H42:H56" si="14">IF(ISERROR(E42/D42),"N/A",E42/D42)</f>
        <v>N/A</v>
      </c>
      <c r="I42" s="3">
        <f>SUM(I23*Table!$D$4/Table!$C$4,I4)</f>
        <v>0</v>
      </c>
      <c r="J42" s="3">
        <f>SUM(J23*Table!$D$4/Table!$C$4,J4)</f>
        <v>0</v>
      </c>
      <c r="K42" s="61">
        <f t="shared" ref="K42:K55" ca="1" si="15">J42/$P$20</f>
        <v>0</v>
      </c>
      <c r="L42" s="3">
        <f>COUNTIFS($S$60:$S$352,C42,$AK$60:$AK$352,Table!$C$41)</f>
        <v>0</v>
      </c>
      <c r="M42" s="3">
        <f>COUNTIFS($S$60:$S$352,D41,$AK$60:$AK$352,Table!$C$42)</f>
        <v>0</v>
      </c>
    </row>
    <row r="43" spans="1:13" x14ac:dyDescent="0.25">
      <c r="B43" s="59">
        <v>2</v>
      </c>
      <c r="C43" s="69" t="s">
        <v>61</v>
      </c>
      <c r="D43" s="61">
        <f>SUM(D24*Table!$D$4/Table!$C$4,D5)</f>
        <v>7279.2726923076934</v>
      </c>
      <c r="E43" s="61">
        <f>SUM(E24*Table!$D$4/Table!$C$4,E5)</f>
        <v>7279.2726923076934</v>
      </c>
      <c r="F43" s="61">
        <f t="shared" ca="1" si="12"/>
        <v>18</v>
      </c>
      <c r="G43" s="61">
        <f t="shared" ref="G43:G56" ca="1" si="16">IF(ISERROR(E43/(F43)),"N/A",E43/F43)</f>
        <v>404.40403846153851</v>
      </c>
      <c r="H43" s="62">
        <f t="shared" si="14"/>
        <v>1</v>
      </c>
      <c r="I43" s="3">
        <f>SUM(I24*Table!$D$4/Table!$C$4,I5)</f>
        <v>0</v>
      </c>
      <c r="J43" s="3">
        <f>SUM(J24*Table!$D$4/Table!$C$4,J5)</f>
        <v>7279.2726923076934</v>
      </c>
      <c r="K43" s="61">
        <f t="shared" ca="1" si="15"/>
        <v>404.40403846153851</v>
      </c>
      <c r="L43" s="3">
        <f>COUNTIFS($S$60:$S$352,C43,$AK$60:$AK$352,Table!$C$41)</f>
        <v>1</v>
      </c>
      <c r="M43" s="3">
        <f>COUNTIFS($S$60:$S$352,D42,$AK$60:$AK$352,Table!$C$42)</f>
        <v>0</v>
      </c>
    </row>
    <row r="44" spans="1:13" x14ac:dyDescent="0.25">
      <c r="B44" s="59">
        <v>3</v>
      </c>
      <c r="C44" s="69" t="s">
        <v>62</v>
      </c>
      <c r="D44" s="61">
        <f>SUM(D25*Table!$D$4/Table!$C$4,D6)</f>
        <v>7029.0069230769241</v>
      </c>
      <c r="E44" s="61">
        <f>SUM(E25*Table!$D$4/Table!$C$4,E6)</f>
        <v>7029.0069230769241</v>
      </c>
      <c r="F44" s="61">
        <f t="shared" ca="1" si="12"/>
        <v>18</v>
      </c>
      <c r="G44" s="61">
        <f t="shared" ca="1" si="16"/>
        <v>390.50038461538469</v>
      </c>
      <c r="H44" s="62">
        <f t="shared" si="14"/>
        <v>1</v>
      </c>
      <c r="I44" s="3">
        <f>SUM(I25*Table!$D$4/Table!$C$4,I6)</f>
        <v>0</v>
      </c>
      <c r="J44" s="3">
        <f>SUM(J25*Table!$D$4/Table!$C$4,J6)</f>
        <v>7029.0069230769241</v>
      </c>
      <c r="K44" s="61">
        <f t="shared" ca="1" si="15"/>
        <v>390.50038461538469</v>
      </c>
      <c r="L44" s="3">
        <f>COUNTIFS($S$60:$S$352,C44,$AK$60:$AK$352,Table!$C$41)</f>
        <v>1</v>
      </c>
      <c r="M44" s="3">
        <f>COUNTIFS($S$60:$S$352,D43,$AK$60:$AK$352,Table!$C$42)</f>
        <v>0</v>
      </c>
    </row>
    <row r="45" spans="1:13" x14ac:dyDescent="0.25">
      <c r="B45" s="59">
        <v>4</v>
      </c>
      <c r="C45" s="69" t="s">
        <v>63</v>
      </c>
      <c r="D45" s="61">
        <f>SUM(D26*Table!$D$4/Table!$C$4,D7)</f>
        <v>7085.9976923076929</v>
      </c>
      <c r="E45" s="61">
        <f>SUM(E26*Table!$D$4/Table!$C$4,E7)</f>
        <v>7085.9976923076929</v>
      </c>
      <c r="F45" s="61">
        <f t="shared" ca="1" si="12"/>
        <v>18</v>
      </c>
      <c r="G45" s="61">
        <f t="shared" ca="1" si="16"/>
        <v>393.66653846153849</v>
      </c>
      <c r="H45" s="62">
        <f t="shared" si="14"/>
        <v>1</v>
      </c>
      <c r="I45" s="3">
        <f>SUM(I26*Table!$D$4/Table!$C$4,I7)</f>
        <v>0</v>
      </c>
      <c r="J45" s="3">
        <f>SUM(J26*Table!$D$4/Table!$C$4,J7)</f>
        <v>7085.9976923076929</v>
      </c>
      <c r="K45" s="61">
        <f t="shared" ca="1" si="15"/>
        <v>393.66653846153849</v>
      </c>
      <c r="L45" s="3">
        <f>COUNTIFS($S$60:$S$352,C45,$AK$60:$AK$352,Table!$C$41)</f>
        <v>0</v>
      </c>
      <c r="M45" s="3">
        <f>COUNTIFS($S$60:$S$352,D44,$AK$60:$AK$352,Table!$C$42)</f>
        <v>0</v>
      </c>
    </row>
    <row r="46" spans="1:13" x14ac:dyDescent="0.25">
      <c r="B46" s="59">
        <v>5</v>
      </c>
      <c r="C46" s="69" t="s">
        <v>925</v>
      </c>
      <c r="D46" s="61">
        <f>SUM(D27*Table!$D$4/Table!$C$4,D8)</f>
        <v>3676.4999999999995</v>
      </c>
      <c r="E46" s="61">
        <f>SUM(E27*Table!$D$4/Table!$C$4,E8)</f>
        <v>3676.4999999999995</v>
      </c>
      <c r="F46" s="61">
        <f ca="1">$P$20-5</f>
        <v>13</v>
      </c>
      <c r="G46" s="61">
        <f t="shared" ca="1" si="16"/>
        <v>282.80769230769226</v>
      </c>
      <c r="H46" s="62">
        <f t="shared" si="14"/>
        <v>1</v>
      </c>
      <c r="I46" s="3">
        <f>SUM(I27*Table!$D$4/Table!$C$4,I8)</f>
        <v>0</v>
      </c>
      <c r="J46" s="3">
        <f>SUM(J27*Table!$D$4/Table!$C$4,J8)</f>
        <v>3676.4999999999995</v>
      </c>
      <c r="K46" s="61">
        <f t="shared" ca="1" si="15"/>
        <v>204.24999999999997</v>
      </c>
      <c r="L46" s="3">
        <f>COUNTIFS($S$60:$S$352,C46,$AK$60:$AK$352,Table!$C$41)</f>
        <v>1</v>
      </c>
      <c r="M46" s="3">
        <f>COUNTIFS($S$60:$S$352,D45,$AK$60:$AK$352,Table!$C$42)</f>
        <v>0</v>
      </c>
    </row>
    <row r="47" spans="1:13" x14ac:dyDescent="0.25">
      <c r="B47" s="59">
        <v>6</v>
      </c>
      <c r="C47" s="60" t="s">
        <v>64</v>
      </c>
      <c r="D47" s="61">
        <f>SUM(D28*Table!$D$4/Table!$C$4,D9)</f>
        <v>0</v>
      </c>
      <c r="E47" s="61">
        <f>SUM(E28*Table!$D$4/Table!$C$4,E9)</f>
        <v>0</v>
      </c>
      <c r="F47" s="61">
        <f t="shared" ca="1" si="12"/>
        <v>18</v>
      </c>
      <c r="G47" s="61">
        <f t="shared" ca="1" si="16"/>
        <v>0</v>
      </c>
      <c r="H47" s="62" t="str">
        <f t="shared" si="14"/>
        <v>N/A</v>
      </c>
      <c r="I47" s="3">
        <f>SUM(I28*Table!$D$4/Table!$C$4,I9)</f>
        <v>0</v>
      </c>
      <c r="J47" s="3">
        <f>SUM(J28*Table!$D$4/Table!$C$4,J9)</f>
        <v>0</v>
      </c>
      <c r="K47" s="61">
        <f t="shared" ca="1" si="15"/>
        <v>0</v>
      </c>
      <c r="L47" s="3">
        <f>COUNTIFS($S$60:$S$352,C47,$AK$60:$AK$352,Table!$C$41)</f>
        <v>0</v>
      </c>
      <c r="M47" s="3">
        <f>COUNTIFS($S$60:$S$352,D46,$AK$60:$AK$352,Table!$C$42)</f>
        <v>0</v>
      </c>
    </row>
    <row r="48" spans="1:13" x14ac:dyDescent="0.25">
      <c r="B48" s="59">
        <v>7</v>
      </c>
      <c r="C48" s="60" t="s">
        <v>65</v>
      </c>
      <c r="D48" s="61">
        <f>SUM(D29*Table!$D$4/Table!$C$4,D10)</f>
        <v>0</v>
      </c>
      <c r="E48" s="61">
        <f>SUM(E29*Table!$D$4/Table!$C$4,E10)</f>
        <v>0</v>
      </c>
      <c r="F48" s="61">
        <f t="shared" ca="1" si="12"/>
        <v>18</v>
      </c>
      <c r="G48" s="61">
        <f t="shared" ca="1" si="16"/>
        <v>0</v>
      </c>
      <c r="H48" s="62" t="str">
        <f t="shared" si="14"/>
        <v>N/A</v>
      </c>
      <c r="I48" s="3">
        <f>SUM(I29*Table!$D$4/Table!$C$4,I10)</f>
        <v>0</v>
      </c>
      <c r="J48" s="3">
        <f>SUM(J29*Table!$D$4/Table!$C$4,J10)</f>
        <v>0</v>
      </c>
      <c r="K48" s="61">
        <f t="shared" ca="1" si="15"/>
        <v>0</v>
      </c>
      <c r="L48" s="3">
        <f>COUNTIFS($S$60:$S$352,C48,$AK$60:$AK$352,Table!$C$41)</f>
        <v>0</v>
      </c>
      <c r="M48" s="3">
        <f>COUNTIFS($S$60:$S$352,D47,$AK$60:$AK$352,Table!$C$42)</f>
        <v>0</v>
      </c>
    </row>
    <row r="49" spans="2:40" x14ac:dyDescent="0.25">
      <c r="B49" s="59">
        <v>8</v>
      </c>
      <c r="C49" s="60" t="s">
        <v>66</v>
      </c>
      <c r="D49" s="61">
        <f>SUM(D30*Table!$D$4/Table!$C$4,D11)</f>
        <v>0</v>
      </c>
      <c r="E49" s="61">
        <f>SUM(E30*Table!$D$4/Table!$C$4,E11)</f>
        <v>0</v>
      </c>
      <c r="F49" s="61">
        <f t="shared" ca="1" si="12"/>
        <v>18</v>
      </c>
      <c r="G49" s="61">
        <f t="shared" ca="1" si="16"/>
        <v>0</v>
      </c>
      <c r="H49" s="62" t="str">
        <f t="shared" si="14"/>
        <v>N/A</v>
      </c>
      <c r="I49" s="3">
        <f>SUM(I30*Table!$D$4/Table!$C$4,I11)</f>
        <v>0</v>
      </c>
      <c r="J49" s="3">
        <f>SUM(J30*Table!$D$4/Table!$C$4,J11)</f>
        <v>0</v>
      </c>
      <c r="K49" s="61">
        <f t="shared" ca="1" si="15"/>
        <v>0</v>
      </c>
      <c r="L49" s="3">
        <f>COUNTIFS($S$60:$S$352,C49,$AK$60:$AK$352,Table!$C$41)</f>
        <v>0</v>
      </c>
      <c r="M49" s="3">
        <f>COUNTIFS($S$60:$S$352,D48,$AK$60:$AK$352,Table!$C$42)</f>
        <v>0</v>
      </c>
    </row>
    <row r="50" spans="2:40" x14ac:dyDescent="0.25">
      <c r="B50" s="59">
        <v>9</v>
      </c>
      <c r="C50" s="69" t="s">
        <v>136</v>
      </c>
      <c r="D50" s="61">
        <f>SUM(D31*Table!$D$4/Table!$C$4,D12)</f>
        <v>7220.3123076923075</v>
      </c>
      <c r="E50" s="61">
        <f>SUM(E31*Table!$D$4/Table!$C$4,E12)</f>
        <v>7220.3123076923075</v>
      </c>
      <c r="F50" s="61">
        <f t="shared" ca="1" si="12"/>
        <v>18</v>
      </c>
      <c r="G50" s="61">
        <f t="shared" ca="1" si="16"/>
        <v>401.12846153846152</v>
      </c>
      <c r="H50" s="62">
        <f t="shared" si="14"/>
        <v>1</v>
      </c>
      <c r="I50" s="3">
        <f>SUM(I31*Table!$D$4/Table!$C$4,I12)</f>
        <v>0</v>
      </c>
      <c r="J50" s="3">
        <f>SUM(J31*Table!$D$4/Table!$C$4,J12)</f>
        <v>7220.3123076923075</v>
      </c>
      <c r="K50" s="61">
        <f t="shared" ca="1" si="15"/>
        <v>401.12846153846152</v>
      </c>
      <c r="L50" s="3">
        <f>COUNTIFS($S$60:$S$352,C50,$AK$60:$AK$352,Table!$C$41)</f>
        <v>0</v>
      </c>
      <c r="M50" s="3">
        <f>COUNTIFS($S$60:$S$352,D49,$AK$60:$AK$352,Table!$C$42)</f>
        <v>0</v>
      </c>
    </row>
    <row r="51" spans="2:40" x14ac:dyDescent="0.25">
      <c r="B51" s="59">
        <v>10</v>
      </c>
      <c r="C51" s="69" t="s">
        <v>137</v>
      </c>
      <c r="D51" s="61">
        <f>SUM(D32*Table!$D$4/Table!$C$4,D13)</f>
        <v>3253.5000000000005</v>
      </c>
      <c r="E51" s="61">
        <f>SUM(E32*Table!$D$4/Table!$C$4,E13)</f>
        <v>3253.5000000000005</v>
      </c>
      <c r="F51" s="61">
        <f ca="1">$P$20-5</f>
        <v>13</v>
      </c>
      <c r="G51" s="61">
        <f t="shared" ca="1" si="16"/>
        <v>250.2692307692308</v>
      </c>
      <c r="H51" s="62">
        <f t="shared" ref="H51:H55" si="17">IF(ISERROR(E51/D51),"N/A",E51/D51)</f>
        <v>1</v>
      </c>
      <c r="I51" s="3">
        <f>SUM(I32*Table!$D$4/Table!$C$4,I13)</f>
        <v>0</v>
      </c>
      <c r="J51" s="3">
        <f>SUM(J32*Table!$D$4/Table!$C$4,J13)</f>
        <v>3253.5000000000005</v>
      </c>
      <c r="K51" s="61">
        <f t="shared" ca="1" si="15"/>
        <v>180.75000000000003</v>
      </c>
      <c r="L51" s="3">
        <f>COUNTIFS($S$60:$S$352,C51,$AK$60:$AK$352,Table!$C$41)</f>
        <v>0</v>
      </c>
      <c r="M51" s="3">
        <f>COUNTIFS($S$60:$S$352,D50,$AK$60:$AK$352,Table!$C$42)</f>
        <v>0</v>
      </c>
    </row>
    <row r="52" spans="2:40" x14ac:dyDescent="0.25">
      <c r="B52" s="59">
        <v>11</v>
      </c>
      <c r="C52" s="69" t="s">
        <v>327</v>
      </c>
      <c r="D52" s="61">
        <f>SUM(D33*Table!$D$4/Table!$C$4,D14)</f>
        <v>6362.044615384616</v>
      </c>
      <c r="E52" s="61">
        <f>SUM(E33*Table!$D$4/Table!$C$4,E14)</f>
        <v>6362.044615384616</v>
      </c>
      <c r="F52" s="61">
        <f t="shared" ca="1" si="12"/>
        <v>18</v>
      </c>
      <c r="G52" s="61">
        <f t="shared" ca="1" si="16"/>
        <v>353.4469230769231</v>
      </c>
      <c r="H52" s="62">
        <f t="shared" si="17"/>
        <v>1</v>
      </c>
      <c r="I52" s="3">
        <f>SUM(I33*Table!$D$4/Table!$C$4,I14)</f>
        <v>0</v>
      </c>
      <c r="J52" s="3">
        <f>SUM(J33*Table!$D$4/Table!$C$4,J14)</f>
        <v>6362.044615384616</v>
      </c>
      <c r="K52" s="61">
        <f t="shared" ca="1" si="15"/>
        <v>353.4469230769231</v>
      </c>
      <c r="L52" s="3">
        <f>COUNTIFS($S$60:$S$352,C52,$AK$60:$AK$352,Table!$C$41)</f>
        <v>0</v>
      </c>
      <c r="M52" s="3">
        <f>COUNTIFS($S$60:$S$352,D51,$AK$60:$AK$352,Table!$C$42)</f>
        <v>0</v>
      </c>
    </row>
    <row r="53" spans="2:40" x14ac:dyDescent="0.25">
      <c r="B53" s="59">
        <v>12</v>
      </c>
      <c r="C53" s="72" t="s">
        <v>231</v>
      </c>
      <c r="D53" s="61">
        <f>SUM(D34*Table!$D$4/Table!$C$4,D15)</f>
        <v>0</v>
      </c>
      <c r="E53" s="61">
        <f>SUM(E34*Table!$D$4/Table!$C$4,E15)</f>
        <v>0</v>
      </c>
      <c r="F53" s="61">
        <f t="shared" ca="1" si="12"/>
        <v>18</v>
      </c>
      <c r="G53" s="61">
        <f t="shared" ca="1" si="16"/>
        <v>0</v>
      </c>
      <c r="H53" s="62" t="str">
        <f t="shared" si="17"/>
        <v>N/A</v>
      </c>
      <c r="I53" s="3">
        <f>SUM(I34*Table!$D$4/Table!$C$4,I15)</f>
        <v>0</v>
      </c>
      <c r="J53" s="3">
        <f>SUM(J34*Table!$D$4/Table!$C$4,J15)</f>
        <v>0</v>
      </c>
      <c r="K53" s="61">
        <f t="shared" ca="1" si="15"/>
        <v>0</v>
      </c>
      <c r="L53" s="3">
        <f>COUNTIFS($S$60:$S$352,C53,$AK$60:$AK$352,Table!$C$41)</f>
        <v>0</v>
      </c>
      <c r="M53" s="3">
        <f>COUNTIFS($S$60:$S$352,D52,$AK$60:$AK$352,Table!$C$42)</f>
        <v>0</v>
      </c>
    </row>
    <row r="54" spans="2:40" x14ac:dyDescent="0.25">
      <c r="B54" s="59">
        <v>13</v>
      </c>
      <c r="C54" s="72" t="s">
        <v>232</v>
      </c>
      <c r="D54" s="61">
        <f>SUM(D35*Table!$D$4/Table!$C$4,D16)</f>
        <v>0</v>
      </c>
      <c r="E54" s="61">
        <f>SUM(E35*Table!$D$4/Table!$C$4,E16)</f>
        <v>0</v>
      </c>
      <c r="F54" s="61">
        <f t="shared" ca="1" si="12"/>
        <v>18</v>
      </c>
      <c r="G54" s="61">
        <f t="shared" ca="1" si="16"/>
        <v>0</v>
      </c>
      <c r="H54" s="62" t="str">
        <f t="shared" si="17"/>
        <v>N/A</v>
      </c>
      <c r="I54" s="3">
        <f>SUM(I35*Table!$D$4/Table!$C$4,I16)</f>
        <v>0</v>
      </c>
      <c r="J54" s="3">
        <f>SUM(J35*Table!$D$4/Table!$C$4,J16)</f>
        <v>0</v>
      </c>
      <c r="K54" s="61">
        <f t="shared" ca="1" si="15"/>
        <v>0</v>
      </c>
      <c r="L54" s="3">
        <f>COUNTIFS($S$60:$S$352,C54,$AK$60:$AK$352,Table!$C$41)</f>
        <v>0</v>
      </c>
      <c r="M54" s="3">
        <f>COUNTIFS($S$60:$S$352,D53,$AK$60:$AK$352,Table!$C$42)</f>
        <v>0</v>
      </c>
    </row>
    <row r="55" spans="2:40" x14ac:dyDescent="0.25">
      <c r="B55" s="59">
        <v>14</v>
      </c>
      <c r="C55" s="72" t="s">
        <v>233</v>
      </c>
      <c r="D55" s="61">
        <f>SUM(D36*Table!$D$4/Table!$C$4,D17)</f>
        <v>0</v>
      </c>
      <c r="E55" s="61">
        <f>SUM(E36*Table!$D$4/Table!$C$4,E17)</f>
        <v>0</v>
      </c>
      <c r="F55" s="61">
        <f t="shared" ca="1" si="12"/>
        <v>18</v>
      </c>
      <c r="G55" s="61">
        <f t="shared" ca="1" si="16"/>
        <v>0</v>
      </c>
      <c r="H55" s="62" t="str">
        <f t="shared" si="17"/>
        <v>N/A</v>
      </c>
      <c r="I55" s="3">
        <f>SUM(I36*Table!$D$4/Table!$C$4,I17)</f>
        <v>0</v>
      </c>
      <c r="J55" s="3">
        <f>SUM(J36*Table!$D$4/Table!$C$4,J17)</f>
        <v>0</v>
      </c>
      <c r="K55" s="61">
        <f t="shared" ca="1" si="15"/>
        <v>0</v>
      </c>
      <c r="L55" s="3">
        <f>COUNTIFS($S$60:$S$352,C55,$AK$60:$AK$352,Table!$C$41)</f>
        <v>0</v>
      </c>
      <c r="M55" s="3">
        <f>COUNTIFS($S$60:$S$352,D54,$AK$60:$AK$352,Table!$C$42)</f>
        <v>0</v>
      </c>
    </row>
    <row r="56" spans="2:40" x14ac:dyDescent="0.25">
      <c r="B56" s="57" t="s">
        <v>102</v>
      </c>
      <c r="C56" s="63"/>
      <c r="D56" s="61">
        <f>SUM(D42:D55)</f>
        <v>41906.634230769232</v>
      </c>
      <c r="E56" s="61">
        <f>SUM(E42:E55)</f>
        <v>41906.634230769232</v>
      </c>
      <c r="F56" s="61">
        <f ca="1">$P$20*COUNTA(C42:C55)</f>
        <v>252</v>
      </c>
      <c r="G56" s="61">
        <f t="shared" ca="1" si="16"/>
        <v>166.29616758241758</v>
      </c>
      <c r="H56" s="62">
        <f t="shared" si="14"/>
        <v>1</v>
      </c>
      <c r="I56" s="3">
        <f>SUM(I42:I55)</f>
        <v>0</v>
      </c>
      <c r="J56" s="3">
        <f>SUM(J42:J55)</f>
        <v>41906.634230769232</v>
      </c>
      <c r="K56" s="61">
        <f ca="1">AVERAGE(K42:K55)</f>
        <v>166.29616758241761</v>
      </c>
      <c r="L56" s="3">
        <f>COUNTIFS($S$60:$S$352,C56,$AK$60:$AK$352,Table!$C$41)</f>
        <v>0</v>
      </c>
      <c r="M56" s="3">
        <f>COUNTIFS($S$60:$S$352,D55,$AK$60:$AK$352,Table!$C$42)</f>
        <v>0</v>
      </c>
    </row>
    <row r="59" spans="2:40" x14ac:dyDescent="0.25">
      <c r="B59" s="52" t="s">
        <v>0</v>
      </c>
      <c r="C59" s="52" t="s">
        <v>60</v>
      </c>
      <c r="D59" s="52" t="s">
        <v>1</v>
      </c>
      <c r="E59" s="52" t="s">
        <v>53</v>
      </c>
      <c r="F59" s="52" t="s">
        <v>54</v>
      </c>
      <c r="G59" s="52" t="s">
        <v>138</v>
      </c>
      <c r="H59" s="52" t="s">
        <v>106</v>
      </c>
      <c r="I59" s="52" t="s">
        <v>55</v>
      </c>
      <c r="J59" s="52" t="s">
        <v>105</v>
      </c>
      <c r="K59" s="52" t="s">
        <v>139</v>
      </c>
      <c r="L59" s="52" t="s">
        <v>68</v>
      </c>
      <c r="M59" s="52" t="s">
        <v>141</v>
      </c>
      <c r="N59" s="52" t="s">
        <v>67</v>
      </c>
      <c r="O59" s="52" t="s">
        <v>59</v>
      </c>
      <c r="P59" s="52" t="s">
        <v>76</v>
      </c>
      <c r="Q59" s="49" t="s">
        <v>52</v>
      </c>
      <c r="R59" s="53" t="s">
        <v>7</v>
      </c>
      <c r="S59" s="53" t="s">
        <v>8</v>
      </c>
      <c r="T59" s="53" t="s">
        <v>74</v>
      </c>
      <c r="U59" s="53" t="s">
        <v>88</v>
      </c>
      <c r="V59" s="53" t="s">
        <v>71</v>
      </c>
      <c r="W59" s="53" t="s">
        <v>72</v>
      </c>
      <c r="X59" s="53" t="s">
        <v>50</v>
      </c>
      <c r="Y59" s="53" t="s">
        <v>75</v>
      </c>
      <c r="Z59" s="53" t="s">
        <v>51</v>
      </c>
      <c r="AA59" s="53" t="s">
        <v>17</v>
      </c>
      <c r="AB59" s="53" t="s">
        <v>153</v>
      </c>
      <c r="AC59" s="53" t="s">
        <v>56</v>
      </c>
      <c r="AD59" s="53" t="s">
        <v>57</v>
      </c>
      <c r="AE59" s="52" t="s">
        <v>12</v>
      </c>
      <c r="AF59" s="52" t="s">
        <v>13</v>
      </c>
      <c r="AG59" s="52" t="s">
        <v>73</v>
      </c>
      <c r="AH59" s="52" t="s">
        <v>14</v>
      </c>
      <c r="AI59" s="52" t="s">
        <v>15</v>
      </c>
      <c r="AJ59" s="53" t="s">
        <v>16</v>
      </c>
      <c r="AK59" s="52" t="s">
        <v>140</v>
      </c>
      <c r="AL59" s="53" t="s">
        <v>133</v>
      </c>
      <c r="AM59" s="53" t="s">
        <v>132</v>
      </c>
      <c r="AN59" s="53" t="s">
        <v>77</v>
      </c>
    </row>
    <row r="60" spans="2:40" x14ac:dyDescent="0.25">
      <c r="B60" s="97">
        <v>1</v>
      </c>
      <c r="C60" s="16">
        <v>20200619</v>
      </c>
      <c r="D60" s="16" t="s">
        <v>2</v>
      </c>
      <c r="E60" s="95" t="s">
        <v>798</v>
      </c>
      <c r="F60" s="84" t="s">
        <v>794</v>
      </c>
      <c r="G60" s="48"/>
      <c r="H60" s="16" t="s">
        <v>241</v>
      </c>
      <c r="I60" s="16" t="s">
        <v>676</v>
      </c>
      <c r="J60" s="84" t="s">
        <v>255</v>
      </c>
      <c r="K60" s="48"/>
      <c r="L60" s="84" t="s">
        <v>58</v>
      </c>
      <c r="M60" s="48"/>
      <c r="N60" s="16" t="s">
        <v>617</v>
      </c>
      <c r="O60" s="84" t="s">
        <v>765</v>
      </c>
      <c r="P60" s="84" t="s">
        <v>799</v>
      </c>
      <c r="Q60" s="18"/>
      <c r="R60" s="16" t="s">
        <v>853</v>
      </c>
      <c r="S60" s="16" t="s">
        <v>327</v>
      </c>
      <c r="T60" s="16"/>
      <c r="U60" s="16"/>
      <c r="V60" s="16">
        <v>81</v>
      </c>
      <c r="W60" s="15">
        <f>ROUND(IF(D60=Table!$C$3,Y60*Table!$C$4/8,Y60*Table!$D$4/8),3)</f>
        <v>49.448999999999998</v>
      </c>
      <c r="X60" s="15">
        <f>W60</f>
        <v>49.448999999999998</v>
      </c>
      <c r="Y60" s="16">
        <v>3.0430000000000001</v>
      </c>
      <c r="Z60" s="16"/>
      <c r="AA60" s="15" t="s">
        <v>70</v>
      </c>
      <c r="AB60" s="85">
        <v>44008</v>
      </c>
      <c r="AC60" s="19">
        <v>44001</v>
      </c>
      <c r="AD60" s="85">
        <v>44008</v>
      </c>
      <c r="AE60" s="85">
        <v>44008</v>
      </c>
      <c r="AF60" s="85">
        <v>44008</v>
      </c>
      <c r="AG60" s="85" t="s">
        <v>164</v>
      </c>
      <c r="AH60" s="86">
        <v>1</v>
      </c>
      <c r="AI60" s="86">
        <v>1</v>
      </c>
      <c r="AJ60" s="86">
        <v>0.16700000000000001</v>
      </c>
      <c r="AK60" s="130" t="s">
        <v>144</v>
      </c>
      <c r="AL60" s="93"/>
      <c r="AM60" s="15"/>
      <c r="AN60" s="15"/>
    </row>
    <row r="61" spans="2:40" x14ac:dyDescent="0.25">
      <c r="B61" s="97">
        <f t="shared" ref="B61:B124" si="18">B60+1</f>
        <v>2</v>
      </c>
      <c r="C61" s="16">
        <v>20200619</v>
      </c>
      <c r="D61" s="16" t="s">
        <v>2</v>
      </c>
      <c r="E61" s="95" t="s">
        <v>798</v>
      </c>
      <c r="F61" s="84" t="s">
        <v>794</v>
      </c>
      <c r="G61" s="48"/>
      <c r="H61" s="16" t="s">
        <v>242</v>
      </c>
      <c r="I61" s="137" t="s">
        <v>677</v>
      </c>
      <c r="J61" s="84" t="s">
        <v>255</v>
      </c>
      <c r="K61" s="48"/>
      <c r="L61" s="84" t="s">
        <v>58</v>
      </c>
      <c r="M61" s="48"/>
      <c r="N61" s="16" t="s">
        <v>617</v>
      </c>
      <c r="O61" s="84" t="s">
        <v>766</v>
      </c>
      <c r="P61" s="84" t="s">
        <v>799</v>
      </c>
      <c r="Q61" s="18"/>
      <c r="R61" s="16" t="s">
        <v>91</v>
      </c>
      <c r="S61" s="16" t="s">
        <v>61</v>
      </c>
      <c r="T61" s="16"/>
      <c r="U61" s="16"/>
      <c r="V61" s="16">
        <v>24</v>
      </c>
      <c r="W61" s="15">
        <f>ROUND(IF(D61=Table!$C$3,Y61*Table!$C$4/8,Y61*Table!$D$4/8),3)</f>
        <v>26.244</v>
      </c>
      <c r="X61" s="15">
        <f>W61</f>
        <v>26.244</v>
      </c>
      <c r="Y61" s="16">
        <v>1.615</v>
      </c>
      <c r="Z61" s="16">
        <v>1</v>
      </c>
      <c r="AA61" s="15" t="s">
        <v>70</v>
      </c>
      <c r="AB61" s="85">
        <v>44008</v>
      </c>
      <c r="AC61" s="19">
        <v>44001</v>
      </c>
      <c r="AD61" s="85">
        <v>44008</v>
      </c>
      <c r="AE61" s="85">
        <v>44004</v>
      </c>
      <c r="AF61" s="85">
        <v>44004</v>
      </c>
      <c r="AG61" s="85" t="s">
        <v>164</v>
      </c>
      <c r="AH61" s="86">
        <v>1</v>
      </c>
      <c r="AI61" s="86">
        <v>1</v>
      </c>
      <c r="AJ61" s="86">
        <v>0.2</v>
      </c>
      <c r="AK61" s="96" t="s">
        <v>144</v>
      </c>
      <c r="AL61" s="93"/>
      <c r="AM61" s="15"/>
      <c r="AN61" s="15"/>
    </row>
    <row r="62" spans="2:40" x14ac:dyDescent="0.25">
      <c r="B62" s="97">
        <f t="shared" si="18"/>
        <v>3</v>
      </c>
      <c r="C62" s="16">
        <v>20200619</v>
      </c>
      <c r="D62" s="16" t="s">
        <v>2</v>
      </c>
      <c r="E62" s="95" t="s">
        <v>798</v>
      </c>
      <c r="F62" s="84" t="s">
        <v>794</v>
      </c>
      <c r="G62" s="48"/>
      <c r="H62" s="16" t="s">
        <v>243</v>
      </c>
      <c r="I62" s="16" t="s">
        <v>678</v>
      </c>
      <c r="J62" s="84" t="s">
        <v>255</v>
      </c>
      <c r="K62" s="48"/>
      <c r="L62" s="84" t="s">
        <v>58</v>
      </c>
      <c r="M62" s="48"/>
      <c r="N62" s="16" t="s">
        <v>617</v>
      </c>
      <c r="O62" s="84" t="s">
        <v>767</v>
      </c>
      <c r="P62" s="84" t="s">
        <v>799</v>
      </c>
      <c r="Q62" s="18"/>
      <c r="R62" s="16" t="s">
        <v>853</v>
      </c>
      <c r="S62" s="16" t="s">
        <v>327</v>
      </c>
      <c r="T62" s="16"/>
      <c r="U62" s="16"/>
      <c r="V62" s="16">
        <v>192</v>
      </c>
      <c r="W62" s="15">
        <f>ROUND(IF(D62=Table!$C$3,Y62*Table!$C$4/8,Y62*Table!$D$4/8),3)</f>
        <v>87.019000000000005</v>
      </c>
      <c r="X62" s="15">
        <f>W62</f>
        <v>87.019000000000005</v>
      </c>
      <c r="Y62" s="16">
        <v>5.3549999999999995</v>
      </c>
      <c r="Z62" s="16"/>
      <c r="AA62" s="15" t="s">
        <v>70</v>
      </c>
      <c r="AB62" s="85">
        <v>44008</v>
      </c>
      <c r="AC62" s="19">
        <v>44001</v>
      </c>
      <c r="AD62" s="85">
        <v>44008</v>
      </c>
      <c r="AE62" s="85">
        <v>44008</v>
      </c>
      <c r="AF62" s="85">
        <v>44008</v>
      </c>
      <c r="AG62" s="85" t="s">
        <v>164</v>
      </c>
      <c r="AH62" s="234">
        <v>0.93200000000000005</v>
      </c>
      <c r="AI62" s="234">
        <v>0.93600000000000005</v>
      </c>
      <c r="AJ62" s="234">
        <v>0.54400000000000004</v>
      </c>
      <c r="AK62" s="96" t="s">
        <v>144</v>
      </c>
      <c r="AL62" s="235" t="s">
        <v>1702</v>
      </c>
      <c r="AM62" s="15"/>
      <c r="AN62" s="15"/>
    </row>
    <row r="63" spans="2:40" x14ac:dyDescent="0.25">
      <c r="B63" s="97">
        <f t="shared" si="18"/>
        <v>4</v>
      </c>
      <c r="C63" s="16">
        <v>20200619</v>
      </c>
      <c r="D63" s="16" t="s">
        <v>2</v>
      </c>
      <c r="E63" s="95" t="s">
        <v>798</v>
      </c>
      <c r="F63" s="84" t="s">
        <v>607</v>
      </c>
      <c r="G63" s="48"/>
      <c r="H63" s="16" t="s">
        <v>317</v>
      </c>
      <c r="I63" s="137" t="s">
        <v>606</v>
      </c>
      <c r="J63" s="84" t="s">
        <v>255</v>
      </c>
      <c r="K63" s="48"/>
      <c r="L63" s="84" t="s">
        <v>58</v>
      </c>
      <c r="M63" s="48"/>
      <c r="N63" s="16" t="s">
        <v>617</v>
      </c>
      <c r="O63" s="84" t="s">
        <v>618</v>
      </c>
      <c r="P63" s="84" t="s">
        <v>610</v>
      </c>
      <c r="Q63" s="18"/>
      <c r="R63" s="16" t="s">
        <v>91</v>
      </c>
      <c r="S63" s="16" t="s">
        <v>61</v>
      </c>
      <c r="T63" s="16"/>
      <c r="U63" s="16"/>
      <c r="V63" s="16">
        <v>50</v>
      </c>
      <c r="W63" s="15">
        <f>ROUND(IF(D63=Table!$C$3,Y63*Table!$C$4/8,Y63*Table!$D$4/8),3)</f>
        <v>26.244</v>
      </c>
      <c r="X63" s="15">
        <f>W63</f>
        <v>26.244</v>
      </c>
      <c r="Y63" s="16">
        <v>1.615</v>
      </c>
      <c r="Z63" s="16">
        <v>1</v>
      </c>
      <c r="AA63" s="15" t="s">
        <v>70</v>
      </c>
      <c r="AB63" s="85">
        <v>44008</v>
      </c>
      <c r="AC63" s="19">
        <v>44001</v>
      </c>
      <c r="AD63" s="85">
        <v>44008</v>
      </c>
      <c r="AE63" s="85">
        <v>44004</v>
      </c>
      <c r="AF63" s="85">
        <v>44004</v>
      </c>
      <c r="AG63" s="85" t="s">
        <v>165</v>
      </c>
      <c r="AH63" s="86">
        <v>0.88900000000000001</v>
      </c>
      <c r="AI63" s="86">
        <v>0.88900000000000001</v>
      </c>
      <c r="AJ63" s="86" t="s">
        <v>326</v>
      </c>
      <c r="AK63" s="96" t="s">
        <v>144</v>
      </c>
      <c r="AL63" s="112" t="s">
        <v>900</v>
      </c>
      <c r="AM63" s="15"/>
      <c r="AN63" s="15"/>
    </row>
    <row r="64" spans="2:40" x14ac:dyDescent="0.25">
      <c r="B64" s="97">
        <f t="shared" si="18"/>
        <v>5</v>
      </c>
      <c r="C64" s="16">
        <v>20200619</v>
      </c>
      <c r="D64" s="16" t="s">
        <v>2</v>
      </c>
      <c r="E64" s="95" t="s">
        <v>798</v>
      </c>
      <c r="F64" s="84" t="s">
        <v>795</v>
      </c>
      <c r="G64" s="48"/>
      <c r="H64" s="16" t="s">
        <v>244</v>
      </c>
      <c r="I64" s="16" t="s">
        <v>679</v>
      </c>
      <c r="J64" s="84" t="s">
        <v>254</v>
      </c>
      <c r="K64" s="48"/>
      <c r="L64" s="84" t="s">
        <v>58</v>
      </c>
      <c r="M64" s="48"/>
      <c r="N64" s="16" t="s">
        <v>617</v>
      </c>
      <c r="O64" s="84" t="s">
        <v>768</v>
      </c>
      <c r="P64" s="84" t="s">
        <v>800</v>
      </c>
      <c r="Q64" s="18"/>
      <c r="R64" s="16" t="s">
        <v>91</v>
      </c>
      <c r="S64" s="16" t="s">
        <v>61</v>
      </c>
      <c r="T64" s="16"/>
      <c r="U64" s="16"/>
      <c r="V64" s="16">
        <v>28</v>
      </c>
      <c r="W64" s="15">
        <f>ROUND(IF(D64=Table!$C$3,Y64*Table!$C$4/8,Y64*Table!$D$4/8),3)</f>
        <v>26.244</v>
      </c>
      <c r="X64" s="15">
        <f t="shared" ref="X64:X70" si="19">W64</f>
        <v>26.244</v>
      </c>
      <c r="Y64" s="16">
        <v>1.615</v>
      </c>
      <c r="Z64" s="16">
        <v>1</v>
      </c>
      <c r="AA64" s="15" t="s">
        <v>70</v>
      </c>
      <c r="AB64" s="85">
        <v>44008</v>
      </c>
      <c r="AC64" s="19">
        <v>44001</v>
      </c>
      <c r="AD64" s="85">
        <v>44008</v>
      </c>
      <c r="AE64" s="85">
        <v>44004</v>
      </c>
      <c r="AF64" s="85">
        <v>44004</v>
      </c>
      <c r="AG64" s="85" t="s">
        <v>164</v>
      </c>
      <c r="AH64" s="86">
        <v>1</v>
      </c>
      <c r="AI64" s="86">
        <v>1</v>
      </c>
      <c r="AJ64" s="86">
        <v>0.71399999999999997</v>
      </c>
      <c r="AK64" s="96" t="s">
        <v>144</v>
      </c>
      <c r="AL64" s="93"/>
      <c r="AM64" s="15"/>
      <c r="AN64" s="15"/>
    </row>
    <row r="65" spans="2:40" x14ac:dyDescent="0.25">
      <c r="B65" s="97">
        <f t="shared" si="18"/>
        <v>6</v>
      </c>
      <c r="C65" s="16">
        <v>20200619</v>
      </c>
      <c r="D65" s="16" t="s">
        <v>2</v>
      </c>
      <c r="E65" s="95" t="s">
        <v>798</v>
      </c>
      <c r="F65" s="84" t="s">
        <v>795</v>
      </c>
      <c r="G65" s="48"/>
      <c r="H65" s="16" t="s">
        <v>245</v>
      </c>
      <c r="I65" s="137" t="s">
        <v>680</v>
      </c>
      <c r="J65" s="84" t="s">
        <v>254</v>
      </c>
      <c r="K65" s="48"/>
      <c r="L65" s="84" t="s">
        <v>58</v>
      </c>
      <c r="M65" s="48"/>
      <c r="N65" s="16" t="s">
        <v>617</v>
      </c>
      <c r="O65" s="84" t="s">
        <v>621</v>
      </c>
      <c r="P65" s="84" t="s">
        <v>800</v>
      </c>
      <c r="Q65" s="18"/>
      <c r="R65" s="16" t="s">
        <v>91</v>
      </c>
      <c r="S65" s="16" t="s">
        <v>61</v>
      </c>
      <c r="T65" s="16"/>
      <c r="U65" s="16"/>
      <c r="V65" s="16">
        <v>22</v>
      </c>
      <c r="W65" s="15">
        <f>ROUND(IF(D65=Table!$C$3,Y65*Table!$C$4/8,Y65*Table!$D$4/8),3)</f>
        <v>26.244</v>
      </c>
      <c r="X65" s="15">
        <f t="shared" si="19"/>
        <v>26.244</v>
      </c>
      <c r="Y65" s="16">
        <v>1.615</v>
      </c>
      <c r="Z65" s="16">
        <v>1</v>
      </c>
      <c r="AA65" s="15" t="s">
        <v>70</v>
      </c>
      <c r="AB65" s="85">
        <v>44008</v>
      </c>
      <c r="AC65" s="19">
        <v>44001</v>
      </c>
      <c r="AD65" s="85">
        <v>44008</v>
      </c>
      <c r="AE65" s="85">
        <v>44004</v>
      </c>
      <c r="AF65" s="85">
        <v>44004</v>
      </c>
      <c r="AG65" s="85" t="s">
        <v>164</v>
      </c>
      <c r="AH65" s="86">
        <v>1</v>
      </c>
      <c r="AI65" s="86">
        <v>1</v>
      </c>
      <c r="AJ65" s="86">
        <v>0.5</v>
      </c>
      <c r="AK65" s="96" t="s">
        <v>144</v>
      </c>
      <c r="AL65" s="93"/>
      <c r="AM65" s="15"/>
      <c r="AN65" s="15"/>
    </row>
    <row r="66" spans="2:40" x14ac:dyDescent="0.25">
      <c r="B66" s="97">
        <f t="shared" si="18"/>
        <v>7</v>
      </c>
      <c r="C66" s="16">
        <v>20200619</v>
      </c>
      <c r="D66" s="16" t="s">
        <v>2</v>
      </c>
      <c r="E66" s="95" t="s">
        <v>798</v>
      </c>
      <c r="F66" s="84" t="s">
        <v>795</v>
      </c>
      <c r="G66" s="48"/>
      <c r="H66" s="16" t="s">
        <v>224</v>
      </c>
      <c r="I66" s="16" t="s">
        <v>681</v>
      </c>
      <c r="J66" s="16" t="s">
        <v>254</v>
      </c>
      <c r="K66" s="48"/>
      <c r="L66" s="84" t="s">
        <v>58</v>
      </c>
      <c r="M66" s="48"/>
      <c r="N66" s="16" t="s">
        <v>617</v>
      </c>
      <c r="O66" s="84" t="s">
        <v>618</v>
      </c>
      <c r="P66" s="84" t="s">
        <v>800</v>
      </c>
      <c r="Q66" s="18"/>
      <c r="R66" s="16" t="s">
        <v>91</v>
      </c>
      <c r="S66" s="16" t="s">
        <v>61</v>
      </c>
      <c r="T66" s="16"/>
      <c r="U66" s="16"/>
      <c r="V66" s="16">
        <v>51</v>
      </c>
      <c r="W66" s="15">
        <f>ROUND(IF(D66=Table!$C$3,Y66*Table!$C$4/8,Y66*Table!$D$4/8),3)</f>
        <v>31.768999999999998</v>
      </c>
      <c r="X66" s="15">
        <f t="shared" si="19"/>
        <v>31.768999999999998</v>
      </c>
      <c r="Y66" s="16">
        <v>1.9549999999999998</v>
      </c>
      <c r="Z66" s="16">
        <v>1</v>
      </c>
      <c r="AA66" s="15" t="s">
        <v>70</v>
      </c>
      <c r="AB66" s="85">
        <v>44008</v>
      </c>
      <c r="AC66" s="19">
        <v>44001</v>
      </c>
      <c r="AD66" s="85">
        <v>44008</v>
      </c>
      <c r="AE66" s="85">
        <v>44004</v>
      </c>
      <c r="AF66" s="85">
        <v>44004</v>
      </c>
      <c r="AG66" s="85" t="s">
        <v>165</v>
      </c>
      <c r="AH66" s="86">
        <v>0.92</v>
      </c>
      <c r="AI66" s="86">
        <v>0.92</v>
      </c>
      <c r="AJ66" s="86" t="s">
        <v>326</v>
      </c>
      <c r="AK66" s="96" t="s">
        <v>144</v>
      </c>
      <c r="AL66" s="112" t="s">
        <v>913</v>
      </c>
      <c r="AM66" s="15"/>
      <c r="AN66" s="15"/>
    </row>
    <row r="67" spans="2:40" x14ac:dyDescent="0.25">
      <c r="B67" s="97">
        <f t="shared" si="18"/>
        <v>8</v>
      </c>
      <c r="C67" s="16">
        <v>20200619</v>
      </c>
      <c r="D67" s="16" t="s">
        <v>2</v>
      </c>
      <c r="E67" s="95" t="s">
        <v>798</v>
      </c>
      <c r="F67" s="84" t="s">
        <v>795</v>
      </c>
      <c r="G67" s="48"/>
      <c r="H67" s="16" t="s">
        <v>246</v>
      </c>
      <c r="I67" s="16" t="s">
        <v>682</v>
      </c>
      <c r="J67" s="16" t="s">
        <v>254</v>
      </c>
      <c r="K67" s="48"/>
      <c r="L67" s="84" t="s">
        <v>58</v>
      </c>
      <c r="M67" s="48"/>
      <c r="N67" s="16" t="s">
        <v>617</v>
      </c>
      <c r="O67" s="84" t="s">
        <v>621</v>
      </c>
      <c r="P67" s="84" t="s">
        <v>800</v>
      </c>
      <c r="Q67" s="18"/>
      <c r="R67" s="16" t="s">
        <v>91</v>
      </c>
      <c r="S67" s="16" t="s">
        <v>61</v>
      </c>
      <c r="T67" s="16"/>
      <c r="U67" s="16"/>
      <c r="V67" s="16">
        <v>13</v>
      </c>
      <c r="W67" s="15">
        <f>ROUND(IF(D67=Table!$C$3,Y67*Table!$C$4/8,Y67*Table!$D$4/8),3)</f>
        <v>26.244</v>
      </c>
      <c r="X67" s="15">
        <f t="shared" si="19"/>
        <v>26.244</v>
      </c>
      <c r="Y67" s="16">
        <v>1.615</v>
      </c>
      <c r="Z67" s="16">
        <v>1</v>
      </c>
      <c r="AA67" s="15" t="s">
        <v>70</v>
      </c>
      <c r="AB67" s="85">
        <v>44008</v>
      </c>
      <c r="AC67" s="19">
        <v>44001</v>
      </c>
      <c r="AD67" s="85">
        <v>44008</v>
      </c>
      <c r="AE67" s="85">
        <v>44004</v>
      </c>
      <c r="AF67" s="85">
        <v>44004</v>
      </c>
      <c r="AG67" s="85" t="s">
        <v>164</v>
      </c>
      <c r="AH67" s="86">
        <v>1</v>
      </c>
      <c r="AI67" s="86">
        <v>1</v>
      </c>
      <c r="AJ67" s="86">
        <v>0.2</v>
      </c>
      <c r="AK67" s="96" t="s">
        <v>144</v>
      </c>
      <c r="AL67" s="93"/>
      <c r="AM67" s="15"/>
      <c r="AN67" s="15"/>
    </row>
    <row r="68" spans="2:40" x14ac:dyDescent="0.25">
      <c r="B68" s="97">
        <f t="shared" si="18"/>
        <v>9</v>
      </c>
      <c r="C68" s="16">
        <v>20200619</v>
      </c>
      <c r="D68" s="16" t="s">
        <v>2</v>
      </c>
      <c r="E68" s="95" t="s">
        <v>798</v>
      </c>
      <c r="F68" s="84" t="s">
        <v>795</v>
      </c>
      <c r="G68" s="48"/>
      <c r="H68" s="16" t="s">
        <v>247</v>
      </c>
      <c r="I68" s="16" t="s">
        <v>683</v>
      </c>
      <c r="J68" s="16" t="s">
        <v>254</v>
      </c>
      <c r="K68" s="48"/>
      <c r="L68" s="84" t="s">
        <v>58</v>
      </c>
      <c r="M68" s="48"/>
      <c r="N68" s="16" t="s">
        <v>617</v>
      </c>
      <c r="O68" s="84" t="s">
        <v>318</v>
      </c>
      <c r="P68" s="84" t="s">
        <v>800</v>
      </c>
      <c r="Q68" s="18"/>
      <c r="R68" s="16" t="s">
        <v>91</v>
      </c>
      <c r="S68" s="16" t="s">
        <v>61</v>
      </c>
      <c r="T68" s="16"/>
      <c r="U68" s="16"/>
      <c r="V68" s="16">
        <v>45</v>
      </c>
      <c r="W68" s="15">
        <f>ROUND(IF(D68=Table!$C$3,Y68*Table!$C$4/8,Y68*Table!$D$4/8),3)</f>
        <v>31.768999999999998</v>
      </c>
      <c r="X68" s="15">
        <f t="shared" si="19"/>
        <v>31.768999999999998</v>
      </c>
      <c r="Y68" s="16">
        <v>1.9549999999999998</v>
      </c>
      <c r="Z68" s="16">
        <v>1</v>
      </c>
      <c r="AA68" s="15" t="s">
        <v>70</v>
      </c>
      <c r="AB68" s="85">
        <v>44008</v>
      </c>
      <c r="AC68" s="19">
        <v>44001</v>
      </c>
      <c r="AD68" s="85">
        <v>44008</v>
      </c>
      <c r="AE68" s="85">
        <v>44004</v>
      </c>
      <c r="AF68" s="85">
        <v>44004</v>
      </c>
      <c r="AG68" s="85" t="s">
        <v>164</v>
      </c>
      <c r="AH68" s="86">
        <v>1</v>
      </c>
      <c r="AI68" s="86">
        <v>1</v>
      </c>
      <c r="AJ68" s="86">
        <v>0.6</v>
      </c>
      <c r="AK68" s="96" t="s">
        <v>144</v>
      </c>
      <c r="AL68" s="93"/>
      <c r="AM68" s="15"/>
      <c r="AN68" s="15"/>
    </row>
    <row r="69" spans="2:40" x14ac:dyDescent="0.25">
      <c r="B69" s="97">
        <f t="shared" si="18"/>
        <v>10</v>
      </c>
      <c r="C69" s="16">
        <v>20200619</v>
      </c>
      <c r="D69" s="16" t="s">
        <v>2</v>
      </c>
      <c r="E69" s="95" t="s">
        <v>798</v>
      </c>
      <c r="F69" s="84" t="s">
        <v>795</v>
      </c>
      <c r="G69" s="48"/>
      <c r="H69" s="16" t="s">
        <v>248</v>
      </c>
      <c r="I69" s="16" t="s">
        <v>684</v>
      </c>
      <c r="J69" s="16" t="s">
        <v>254</v>
      </c>
      <c r="K69" s="48"/>
      <c r="L69" s="84" t="s">
        <v>58</v>
      </c>
      <c r="M69" s="48"/>
      <c r="N69" s="16" t="s">
        <v>617</v>
      </c>
      <c r="O69" s="84" t="s">
        <v>621</v>
      </c>
      <c r="P69" s="84" t="s">
        <v>800</v>
      </c>
      <c r="Q69" s="18"/>
      <c r="R69" s="16" t="s">
        <v>91</v>
      </c>
      <c r="S69" s="16" t="s">
        <v>61</v>
      </c>
      <c r="T69" s="16"/>
      <c r="U69" s="16"/>
      <c r="V69" s="16">
        <v>21</v>
      </c>
      <c r="W69" s="15">
        <f>ROUND(IF(D69=Table!$C$3,Y69*Table!$C$4/8,Y69*Table!$D$4/8),3)</f>
        <v>26.244</v>
      </c>
      <c r="X69" s="15">
        <f t="shared" si="19"/>
        <v>26.244</v>
      </c>
      <c r="Y69" s="16">
        <v>1.615</v>
      </c>
      <c r="Z69" s="16">
        <v>1</v>
      </c>
      <c r="AA69" s="15" t="s">
        <v>70</v>
      </c>
      <c r="AB69" s="85">
        <v>44008</v>
      </c>
      <c r="AC69" s="19">
        <v>44001</v>
      </c>
      <c r="AD69" s="85">
        <v>44008</v>
      </c>
      <c r="AE69" s="85">
        <v>44004</v>
      </c>
      <c r="AF69" s="85">
        <v>44004</v>
      </c>
      <c r="AG69" s="85" t="s">
        <v>164</v>
      </c>
      <c r="AH69" s="86">
        <v>1</v>
      </c>
      <c r="AI69" s="86">
        <v>1</v>
      </c>
      <c r="AJ69" s="86" t="s">
        <v>326</v>
      </c>
      <c r="AK69" s="96" t="s">
        <v>144</v>
      </c>
      <c r="AL69" s="93"/>
      <c r="AM69" s="15"/>
      <c r="AN69" s="15"/>
    </row>
    <row r="70" spans="2:40" x14ac:dyDescent="0.25">
      <c r="B70" s="97">
        <f t="shared" si="18"/>
        <v>11</v>
      </c>
      <c r="C70" s="16">
        <v>20200619</v>
      </c>
      <c r="D70" s="16" t="s">
        <v>2</v>
      </c>
      <c r="E70" s="95" t="s">
        <v>798</v>
      </c>
      <c r="F70" s="84" t="s">
        <v>795</v>
      </c>
      <c r="G70" s="48"/>
      <c r="H70" s="16" t="s">
        <v>269</v>
      </c>
      <c r="I70" s="16" t="s">
        <v>685</v>
      </c>
      <c r="J70" s="16" t="s">
        <v>254</v>
      </c>
      <c r="K70" s="48"/>
      <c r="L70" s="84" t="s">
        <v>58</v>
      </c>
      <c r="M70" s="48"/>
      <c r="N70" s="16" t="s">
        <v>617</v>
      </c>
      <c r="O70" s="84" t="s">
        <v>769</v>
      </c>
      <c r="P70" s="84" t="s">
        <v>800</v>
      </c>
      <c r="Q70" s="18"/>
      <c r="R70" s="16" t="s">
        <v>91</v>
      </c>
      <c r="S70" s="16" t="s">
        <v>61</v>
      </c>
      <c r="T70" s="16"/>
      <c r="U70" s="16"/>
      <c r="V70" s="16">
        <v>48</v>
      </c>
      <c r="W70" s="15">
        <f>ROUND(IF(D70=Table!$C$3,Y70*Table!$C$4/8,Y70*Table!$D$4/8),3)</f>
        <v>26.244</v>
      </c>
      <c r="X70" s="15">
        <f t="shared" si="19"/>
        <v>26.244</v>
      </c>
      <c r="Y70" s="16">
        <v>1.615</v>
      </c>
      <c r="Z70" s="16">
        <v>1</v>
      </c>
      <c r="AA70" s="15" t="s">
        <v>70</v>
      </c>
      <c r="AB70" s="85">
        <v>44008</v>
      </c>
      <c r="AC70" s="19">
        <v>44001</v>
      </c>
      <c r="AD70" s="85">
        <v>44008</v>
      </c>
      <c r="AE70" s="85">
        <v>44004</v>
      </c>
      <c r="AF70" s="85">
        <v>44004</v>
      </c>
      <c r="AG70" s="85" t="s">
        <v>164</v>
      </c>
      <c r="AH70" s="86">
        <v>1</v>
      </c>
      <c r="AI70" s="86">
        <v>1</v>
      </c>
      <c r="AJ70" s="86">
        <v>4.2999999999999997E-2</v>
      </c>
      <c r="AK70" s="96" t="s">
        <v>144</v>
      </c>
      <c r="AL70" s="93"/>
      <c r="AM70" s="15"/>
      <c r="AN70" s="15"/>
    </row>
    <row r="71" spans="2:40" x14ac:dyDescent="0.25">
      <c r="B71" s="97">
        <f t="shared" si="18"/>
        <v>12</v>
      </c>
      <c r="C71" s="16">
        <v>20200619</v>
      </c>
      <c r="D71" s="16" t="s">
        <v>2</v>
      </c>
      <c r="E71" s="95" t="s">
        <v>798</v>
      </c>
      <c r="F71" s="84" t="s">
        <v>795</v>
      </c>
      <c r="G71" s="48"/>
      <c r="H71" s="16" t="s">
        <v>270</v>
      </c>
      <c r="I71" s="16" t="s">
        <v>686</v>
      </c>
      <c r="J71" s="16" t="s">
        <v>254</v>
      </c>
      <c r="K71" s="48"/>
      <c r="L71" s="84" t="s">
        <v>58</v>
      </c>
      <c r="M71" s="48"/>
      <c r="N71" s="16" t="s">
        <v>617</v>
      </c>
      <c r="O71" s="84" t="s">
        <v>769</v>
      </c>
      <c r="P71" s="84" t="s">
        <v>800</v>
      </c>
      <c r="Q71" s="18"/>
      <c r="R71" s="16" t="s">
        <v>91</v>
      </c>
      <c r="S71" s="16" t="s">
        <v>61</v>
      </c>
      <c r="T71" s="16"/>
      <c r="U71" s="16"/>
      <c r="V71" s="16">
        <v>39</v>
      </c>
      <c r="W71" s="15">
        <f>ROUND(IF(D71=Table!$C$3,Y71*Table!$C$4/8,Y71*Table!$D$4/8),3)</f>
        <v>26.244</v>
      </c>
      <c r="X71" s="16">
        <f>W71</f>
        <v>26.244</v>
      </c>
      <c r="Y71" s="16">
        <v>1.615</v>
      </c>
      <c r="Z71" s="16">
        <v>1</v>
      </c>
      <c r="AA71" s="15" t="s">
        <v>70</v>
      </c>
      <c r="AB71" s="85">
        <v>44008</v>
      </c>
      <c r="AC71" s="19">
        <v>44001</v>
      </c>
      <c r="AD71" s="85">
        <v>44008</v>
      </c>
      <c r="AE71" s="85">
        <v>44005</v>
      </c>
      <c r="AF71" s="85">
        <v>44005</v>
      </c>
      <c r="AG71" s="85" t="s">
        <v>164</v>
      </c>
      <c r="AH71" s="86">
        <v>1</v>
      </c>
      <c r="AI71" s="86">
        <v>1</v>
      </c>
      <c r="AJ71" s="86">
        <v>0.93799999999999994</v>
      </c>
      <c r="AK71" s="96" t="s">
        <v>144</v>
      </c>
      <c r="AL71" s="93"/>
      <c r="AM71" s="15"/>
      <c r="AN71" s="15"/>
    </row>
    <row r="72" spans="2:40" x14ac:dyDescent="0.25">
      <c r="B72" s="97">
        <f t="shared" si="18"/>
        <v>13</v>
      </c>
      <c r="C72" s="16">
        <v>20200619</v>
      </c>
      <c r="D72" s="16" t="s">
        <v>2</v>
      </c>
      <c r="E72" s="95" t="s">
        <v>798</v>
      </c>
      <c r="F72" s="84" t="s">
        <v>795</v>
      </c>
      <c r="G72" s="48"/>
      <c r="H72" s="16" t="s">
        <v>271</v>
      </c>
      <c r="I72" s="16" t="s">
        <v>687</v>
      </c>
      <c r="J72" s="16" t="s">
        <v>254</v>
      </c>
      <c r="K72" s="48"/>
      <c r="L72" s="84" t="s">
        <v>58</v>
      </c>
      <c r="M72" s="48"/>
      <c r="N72" s="16" t="s">
        <v>617</v>
      </c>
      <c r="O72" s="84" t="s">
        <v>769</v>
      </c>
      <c r="P72" s="84" t="s">
        <v>800</v>
      </c>
      <c r="Q72" s="18"/>
      <c r="R72" s="16" t="s">
        <v>91</v>
      </c>
      <c r="S72" s="16" t="s">
        <v>61</v>
      </c>
      <c r="T72" s="16"/>
      <c r="U72" s="16"/>
      <c r="V72" s="16">
        <v>38</v>
      </c>
      <c r="W72" s="15">
        <f>ROUND(IF(D72=Table!$C$3,Y72*Table!$C$4/8,Y72*Table!$D$4/8),3)</f>
        <v>26.244</v>
      </c>
      <c r="X72" s="16">
        <f>W72</f>
        <v>26.244</v>
      </c>
      <c r="Y72" s="16">
        <v>1.615</v>
      </c>
      <c r="Z72" s="16">
        <v>1</v>
      </c>
      <c r="AA72" s="15" t="s">
        <v>70</v>
      </c>
      <c r="AB72" s="85">
        <v>44008</v>
      </c>
      <c r="AC72" s="19">
        <v>44001</v>
      </c>
      <c r="AD72" s="85">
        <v>44008</v>
      </c>
      <c r="AE72" s="85">
        <v>44005</v>
      </c>
      <c r="AF72" s="85">
        <v>44005</v>
      </c>
      <c r="AG72" s="85" t="s">
        <v>164</v>
      </c>
      <c r="AH72" s="86">
        <v>1</v>
      </c>
      <c r="AI72" s="86">
        <v>1</v>
      </c>
      <c r="AJ72" s="86">
        <v>0.93799999999999994</v>
      </c>
      <c r="AK72" s="96" t="s">
        <v>144</v>
      </c>
      <c r="AL72" s="93"/>
      <c r="AM72" s="15"/>
      <c r="AN72" s="15"/>
    </row>
    <row r="73" spans="2:40" x14ac:dyDescent="0.25">
      <c r="B73" s="97">
        <f t="shared" si="18"/>
        <v>14</v>
      </c>
      <c r="C73" s="16">
        <v>20200619</v>
      </c>
      <c r="D73" s="16" t="s">
        <v>2</v>
      </c>
      <c r="E73" s="95" t="s">
        <v>798</v>
      </c>
      <c r="F73" s="84" t="s">
        <v>795</v>
      </c>
      <c r="G73" s="48"/>
      <c r="H73" s="16" t="s">
        <v>225</v>
      </c>
      <c r="I73" s="16" t="s">
        <v>688</v>
      </c>
      <c r="J73" s="16" t="s">
        <v>254</v>
      </c>
      <c r="K73" s="48"/>
      <c r="L73" s="84" t="s">
        <v>58</v>
      </c>
      <c r="M73" s="48"/>
      <c r="N73" s="16" t="s">
        <v>617</v>
      </c>
      <c r="O73" s="84" t="s">
        <v>768</v>
      </c>
      <c r="P73" s="84" t="s">
        <v>800</v>
      </c>
      <c r="Q73" s="18"/>
      <c r="R73" s="16" t="s">
        <v>91</v>
      </c>
      <c r="S73" s="16" t="s">
        <v>61</v>
      </c>
      <c r="T73" s="16"/>
      <c r="U73" s="16"/>
      <c r="V73" s="16">
        <v>38</v>
      </c>
      <c r="W73" s="15">
        <f>ROUND(IF(D73=Table!$C$3,Y73*Table!$C$4/8,Y73*Table!$D$4/8),3)</f>
        <v>26.244</v>
      </c>
      <c r="X73" s="16">
        <f t="shared" ref="X73:X78" si="20">W73</f>
        <v>26.244</v>
      </c>
      <c r="Y73" s="16">
        <v>1.615</v>
      </c>
      <c r="Z73" s="16">
        <v>1</v>
      </c>
      <c r="AA73" s="15" t="s">
        <v>70</v>
      </c>
      <c r="AB73" s="85">
        <v>44008</v>
      </c>
      <c r="AC73" s="19">
        <v>44001</v>
      </c>
      <c r="AD73" s="85">
        <v>44008</v>
      </c>
      <c r="AE73" s="85">
        <v>44005</v>
      </c>
      <c r="AF73" s="85">
        <v>44005</v>
      </c>
      <c r="AG73" s="85" t="s">
        <v>164</v>
      </c>
      <c r="AH73" s="86">
        <v>1</v>
      </c>
      <c r="AI73" s="86">
        <v>1</v>
      </c>
      <c r="AJ73" s="86">
        <v>0.93300000000000005</v>
      </c>
      <c r="AK73" s="96" t="s">
        <v>144</v>
      </c>
      <c r="AL73" s="93"/>
      <c r="AM73" s="15"/>
      <c r="AN73" s="15"/>
    </row>
    <row r="74" spans="2:40" x14ac:dyDescent="0.25">
      <c r="B74" s="97">
        <f t="shared" si="18"/>
        <v>15</v>
      </c>
      <c r="C74" s="16">
        <v>20200619</v>
      </c>
      <c r="D74" s="16" t="s">
        <v>2</v>
      </c>
      <c r="E74" s="95" t="s">
        <v>798</v>
      </c>
      <c r="F74" s="84" t="s">
        <v>795</v>
      </c>
      <c r="G74" s="48"/>
      <c r="H74" s="16" t="s">
        <v>249</v>
      </c>
      <c r="I74" s="16" t="s">
        <v>689</v>
      </c>
      <c r="J74" s="16" t="s">
        <v>254</v>
      </c>
      <c r="K74" s="48"/>
      <c r="L74" s="84" t="s">
        <v>58</v>
      </c>
      <c r="M74" s="48"/>
      <c r="N74" s="16" t="s">
        <v>617</v>
      </c>
      <c r="O74" s="84" t="s">
        <v>769</v>
      </c>
      <c r="P74" s="84" t="s">
        <v>800</v>
      </c>
      <c r="Q74" s="18"/>
      <c r="R74" s="16" t="s">
        <v>91</v>
      </c>
      <c r="S74" s="16" t="s">
        <v>61</v>
      </c>
      <c r="T74" s="16"/>
      <c r="U74" s="16"/>
      <c r="V74" s="16">
        <v>39</v>
      </c>
      <c r="W74" s="15">
        <f>ROUND(IF(D74=Table!$C$3,Y74*Table!$C$4/8,Y74*Table!$D$4/8),3)</f>
        <v>26.244</v>
      </c>
      <c r="X74" s="16">
        <f t="shared" si="20"/>
        <v>26.244</v>
      </c>
      <c r="Y74" s="16">
        <v>1.615</v>
      </c>
      <c r="Z74" s="16">
        <v>1</v>
      </c>
      <c r="AA74" s="15" t="s">
        <v>70</v>
      </c>
      <c r="AB74" s="85">
        <v>44008</v>
      </c>
      <c r="AC74" s="19">
        <v>44001</v>
      </c>
      <c r="AD74" s="85">
        <v>44008</v>
      </c>
      <c r="AE74" s="85">
        <v>44005</v>
      </c>
      <c r="AF74" s="85">
        <v>44005</v>
      </c>
      <c r="AG74" s="85" t="s">
        <v>164</v>
      </c>
      <c r="AH74" s="86">
        <v>1</v>
      </c>
      <c r="AI74" s="86">
        <v>1</v>
      </c>
      <c r="AJ74" s="86">
        <v>0.94399999999999995</v>
      </c>
      <c r="AK74" s="96" t="s">
        <v>144</v>
      </c>
      <c r="AL74" s="93"/>
      <c r="AM74" s="15"/>
      <c r="AN74" s="15"/>
    </row>
    <row r="75" spans="2:40" x14ac:dyDescent="0.25">
      <c r="B75" s="97">
        <f t="shared" si="18"/>
        <v>16</v>
      </c>
      <c r="C75" s="16">
        <v>20200619</v>
      </c>
      <c r="D75" s="16" t="s">
        <v>2</v>
      </c>
      <c r="E75" s="95" t="s">
        <v>798</v>
      </c>
      <c r="F75" s="84" t="s">
        <v>795</v>
      </c>
      <c r="G75" s="48"/>
      <c r="H75" s="16" t="s">
        <v>272</v>
      </c>
      <c r="I75" s="16" t="s">
        <v>690</v>
      </c>
      <c r="J75" s="16" t="s">
        <v>254</v>
      </c>
      <c r="K75" s="48"/>
      <c r="L75" s="84" t="s">
        <v>58</v>
      </c>
      <c r="M75" s="48"/>
      <c r="N75" s="16" t="s">
        <v>617</v>
      </c>
      <c r="O75" s="84" t="s">
        <v>768</v>
      </c>
      <c r="P75" s="84" t="s">
        <v>800</v>
      </c>
      <c r="Q75" s="18"/>
      <c r="R75" s="16" t="s">
        <v>91</v>
      </c>
      <c r="S75" s="16" t="s">
        <v>61</v>
      </c>
      <c r="T75" s="16"/>
      <c r="U75" s="16"/>
      <c r="V75" s="16">
        <v>25</v>
      </c>
      <c r="W75" s="15">
        <f>ROUND(IF(D75=Table!$C$3,Y75*Table!$C$4/8,Y75*Table!$D$4/8),3)</f>
        <v>26.244</v>
      </c>
      <c r="X75" s="16">
        <f t="shared" si="20"/>
        <v>26.244</v>
      </c>
      <c r="Y75" s="16">
        <v>1.615</v>
      </c>
      <c r="Z75" s="16">
        <v>1</v>
      </c>
      <c r="AA75" s="15" t="s">
        <v>70</v>
      </c>
      <c r="AB75" s="85">
        <v>44008</v>
      </c>
      <c r="AC75" s="19">
        <v>44001</v>
      </c>
      <c r="AD75" s="85">
        <v>44008</v>
      </c>
      <c r="AE75" s="85">
        <v>44005</v>
      </c>
      <c r="AF75" s="85">
        <v>44005</v>
      </c>
      <c r="AG75" s="85" t="s">
        <v>164</v>
      </c>
      <c r="AH75" s="86">
        <v>1</v>
      </c>
      <c r="AI75" s="86">
        <v>1</v>
      </c>
      <c r="AJ75" s="86">
        <v>1</v>
      </c>
      <c r="AK75" s="96" t="s">
        <v>144</v>
      </c>
      <c r="AL75" s="93"/>
      <c r="AM75" s="15"/>
      <c r="AN75" s="15"/>
    </row>
    <row r="76" spans="2:40" x14ac:dyDescent="0.25">
      <c r="B76" s="97">
        <f t="shared" si="18"/>
        <v>17</v>
      </c>
      <c r="C76" s="16">
        <v>20200619</v>
      </c>
      <c r="D76" s="16" t="s">
        <v>2</v>
      </c>
      <c r="E76" s="95" t="s">
        <v>798</v>
      </c>
      <c r="F76" s="84" t="s">
        <v>795</v>
      </c>
      <c r="G76" s="48"/>
      <c r="H76" s="16" t="s">
        <v>273</v>
      </c>
      <c r="I76" s="16" t="s">
        <v>691</v>
      </c>
      <c r="J76" s="16" t="s">
        <v>254</v>
      </c>
      <c r="K76" s="48"/>
      <c r="L76" s="84" t="s">
        <v>58</v>
      </c>
      <c r="M76" s="48"/>
      <c r="N76" s="16" t="s">
        <v>617</v>
      </c>
      <c r="O76" s="84" t="s">
        <v>770</v>
      </c>
      <c r="P76" s="84" t="s">
        <v>800</v>
      </c>
      <c r="Q76" s="18"/>
      <c r="R76" s="16" t="s">
        <v>91</v>
      </c>
      <c r="S76" s="16" t="s">
        <v>61</v>
      </c>
      <c r="T76" s="16"/>
      <c r="U76" s="16"/>
      <c r="V76" s="16">
        <v>17</v>
      </c>
      <c r="W76" s="15">
        <f>ROUND(IF(D76=Table!$C$3,Y76*Table!$C$4/8,Y76*Table!$D$4/8),3)</f>
        <v>26.244</v>
      </c>
      <c r="X76" s="16">
        <f t="shared" si="20"/>
        <v>26.244</v>
      </c>
      <c r="Y76" s="16">
        <v>1.615</v>
      </c>
      <c r="Z76" s="16">
        <v>1</v>
      </c>
      <c r="AA76" s="15" t="s">
        <v>70</v>
      </c>
      <c r="AB76" s="85">
        <v>44008</v>
      </c>
      <c r="AC76" s="19">
        <v>44001</v>
      </c>
      <c r="AD76" s="85">
        <v>44008</v>
      </c>
      <c r="AE76" s="85">
        <v>44005</v>
      </c>
      <c r="AF76" s="85">
        <v>44005</v>
      </c>
      <c r="AG76" s="85" t="s">
        <v>164</v>
      </c>
      <c r="AH76" s="86">
        <v>1</v>
      </c>
      <c r="AI76" s="86">
        <v>1</v>
      </c>
      <c r="AJ76" s="86">
        <v>1</v>
      </c>
      <c r="AK76" s="96" t="s">
        <v>144</v>
      </c>
      <c r="AL76" s="93"/>
      <c r="AM76" s="15"/>
      <c r="AN76" s="15"/>
    </row>
    <row r="77" spans="2:40" x14ac:dyDescent="0.25">
      <c r="B77" s="97">
        <f t="shared" si="18"/>
        <v>18</v>
      </c>
      <c r="C77" s="16">
        <v>20200619</v>
      </c>
      <c r="D77" s="16" t="s">
        <v>2</v>
      </c>
      <c r="E77" s="95" t="s">
        <v>798</v>
      </c>
      <c r="F77" s="84" t="s">
        <v>795</v>
      </c>
      <c r="G77" s="48"/>
      <c r="H77" s="16" t="s">
        <v>274</v>
      </c>
      <c r="I77" s="16" t="s">
        <v>692</v>
      </c>
      <c r="J77" s="16" t="s">
        <v>254</v>
      </c>
      <c r="K77" s="48"/>
      <c r="L77" s="84" t="s">
        <v>58</v>
      </c>
      <c r="M77" s="48"/>
      <c r="N77" s="16" t="s">
        <v>617</v>
      </c>
      <c r="O77" s="84" t="s">
        <v>770</v>
      </c>
      <c r="P77" s="84" t="s">
        <v>800</v>
      </c>
      <c r="Q77" s="18"/>
      <c r="R77" s="16" t="s">
        <v>91</v>
      </c>
      <c r="S77" s="16" t="s">
        <v>61</v>
      </c>
      <c r="T77" s="16"/>
      <c r="U77" s="16"/>
      <c r="V77" s="16">
        <v>44</v>
      </c>
      <c r="W77" s="15">
        <f>ROUND(IF(D77=Table!$C$3,Y77*Table!$C$4/8,Y77*Table!$D$4/8),3)</f>
        <v>26.244</v>
      </c>
      <c r="X77" s="16">
        <f t="shared" si="20"/>
        <v>26.244</v>
      </c>
      <c r="Y77" s="16">
        <v>1.615</v>
      </c>
      <c r="Z77" s="16">
        <v>1</v>
      </c>
      <c r="AA77" s="15" t="s">
        <v>70</v>
      </c>
      <c r="AB77" s="85">
        <v>44008</v>
      </c>
      <c r="AC77" s="19">
        <v>44001</v>
      </c>
      <c r="AD77" s="85">
        <v>44008</v>
      </c>
      <c r="AE77" s="85">
        <v>44005</v>
      </c>
      <c r="AF77" s="85">
        <v>44005</v>
      </c>
      <c r="AG77" s="85" t="s">
        <v>164</v>
      </c>
      <c r="AH77" s="86">
        <v>1</v>
      </c>
      <c r="AI77" s="86">
        <v>1</v>
      </c>
      <c r="AJ77" s="86">
        <v>0.318</v>
      </c>
      <c r="AK77" s="96" t="s">
        <v>144</v>
      </c>
      <c r="AL77" s="93"/>
      <c r="AM77" s="15"/>
      <c r="AN77" s="15"/>
    </row>
    <row r="78" spans="2:40" x14ac:dyDescent="0.25">
      <c r="B78" s="97">
        <f t="shared" si="18"/>
        <v>19</v>
      </c>
      <c r="C78" s="16">
        <v>20200619</v>
      </c>
      <c r="D78" s="16" t="s">
        <v>2</v>
      </c>
      <c r="E78" s="95" t="s">
        <v>798</v>
      </c>
      <c r="F78" s="84" t="s">
        <v>795</v>
      </c>
      <c r="G78" s="48"/>
      <c r="H78" s="16" t="s">
        <v>275</v>
      </c>
      <c r="I78" s="16" t="s">
        <v>693</v>
      </c>
      <c r="J78" s="16" t="s">
        <v>254</v>
      </c>
      <c r="K78" s="48"/>
      <c r="L78" s="84" t="s">
        <v>58</v>
      </c>
      <c r="M78" s="48"/>
      <c r="N78" s="16" t="s">
        <v>617</v>
      </c>
      <c r="O78" s="84" t="s">
        <v>771</v>
      </c>
      <c r="P78" s="84" t="s">
        <v>800</v>
      </c>
      <c r="Q78" s="18"/>
      <c r="R78" s="16" t="s">
        <v>91</v>
      </c>
      <c r="S78" s="16" t="s">
        <v>61</v>
      </c>
      <c r="T78" s="16"/>
      <c r="U78" s="16"/>
      <c r="V78" s="16">
        <v>76</v>
      </c>
      <c r="W78" s="15">
        <f>ROUND(IF(D78=Table!$C$3,Y78*Table!$C$4/8,Y78*Table!$D$4/8),3)</f>
        <v>26.244</v>
      </c>
      <c r="X78" s="16">
        <f t="shared" si="20"/>
        <v>26.244</v>
      </c>
      <c r="Y78" s="16">
        <v>1.615</v>
      </c>
      <c r="Z78" s="16">
        <v>1</v>
      </c>
      <c r="AA78" s="15" t="s">
        <v>70</v>
      </c>
      <c r="AB78" s="85">
        <v>44008</v>
      </c>
      <c r="AC78" s="19">
        <v>44001</v>
      </c>
      <c r="AD78" s="85">
        <v>44008</v>
      </c>
      <c r="AE78" s="85">
        <v>44005</v>
      </c>
      <c r="AF78" s="85">
        <v>44005</v>
      </c>
      <c r="AG78" s="85" t="s">
        <v>165</v>
      </c>
      <c r="AH78" s="86">
        <v>1</v>
      </c>
      <c r="AI78" s="86">
        <v>0.96599999999999997</v>
      </c>
      <c r="AJ78" s="86">
        <v>1</v>
      </c>
      <c r="AK78" s="96" t="s">
        <v>144</v>
      </c>
      <c r="AL78" s="112" t="s">
        <v>953</v>
      </c>
      <c r="AM78" s="15"/>
      <c r="AN78" s="15"/>
    </row>
    <row r="79" spans="2:40" x14ac:dyDescent="0.25">
      <c r="B79" s="97">
        <f t="shared" si="18"/>
        <v>20</v>
      </c>
      <c r="C79" s="16">
        <v>20200619</v>
      </c>
      <c r="D79" s="16" t="s">
        <v>2</v>
      </c>
      <c r="E79" s="95" t="s">
        <v>798</v>
      </c>
      <c r="F79" s="84" t="s">
        <v>608</v>
      </c>
      <c r="G79" s="48"/>
      <c r="H79" s="16" t="s">
        <v>226</v>
      </c>
      <c r="I79" s="16" t="s">
        <v>694</v>
      </c>
      <c r="J79" s="16" t="s">
        <v>255</v>
      </c>
      <c r="K79" s="48"/>
      <c r="L79" s="84" t="s">
        <v>58</v>
      </c>
      <c r="M79" s="48"/>
      <c r="N79" s="16" t="s">
        <v>617</v>
      </c>
      <c r="O79" s="84" t="s">
        <v>772</v>
      </c>
      <c r="P79" s="84" t="s">
        <v>801</v>
      </c>
      <c r="Q79" s="18"/>
      <c r="R79" s="16" t="s">
        <v>91</v>
      </c>
      <c r="S79" s="16" t="s">
        <v>61</v>
      </c>
      <c r="T79" s="16"/>
      <c r="U79" s="16"/>
      <c r="V79" s="16">
        <v>97</v>
      </c>
      <c r="W79" s="15">
        <f>ROUND(IF(D79=Table!$C$3,Y79*Table!$C$4/8,Y79*Table!$D$4/8),3)</f>
        <v>133.98099999999999</v>
      </c>
      <c r="X79" s="16">
        <f>W79</f>
        <v>133.98099999999999</v>
      </c>
      <c r="Y79" s="16">
        <v>8.2449999999999992</v>
      </c>
      <c r="Z79" s="16">
        <v>4</v>
      </c>
      <c r="AA79" s="15" t="s">
        <v>70</v>
      </c>
      <c r="AB79" s="85">
        <v>44008</v>
      </c>
      <c r="AC79" s="19">
        <v>44001</v>
      </c>
      <c r="AD79" s="85">
        <v>44008</v>
      </c>
      <c r="AE79" s="85">
        <v>44006</v>
      </c>
      <c r="AF79" s="85">
        <v>44006</v>
      </c>
      <c r="AG79" s="85" t="s">
        <v>164</v>
      </c>
      <c r="AH79" s="86">
        <v>1</v>
      </c>
      <c r="AI79" s="86">
        <v>1</v>
      </c>
      <c r="AJ79" s="86">
        <v>0.2</v>
      </c>
      <c r="AK79" s="96" t="s">
        <v>144</v>
      </c>
      <c r="AL79" s="93"/>
      <c r="AM79" s="15"/>
      <c r="AN79" s="15"/>
    </row>
    <row r="80" spans="2:40" x14ac:dyDescent="0.25">
      <c r="B80" s="97">
        <f t="shared" si="18"/>
        <v>21</v>
      </c>
      <c r="C80" s="16">
        <v>20200619</v>
      </c>
      <c r="D80" s="16" t="s">
        <v>2</v>
      </c>
      <c r="E80" s="95" t="s">
        <v>798</v>
      </c>
      <c r="F80" s="84" t="s">
        <v>609</v>
      </c>
      <c r="G80" s="48"/>
      <c r="H80" s="16" t="s">
        <v>250</v>
      </c>
      <c r="I80" s="16" t="s">
        <v>695</v>
      </c>
      <c r="J80" s="16" t="s">
        <v>255</v>
      </c>
      <c r="K80" s="48"/>
      <c r="L80" s="84" t="s">
        <v>58</v>
      </c>
      <c r="M80" s="48"/>
      <c r="N80" s="16" t="s">
        <v>617</v>
      </c>
      <c r="O80" s="84" t="s">
        <v>773</v>
      </c>
      <c r="P80" s="84" t="s">
        <v>614</v>
      </c>
      <c r="Q80" s="18"/>
      <c r="R80" s="16" t="s">
        <v>91</v>
      </c>
      <c r="S80" s="16" t="s">
        <v>61</v>
      </c>
      <c r="T80" s="16"/>
      <c r="U80" s="16"/>
      <c r="V80" s="16">
        <v>43</v>
      </c>
      <c r="W80" s="15">
        <f>ROUND(IF(D80=Table!$C$3,Y80*Table!$C$4/8,Y80*Table!$D$4/8),3)</f>
        <v>31.768999999999998</v>
      </c>
      <c r="X80" s="16">
        <f>W80</f>
        <v>31.768999999999998</v>
      </c>
      <c r="Y80" s="16">
        <v>1.9549999999999998</v>
      </c>
      <c r="Z80" s="16">
        <v>1</v>
      </c>
      <c r="AA80" s="15" t="s">
        <v>70</v>
      </c>
      <c r="AB80" s="85">
        <v>44008</v>
      </c>
      <c r="AC80" s="19">
        <v>44001</v>
      </c>
      <c r="AD80" s="85">
        <v>44008</v>
      </c>
      <c r="AE80" s="85">
        <v>44005</v>
      </c>
      <c r="AF80" s="85">
        <v>44005</v>
      </c>
      <c r="AG80" s="85" t="s">
        <v>164</v>
      </c>
      <c r="AH80" s="86">
        <v>1</v>
      </c>
      <c r="AI80" s="86">
        <v>1</v>
      </c>
      <c r="AJ80" s="86" t="s">
        <v>326</v>
      </c>
      <c r="AK80" s="96" t="s">
        <v>144</v>
      </c>
      <c r="AL80" s="93"/>
      <c r="AM80" s="15"/>
      <c r="AN80" s="15"/>
    </row>
    <row r="81" spans="2:40" x14ac:dyDescent="0.25">
      <c r="B81" s="97">
        <f t="shared" si="18"/>
        <v>22</v>
      </c>
      <c r="C81" s="16">
        <v>20200619</v>
      </c>
      <c r="D81" s="16" t="s">
        <v>2</v>
      </c>
      <c r="E81" s="95" t="s">
        <v>798</v>
      </c>
      <c r="F81" s="84" t="s">
        <v>609</v>
      </c>
      <c r="G81" s="48"/>
      <c r="H81" s="16" t="s">
        <v>810</v>
      </c>
      <c r="I81" s="16" t="s">
        <v>696</v>
      </c>
      <c r="J81" s="16" t="s">
        <v>255</v>
      </c>
      <c r="K81" s="48"/>
      <c r="L81" s="84" t="s">
        <v>58</v>
      </c>
      <c r="M81" s="48"/>
      <c r="N81" s="16" t="s">
        <v>617</v>
      </c>
      <c r="O81" s="84" t="s">
        <v>773</v>
      </c>
      <c r="P81" s="84" t="s">
        <v>614</v>
      </c>
      <c r="Q81" s="18"/>
      <c r="R81" s="16" t="s">
        <v>91</v>
      </c>
      <c r="S81" s="16" t="s">
        <v>61</v>
      </c>
      <c r="T81" s="16"/>
      <c r="U81" s="16"/>
      <c r="V81" s="16">
        <v>62</v>
      </c>
      <c r="W81" s="15">
        <f>ROUND(IF(D81=Table!$C$3,Y81*Table!$C$4/8,Y81*Table!$D$4/8),3)</f>
        <v>31.768999999999998</v>
      </c>
      <c r="X81" s="16">
        <f>W81</f>
        <v>31.768999999999998</v>
      </c>
      <c r="Y81" s="16">
        <v>1.9549999999999998</v>
      </c>
      <c r="Z81" s="16">
        <v>1</v>
      </c>
      <c r="AA81" s="15" t="s">
        <v>70</v>
      </c>
      <c r="AB81" s="85">
        <v>44008</v>
      </c>
      <c r="AC81" s="19">
        <v>44001</v>
      </c>
      <c r="AD81" s="85">
        <v>44008</v>
      </c>
      <c r="AE81" s="85">
        <v>44006</v>
      </c>
      <c r="AF81" s="85">
        <v>44006</v>
      </c>
      <c r="AG81" s="85" t="s">
        <v>164</v>
      </c>
      <c r="AH81" s="86">
        <v>0.88900000000000001</v>
      </c>
      <c r="AI81" s="86">
        <v>0.88900000000000001</v>
      </c>
      <c r="AJ81" s="86" t="s">
        <v>326</v>
      </c>
      <c r="AK81" s="96" t="s">
        <v>144</v>
      </c>
      <c r="AL81" s="93" t="s">
        <v>959</v>
      </c>
      <c r="AM81" s="15"/>
      <c r="AN81" s="15"/>
    </row>
    <row r="82" spans="2:40" x14ac:dyDescent="0.25">
      <c r="B82" s="97">
        <f t="shared" si="18"/>
        <v>23</v>
      </c>
      <c r="C82" s="16">
        <v>20200619</v>
      </c>
      <c r="D82" s="16" t="s">
        <v>2</v>
      </c>
      <c r="E82" s="95" t="s">
        <v>798</v>
      </c>
      <c r="F82" s="84" t="s">
        <v>609</v>
      </c>
      <c r="G82" s="48"/>
      <c r="H82" s="16" t="s">
        <v>276</v>
      </c>
      <c r="I82" s="16" t="s">
        <v>697</v>
      </c>
      <c r="J82" s="16" t="s">
        <v>255</v>
      </c>
      <c r="K82" s="48"/>
      <c r="L82" s="84" t="s">
        <v>58</v>
      </c>
      <c r="M82" s="48"/>
      <c r="N82" s="16" t="s">
        <v>617</v>
      </c>
      <c r="O82" s="84" t="s">
        <v>774</v>
      </c>
      <c r="P82" s="84" t="s">
        <v>614</v>
      </c>
      <c r="Q82" s="18"/>
      <c r="R82" s="16" t="s">
        <v>90</v>
      </c>
      <c r="S82" s="16" t="s">
        <v>63</v>
      </c>
      <c r="T82" s="16"/>
      <c r="U82" s="16"/>
      <c r="V82" s="16">
        <v>78</v>
      </c>
      <c r="W82" s="15">
        <f>ROUND(IF(D82=Table!$C$3,Y82*Table!$C$4/8,Y82*Table!$D$4/8),3)</f>
        <v>49.448999999999998</v>
      </c>
      <c r="X82" s="16">
        <f t="shared" ref="X82:X88" si="21">W82</f>
        <v>49.448999999999998</v>
      </c>
      <c r="Y82" s="16">
        <v>3.0430000000000001</v>
      </c>
      <c r="Z82" s="16">
        <v>1</v>
      </c>
      <c r="AA82" s="15" t="s">
        <v>70</v>
      </c>
      <c r="AB82" s="85">
        <v>44008</v>
      </c>
      <c r="AC82" s="19">
        <v>44001</v>
      </c>
      <c r="AD82" s="85">
        <v>44008</v>
      </c>
      <c r="AE82" s="85">
        <v>44006</v>
      </c>
      <c r="AF82" s="85">
        <v>44006</v>
      </c>
      <c r="AG82" s="85" t="s">
        <v>164</v>
      </c>
      <c r="AH82" s="86">
        <v>0.878</v>
      </c>
      <c r="AI82" s="86">
        <v>0.88100000000000001</v>
      </c>
      <c r="AJ82" s="86">
        <v>0.75</v>
      </c>
      <c r="AK82" s="96" t="s">
        <v>144</v>
      </c>
      <c r="AL82" s="140" t="s">
        <v>958</v>
      </c>
      <c r="AM82" s="15"/>
      <c r="AN82" s="15"/>
    </row>
    <row r="83" spans="2:40" x14ac:dyDescent="0.25">
      <c r="B83" s="97">
        <f t="shared" si="18"/>
        <v>24</v>
      </c>
      <c r="C83" s="16">
        <v>20200619</v>
      </c>
      <c r="D83" s="16" t="s">
        <v>2</v>
      </c>
      <c r="E83" s="95" t="s">
        <v>798</v>
      </c>
      <c r="F83" s="84" t="s">
        <v>796</v>
      </c>
      <c r="G83" s="48"/>
      <c r="H83" s="16" t="s">
        <v>811</v>
      </c>
      <c r="I83" s="16" t="s">
        <v>698</v>
      </c>
      <c r="J83" s="16" t="s">
        <v>255</v>
      </c>
      <c r="K83" s="48"/>
      <c r="L83" s="84" t="s">
        <v>58</v>
      </c>
      <c r="M83" s="48"/>
      <c r="N83" s="16" t="s">
        <v>617</v>
      </c>
      <c r="O83" s="84" t="s">
        <v>775</v>
      </c>
      <c r="P83" s="84" t="s">
        <v>802</v>
      </c>
      <c r="Q83" s="18"/>
      <c r="R83" s="16" t="s">
        <v>90</v>
      </c>
      <c r="S83" s="16" t="s">
        <v>63</v>
      </c>
      <c r="T83" s="16"/>
      <c r="U83" s="16"/>
      <c r="V83" s="16">
        <v>122</v>
      </c>
      <c r="W83" s="15">
        <f>ROUND(IF(D83=Table!$C$3,Y83*Table!$C$4/8,Y83*Table!$D$4/8),3)</f>
        <v>37.293999999999997</v>
      </c>
      <c r="X83" s="16">
        <f t="shared" si="21"/>
        <v>37.293999999999997</v>
      </c>
      <c r="Y83" s="16">
        <v>2.2949999999999999</v>
      </c>
      <c r="Z83" s="16">
        <v>1</v>
      </c>
      <c r="AA83" s="15" t="s">
        <v>70</v>
      </c>
      <c r="AB83" s="85">
        <v>44008</v>
      </c>
      <c r="AC83" s="19">
        <v>44001</v>
      </c>
      <c r="AD83" s="85">
        <v>44008</v>
      </c>
      <c r="AE83" s="85">
        <v>44006</v>
      </c>
      <c r="AF83" s="85">
        <v>44006</v>
      </c>
      <c r="AG83" s="85" t="s">
        <v>164</v>
      </c>
      <c r="AH83" s="86">
        <v>1</v>
      </c>
      <c r="AI83" s="86">
        <v>1</v>
      </c>
      <c r="AJ83" s="86" t="s">
        <v>326</v>
      </c>
      <c r="AK83" s="96" t="s">
        <v>144</v>
      </c>
      <c r="AL83" s="93"/>
      <c r="AM83" s="15"/>
      <c r="AN83" s="15"/>
    </row>
    <row r="84" spans="2:40" x14ac:dyDescent="0.25">
      <c r="B84" s="97">
        <f t="shared" si="18"/>
        <v>25</v>
      </c>
      <c r="C84" s="16">
        <v>20200619</v>
      </c>
      <c r="D84" s="16" t="s">
        <v>2</v>
      </c>
      <c r="E84" s="95" t="s">
        <v>798</v>
      </c>
      <c r="F84" s="84" t="s">
        <v>796</v>
      </c>
      <c r="G84" s="48"/>
      <c r="H84" s="16" t="s">
        <v>812</v>
      </c>
      <c r="I84" s="16" t="s">
        <v>699</v>
      </c>
      <c r="J84" s="16" t="s">
        <v>254</v>
      </c>
      <c r="K84" s="48"/>
      <c r="L84" s="84" t="s">
        <v>58</v>
      </c>
      <c r="M84" s="48"/>
      <c r="N84" s="16" t="s">
        <v>617</v>
      </c>
      <c r="O84" s="84" t="s">
        <v>619</v>
      </c>
      <c r="P84" s="84" t="s">
        <v>803</v>
      </c>
      <c r="Q84" s="18"/>
      <c r="R84" s="16" t="s">
        <v>90</v>
      </c>
      <c r="S84" s="16" t="s">
        <v>63</v>
      </c>
      <c r="T84" s="16"/>
      <c r="U84" s="16"/>
      <c r="V84" s="16">
        <v>7</v>
      </c>
      <c r="W84" s="15">
        <f>ROUND(IF(D84=Table!$C$3,Y84*Table!$C$4/8,Y84*Table!$D$4/8),3)</f>
        <v>26.244</v>
      </c>
      <c r="X84" s="16">
        <f t="shared" si="21"/>
        <v>26.244</v>
      </c>
      <c r="Y84" s="16">
        <v>1.615</v>
      </c>
      <c r="Z84" s="16">
        <v>1</v>
      </c>
      <c r="AA84" s="15" t="s">
        <v>70</v>
      </c>
      <c r="AB84" s="85">
        <v>44008</v>
      </c>
      <c r="AC84" s="19">
        <v>44001</v>
      </c>
      <c r="AD84" s="85">
        <v>44008</v>
      </c>
      <c r="AE84" s="85">
        <v>44006</v>
      </c>
      <c r="AF84" s="85">
        <v>44006</v>
      </c>
      <c r="AG84" s="85" t="s">
        <v>164</v>
      </c>
      <c r="AH84" s="86">
        <v>1</v>
      </c>
      <c r="AI84" s="86">
        <v>1</v>
      </c>
      <c r="AJ84" s="86">
        <v>1</v>
      </c>
      <c r="AK84" s="96" t="s">
        <v>144</v>
      </c>
      <c r="AL84" s="93"/>
      <c r="AM84" s="15"/>
      <c r="AN84" s="15"/>
    </row>
    <row r="85" spans="2:40" x14ac:dyDescent="0.25">
      <c r="B85" s="97">
        <f t="shared" si="18"/>
        <v>26</v>
      </c>
      <c r="C85" s="16">
        <v>20200619</v>
      </c>
      <c r="D85" s="16" t="s">
        <v>2</v>
      </c>
      <c r="E85" s="95" t="s">
        <v>798</v>
      </c>
      <c r="F85" s="84" t="s">
        <v>796</v>
      </c>
      <c r="G85" s="48"/>
      <c r="H85" s="16" t="s">
        <v>813</v>
      </c>
      <c r="I85" s="16" t="s">
        <v>700</v>
      </c>
      <c r="J85" s="16" t="s">
        <v>254</v>
      </c>
      <c r="K85" s="48"/>
      <c r="L85" s="84" t="s">
        <v>58</v>
      </c>
      <c r="M85" s="48"/>
      <c r="N85" s="16" t="s">
        <v>617</v>
      </c>
      <c r="O85" s="84" t="s">
        <v>776</v>
      </c>
      <c r="P85" s="84" t="s">
        <v>804</v>
      </c>
      <c r="Q85" s="18"/>
      <c r="R85" s="16" t="s">
        <v>90</v>
      </c>
      <c r="S85" s="16" t="s">
        <v>63</v>
      </c>
      <c r="T85" s="16"/>
      <c r="U85" s="16"/>
      <c r="V85" s="16">
        <v>44</v>
      </c>
      <c r="W85" s="15">
        <f>ROUND(IF(D85=Table!$C$3,Y85*Table!$C$4/8,Y85*Table!$D$4/8),3)</f>
        <v>26.244</v>
      </c>
      <c r="X85" s="16">
        <f t="shared" si="21"/>
        <v>26.244</v>
      </c>
      <c r="Y85" s="16">
        <v>1.615</v>
      </c>
      <c r="Z85" s="16">
        <v>1</v>
      </c>
      <c r="AA85" s="15" t="s">
        <v>70</v>
      </c>
      <c r="AB85" s="85">
        <v>44008</v>
      </c>
      <c r="AC85" s="19">
        <v>44001</v>
      </c>
      <c r="AD85" s="85">
        <v>44008</v>
      </c>
      <c r="AE85" s="85">
        <v>44006</v>
      </c>
      <c r="AF85" s="85">
        <v>44006</v>
      </c>
      <c r="AG85" s="85" t="s">
        <v>164</v>
      </c>
      <c r="AH85" s="86">
        <v>1</v>
      </c>
      <c r="AI85" s="86">
        <v>1</v>
      </c>
      <c r="AJ85" s="86" t="s">
        <v>326</v>
      </c>
      <c r="AK85" s="96" t="s">
        <v>144</v>
      </c>
      <c r="AL85" s="93"/>
      <c r="AM85" s="15"/>
      <c r="AN85" s="15"/>
    </row>
    <row r="86" spans="2:40" x14ac:dyDescent="0.25">
      <c r="B86" s="97">
        <f t="shared" si="18"/>
        <v>27</v>
      </c>
      <c r="C86" s="16">
        <v>20200619</v>
      </c>
      <c r="D86" s="16" t="s">
        <v>2</v>
      </c>
      <c r="E86" s="95" t="s">
        <v>798</v>
      </c>
      <c r="F86" s="84" t="s">
        <v>796</v>
      </c>
      <c r="G86" s="48"/>
      <c r="H86" s="16" t="s">
        <v>814</v>
      </c>
      <c r="I86" s="16" t="s">
        <v>701</v>
      </c>
      <c r="J86" s="16" t="s">
        <v>254</v>
      </c>
      <c r="K86" s="48"/>
      <c r="L86" s="84" t="s">
        <v>58</v>
      </c>
      <c r="M86" s="48"/>
      <c r="N86" s="16" t="s">
        <v>617</v>
      </c>
      <c r="O86" s="84" t="s">
        <v>777</v>
      </c>
      <c r="P86" s="84" t="s">
        <v>805</v>
      </c>
      <c r="Q86" s="18"/>
      <c r="R86" s="16" t="s">
        <v>90</v>
      </c>
      <c r="S86" s="16" t="s">
        <v>63</v>
      </c>
      <c r="T86" s="16"/>
      <c r="U86" s="16"/>
      <c r="V86" s="16">
        <v>63</v>
      </c>
      <c r="W86" s="15">
        <f>ROUND(IF(D86=Table!$C$3,Y86*Table!$C$4/8,Y86*Table!$D$4/8),3)</f>
        <v>37.293999999999997</v>
      </c>
      <c r="X86" s="16">
        <f t="shared" si="21"/>
        <v>37.293999999999997</v>
      </c>
      <c r="Y86" s="16">
        <v>2.2949999999999999</v>
      </c>
      <c r="Z86" s="16">
        <v>1</v>
      </c>
      <c r="AA86" s="15" t="s">
        <v>70</v>
      </c>
      <c r="AB86" s="85">
        <v>44008</v>
      </c>
      <c r="AC86" s="19">
        <v>44001</v>
      </c>
      <c r="AD86" s="85">
        <v>44008</v>
      </c>
      <c r="AE86" s="85">
        <v>44006</v>
      </c>
      <c r="AF86" s="85">
        <v>44006</v>
      </c>
      <c r="AG86" s="85" t="s">
        <v>164</v>
      </c>
      <c r="AH86" s="86">
        <v>0.95499999999999996</v>
      </c>
      <c r="AI86" s="86">
        <v>0.95799999999999996</v>
      </c>
      <c r="AJ86" s="86">
        <v>0.7</v>
      </c>
      <c r="AK86" s="96" t="s">
        <v>144</v>
      </c>
      <c r="AL86" s="112" t="s">
        <v>854</v>
      </c>
      <c r="AM86" s="15"/>
      <c r="AN86" s="15"/>
    </row>
    <row r="87" spans="2:40" x14ac:dyDescent="0.25">
      <c r="B87" s="97">
        <f t="shared" si="18"/>
        <v>28</v>
      </c>
      <c r="C87" s="16">
        <v>20200619</v>
      </c>
      <c r="D87" s="16" t="s">
        <v>2</v>
      </c>
      <c r="E87" s="95" t="s">
        <v>798</v>
      </c>
      <c r="F87" s="84" t="s">
        <v>796</v>
      </c>
      <c r="G87" s="48"/>
      <c r="H87" s="16" t="s">
        <v>815</v>
      </c>
      <c r="I87" s="16" t="s">
        <v>702</v>
      </c>
      <c r="J87" s="16" t="s">
        <v>254</v>
      </c>
      <c r="K87" s="48"/>
      <c r="L87" s="84" t="s">
        <v>58</v>
      </c>
      <c r="M87" s="48"/>
      <c r="N87" s="16" t="s">
        <v>617</v>
      </c>
      <c r="O87" s="84" t="s">
        <v>281</v>
      </c>
      <c r="P87" s="84" t="s">
        <v>801</v>
      </c>
      <c r="Q87" s="18"/>
      <c r="R87" s="16" t="s">
        <v>90</v>
      </c>
      <c r="S87" s="16" t="s">
        <v>63</v>
      </c>
      <c r="T87" s="16"/>
      <c r="U87" s="16"/>
      <c r="V87" s="16">
        <v>53</v>
      </c>
      <c r="W87" s="15">
        <f>ROUND(IF(D87=Table!$C$3,Y87*Table!$C$4/8,Y87*Table!$D$4/8),3)</f>
        <v>31.768999999999998</v>
      </c>
      <c r="X87" s="16">
        <f t="shared" si="21"/>
        <v>31.768999999999998</v>
      </c>
      <c r="Y87" s="16">
        <v>1.9549999999999998</v>
      </c>
      <c r="Z87" s="16">
        <v>1</v>
      </c>
      <c r="AA87" s="15" t="s">
        <v>70</v>
      </c>
      <c r="AB87" s="85">
        <v>44008</v>
      </c>
      <c r="AC87" s="19">
        <v>44001</v>
      </c>
      <c r="AD87" s="85">
        <v>44008</v>
      </c>
      <c r="AE87" s="85">
        <v>44006</v>
      </c>
      <c r="AF87" s="85">
        <v>44006</v>
      </c>
      <c r="AG87" s="85" t="s">
        <v>164</v>
      </c>
      <c r="AH87" s="86">
        <v>1</v>
      </c>
      <c r="AI87" s="86">
        <v>1</v>
      </c>
      <c r="AJ87" s="86">
        <v>0.66700000000000004</v>
      </c>
      <c r="AK87" s="96" t="s">
        <v>144</v>
      </c>
      <c r="AL87" s="93"/>
      <c r="AM87" s="15"/>
      <c r="AN87" s="15"/>
    </row>
    <row r="88" spans="2:40" x14ac:dyDescent="0.25">
      <c r="B88" s="97">
        <f t="shared" si="18"/>
        <v>29</v>
      </c>
      <c r="C88" s="16">
        <v>20200619</v>
      </c>
      <c r="D88" s="16" t="s">
        <v>2</v>
      </c>
      <c r="E88" s="95" t="s">
        <v>798</v>
      </c>
      <c r="F88" s="84" t="s">
        <v>796</v>
      </c>
      <c r="G88" s="48"/>
      <c r="H88" s="16" t="s">
        <v>816</v>
      </c>
      <c r="I88" s="16" t="s">
        <v>703</v>
      </c>
      <c r="J88" s="16" t="s">
        <v>254</v>
      </c>
      <c r="K88" s="48"/>
      <c r="L88" s="84" t="s">
        <v>58</v>
      </c>
      <c r="M88" s="48"/>
      <c r="N88" s="16" t="s">
        <v>617</v>
      </c>
      <c r="O88" s="84" t="s">
        <v>621</v>
      </c>
      <c r="P88" s="84" t="s">
        <v>615</v>
      </c>
      <c r="Q88" s="18"/>
      <c r="R88" s="16" t="s">
        <v>90</v>
      </c>
      <c r="S88" s="16" t="s">
        <v>63</v>
      </c>
      <c r="T88" s="16"/>
      <c r="U88" s="16"/>
      <c r="V88" s="16">
        <v>56</v>
      </c>
      <c r="W88" s="15">
        <f>ROUND(IF(D88=Table!$C$3,Y88*Table!$C$4/8,Y88*Table!$D$4/8),3)</f>
        <v>31.768999999999998</v>
      </c>
      <c r="X88" s="16">
        <f t="shared" si="21"/>
        <v>31.768999999999998</v>
      </c>
      <c r="Y88" s="16">
        <v>1.9549999999999998</v>
      </c>
      <c r="Z88" s="16">
        <v>1</v>
      </c>
      <c r="AA88" s="15" t="s">
        <v>70</v>
      </c>
      <c r="AB88" s="85">
        <v>44008</v>
      </c>
      <c r="AC88" s="19">
        <v>44001</v>
      </c>
      <c r="AD88" s="85">
        <v>44008</v>
      </c>
      <c r="AE88" s="85">
        <v>44006</v>
      </c>
      <c r="AF88" s="85">
        <v>44006</v>
      </c>
      <c r="AG88" s="85" t="s">
        <v>164</v>
      </c>
      <c r="AH88" s="86">
        <v>1</v>
      </c>
      <c r="AI88" s="86">
        <v>1</v>
      </c>
      <c r="AJ88" s="86">
        <v>1</v>
      </c>
      <c r="AK88" s="96" t="s">
        <v>144</v>
      </c>
      <c r="AL88" s="93"/>
      <c r="AM88" s="15"/>
      <c r="AN88" s="15"/>
    </row>
    <row r="89" spans="2:40" x14ac:dyDescent="0.25">
      <c r="B89" s="97">
        <f t="shared" si="18"/>
        <v>30</v>
      </c>
      <c r="C89" s="16">
        <v>20200619</v>
      </c>
      <c r="D89" s="16" t="s">
        <v>2</v>
      </c>
      <c r="E89" s="95" t="s">
        <v>798</v>
      </c>
      <c r="F89" s="84" t="s">
        <v>796</v>
      </c>
      <c r="G89" s="48"/>
      <c r="H89" s="16" t="s">
        <v>817</v>
      </c>
      <c r="I89" s="16" t="s">
        <v>704</v>
      </c>
      <c r="J89" s="16" t="s">
        <v>254</v>
      </c>
      <c r="K89" s="48"/>
      <c r="L89" s="84" t="s">
        <v>58</v>
      </c>
      <c r="M89" s="48"/>
      <c r="N89" s="16" t="s">
        <v>617</v>
      </c>
      <c r="O89" s="84" t="s">
        <v>281</v>
      </c>
      <c r="P89" s="84" t="s">
        <v>804</v>
      </c>
      <c r="Q89" s="18"/>
      <c r="R89" s="16" t="s">
        <v>90</v>
      </c>
      <c r="S89" s="16" t="s">
        <v>63</v>
      </c>
      <c r="T89" s="16"/>
      <c r="U89" s="16"/>
      <c r="V89" s="16">
        <v>16</v>
      </c>
      <c r="W89" s="15">
        <f>ROUND(IF(D89=Table!$C$3,Y89*Table!$C$4/8,Y89*Table!$D$4/8),3)</f>
        <v>26.244</v>
      </c>
      <c r="X89" s="16">
        <f t="shared" ref="X89:X104" si="22">W89</f>
        <v>26.244</v>
      </c>
      <c r="Y89" s="16">
        <v>1.615</v>
      </c>
      <c r="Z89" s="16">
        <v>1</v>
      </c>
      <c r="AA89" s="15" t="s">
        <v>70</v>
      </c>
      <c r="AB89" s="85">
        <v>44008</v>
      </c>
      <c r="AC89" s="19">
        <v>44001</v>
      </c>
      <c r="AD89" s="85">
        <v>44008</v>
      </c>
      <c r="AE89" s="85">
        <v>44004</v>
      </c>
      <c r="AF89" s="85">
        <v>44004</v>
      </c>
      <c r="AG89" s="85" t="s">
        <v>164</v>
      </c>
      <c r="AH89" s="86">
        <v>1</v>
      </c>
      <c r="AI89" s="86">
        <v>1</v>
      </c>
      <c r="AJ89" s="86" t="s">
        <v>326</v>
      </c>
      <c r="AK89" s="96" t="s">
        <v>144</v>
      </c>
      <c r="AL89" s="93"/>
      <c r="AM89" s="15"/>
      <c r="AN89" s="15"/>
    </row>
    <row r="90" spans="2:40" x14ac:dyDescent="0.25">
      <c r="B90" s="97">
        <f t="shared" si="18"/>
        <v>31</v>
      </c>
      <c r="C90" s="16">
        <v>20200619</v>
      </c>
      <c r="D90" s="16" t="s">
        <v>2</v>
      </c>
      <c r="E90" s="95" t="s">
        <v>798</v>
      </c>
      <c r="F90" s="84" t="s">
        <v>796</v>
      </c>
      <c r="G90" s="48"/>
      <c r="H90" s="16" t="s">
        <v>818</v>
      </c>
      <c r="I90" s="16" t="s">
        <v>705</v>
      </c>
      <c r="J90" s="16" t="s">
        <v>254</v>
      </c>
      <c r="K90" s="48"/>
      <c r="L90" s="84" t="s">
        <v>58</v>
      </c>
      <c r="M90" s="48"/>
      <c r="N90" s="16" t="s">
        <v>617</v>
      </c>
      <c r="O90" s="84" t="s">
        <v>281</v>
      </c>
      <c r="P90" s="84" t="s">
        <v>616</v>
      </c>
      <c r="Q90" s="18"/>
      <c r="R90" s="16" t="s">
        <v>90</v>
      </c>
      <c r="S90" s="16" t="s">
        <v>63</v>
      </c>
      <c r="T90" s="16"/>
      <c r="U90" s="16"/>
      <c r="V90" s="16">
        <v>14</v>
      </c>
      <c r="W90" s="15">
        <f>ROUND(IF(D90=Table!$C$3,Y90*Table!$C$4/8,Y90*Table!$D$4/8),3)</f>
        <v>26.244</v>
      </c>
      <c r="X90" s="16">
        <f t="shared" si="22"/>
        <v>26.244</v>
      </c>
      <c r="Y90" s="16">
        <v>1.615</v>
      </c>
      <c r="Z90" s="16">
        <v>1</v>
      </c>
      <c r="AA90" s="15" t="s">
        <v>70</v>
      </c>
      <c r="AB90" s="85">
        <v>44008</v>
      </c>
      <c r="AC90" s="19">
        <v>44001</v>
      </c>
      <c r="AD90" s="85">
        <v>44008</v>
      </c>
      <c r="AE90" s="85">
        <v>44004</v>
      </c>
      <c r="AF90" s="85">
        <v>44004</v>
      </c>
      <c r="AG90" s="85" t="s">
        <v>164</v>
      </c>
      <c r="AH90" s="86">
        <v>1</v>
      </c>
      <c r="AI90" s="86">
        <v>1</v>
      </c>
      <c r="AJ90" s="86" t="s">
        <v>326</v>
      </c>
      <c r="AK90" s="96" t="s">
        <v>144</v>
      </c>
      <c r="AL90" s="93"/>
      <c r="AM90" s="15"/>
      <c r="AN90" s="15"/>
    </row>
    <row r="91" spans="2:40" x14ac:dyDescent="0.25">
      <c r="B91" s="97">
        <f t="shared" si="18"/>
        <v>32</v>
      </c>
      <c r="C91" s="16">
        <v>20200619</v>
      </c>
      <c r="D91" s="16" t="s">
        <v>2</v>
      </c>
      <c r="E91" s="95" t="s">
        <v>798</v>
      </c>
      <c r="F91" s="84" t="s">
        <v>796</v>
      </c>
      <c r="G91" s="48"/>
      <c r="H91" s="16" t="s">
        <v>819</v>
      </c>
      <c r="I91" s="16" t="s">
        <v>706</v>
      </c>
      <c r="J91" s="16" t="s">
        <v>255</v>
      </c>
      <c r="K91" s="48"/>
      <c r="L91" s="84" t="s">
        <v>58</v>
      </c>
      <c r="M91" s="48"/>
      <c r="N91" s="16" t="s">
        <v>617</v>
      </c>
      <c r="O91" s="84" t="s">
        <v>318</v>
      </c>
      <c r="P91" s="84" t="s">
        <v>610</v>
      </c>
      <c r="Q91" s="18"/>
      <c r="R91" s="16" t="s">
        <v>90</v>
      </c>
      <c r="S91" s="16" t="s">
        <v>63</v>
      </c>
      <c r="T91" s="16"/>
      <c r="U91" s="16"/>
      <c r="V91" s="16">
        <v>45</v>
      </c>
      <c r="W91" s="15">
        <f>ROUND(IF(D91=Table!$C$3,Y91*Table!$C$4/8,Y91*Table!$D$4/8),3)</f>
        <v>31.768999999999998</v>
      </c>
      <c r="X91" s="16">
        <f t="shared" si="22"/>
        <v>31.768999999999998</v>
      </c>
      <c r="Y91" s="16">
        <v>1.9549999999999998</v>
      </c>
      <c r="Z91" s="16">
        <v>1</v>
      </c>
      <c r="AA91" s="15" t="s">
        <v>70</v>
      </c>
      <c r="AB91" s="85">
        <v>44008</v>
      </c>
      <c r="AC91" s="19">
        <v>44001</v>
      </c>
      <c r="AD91" s="85">
        <v>44008</v>
      </c>
      <c r="AE91" s="85">
        <v>44004</v>
      </c>
      <c r="AF91" s="85">
        <v>44004</v>
      </c>
      <c r="AG91" s="85" t="s">
        <v>164</v>
      </c>
      <c r="AH91" s="86">
        <v>0.93799999999999994</v>
      </c>
      <c r="AI91" s="86">
        <v>0.93799999999999994</v>
      </c>
      <c r="AJ91" s="86">
        <v>1</v>
      </c>
      <c r="AK91" s="96" t="s">
        <v>144</v>
      </c>
      <c r="AL91" s="93" t="s">
        <v>901</v>
      </c>
      <c r="AM91" s="15"/>
      <c r="AN91" s="15"/>
    </row>
    <row r="92" spans="2:40" x14ac:dyDescent="0.25">
      <c r="B92" s="97">
        <f t="shared" si="18"/>
        <v>33</v>
      </c>
      <c r="C92" s="16">
        <v>20200619</v>
      </c>
      <c r="D92" s="16" t="s">
        <v>2</v>
      </c>
      <c r="E92" s="95" t="s">
        <v>798</v>
      </c>
      <c r="F92" s="84" t="s">
        <v>796</v>
      </c>
      <c r="G92" s="48"/>
      <c r="H92" s="16" t="s">
        <v>820</v>
      </c>
      <c r="I92" s="16" t="s">
        <v>707</v>
      </c>
      <c r="J92" s="16" t="s">
        <v>254</v>
      </c>
      <c r="K92" s="48"/>
      <c r="L92" s="84" t="s">
        <v>58</v>
      </c>
      <c r="M92" s="48"/>
      <c r="N92" s="16" t="s">
        <v>617</v>
      </c>
      <c r="O92" s="84" t="s">
        <v>620</v>
      </c>
      <c r="P92" s="84" t="s">
        <v>805</v>
      </c>
      <c r="Q92" s="18"/>
      <c r="R92" s="16" t="s">
        <v>90</v>
      </c>
      <c r="S92" s="16" t="s">
        <v>63</v>
      </c>
      <c r="T92" s="16"/>
      <c r="U92" s="16"/>
      <c r="V92" s="16">
        <v>47</v>
      </c>
      <c r="W92" s="15">
        <f>ROUND(IF(D92=Table!$C$3,Y92*Table!$C$4/8,Y92*Table!$D$4/8),3)</f>
        <v>31.768999999999998</v>
      </c>
      <c r="X92" s="16">
        <f t="shared" si="22"/>
        <v>31.768999999999998</v>
      </c>
      <c r="Y92" s="16">
        <v>1.9549999999999998</v>
      </c>
      <c r="Z92" s="16">
        <v>1</v>
      </c>
      <c r="AA92" s="15" t="s">
        <v>70</v>
      </c>
      <c r="AB92" s="85">
        <v>44008</v>
      </c>
      <c r="AC92" s="19">
        <v>44001</v>
      </c>
      <c r="AD92" s="85">
        <v>44008</v>
      </c>
      <c r="AE92" s="85">
        <v>44004</v>
      </c>
      <c r="AF92" s="85">
        <v>44004</v>
      </c>
      <c r="AG92" s="85" t="s">
        <v>164</v>
      </c>
      <c r="AH92" s="86">
        <v>1</v>
      </c>
      <c r="AI92" s="86">
        <v>1</v>
      </c>
      <c r="AJ92" s="86">
        <v>0.57099999999999995</v>
      </c>
      <c r="AK92" s="96" t="s">
        <v>144</v>
      </c>
      <c r="AL92" s="93"/>
      <c r="AM92" s="15"/>
      <c r="AN92" s="15"/>
    </row>
    <row r="93" spans="2:40" x14ac:dyDescent="0.25">
      <c r="B93" s="97">
        <f t="shared" si="18"/>
        <v>34</v>
      </c>
      <c r="C93" s="16">
        <v>20200619</v>
      </c>
      <c r="D93" s="16" t="s">
        <v>2</v>
      </c>
      <c r="E93" s="95" t="s">
        <v>798</v>
      </c>
      <c r="F93" s="84" t="s">
        <v>796</v>
      </c>
      <c r="G93" s="48"/>
      <c r="H93" s="16" t="s">
        <v>821</v>
      </c>
      <c r="I93" s="16" t="s">
        <v>708</v>
      </c>
      <c r="J93" s="16" t="s">
        <v>254</v>
      </c>
      <c r="K93" s="48"/>
      <c r="L93" s="84" t="s">
        <v>58</v>
      </c>
      <c r="M93" s="48"/>
      <c r="N93" s="16" t="s">
        <v>617</v>
      </c>
      <c r="O93" s="84" t="s">
        <v>281</v>
      </c>
      <c r="P93" s="84" t="s">
        <v>806</v>
      </c>
      <c r="Q93" s="18"/>
      <c r="R93" s="16" t="s">
        <v>90</v>
      </c>
      <c r="S93" s="16" t="s">
        <v>63</v>
      </c>
      <c r="T93" s="16"/>
      <c r="U93" s="16"/>
      <c r="V93" s="16">
        <v>49</v>
      </c>
      <c r="W93" s="15">
        <f>ROUND(IF(D93=Table!$C$3,Y93*Table!$C$4/8,Y93*Table!$D$4/8),3)</f>
        <v>35.084000000000003</v>
      </c>
      <c r="X93" s="16">
        <f t="shared" si="22"/>
        <v>35.084000000000003</v>
      </c>
      <c r="Y93" s="16">
        <v>2.1589999999999998</v>
      </c>
      <c r="Z93" s="16">
        <v>1</v>
      </c>
      <c r="AA93" s="15" t="s">
        <v>70</v>
      </c>
      <c r="AB93" s="85">
        <v>44008</v>
      </c>
      <c r="AC93" s="19">
        <v>44001</v>
      </c>
      <c r="AD93" s="85">
        <v>44008</v>
      </c>
      <c r="AE93" s="85">
        <v>44004</v>
      </c>
      <c r="AF93" s="85">
        <v>44004</v>
      </c>
      <c r="AG93" s="85" t="s">
        <v>164</v>
      </c>
      <c r="AH93" s="86">
        <v>1</v>
      </c>
      <c r="AI93" s="86">
        <v>1</v>
      </c>
      <c r="AJ93" s="86">
        <v>0.75</v>
      </c>
      <c r="AK93" s="96" t="s">
        <v>144</v>
      </c>
      <c r="AL93" s="93"/>
      <c r="AM93" s="15"/>
      <c r="AN93" s="15"/>
    </row>
    <row r="94" spans="2:40" x14ac:dyDescent="0.25">
      <c r="B94" s="97">
        <f t="shared" si="18"/>
        <v>35</v>
      </c>
      <c r="C94" s="16">
        <v>20200619</v>
      </c>
      <c r="D94" s="16" t="s">
        <v>2</v>
      </c>
      <c r="E94" s="95" t="s">
        <v>798</v>
      </c>
      <c r="F94" s="84" t="s">
        <v>796</v>
      </c>
      <c r="G94" s="48"/>
      <c r="H94" s="16" t="s">
        <v>464</v>
      </c>
      <c r="I94" s="16" t="s">
        <v>709</v>
      </c>
      <c r="J94" s="16" t="s">
        <v>255</v>
      </c>
      <c r="K94" s="48"/>
      <c r="L94" s="84" t="s">
        <v>58</v>
      </c>
      <c r="M94" s="48"/>
      <c r="N94" s="16" t="s">
        <v>617</v>
      </c>
      <c r="O94" s="84" t="s">
        <v>778</v>
      </c>
      <c r="P94" s="84" t="s">
        <v>804</v>
      </c>
      <c r="Q94" s="18"/>
      <c r="R94" s="16" t="s">
        <v>90</v>
      </c>
      <c r="S94" s="16" t="s">
        <v>63</v>
      </c>
      <c r="T94" s="16"/>
      <c r="U94" s="16"/>
      <c r="V94" s="16">
        <v>176</v>
      </c>
      <c r="W94" s="15">
        <f>ROUND(IF(D94=Table!$C$3,Y94*Table!$C$4/8,Y94*Table!$D$4/8),3)</f>
        <v>105.804</v>
      </c>
      <c r="X94" s="16">
        <f t="shared" si="22"/>
        <v>105.804</v>
      </c>
      <c r="Y94" s="16">
        <v>6.5110000000000001</v>
      </c>
      <c r="Z94" s="16">
        <v>1</v>
      </c>
      <c r="AA94" s="15" t="s">
        <v>70</v>
      </c>
      <c r="AB94" s="85">
        <v>44008</v>
      </c>
      <c r="AC94" s="19">
        <v>44001</v>
      </c>
      <c r="AD94" s="85">
        <v>44008</v>
      </c>
      <c r="AE94" s="85">
        <v>44004</v>
      </c>
      <c r="AF94" s="85">
        <v>44004</v>
      </c>
      <c r="AG94" s="85" t="s">
        <v>164</v>
      </c>
      <c r="AH94" s="86">
        <v>1</v>
      </c>
      <c r="AI94" s="86">
        <v>1</v>
      </c>
      <c r="AJ94" s="86">
        <v>0.81699999999999995</v>
      </c>
      <c r="AK94" s="96" t="s">
        <v>144</v>
      </c>
      <c r="AL94" s="93"/>
      <c r="AM94" s="15"/>
      <c r="AN94" s="15"/>
    </row>
    <row r="95" spans="2:40" x14ac:dyDescent="0.25">
      <c r="B95" s="97">
        <f t="shared" si="18"/>
        <v>36</v>
      </c>
      <c r="C95" s="16">
        <v>20200619</v>
      </c>
      <c r="D95" s="16" t="s">
        <v>2</v>
      </c>
      <c r="E95" s="95" t="s">
        <v>798</v>
      </c>
      <c r="F95" s="84" t="s">
        <v>796</v>
      </c>
      <c r="G95" s="48"/>
      <c r="H95" s="16" t="s">
        <v>310</v>
      </c>
      <c r="I95" s="16" t="s">
        <v>710</v>
      </c>
      <c r="J95" s="16" t="s">
        <v>254</v>
      </c>
      <c r="K95" s="48"/>
      <c r="L95" s="84" t="s">
        <v>58</v>
      </c>
      <c r="M95" s="48"/>
      <c r="N95" s="16" t="s">
        <v>617</v>
      </c>
      <c r="O95" s="84" t="s">
        <v>618</v>
      </c>
      <c r="P95" s="84" t="s">
        <v>613</v>
      </c>
      <c r="Q95" s="18"/>
      <c r="R95" s="16" t="s">
        <v>90</v>
      </c>
      <c r="S95" s="16" t="s">
        <v>63</v>
      </c>
      <c r="T95" s="16"/>
      <c r="U95" s="16"/>
      <c r="V95" s="16">
        <v>55</v>
      </c>
      <c r="W95" s="15">
        <f>ROUND(IF(D95=Table!$C$3,Y95*Table!$C$4/8,Y95*Table!$D$4/8),3)</f>
        <v>31.768999999999998</v>
      </c>
      <c r="X95" s="16">
        <f t="shared" si="22"/>
        <v>31.768999999999998</v>
      </c>
      <c r="Y95" s="16">
        <v>1.9549999999999998</v>
      </c>
      <c r="Z95" s="16">
        <v>1</v>
      </c>
      <c r="AA95" s="15" t="s">
        <v>70</v>
      </c>
      <c r="AB95" s="85">
        <v>44008</v>
      </c>
      <c r="AC95" s="19">
        <v>44001</v>
      </c>
      <c r="AD95" s="85">
        <v>44008</v>
      </c>
      <c r="AE95" s="85">
        <v>44005</v>
      </c>
      <c r="AF95" s="85">
        <v>44005</v>
      </c>
      <c r="AG95" s="85" t="s">
        <v>164</v>
      </c>
      <c r="AH95" s="86">
        <v>0.55000000000000004</v>
      </c>
      <c r="AI95" s="86">
        <v>0.625</v>
      </c>
      <c r="AJ95" s="86">
        <v>0.4</v>
      </c>
      <c r="AK95" s="96" t="s">
        <v>144</v>
      </c>
      <c r="AL95" s="140" t="s">
        <v>926</v>
      </c>
      <c r="AM95" s="15"/>
      <c r="AN95" s="15"/>
    </row>
    <row r="96" spans="2:40" x14ac:dyDescent="0.25">
      <c r="B96" s="97">
        <f t="shared" si="18"/>
        <v>37</v>
      </c>
      <c r="C96" s="16">
        <v>20200619</v>
      </c>
      <c r="D96" s="16" t="s">
        <v>2</v>
      </c>
      <c r="E96" s="95" t="s">
        <v>798</v>
      </c>
      <c r="F96" s="84" t="s">
        <v>796</v>
      </c>
      <c r="G96" s="48"/>
      <c r="H96" s="16" t="s">
        <v>311</v>
      </c>
      <c r="I96" s="16" t="s">
        <v>711</v>
      </c>
      <c r="J96" s="16" t="s">
        <v>255</v>
      </c>
      <c r="K96" s="48"/>
      <c r="L96" s="84" t="s">
        <v>58</v>
      </c>
      <c r="M96" s="48"/>
      <c r="N96" s="16" t="s">
        <v>617</v>
      </c>
      <c r="O96" s="84" t="s">
        <v>779</v>
      </c>
      <c r="P96" s="84" t="s">
        <v>610</v>
      </c>
      <c r="Q96" s="18"/>
      <c r="R96" s="16" t="s">
        <v>90</v>
      </c>
      <c r="S96" s="16" t="s">
        <v>63</v>
      </c>
      <c r="T96" s="16"/>
      <c r="U96" s="16"/>
      <c r="V96" s="16">
        <v>88</v>
      </c>
      <c r="W96" s="15">
        <f>ROUND(IF(D96=Table!$C$3,Y96*Table!$C$4/8,Y96*Table!$D$4/8),3)</f>
        <v>40.055999999999997</v>
      </c>
      <c r="X96" s="16">
        <f t="shared" si="22"/>
        <v>40.055999999999997</v>
      </c>
      <c r="Y96" s="16">
        <v>2.4649999999999999</v>
      </c>
      <c r="Z96" s="16">
        <v>1</v>
      </c>
      <c r="AA96" s="15" t="s">
        <v>70</v>
      </c>
      <c r="AB96" s="85">
        <v>44008</v>
      </c>
      <c r="AC96" s="19">
        <v>44001</v>
      </c>
      <c r="AD96" s="85">
        <v>44008</v>
      </c>
      <c r="AE96" s="85">
        <v>44005</v>
      </c>
      <c r="AF96" s="85">
        <v>44005</v>
      </c>
      <c r="AG96" s="85" t="s">
        <v>164</v>
      </c>
      <c r="AH96" s="86">
        <v>1</v>
      </c>
      <c r="AI96" s="86">
        <v>1</v>
      </c>
      <c r="AJ96" s="86">
        <v>0.85699999999999998</v>
      </c>
      <c r="AK96" s="96" t="s">
        <v>144</v>
      </c>
      <c r="AL96" s="93"/>
      <c r="AM96" s="15"/>
      <c r="AN96" s="15"/>
    </row>
    <row r="97" spans="2:40" x14ac:dyDescent="0.25">
      <c r="B97" s="97">
        <f t="shared" si="18"/>
        <v>38</v>
      </c>
      <c r="C97" s="16">
        <v>20200619</v>
      </c>
      <c r="D97" s="16" t="s">
        <v>2</v>
      </c>
      <c r="E97" s="95" t="s">
        <v>798</v>
      </c>
      <c r="F97" s="84" t="s">
        <v>796</v>
      </c>
      <c r="G97" s="48"/>
      <c r="H97" s="16" t="s">
        <v>277</v>
      </c>
      <c r="I97" s="16" t="s">
        <v>712</v>
      </c>
      <c r="J97" s="16" t="s">
        <v>254</v>
      </c>
      <c r="K97" s="48"/>
      <c r="L97" s="84" t="s">
        <v>58</v>
      </c>
      <c r="M97" s="48"/>
      <c r="N97" s="16" t="s">
        <v>617</v>
      </c>
      <c r="O97" s="84" t="s">
        <v>281</v>
      </c>
      <c r="P97" s="84" t="s">
        <v>804</v>
      </c>
      <c r="Q97" s="18"/>
      <c r="R97" s="16" t="s">
        <v>90</v>
      </c>
      <c r="S97" s="16" t="s">
        <v>63</v>
      </c>
      <c r="T97" s="16"/>
      <c r="U97" s="16"/>
      <c r="V97" s="16">
        <v>64</v>
      </c>
      <c r="W97" s="15">
        <f>ROUND(IF(D97=Table!$C$3,Y97*Table!$C$4/8,Y97*Table!$D$4/8),3)</f>
        <v>37.293999999999997</v>
      </c>
      <c r="X97" s="16">
        <f t="shared" si="22"/>
        <v>37.293999999999997</v>
      </c>
      <c r="Y97" s="16">
        <v>2.2949999999999999</v>
      </c>
      <c r="Z97" s="16">
        <v>1</v>
      </c>
      <c r="AA97" s="15" t="s">
        <v>70</v>
      </c>
      <c r="AB97" s="85">
        <v>44008</v>
      </c>
      <c r="AC97" s="19">
        <v>44001</v>
      </c>
      <c r="AD97" s="85">
        <v>44008</v>
      </c>
      <c r="AE97" s="85">
        <v>44005</v>
      </c>
      <c r="AF97" s="85">
        <v>44005</v>
      </c>
      <c r="AG97" s="85" t="s">
        <v>164</v>
      </c>
      <c r="AH97" s="86">
        <v>1</v>
      </c>
      <c r="AI97" s="86">
        <v>1</v>
      </c>
      <c r="AJ97" s="86">
        <v>0.69199999999999995</v>
      </c>
      <c r="AK97" s="96" t="s">
        <v>144</v>
      </c>
      <c r="AL97" s="110"/>
      <c r="AM97" s="15"/>
      <c r="AN97" s="15"/>
    </row>
    <row r="98" spans="2:40" x14ac:dyDescent="0.25">
      <c r="B98" s="97">
        <f t="shared" si="18"/>
        <v>39</v>
      </c>
      <c r="C98" s="16">
        <v>20200619</v>
      </c>
      <c r="D98" s="16" t="s">
        <v>2</v>
      </c>
      <c r="E98" s="95" t="s">
        <v>798</v>
      </c>
      <c r="F98" s="84" t="s">
        <v>796</v>
      </c>
      <c r="G98" s="48"/>
      <c r="H98" s="16" t="s">
        <v>278</v>
      </c>
      <c r="I98" s="16" t="s">
        <v>713</v>
      </c>
      <c r="J98" s="16" t="s">
        <v>254</v>
      </c>
      <c r="K98" s="48"/>
      <c r="L98" s="84" t="s">
        <v>58</v>
      </c>
      <c r="M98" s="48"/>
      <c r="N98" s="16" t="s">
        <v>617</v>
      </c>
      <c r="O98" s="84" t="s">
        <v>281</v>
      </c>
      <c r="P98" s="84" t="s">
        <v>802</v>
      </c>
      <c r="Q98" s="18"/>
      <c r="R98" s="16" t="s">
        <v>90</v>
      </c>
      <c r="S98" s="16" t="s">
        <v>63</v>
      </c>
      <c r="T98" s="16"/>
      <c r="U98" s="16"/>
      <c r="V98" s="16">
        <v>23</v>
      </c>
      <c r="W98" s="15">
        <f>ROUND(IF(D98=Table!$C$3,Y98*Table!$C$4/8,Y98*Table!$D$4/8),3)</f>
        <v>26.244</v>
      </c>
      <c r="X98" s="16">
        <f t="shared" si="22"/>
        <v>26.244</v>
      </c>
      <c r="Y98" s="16">
        <v>1.615</v>
      </c>
      <c r="Z98" s="16">
        <v>1</v>
      </c>
      <c r="AA98" s="15" t="s">
        <v>70</v>
      </c>
      <c r="AB98" s="85">
        <v>44008</v>
      </c>
      <c r="AC98" s="19">
        <v>44001</v>
      </c>
      <c r="AD98" s="85">
        <v>44008</v>
      </c>
      <c r="AE98" s="85">
        <v>44004</v>
      </c>
      <c r="AF98" s="85">
        <v>44004</v>
      </c>
      <c r="AG98" s="85" t="s">
        <v>164</v>
      </c>
      <c r="AH98" s="86">
        <v>1</v>
      </c>
      <c r="AI98" s="86">
        <v>1</v>
      </c>
      <c r="AJ98" s="86">
        <v>0.5</v>
      </c>
      <c r="AK98" s="96" t="s">
        <v>144</v>
      </c>
      <c r="AL98" s="93"/>
      <c r="AM98" s="15"/>
      <c r="AN98" s="15"/>
    </row>
    <row r="99" spans="2:40" x14ac:dyDescent="0.25">
      <c r="B99" s="97">
        <f t="shared" si="18"/>
        <v>40</v>
      </c>
      <c r="C99" s="16">
        <v>20200619</v>
      </c>
      <c r="D99" s="16" t="s">
        <v>2</v>
      </c>
      <c r="E99" s="95" t="s">
        <v>798</v>
      </c>
      <c r="F99" s="84" t="s">
        <v>796</v>
      </c>
      <c r="G99" s="48"/>
      <c r="H99" s="16" t="s">
        <v>279</v>
      </c>
      <c r="I99" s="16" t="s">
        <v>714</v>
      </c>
      <c r="J99" s="16" t="s">
        <v>254</v>
      </c>
      <c r="K99" s="48"/>
      <c r="L99" s="84" t="s">
        <v>58</v>
      </c>
      <c r="M99" s="48"/>
      <c r="N99" s="16" t="s">
        <v>617</v>
      </c>
      <c r="O99" s="84" t="s">
        <v>281</v>
      </c>
      <c r="P99" s="84" t="s">
        <v>804</v>
      </c>
      <c r="Q99" s="18"/>
      <c r="R99" s="16" t="s">
        <v>90</v>
      </c>
      <c r="S99" s="16" t="s">
        <v>63</v>
      </c>
      <c r="T99" s="16"/>
      <c r="U99" s="16"/>
      <c r="V99" s="16">
        <v>13</v>
      </c>
      <c r="W99" s="15">
        <f>ROUND(IF(D99=Table!$C$3,Y99*Table!$C$4/8,Y99*Table!$D$4/8),3)</f>
        <v>26.244</v>
      </c>
      <c r="X99" s="16">
        <f t="shared" si="22"/>
        <v>26.244</v>
      </c>
      <c r="Y99" s="16">
        <v>1.615</v>
      </c>
      <c r="Z99" s="16">
        <v>1</v>
      </c>
      <c r="AA99" s="15" t="s">
        <v>70</v>
      </c>
      <c r="AB99" s="85">
        <v>44008</v>
      </c>
      <c r="AC99" s="19">
        <v>44001</v>
      </c>
      <c r="AD99" s="85">
        <v>44008</v>
      </c>
      <c r="AE99" s="85">
        <v>44004</v>
      </c>
      <c r="AF99" s="85">
        <v>44004</v>
      </c>
      <c r="AG99" s="85" t="s">
        <v>164</v>
      </c>
      <c r="AH99" s="86">
        <v>1</v>
      </c>
      <c r="AI99" s="86">
        <v>0.85699999999999998</v>
      </c>
      <c r="AJ99" s="86">
        <v>1</v>
      </c>
      <c r="AK99" s="96" t="s">
        <v>144</v>
      </c>
      <c r="AL99" s="140" t="s">
        <v>918</v>
      </c>
      <c r="AM99" s="15"/>
      <c r="AN99" s="15"/>
    </row>
    <row r="100" spans="2:40" x14ac:dyDescent="0.25">
      <c r="B100" s="97">
        <f t="shared" si="18"/>
        <v>41</v>
      </c>
      <c r="C100" s="16">
        <v>20200619</v>
      </c>
      <c r="D100" s="16" t="s">
        <v>2</v>
      </c>
      <c r="E100" s="95" t="s">
        <v>798</v>
      </c>
      <c r="F100" s="84" t="s">
        <v>796</v>
      </c>
      <c r="G100" s="48"/>
      <c r="H100" s="16" t="s">
        <v>312</v>
      </c>
      <c r="I100" s="16" t="s">
        <v>715</v>
      </c>
      <c r="J100" s="16" t="s">
        <v>255</v>
      </c>
      <c r="K100" s="48"/>
      <c r="L100" s="84" t="s">
        <v>58</v>
      </c>
      <c r="M100" s="48"/>
      <c r="N100" s="16" t="s">
        <v>617</v>
      </c>
      <c r="O100" s="84" t="s">
        <v>780</v>
      </c>
      <c r="P100" s="84" t="s">
        <v>610</v>
      </c>
      <c r="Q100" s="18"/>
      <c r="R100" s="16" t="s">
        <v>90</v>
      </c>
      <c r="S100" s="16" t="s">
        <v>63</v>
      </c>
      <c r="T100" s="16"/>
      <c r="U100" s="16"/>
      <c r="V100" s="16">
        <v>20</v>
      </c>
      <c r="W100" s="15">
        <f>ROUND(IF(D100=Table!$C$3,Y100*Table!$C$4/8,Y100*Table!$D$4/8),3)</f>
        <v>26.244</v>
      </c>
      <c r="X100" s="16">
        <f t="shared" si="22"/>
        <v>26.244</v>
      </c>
      <c r="Y100" s="16">
        <v>1.615</v>
      </c>
      <c r="Z100" s="16">
        <v>1</v>
      </c>
      <c r="AA100" s="15" t="s">
        <v>70</v>
      </c>
      <c r="AB100" s="85">
        <v>44008</v>
      </c>
      <c r="AC100" s="19">
        <v>44001</v>
      </c>
      <c r="AD100" s="85">
        <v>44008</v>
      </c>
      <c r="AE100" s="85">
        <v>44005</v>
      </c>
      <c r="AF100" s="85">
        <v>44005</v>
      </c>
      <c r="AG100" s="85" t="s">
        <v>164</v>
      </c>
      <c r="AH100" s="86">
        <v>1</v>
      </c>
      <c r="AI100" s="86">
        <v>0.90900000000000003</v>
      </c>
      <c r="AJ100" s="86">
        <v>0.25</v>
      </c>
      <c r="AK100" s="96" t="s">
        <v>144</v>
      </c>
      <c r="AL100" s="140" t="s">
        <v>923</v>
      </c>
      <c r="AM100" s="15"/>
      <c r="AN100" s="15"/>
    </row>
    <row r="101" spans="2:40" x14ac:dyDescent="0.25">
      <c r="B101" s="97">
        <f t="shared" si="18"/>
        <v>42</v>
      </c>
      <c r="C101" s="16">
        <v>20200619</v>
      </c>
      <c r="D101" s="16" t="s">
        <v>2</v>
      </c>
      <c r="E101" s="95" t="s">
        <v>798</v>
      </c>
      <c r="F101" s="84" t="s">
        <v>796</v>
      </c>
      <c r="G101" s="48"/>
      <c r="H101" s="16" t="s">
        <v>313</v>
      </c>
      <c r="I101" s="16" t="s">
        <v>716</v>
      </c>
      <c r="J101" s="16" t="s">
        <v>254</v>
      </c>
      <c r="K101" s="48"/>
      <c r="L101" s="84" t="s">
        <v>58</v>
      </c>
      <c r="M101" s="48"/>
      <c r="N101" s="16" t="s">
        <v>617</v>
      </c>
      <c r="O101" s="84" t="s">
        <v>621</v>
      </c>
      <c r="P101" s="84" t="s">
        <v>803</v>
      </c>
      <c r="Q101" s="18"/>
      <c r="R101" s="16" t="s">
        <v>90</v>
      </c>
      <c r="S101" s="16" t="s">
        <v>63</v>
      </c>
      <c r="T101" s="16"/>
      <c r="U101" s="16"/>
      <c r="V101" s="16">
        <v>8</v>
      </c>
      <c r="W101" s="15">
        <f>ROUND(IF(D101=Table!$C$3,Y101*Table!$C$4/8,Y101*Table!$D$4/8),3)</f>
        <v>19.5</v>
      </c>
      <c r="X101" s="16">
        <f t="shared" si="22"/>
        <v>19.5</v>
      </c>
      <c r="Y101" s="16">
        <v>1.2</v>
      </c>
      <c r="Z101" s="16">
        <v>1</v>
      </c>
      <c r="AA101" s="15" t="s">
        <v>70</v>
      </c>
      <c r="AB101" s="85">
        <v>44008</v>
      </c>
      <c r="AC101" s="19">
        <v>44001</v>
      </c>
      <c r="AD101" s="85">
        <v>44008</v>
      </c>
      <c r="AE101" s="85">
        <v>44005</v>
      </c>
      <c r="AF101" s="85">
        <v>44005</v>
      </c>
      <c r="AG101" s="85" t="s">
        <v>164</v>
      </c>
      <c r="AH101" s="86">
        <v>1</v>
      </c>
      <c r="AI101" s="86">
        <v>1</v>
      </c>
      <c r="AJ101" s="86" t="s">
        <v>326</v>
      </c>
      <c r="AK101" s="96" t="s">
        <v>144</v>
      </c>
      <c r="AL101" s="93"/>
      <c r="AM101" s="15"/>
      <c r="AN101" s="15"/>
    </row>
    <row r="102" spans="2:40" x14ac:dyDescent="0.25">
      <c r="B102" s="97">
        <f t="shared" si="18"/>
        <v>43</v>
      </c>
      <c r="C102" s="16">
        <v>20200619</v>
      </c>
      <c r="D102" s="16" t="s">
        <v>2</v>
      </c>
      <c r="E102" s="95" t="s">
        <v>798</v>
      </c>
      <c r="F102" s="84" t="s">
        <v>796</v>
      </c>
      <c r="G102" s="48"/>
      <c r="H102" s="16" t="s">
        <v>314</v>
      </c>
      <c r="I102" s="16" t="s">
        <v>717</v>
      </c>
      <c r="J102" s="16" t="s">
        <v>254</v>
      </c>
      <c r="K102" s="48"/>
      <c r="L102" s="84" t="s">
        <v>58</v>
      </c>
      <c r="M102" s="48"/>
      <c r="N102" s="16" t="s">
        <v>617</v>
      </c>
      <c r="O102" s="84" t="s">
        <v>621</v>
      </c>
      <c r="P102" s="84" t="s">
        <v>803</v>
      </c>
      <c r="Q102" s="18"/>
      <c r="R102" s="16" t="s">
        <v>90</v>
      </c>
      <c r="S102" s="16" t="s">
        <v>63</v>
      </c>
      <c r="T102" s="16"/>
      <c r="U102" s="16"/>
      <c r="V102" s="16">
        <v>8</v>
      </c>
      <c r="W102" s="15">
        <f>ROUND(IF(D102=Table!$C$3,Y102*Table!$C$4/8,Y102*Table!$D$4/8),3)</f>
        <v>19.5</v>
      </c>
      <c r="X102" s="16">
        <f t="shared" si="22"/>
        <v>19.5</v>
      </c>
      <c r="Y102" s="16">
        <v>1.2</v>
      </c>
      <c r="Z102" s="16">
        <v>1</v>
      </c>
      <c r="AA102" s="15" t="s">
        <v>70</v>
      </c>
      <c r="AB102" s="85">
        <v>44008</v>
      </c>
      <c r="AC102" s="19">
        <v>44001</v>
      </c>
      <c r="AD102" s="85">
        <v>44008</v>
      </c>
      <c r="AE102" s="85">
        <v>44005</v>
      </c>
      <c r="AF102" s="85">
        <v>44005</v>
      </c>
      <c r="AG102" s="85" t="s">
        <v>164</v>
      </c>
      <c r="AH102" s="86">
        <v>1</v>
      </c>
      <c r="AI102" s="86">
        <v>1</v>
      </c>
      <c r="AJ102" s="86" t="s">
        <v>326</v>
      </c>
      <c r="AK102" s="96" t="s">
        <v>144</v>
      </c>
      <c r="AL102" s="93"/>
      <c r="AM102" s="15"/>
      <c r="AN102" s="15"/>
    </row>
    <row r="103" spans="2:40" x14ac:dyDescent="0.25">
      <c r="B103" s="97">
        <f t="shared" si="18"/>
        <v>44</v>
      </c>
      <c r="C103" s="16">
        <v>20200619</v>
      </c>
      <c r="D103" s="16" t="s">
        <v>2</v>
      </c>
      <c r="E103" s="95" t="s">
        <v>798</v>
      </c>
      <c r="F103" s="84" t="s">
        <v>796</v>
      </c>
      <c r="G103" s="48"/>
      <c r="H103" s="16" t="s">
        <v>315</v>
      </c>
      <c r="I103" s="16" t="s">
        <v>718</v>
      </c>
      <c r="J103" s="16" t="s">
        <v>255</v>
      </c>
      <c r="K103" s="48"/>
      <c r="L103" s="84" t="s">
        <v>58</v>
      </c>
      <c r="M103" s="48"/>
      <c r="N103" s="16" t="s">
        <v>617</v>
      </c>
      <c r="O103" s="84" t="s">
        <v>281</v>
      </c>
      <c r="P103" s="84" t="s">
        <v>610</v>
      </c>
      <c r="Q103" s="18"/>
      <c r="R103" s="16" t="s">
        <v>90</v>
      </c>
      <c r="S103" s="16" t="s">
        <v>63</v>
      </c>
      <c r="T103" s="16"/>
      <c r="U103" s="16"/>
      <c r="V103" s="16">
        <v>13</v>
      </c>
      <c r="W103" s="15">
        <f>ROUND(IF(D103=Table!$C$3,Y103*Table!$C$4/8,Y103*Table!$D$4/8),3)</f>
        <v>26.244</v>
      </c>
      <c r="X103" s="16">
        <f t="shared" si="22"/>
        <v>26.244</v>
      </c>
      <c r="Y103" s="16">
        <v>1.615</v>
      </c>
      <c r="Z103" s="16">
        <v>1</v>
      </c>
      <c r="AA103" s="15" t="s">
        <v>70</v>
      </c>
      <c r="AB103" s="85">
        <v>44008</v>
      </c>
      <c r="AC103" s="19">
        <v>44001</v>
      </c>
      <c r="AD103" s="85">
        <v>44008</v>
      </c>
      <c r="AE103" s="85">
        <v>44005</v>
      </c>
      <c r="AF103" s="85">
        <v>44005</v>
      </c>
      <c r="AG103" s="85" t="s">
        <v>164</v>
      </c>
      <c r="AH103" s="86">
        <v>1</v>
      </c>
      <c r="AI103" s="86">
        <v>1</v>
      </c>
      <c r="AJ103" s="86">
        <v>1</v>
      </c>
      <c r="AK103" s="96" t="s">
        <v>144</v>
      </c>
      <c r="AL103" s="93"/>
      <c r="AM103" s="15"/>
      <c r="AN103" s="15"/>
    </row>
    <row r="104" spans="2:40" x14ac:dyDescent="0.25">
      <c r="B104" s="97">
        <f t="shared" si="18"/>
        <v>45</v>
      </c>
      <c r="C104" s="16">
        <v>20200619</v>
      </c>
      <c r="D104" s="16" t="s">
        <v>2</v>
      </c>
      <c r="E104" s="95" t="s">
        <v>798</v>
      </c>
      <c r="F104" s="84" t="s">
        <v>796</v>
      </c>
      <c r="G104" s="48"/>
      <c r="H104" s="16" t="s">
        <v>822</v>
      </c>
      <c r="I104" s="16" t="s">
        <v>719</v>
      </c>
      <c r="J104" s="16" t="s">
        <v>255</v>
      </c>
      <c r="K104" s="48"/>
      <c r="L104" s="84" t="s">
        <v>58</v>
      </c>
      <c r="M104" s="48"/>
      <c r="N104" s="16" t="s">
        <v>617</v>
      </c>
      <c r="O104" s="84" t="s">
        <v>781</v>
      </c>
      <c r="P104" s="84" t="s">
        <v>610</v>
      </c>
      <c r="Q104" s="18"/>
      <c r="R104" s="16" t="s">
        <v>90</v>
      </c>
      <c r="S104" s="16" t="s">
        <v>63</v>
      </c>
      <c r="T104" s="16"/>
      <c r="U104" s="16"/>
      <c r="V104" s="16">
        <v>52</v>
      </c>
      <c r="W104" s="15">
        <f>ROUND(IF(D104=Table!$C$3,Y104*Table!$C$4/8,Y104*Table!$D$4/8),3)</f>
        <v>37.293999999999997</v>
      </c>
      <c r="X104" s="16">
        <f t="shared" si="22"/>
        <v>37.293999999999997</v>
      </c>
      <c r="Y104" s="16">
        <v>2.2949999999999999</v>
      </c>
      <c r="Z104" s="16">
        <v>1</v>
      </c>
      <c r="AA104" s="15" t="s">
        <v>70</v>
      </c>
      <c r="AB104" s="85">
        <v>44008</v>
      </c>
      <c r="AC104" s="19">
        <v>44001</v>
      </c>
      <c r="AD104" s="85">
        <v>44008</v>
      </c>
      <c r="AE104" s="85">
        <v>44005</v>
      </c>
      <c r="AF104" s="85">
        <v>44005</v>
      </c>
      <c r="AG104" s="85" t="s">
        <v>164</v>
      </c>
      <c r="AH104" s="86">
        <v>1</v>
      </c>
      <c r="AI104" s="86">
        <v>1</v>
      </c>
      <c r="AJ104" s="86">
        <v>1</v>
      </c>
      <c r="AK104" s="96" t="s">
        <v>144</v>
      </c>
      <c r="AL104" s="93"/>
      <c r="AM104" s="15"/>
      <c r="AN104" s="15"/>
    </row>
    <row r="105" spans="2:40" x14ac:dyDescent="0.25">
      <c r="B105" s="97">
        <f t="shared" si="18"/>
        <v>46</v>
      </c>
      <c r="C105" s="16">
        <v>20200619</v>
      </c>
      <c r="D105" s="16" t="s">
        <v>2</v>
      </c>
      <c r="E105" s="95" t="s">
        <v>798</v>
      </c>
      <c r="F105" s="84" t="s">
        <v>796</v>
      </c>
      <c r="G105" s="48"/>
      <c r="H105" s="16" t="s">
        <v>823</v>
      </c>
      <c r="I105" s="16" t="s">
        <v>720</v>
      </c>
      <c r="J105" s="16" t="s">
        <v>254</v>
      </c>
      <c r="K105" s="48"/>
      <c r="L105" s="84" t="s">
        <v>58</v>
      </c>
      <c r="M105" s="48"/>
      <c r="N105" s="16" t="s">
        <v>617</v>
      </c>
      <c r="O105" s="84" t="s">
        <v>281</v>
      </c>
      <c r="P105" s="84" t="s">
        <v>612</v>
      </c>
      <c r="Q105" s="18"/>
      <c r="R105" s="16" t="s">
        <v>92</v>
      </c>
      <c r="S105" s="16" t="s">
        <v>136</v>
      </c>
      <c r="T105" s="16"/>
      <c r="U105" s="16"/>
      <c r="V105" s="16">
        <v>14</v>
      </c>
      <c r="W105" s="15">
        <f>ROUND(IF(D105=Table!$C$3,Y105*Table!$C$4/8,Y105*Table!$D$4/8),3)</f>
        <v>26.244</v>
      </c>
      <c r="X105" s="16">
        <v>26.244</v>
      </c>
      <c r="Y105" s="16">
        <v>1.615</v>
      </c>
      <c r="Z105" s="16">
        <v>1</v>
      </c>
      <c r="AA105" s="15" t="s">
        <v>70</v>
      </c>
      <c r="AB105" s="85">
        <v>44008</v>
      </c>
      <c r="AC105" s="19">
        <v>44001</v>
      </c>
      <c r="AD105" s="85">
        <v>44008</v>
      </c>
      <c r="AE105" s="85">
        <v>44004</v>
      </c>
      <c r="AF105" s="85">
        <v>44004</v>
      </c>
      <c r="AG105" s="85" t="s">
        <v>164</v>
      </c>
      <c r="AH105" s="86">
        <v>1</v>
      </c>
      <c r="AI105" s="86">
        <v>1</v>
      </c>
      <c r="AJ105" s="86">
        <v>0.33300000000000002</v>
      </c>
      <c r="AK105" s="96" t="s">
        <v>144</v>
      </c>
      <c r="AL105" s="93"/>
      <c r="AM105" s="15"/>
      <c r="AN105" s="15"/>
    </row>
    <row r="106" spans="2:40" x14ac:dyDescent="0.25">
      <c r="B106" s="97">
        <f t="shared" si="18"/>
        <v>47</v>
      </c>
      <c r="C106" s="16">
        <v>20200619</v>
      </c>
      <c r="D106" s="16" t="s">
        <v>2</v>
      </c>
      <c r="E106" s="95" t="s">
        <v>798</v>
      </c>
      <c r="F106" s="84" t="s">
        <v>796</v>
      </c>
      <c r="G106" s="48"/>
      <c r="H106" s="16" t="s">
        <v>280</v>
      </c>
      <c r="I106" s="16" t="s">
        <v>721</v>
      </c>
      <c r="J106" s="16" t="s">
        <v>255</v>
      </c>
      <c r="K106" s="48"/>
      <c r="L106" s="84" t="s">
        <v>58</v>
      </c>
      <c r="M106" s="48"/>
      <c r="N106" s="16" t="s">
        <v>617</v>
      </c>
      <c r="O106" s="84" t="s">
        <v>782</v>
      </c>
      <c r="P106" s="84" t="s">
        <v>610</v>
      </c>
      <c r="Q106" s="18"/>
      <c r="R106" s="16" t="s">
        <v>92</v>
      </c>
      <c r="S106" s="16" t="s">
        <v>136</v>
      </c>
      <c r="T106" s="16"/>
      <c r="U106" s="16"/>
      <c r="V106" s="16">
        <v>31</v>
      </c>
      <c r="W106" s="15">
        <f>ROUND(IF(D106=Table!$C$3,Y106*Table!$C$4/8,Y106*Table!$D$4/8),3)</f>
        <v>26.244</v>
      </c>
      <c r="X106" s="16">
        <v>26.244</v>
      </c>
      <c r="Y106" s="16">
        <v>1.615</v>
      </c>
      <c r="Z106" s="16">
        <v>1</v>
      </c>
      <c r="AA106" s="15" t="s">
        <v>70</v>
      </c>
      <c r="AB106" s="85">
        <v>44008</v>
      </c>
      <c r="AC106" s="19">
        <v>44001</v>
      </c>
      <c r="AD106" s="85">
        <v>44008</v>
      </c>
      <c r="AE106" s="85">
        <v>44004</v>
      </c>
      <c r="AF106" s="85">
        <v>44004</v>
      </c>
      <c r="AG106" s="85" t="s">
        <v>164</v>
      </c>
      <c r="AH106" s="86">
        <v>1</v>
      </c>
      <c r="AI106" s="86">
        <v>1</v>
      </c>
      <c r="AJ106" s="86">
        <v>0.22700000000000001</v>
      </c>
      <c r="AK106" s="96" t="s">
        <v>144</v>
      </c>
      <c r="AL106" s="93"/>
      <c r="AM106" s="15"/>
      <c r="AN106" s="15"/>
    </row>
    <row r="107" spans="2:40" x14ac:dyDescent="0.25">
      <c r="B107" s="97">
        <f t="shared" si="18"/>
        <v>48</v>
      </c>
      <c r="C107" s="16">
        <v>20200619</v>
      </c>
      <c r="D107" s="16" t="s">
        <v>2</v>
      </c>
      <c r="E107" s="95" t="s">
        <v>798</v>
      </c>
      <c r="F107" s="84" t="s">
        <v>796</v>
      </c>
      <c r="G107" s="48"/>
      <c r="H107" s="16" t="s">
        <v>824</v>
      </c>
      <c r="I107" s="16" t="s">
        <v>722</v>
      </c>
      <c r="J107" s="16" t="s">
        <v>254</v>
      </c>
      <c r="K107" s="48"/>
      <c r="L107" s="84" t="s">
        <v>58</v>
      </c>
      <c r="M107" s="48"/>
      <c r="N107" s="16" t="s">
        <v>617</v>
      </c>
      <c r="O107" s="84" t="s">
        <v>281</v>
      </c>
      <c r="P107" s="84" t="s">
        <v>802</v>
      </c>
      <c r="Q107" s="18"/>
      <c r="R107" s="16" t="s">
        <v>92</v>
      </c>
      <c r="S107" s="16" t="s">
        <v>136</v>
      </c>
      <c r="T107" s="16"/>
      <c r="U107" s="16"/>
      <c r="V107" s="16">
        <v>14</v>
      </c>
      <c r="W107" s="15">
        <f>ROUND(IF(D107=Table!$C$3,Y107*Table!$C$4/8,Y107*Table!$D$4/8),3)</f>
        <v>26.244</v>
      </c>
      <c r="X107" s="16">
        <v>26.244</v>
      </c>
      <c r="Y107" s="16">
        <v>1.615</v>
      </c>
      <c r="Z107" s="16">
        <v>1</v>
      </c>
      <c r="AA107" s="15" t="s">
        <v>70</v>
      </c>
      <c r="AB107" s="85">
        <v>44008</v>
      </c>
      <c r="AC107" s="19">
        <v>44001</v>
      </c>
      <c r="AD107" s="85">
        <v>44008</v>
      </c>
      <c r="AE107" s="85">
        <v>44004</v>
      </c>
      <c r="AF107" s="85">
        <v>44004</v>
      </c>
      <c r="AG107" s="85" t="s">
        <v>164</v>
      </c>
      <c r="AH107" s="86">
        <v>1</v>
      </c>
      <c r="AI107" s="86">
        <v>1</v>
      </c>
      <c r="AJ107" s="86" t="s">
        <v>326</v>
      </c>
      <c r="AK107" s="96" t="s">
        <v>144</v>
      </c>
      <c r="AL107" s="93"/>
      <c r="AM107" s="15"/>
      <c r="AN107" s="15"/>
    </row>
    <row r="108" spans="2:40" x14ac:dyDescent="0.25">
      <c r="B108" s="97">
        <f t="shared" si="18"/>
        <v>49</v>
      </c>
      <c r="C108" s="16">
        <v>20200619</v>
      </c>
      <c r="D108" s="16" t="s">
        <v>2</v>
      </c>
      <c r="E108" s="95" t="s">
        <v>798</v>
      </c>
      <c r="F108" s="84" t="s">
        <v>796</v>
      </c>
      <c r="G108" s="48"/>
      <c r="H108" s="16" t="s">
        <v>825</v>
      </c>
      <c r="I108" s="16" t="s">
        <v>723</v>
      </c>
      <c r="J108" s="16" t="s">
        <v>254</v>
      </c>
      <c r="K108" s="48"/>
      <c r="L108" s="84" t="s">
        <v>58</v>
      </c>
      <c r="M108" s="48"/>
      <c r="N108" s="16" t="s">
        <v>617</v>
      </c>
      <c r="O108" s="84" t="s">
        <v>281</v>
      </c>
      <c r="P108" s="84" t="s">
        <v>803</v>
      </c>
      <c r="Q108" s="18"/>
      <c r="R108" s="16" t="s">
        <v>92</v>
      </c>
      <c r="S108" s="16" t="s">
        <v>136</v>
      </c>
      <c r="T108" s="16"/>
      <c r="U108" s="16"/>
      <c r="V108" s="16">
        <v>99</v>
      </c>
      <c r="W108" s="15">
        <f>ROUND(IF(D108=Table!$C$3,Y108*Table!$C$4/8,Y108*Table!$D$4/8),3)</f>
        <v>81.494</v>
      </c>
      <c r="X108" s="16">
        <v>81.494</v>
      </c>
      <c r="Y108" s="16">
        <v>5.0150000000000006</v>
      </c>
      <c r="Z108" s="16">
        <v>5</v>
      </c>
      <c r="AA108" s="15" t="s">
        <v>70</v>
      </c>
      <c r="AB108" s="85">
        <v>44008</v>
      </c>
      <c r="AC108" s="19">
        <v>44001</v>
      </c>
      <c r="AD108" s="85">
        <v>44008</v>
      </c>
      <c r="AE108" s="85">
        <v>44006</v>
      </c>
      <c r="AF108" s="85">
        <v>44006</v>
      </c>
      <c r="AG108" s="85" t="s">
        <v>164</v>
      </c>
      <c r="AH108" s="86">
        <v>1</v>
      </c>
      <c r="AI108" s="86">
        <v>1</v>
      </c>
      <c r="AJ108" s="86">
        <v>0.154</v>
      </c>
      <c r="AK108" s="96" t="s">
        <v>144</v>
      </c>
      <c r="AL108" s="93"/>
      <c r="AM108" s="15"/>
      <c r="AN108" s="15"/>
    </row>
    <row r="109" spans="2:40" x14ac:dyDescent="0.25">
      <c r="B109" s="97">
        <f t="shared" si="18"/>
        <v>50</v>
      </c>
      <c r="C109" s="16">
        <v>20200619</v>
      </c>
      <c r="D109" s="16" t="s">
        <v>2</v>
      </c>
      <c r="E109" s="95" t="s">
        <v>798</v>
      </c>
      <c r="F109" s="84" t="s">
        <v>796</v>
      </c>
      <c r="G109" s="48"/>
      <c r="H109" s="16" t="s">
        <v>465</v>
      </c>
      <c r="I109" s="16" t="s">
        <v>724</v>
      </c>
      <c r="J109" s="16" t="s">
        <v>254</v>
      </c>
      <c r="K109" s="48"/>
      <c r="L109" s="84" t="s">
        <v>58</v>
      </c>
      <c r="M109" s="48"/>
      <c r="N109" s="16" t="s">
        <v>617</v>
      </c>
      <c r="O109" s="84" t="s">
        <v>621</v>
      </c>
      <c r="P109" s="84" t="s">
        <v>803</v>
      </c>
      <c r="Q109" s="18"/>
      <c r="R109" s="16" t="s">
        <v>92</v>
      </c>
      <c r="S109" s="16" t="s">
        <v>136</v>
      </c>
      <c r="T109" s="16"/>
      <c r="U109" s="16"/>
      <c r="V109" s="16">
        <v>30</v>
      </c>
      <c r="W109" s="15">
        <f>ROUND(IF(D109=Table!$C$3,Y109*Table!$C$4/8,Y109*Table!$D$4/8),3)</f>
        <v>26.244</v>
      </c>
      <c r="X109" s="16">
        <v>26.244</v>
      </c>
      <c r="Y109" s="16">
        <v>1.615</v>
      </c>
      <c r="Z109" s="16">
        <v>1</v>
      </c>
      <c r="AA109" s="15" t="s">
        <v>70</v>
      </c>
      <c r="AB109" s="85">
        <v>44008</v>
      </c>
      <c r="AC109" s="19">
        <v>44001</v>
      </c>
      <c r="AD109" s="85">
        <v>44008</v>
      </c>
      <c r="AE109" s="85">
        <v>44004</v>
      </c>
      <c r="AF109" s="85">
        <v>44004</v>
      </c>
      <c r="AG109" s="85" t="s">
        <v>164</v>
      </c>
      <c r="AH109" s="86">
        <v>1</v>
      </c>
      <c r="AI109" s="86">
        <v>1</v>
      </c>
      <c r="AJ109" s="86">
        <v>0.33300000000000002</v>
      </c>
      <c r="AK109" s="96" t="s">
        <v>144</v>
      </c>
      <c r="AL109" s="93"/>
      <c r="AM109" s="15"/>
      <c r="AN109" s="15"/>
    </row>
    <row r="110" spans="2:40" x14ac:dyDescent="0.25">
      <c r="B110" s="97">
        <f t="shared" si="18"/>
        <v>51</v>
      </c>
      <c r="C110" s="16">
        <v>20200619</v>
      </c>
      <c r="D110" s="16" t="s">
        <v>2</v>
      </c>
      <c r="E110" s="95" t="s">
        <v>798</v>
      </c>
      <c r="F110" s="84" t="s">
        <v>796</v>
      </c>
      <c r="G110" s="48"/>
      <c r="H110" s="16" t="s">
        <v>826</v>
      </c>
      <c r="I110" s="16" t="s">
        <v>725</v>
      </c>
      <c r="J110" s="16" t="s">
        <v>254</v>
      </c>
      <c r="K110" s="48"/>
      <c r="L110" s="84" t="s">
        <v>58</v>
      </c>
      <c r="M110" s="48"/>
      <c r="N110" s="16" t="s">
        <v>617</v>
      </c>
      <c r="O110" s="84" t="s">
        <v>621</v>
      </c>
      <c r="P110" s="84" t="s">
        <v>803</v>
      </c>
      <c r="Q110" s="18"/>
      <c r="R110" s="16" t="s">
        <v>92</v>
      </c>
      <c r="S110" s="16" t="s">
        <v>136</v>
      </c>
      <c r="T110" s="16"/>
      <c r="U110" s="16"/>
      <c r="V110" s="16">
        <v>40</v>
      </c>
      <c r="W110" s="15">
        <f>ROUND(IF(D110=Table!$C$3,Y110*Table!$C$4/8,Y110*Table!$D$4/8),3)</f>
        <v>26.244</v>
      </c>
      <c r="X110" s="16">
        <v>26.244</v>
      </c>
      <c r="Y110" s="16">
        <v>1.615</v>
      </c>
      <c r="Z110" s="16">
        <v>1</v>
      </c>
      <c r="AA110" s="15" t="s">
        <v>70</v>
      </c>
      <c r="AB110" s="85">
        <v>44008</v>
      </c>
      <c r="AC110" s="19">
        <v>44001</v>
      </c>
      <c r="AD110" s="85">
        <v>44008</v>
      </c>
      <c r="AE110" s="85">
        <v>44004</v>
      </c>
      <c r="AF110" s="85">
        <v>44004</v>
      </c>
      <c r="AG110" s="85" t="s">
        <v>164</v>
      </c>
      <c r="AH110" s="86">
        <v>1</v>
      </c>
      <c r="AI110" s="86">
        <v>1</v>
      </c>
      <c r="AJ110" s="86">
        <v>0.28599999999999998</v>
      </c>
      <c r="AK110" s="96" t="s">
        <v>144</v>
      </c>
      <c r="AL110" s="93"/>
      <c r="AM110" s="15"/>
      <c r="AN110" s="15"/>
    </row>
    <row r="111" spans="2:40" x14ac:dyDescent="0.25">
      <c r="B111" s="97">
        <f t="shared" si="18"/>
        <v>52</v>
      </c>
      <c r="C111" s="16">
        <v>20200619</v>
      </c>
      <c r="D111" s="16" t="s">
        <v>2</v>
      </c>
      <c r="E111" s="95" t="s">
        <v>798</v>
      </c>
      <c r="F111" s="84" t="s">
        <v>796</v>
      </c>
      <c r="G111" s="48"/>
      <c r="H111" s="16" t="s">
        <v>827</v>
      </c>
      <c r="I111" s="16" t="s">
        <v>726</v>
      </c>
      <c r="J111" s="16" t="s">
        <v>254</v>
      </c>
      <c r="K111" s="48"/>
      <c r="L111" s="84" t="s">
        <v>58</v>
      </c>
      <c r="M111" s="48"/>
      <c r="N111" s="16" t="s">
        <v>617</v>
      </c>
      <c r="O111" s="84" t="s">
        <v>621</v>
      </c>
      <c r="P111" s="84" t="s">
        <v>803</v>
      </c>
      <c r="Q111" s="18"/>
      <c r="R111" s="16" t="s">
        <v>92</v>
      </c>
      <c r="S111" s="16" t="s">
        <v>136</v>
      </c>
      <c r="T111" s="16"/>
      <c r="U111" s="16"/>
      <c r="V111" s="16">
        <v>123</v>
      </c>
      <c r="W111" s="15">
        <f>ROUND(IF(D111=Table!$C$3,Y111*Table!$C$4/8,Y111*Table!$D$4/8),3)</f>
        <v>77.626000000000005</v>
      </c>
      <c r="X111" s="16">
        <v>77.626000000000005</v>
      </c>
      <c r="Y111" s="16">
        <v>4.7770000000000001</v>
      </c>
      <c r="Z111" s="16">
        <v>4</v>
      </c>
      <c r="AA111" s="15" t="s">
        <v>70</v>
      </c>
      <c r="AB111" s="85">
        <v>44008</v>
      </c>
      <c r="AC111" s="19">
        <v>44001</v>
      </c>
      <c r="AD111" s="85">
        <v>44008</v>
      </c>
      <c r="AE111" s="85">
        <v>44004</v>
      </c>
      <c r="AF111" s="85">
        <v>44004</v>
      </c>
      <c r="AG111" s="85" t="s">
        <v>164</v>
      </c>
      <c r="AH111" s="86">
        <v>0.93500000000000005</v>
      </c>
      <c r="AI111" s="86">
        <v>0.93799999999999994</v>
      </c>
      <c r="AJ111" s="86">
        <v>1</v>
      </c>
      <c r="AK111" s="96" t="s">
        <v>144</v>
      </c>
      <c r="AL111" s="93" t="s">
        <v>914</v>
      </c>
      <c r="AM111" s="15"/>
      <c r="AN111" s="15"/>
    </row>
    <row r="112" spans="2:40" x14ac:dyDescent="0.25">
      <c r="B112" s="97">
        <f t="shared" si="18"/>
        <v>53</v>
      </c>
      <c r="C112" s="16">
        <v>20200619</v>
      </c>
      <c r="D112" s="16" t="s">
        <v>2</v>
      </c>
      <c r="E112" s="95" t="s">
        <v>798</v>
      </c>
      <c r="F112" s="84" t="s">
        <v>796</v>
      </c>
      <c r="G112" s="48"/>
      <c r="H112" s="16" t="s">
        <v>828</v>
      </c>
      <c r="I112" s="16" t="s">
        <v>727</v>
      </c>
      <c r="J112" s="16" t="s">
        <v>254</v>
      </c>
      <c r="K112" s="48"/>
      <c r="L112" s="84" t="s">
        <v>58</v>
      </c>
      <c r="M112" s="48"/>
      <c r="N112" s="16" t="s">
        <v>617</v>
      </c>
      <c r="O112" s="84" t="s">
        <v>621</v>
      </c>
      <c r="P112" s="84" t="s">
        <v>803</v>
      </c>
      <c r="Q112" s="18"/>
      <c r="R112" s="16" t="s">
        <v>92</v>
      </c>
      <c r="S112" s="16" t="s">
        <v>136</v>
      </c>
      <c r="T112" s="16"/>
      <c r="U112" s="16"/>
      <c r="V112" s="16">
        <v>105</v>
      </c>
      <c r="W112" s="15">
        <f>ROUND(IF(D112=Table!$C$3,Y112*Table!$C$4/8,Y112*Table!$D$4/8),3)</f>
        <v>68.233999999999995</v>
      </c>
      <c r="X112" s="16">
        <v>68.233999999999995</v>
      </c>
      <c r="Y112" s="16">
        <v>4.1989999999999998</v>
      </c>
      <c r="Z112" s="16">
        <v>4</v>
      </c>
      <c r="AA112" s="15" t="s">
        <v>70</v>
      </c>
      <c r="AB112" s="85">
        <v>44008</v>
      </c>
      <c r="AC112" s="19">
        <v>44001</v>
      </c>
      <c r="AD112" s="85">
        <v>44008</v>
      </c>
      <c r="AE112" s="85">
        <v>44004</v>
      </c>
      <c r="AF112" s="85">
        <v>44004</v>
      </c>
      <c r="AG112" s="85" t="s">
        <v>164</v>
      </c>
      <c r="AH112" s="98">
        <v>0.96299999999999997</v>
      </c>
      <c r="AI112" s="98">
        <v>0.96499999999999997</v>
      </c>
      <c r="AJ112" s="98">
        <v>0.5</v>
      </c>
      <c r="AK112" s="14" t="s">
        <v>144</v>
      </c>
      <c r="AL112" s="93" t="s">
        <v>907</v>
      </c>
      <c r="AM112" s="15"/>
      <c r="AN112" s="15"/>
    </row>
    <row r="113" spans="2:40" x14ac:dyDescent="0.25">
      <c r="B113" s="97">
        <f t="shared" si="18"/>
        <v>54</v>
      </c>
      <c r="C113" s="16">
        <v>20200619</v>
      </c>
      <c r="D113" s="16" t="s">
        <v>2</v>
      </c>
      <c r="E113" s="95" t="s">
        <v>798</v>
      </c>
      <c r="F113" s="84" t="s">
        <v>796</v>
      </c>
      <c r="G113" s="48"/>
      <c r="H113" s="16" t="s">
        <v>829</v>
      </c>
      <c r="I113" s="16" t="s">
        <v>728</v>
      </c>
      <c r="J113" s="16" t="s">
        <v>254</v>
      </c>
      <c r="K113" s="48"/>
      <c r="L113" s="84" t="s">
        <v>58</v>
      </c>
      <c r="M113" s="48"/>
      <c r="N113" s="16" t="s">
        <v>617</v>
      </c>
      <c r="O113" s="84" t="s">
        <v>621</v>
      </c>
      <c r="P113" s="84" t="s">
        <v>803</v>
      </c>
      <c r="Q113" s="18"/>
      <c r="R113" s="16" t="s">
        <v>92</v>
      </c>
      <c r="S113" s="16" t="s">
        <v>136</v>
      </c>
      <c r="T113" s="16"/>
      <c r="U113" s="16"/>
      <c r="V113" s="16">
        <v>155</v>
      </c>
      <c r="W113" s="15">
        <f>ROUND(IF(D113=Table!$C$3,Y113*Table!$C$4/8,Y113*Table!$D$4/8),3)</f>
        <v>96.411000000000001</v>
      </c>
      <c r="X113" s="16">
        <v>96.411000000000001</v>
      </c>
      <c r="Y113" s="16">
        <v>5.9329999999999998</v>
      </c>
      <c r="Z113" s="16">
        <v>5</v>
      </c>
      <c r="AA113" s="15" t="s">
        <v>70</v>
      </c>
      <c r="AB113" s="85">
        <v>44008</v>
      </c>
      <c r="AC113" s="19">
        <v>44001</v>
      </c>
      <c r="AD113" s="85">
        <v>44008</v>
      </c>
      <c r="AE113" s="85">
        <v>44004</v>
      </c>
      <c r="AF113" s="85">
        <v>44004</v>
      </c>
      <c r="AG113" s="85" t="s">
        <v>164</v>
      </c>
      <c r="AH113" s="98">
        <v>0.94599999999999995</v>
      </c>
      <c r="AI113" s="98">
        <v>0.94599999999999995</v>
      </c>
      <c r="AJ113" s="98">
        <v>0.45500000000000002</v>
      </c>
      <c r="AK113" s="14" t="s">
        <v>144</v>
      </c>
      <c r="AL113" s="93" t="s">
        <v>915</v>
      </c>
      <c r="AM113" s="15"/>
      <c r="AN113" s="15"/>
    </row>
    <row r="114" spans="2:40" x14ac:dyDescent="0.25">
      <c r="B114" s="97">
        <f t="shared" si="18"/>
        <v>55</v>
      </c>
      <c r="C114" s="16">
        <v>20200619</v>
      </c>
      <c r="D114" s="16" t="s">
        <v>2</v>
      </c>
      <c r="E114" s="95" t="s">
        <v>798</v>
      </c>
      <c r="F114" s="84" t="s">
        <v>796</v>
      </c>
      <c r="G114" s="48"/>
      <c r="H114" s="141" t="s">
        <v>830</v>
      </c>
      <c r="I114" s="16" t="s">
        <v>729</v>
      </c>
      <c r="J114" s="16" t="s">
        <v>254</v>
      </c>
      <c r="K114" s="48"/>
      <c r="L114" s="84" t="s">
        <v>58</v>
      </c>
      <c r="M114" s="48"/>
      <c r="N114" s="16" t="s">
        <v>617</v>
      </c>
      <c r="O114" s="84" t="s">
        <v>621</v>
      </c>
      <c r="P114" s="84" t="s">
        <v>803</v>
      </c>
      <c r="Q114" s="18"/>
      <c r="R114" s="16" t="s">
        <v>92</v>
      </c>
      <c r="S114" s="16" t="s">
        <v>136</v>
      </c>
      <c r="T114" s="16"/>
      <c r="U114" s="16"/>
      <c r="V114" s="16">
        <v>92</v>
      </c>
      <c r="W114" s="15">
        <f>ROUND(IF(D114=Table!$C$3,Y114*Table!$C$4/8,Y114*Table!$D$4/8),3)</f>
        <v>58.841000000000001</v>
      </c>
      <c r="X114" s="16">
        <v>58.841000000000001</v>
      </c>
      <c r="Y114" s="16">
        <v>3.6209999999999996</v>
      </c>
      <c r="Z114" s="16">
        <v>3</v>
      </c>
      <c r="AA114" s="15" t="s">
        <v>70</v>
      </c>
      <c r="AB114" s="85">
        <v>44008</v>
      </c>
      <c r="AC114" s="19">
        <v>44001</v>
      </c>
      <c r="AD114" s="85">
        <v>44008</v>
      </c>
      <c r="AE114" s="85">
        <v>44005</v>
      </c>
      <c r="AF114" s="85">
        <v>44005</v>
      </c>
      <c r="AG114" s="85" t="s">
        <v>164</v>
      </c>
      <c r="AH114" s="98">
        <v>0.91700000000000004</v>
      </c>
      <c r="AI114" s="98">
        <v>0.92600000000000005</v>
      </c>
      <c r="AJ114" s="98">
        <v>0.42899999999999999</v>
      </c>
      <c r="AK114" s="14" t="s">
        <v>144</v>
      </c>
      <c r="AL114" s="14" t="s">
        <v>924</v>
      </c>
      <c r="AM114" s="15"/>
      <c r="AN114" s="15"/>
    </row>
    <row r="115" spans="2:40" x14ac:dyDescent="0.25">
      <c r="B115" s="97">
        <f t="shared" si="18"/>
        <v>56</v>
      </c>
      <c r="C115" s="16">
        <v>20200619</v>
      </c>
      <c r="D115" s="16" t="s">
        <v>2</v>
      </c>
      <c r="E115" s="95" t="s">
        <v>798</v>
      </c>
      <c r="F115" s="84" t="s">
        <v>796</v>
      </c>
      <c r="G115" s="48"/>
      <c r="H115" s="16" t="s">
        <v>831</v>
      </c>
      <c r="I115" s="16" t="s">
        <v>730</v>
      </c>
      <c r="J115" s="16" t="s">
        <v>254</v>
      </c>
      <c r="K115" s="48"/>
      <c r="L115" s="84" t="s">
        <v>58</v>
      </c>
      <c r="M115" s="48"/>
      <c r="N115" s="16" t="s">
        <v>617</v>
      </c>
      <c r="O115" s="84" t="s">
        <v>621</v>
      </c>
      <c r="P115" s="84" t="s">
        <v>803</v>
      </c>
      <c r="Q115" s="18"/>
      <c r="R115" s="16" t="s">
        <v>92</v>
      </c>
      <c r="S115" s="16" t="s">
        <v>136</v>
      </c>
      <c r="T115" s="16"/>
      <c r="U115" s="16"/>
      <c r="V115" s="16">
        <v>136</v>
      </c>
      <c r="W115" s="15">
        <f>ROUND(IF(D115=Table!$C$3,Y115*Table!$C$4/8,Y115*Table!$D$4/8),3)</f>
        <v>81.494</v>
      </c>
      <c r="X115" s="16">
        <v>81.494</v>
      </c>
      <c r="Y115" s="16">
        <v>5.0150000000000006</v>
      </c>
      <c r="Z115" s="16">
        <v>5</v>
      </c>
      <c r="AA115" s="15" t="s">
        <v>70</v>
      </c>
      <c r="AB115" s="85">
        <v>44008</v>
      </c>
      <c r="AC115" s="80">
        <v>44001</v>
      </c>
      <c r="AD115" s="80">
        <v>44008</v>
      </c>
      <c r="AE115" s="80">
        <v>44006</v>
      </c>
      <c r="AF115" s="80">
        <v>44006</v>
      </c>
      <c r="AG115" s="80" t="s">
        <v>164</v>
      </c>
      <c r="AH115" s="98">
        <v>1</v>
      </c>
      <c r="AI115" s="98">
        <v>1</v>
      </c>
      <c r="AJ115" s="145">
        <v>0.25</v>
      </c>
      <c r="AK115" s="14" t="s">
        <v>144</v>
      </c>
      <c r="AM115" s="15"/>
      <c r="AN115" s="15"/>
    </row>
    <row r="116" spans="2:40" x14ac:dyDescent="0.25">
      <c r="B116" s="97">
        <f t="shared" si="18"/>
        <v>57</v>
      </c>
      <c r="C116" s="16">
        <v>20200619</v>
      </c>
      <c r="D116" s="16" t="s">
        <v>2</v>
      </c>
      <c r="E116" s="95" t="s">
        <v>798</v>
      </c>
      <c r="F116" s="84" t="s">
        <v>796</v>
      </c>
      <c r="G116" s="48"/>
      <c r="H116" s="16" t="s">
        <v>466</v>
      </c>
      <c r="I116" s="16" t="s">
        <v>731</v>
      </c>
      <c r="J116" s="16" t="s">
        <v>254</v>
      </c>
      <c r="K116" s="48"/>
      <c r="L116" s="84" t="s">
        <v>58</v>
      </c>
      <c r="M116" s="48"/>
      <c r="N116" s="16" t="s">
        <v>617</v>
      </c>
      <c r="O116" s="84" t="s">
        <v>618</v>
      </c>
      <c r="P116" s="84" t="s">
        <v>803</v>
      </c>
      <c r="Q116" s="18"/>
      <c r="R116" s="16" t="s">
        <v>92</v>
      </c>
      <c r="S116" s="16" t="s">
        <v>136</v>
      </c>
      <c r="T116" s="16"/>
      <c r="U116" s="16"/>
      <c r="V116" s="16">
        <v>74</v>
      </c>
      <c r="W116" s="15">
        <f>ROUND(IF(D116=Table!$C$3,Y116*Table!$C$4/8,Y116*Table!$D$4/8),3)</f>
        <v>40.055999999999997</v>
      </c>
      <c r="X116" s="16">
        <v>40.055999999999997</v>
      </c>
      <c r="Y116" s="16">
        <v>2.4649999999999999</v>
      </c>
      <c r="Z116" s="16">
        <v>2</v>
      </c>
      <c r="AA116" s="15" t="s">
        <v>70</v>
      </c>
      <c r="AB116" s="85">
        <v>44008</v>
      </c>
      <c r="AC116" s="19">
        <v>44001</v>
      </c>
      <c r="AD116" s="85">
        <v>44008</v>
      </c>
      <c r="AE116" s="85">
        <v>44005</v>
      </c>
      <c r="AF116" s="85">
        <v>44005</v>
      </c>
      <c r="AG116" s="85" t="s">
        <v>164</v>
      </c>
      <c r="AH116" s="98">
        <v>0.92</v>
      </c>
      <c r="AI116" s="98">
        <v>0.92300000000000004</v>
      </c>
      <c r="AJ116" s="98">
        <v>1</v>
      </c>
      <c r="AK116" s="14" t="s">
        <v>144</v>
      </c>
      <c r="AL116" s="93" t="s">
        <v>924</v>
      </c>
      <c r="AM116" s="15"/>
      <c r="AN116" s="15"/>
    </row>
    <row r="117" spans="2:40" x14ac:dyDescent="0.25">
      <c r="B117" s="97">
        <f t="shared" si="18"/>
        <v>58</v>
      </c>
      <c r="C117" s="16">
        <v>20200619</v>
      </c>
      <c r="D117" s="16" t="s">
        <v>2</v>
      </c>
      <c r="E117" s="95" t="s">
        <v>798</v>
      </c>
      <c r="F117" s="84" t="s">
        <v>796</v>
      </c>
      <c r="G117" s="48"/>
      <c r="H117" s="16" t="s">
        <v>832</v>
      </c>
      <c r="I117" s="16" t="s">
        <v>732</v>
      </c>
      <c r="J117" s="16" t="s">
        <v>254</v>
      </c>
      <c r="K117" s="48"/>
      <c r="L117" s="84" t="s">
        <v>58</v>
      </c>
      <c r="M117" s="48"/>
      <c r="N117" s="16" t="s">
        <v>617</v>
      </c>
      <c r="O117" s="84" t="s">
        <v>621</v>
      </c>
      <c r="P117" s="84" t="s">
        <v>610</v>
      </c>
      <c r="Q117" s="18"/>
      <c r="R117" s="16" t="s">
        <v>92</v>
      </c>
      <c r="S117" s="16" t="s">
        <v>136</v>
      </c>
      <c r="T117" s="16"/>
      <c r="U117" s="16"/>
      <c r="V117" s="16">
        <v>27</v>
      </c>
      <c r="W117" s="15">
        <f>ROUND(IF(D117=Table!$C$3,Y117*Table!$C$4/8,Y117*Table!$D$4/8),3)</f>
        <v>26.244</v>
      </c>
      <c r="X117" s="16">
        <v>26.244</v>
      </c>
      <c r="Y117" s="16">
        <v>1.615</v>
      </c>
      <c r="Z117" s="16">
        <v>1</v>
      </c>
      <c r="AA117" s="15" t="s">
        <v>70</v>
      </c>
      <c r="AB117" s="85">
        <v>44008</v>
      </c>
      <c r="AC117" s="19">
        <v>44001</v>
      </c>
      <c r="AD117" s="85">
        <v>44008</v>
      </c>
      <c r="AE117" s="85">
        <v>44005</v>
      </c>
      <c r="AF117" s="85">
        <v>44005</v>
      </c>
      <c r="AG117" s="85" t="s">
        <v>164</v>
      </c>
      <c r="AH117" s="98">
        <v>1</v>
      </c>
      <c r="AI117" s="98">
        <v>1</v>
      </c>
      <c r="AJ117" s="98">
        <v>1</v>
      </c>
      <c r="AK117" s="14" t="s">
        <v>144</v>
      </c>
      <c r="AL117" s="93"/>
      <c r="AM117" s="15"/>
      <c r="AN117" s="15"/>
    </row>
    <row r="118" spans="2:40" x14ac:dyDescent="0.25">
      <c r="B118" s="97">
        <f t="shared" si="18"/>
        <v>59</v>
      </c>
      <c r="C118" s="16">
        <v>20200619</v>
      </c>
      <c r="D118" s="16" t="s">
        <v>2</v>
      </c>
      <c r="E118" s="95" t="s">
        <v>798</v>
      </c>
      <c r="F118" s="84" t="s">
        <v>796</v>
      </c>
      <c r="G118" s="48"/>
      <c r="H118" s="16" t="s">
        <v>833</v>
      </c>
      <c r="I118" s="16" t="s">
        <v>733</v>
      </c>
      <c r="J118" s="16" t="s">
        <v>254</v>
      </c>
      <c r="K118" s="48"/>
      <c r="L118" s="84" t="s">
        <v>58</v>
      </c>
      <c r="M118" s="48"/>
      <c r="N118" s="16" t="s">
        <v>617</v>
      </c>
      <c r="O118" s="84" t="s">
        <v>621</v>
      </c>
      <c r="P118" s="84" t="s">
        <v>610</v>
      </c>
      <c r="Q118" s="18"/>
      <c r="R118" s="16" t="s">
        <v>92</v>
      </c>
      <c r="S118" s="16" t="s">
        <v>136</v>
      </c>
      <c r="T118" s="16"/>
      <c r="U118" s="16"/>
      <c r="V118" s="16">
        <v>12</v>
      </c>
      <c r="W118" s="15">
        <f>ROUND(IF(D118=Table!$C$3,Y118*Table!$C$4/8,Y118*Table!$D$4/8),3)</f>
        <v>26.244</v>
      </c>
      <c r="X118" s="16">
        <v>26.244</v>
      </c>
      <c r="Y118" s="16">
        <v>1.615</v>
      </c>
      <c r="Z118" s="16">
        <v>1</v>
      </c>
      <c r="AA118" s="15" t="s">
        <v>70</v>
      </c>
      <c r="AB118" s="85">
        <v>44008</v>
      </c>
      <c r="AC118" s="19">
        <v>44001</v>
      </c>
      <c r="AD118" s="85">
        <v>44008</v>
      </c>
      <c r="AE118" s="85">
        <v>44005</v>
      </c>
      <c r="AF118" s="85">
        <v>44005</v>
      </c>
      <c r="AG118" s="85" t="s">
        <v>164</v>
      </c>
      <c r="AH118" s="98">
        <v>1</v>
      </c>
      <c r="AI118" s="98">
        <v>1</v>
      </c>
      <c r="AJ118" s="98" t="s">
        <v>326</v>
      </c>
      <c r="AK118" s="14" t="s">
        <v>144</v>
      </c>
      <c r="AL118" s="93"/>
      <c r="AM118" s="15"/>
      <c r="AN118" s="15"/>
    </row>
    <row r="119" spans="2:40" x14ac:dyDescent="0.25">
      <c r="B119" s="97">
        <f t="shared" si="18"/>
        <v>60</v>
      </c>
      <c r="C119" s="16">
        <v>20200619</v>
      </c>
      <c r="D119" s="16" t="s">
        <v>2</v>
      </c>
      <c r="E119" s="95" t="s">
        <v>798</v>
      </c>
      <c r="F119" s="84" t="s">
        <v>796</v>
      </c>
      <c r="G119" s="48"/>
      <c r="H119" s="16" t="s">
        <v>834</v>
      </c>
      <c r="I119" s="16" t="s">
        <v>734</v>
      </c>
      <c r="J119" s="16" t="s">
        <v>255</v>
      </c>
      <c r="K119" s="48"/>
      <c r="L119" s="84" t="s">
        <v>58</v>
      </c>
      <c r="M119" s="48"/>
      <c r="N119" s="16" t="s">
        <v>617</v>
      </c>
      <c r="O119" s="84" t="s">
        <v>783</v>
      </c>
      <c r="P119" s="84" t="s">
        <v>610</v>
      </c>
      <c r="Q119" s="18"/>
      <c r="R119" s="16" t="s">
        <v>92</v>
      </c>
      <c r="S119" s="16" t="s">
        <v>136</v>
      </c>
      <c r="T119" s="16"/>
      <c r="U119" s="16"/>
      <c r="V119" s="16">
        <v>196</v>
      </c>
      <c r="W119" s="15">
        <f>ROUND(IF(D119=Table!$C$3,Y119*Table!$C$4/8,Y119*Table!$D$4/8),3)</f>
        <v>105.804</v>
      </c>
      <c r="X119" s="16">
        <v>105.804</v>
      </c>
      <c r="Y119" s="16">
        <v>6.5110000000000001</v>
      </c>
      <c r="Z119" s="16">
        <v>6</v>
      </c>
      <c r="AA119" s="15" t="s">
        <v>70</v>
      </c>
      <c r="AB119" s="85">
        <v>44008</v>
      </c>
      <c r="AC119" s="19">
        <v>44001</v>
      </c>
      <c r="AD119" s="85">
        <v>44008</v>
      </c>
      <c r="AE119" s="85">
        <v>44006</v>
      </c>
      <c r="AF119" s="85">
        <v>44006</v>
      </c>
      <c r="AG119" s="85" t="s">
        <v>164</v>
      </c>
      <c r="AH119" s="98">
        <v>1</v>
      </c>
      <c r="AI119" s="98">
        <v>1</v>
      </c>
      <c r="AJ119" s="98">
        <v>0.45100000000000001</v>
      </c>
      <c r="AK119" s="14" t="s">
        <v>144</v>
      </c>
      <c r="AL119" s="93"/>
      <c r="AM119" s="15"/>
      <c r="AN119" s="15"/>
    </row>
    <row r="120" spans="2:40" x14ac:dyDescent="0.25">
      <c r="B120" s="97">
        <f t="shared" si="18"/>
        <v>61</v>
      </c>
      <c r="C120" s="16">
        <v>20200619</v>
      </c>
      <c r="D120" s="16" t="s">
        <v>2</v>
      </c>
      <c r="E120" s="95" t="s">
        <v>798</v>
      </c>
      <c r="F120" s="84" t="s">
        <v>796</v>
      </c>
      <c r="G120" s="48"/>
      <c r="H120" s="16" t="s">
        <v>835</v>
      </c>
      <c r="I120" s="16" t="s">
        <v>735</v>
      </c>
      <c r="J120" s="16" t="s">
        <v>255</v>
      </c>
      <c r="K120" s="48"/>
      <c r="L120" s="84" t="s">
        <v>58</v>
      </c>
      <c r="M120" s="48"/>
      <c r="N120" s="16" t="s">
        <v>617</v>
      </c>
      <c r="O120" s="84" t="s">
        <v>618</v>
      </c>
      <c r="P120" s="84" t="s">
        <v>610</v>
      </c>
      <c r="Q120" s="18"/>
      <c r="R120" s="16" t="s">
        <v>130</v>
      </c>
      <c r="S120" s="16" t="s">
        <v>62</v>
      </c>
      <c r="T120" s="16"/>
      <c r="U120" s="16"/>
      <c r="V120" s="16">
        <v>260</v>
      </c>
      <c r="W120" s="15">
        <f>ROUND(IF(D120=Table!$C$3,Y120*Table!$C$4/8,Y120*Table!$D$4/8),3)</f>
        <v>133.98099999999999</v>
      </c>
      <c r="X120" s="16">
        <f>W120</f>
        <v>133.98099999999999</v>
      </c>
      <c r="Y120" s="16">
        <v>8.2449999999999992</v>
      </c>
      <c r="Z120" s="16">
        <v>6</v>
      </c>
      <c r="AA120" s="15" t="s">
        <v>70</v>
      </c>
      <c r="AB120" s="85">
        <v>44008</v>
      </c>
      <c r="AC120" s="19">
        <v>44001</v>
      </c>
      <c r="AD120" s="85">
        <v>44008</v>
      </c>
      <c r="AE120" s="85">
        <v>44008</v>
      </c>
      <c r="AF120" s="85">
        <v>44008</v>
      </c>
      <c r="AG120" s="85" t="s">
        <v>164</v>
      </c>
      <c r="AH120" s="98">
        <v>0.84599999999999997</v>
      </c>
      <c r="AI120" s="98">
        <v>0.85699999999999998</v>
      </c>
      <c r="AJ120" s="98">
        <v>0.5</v>
      </c>
      <c r="AK120" s="14"/>
      <c r="AL120" s="93"/>
      <c r="AM120" s="15"/>
      <c r="AN120" s="15"/>
    </row>
    <row r="121" spans="2:40" x14ac:dyDescent="0.25">
      <c r="B121" s="97">
        <f t="shared" si="18"/>
        <v>62</v>
      </c>
      <c r="C121" s="16">
        <v>20200619</v>
      </c>
      <c r="D121" s="16" t="s">
        <v>2</v>
      </c>
      <c r="E121" s="95" t="s">
        <v>798</v>
      </c>
      <c r="F121" s="84" t="s">
        <v>796</v>
      </c>
      <c r="G121" s="48"/>
      <c r="H121" s="16" t="s">
        <v>836</v>
      </c>
      <c r="I121" s="16" t="s">
        <v>736</v>
      </c>
      <c r="J121" s="16" t="s">
        <v>255</v>
      </c>
      <c r="K121" s="48"/>
      <c r="L121" s="84" t="s">
        <v>58</v>
      </c>
      <c r="M121" s="48"/>
      <c r="N121" s="16" t="s">
        <v>617</v>
      </c>
      <c r="O121" s="84" t="s">
        <v>784</v>
      </c>
      <c r="P121" s="84" t="s">
        <v>610</v>
      </c>
      <c r="Q121" s="18"/>
      <c r="R121" s="16" t="s">
        <v>130</v>
      </c>
      <c r="S121" s="16" t="s">
        <v>62</v>
      </c>
      <c r="T121" s="16"/>
      <c r="U121" s="16"/>
      <c r="V121" s="16">
        <v>73</v>
      </c>
      <c r="W121" s="15">
        <f>ROUND(IF(D121=Table!$C$3,Y121*Table!$C$4/8,Y121*Table!$D$4/8),3)</f>
        <v>40.055999999999997</v>
      </c>
      <c r="X121" s="16">
        <f t="shared" ref="X121:X129" si="23">W121</f>
        <v>40.055999999999997</v>
      </c>
      <c r="Y121" s="16">
        <v>2.4649999999999999</v>
      </c>
      <c r="Z121" s="16">
        <v>1</v>
      </c>
      <c r="AA121" s="15" t="s">
        <v>70</v>
      </c>
      <c r="AB121" s="85">
        <v>44008</v>
      </c>
      <c r="AC121" s="19">
        <v>44001</v>
      </c>
      <c r="AD121" s="85">
        <v>44008</v>
      </c>
      <c r="AE121" s="85">
        <v>44004</v>
      </c>
      <c r="AF121" s="85">
        <v>44004</v>
      </c>
      <c r="AG121" s="85" t="s">
        <v>164</v>
      </c>
      <c r="AH121" s="98">
        <v>0.93799999999999994</v>
      </c>
      <c r="AI121" s="98">
        <v>0.95199999999999996</v>
      </c>
      <c r="AJ121" s="98">
        <v>0.28000000000000003</v>
      </c>
      <c r="AK121" s="14"/>
      <c r="AL121" s="93" t="s">
        <v>916</v>
      </c>
      <c r="AM121" s="15"/>
      <c r="AN121" s="15"/>
    </row>
    <row r="122" spans="2:40" x14ac:dyDescent="0.25">
      <c r="B122" s="97">
        <f t="shared" si="18"/>
        <v>63</v>
      </c>
      <c r="C122" s="16">
        <v>20200619</v>
      </c>
      <c r="D122" s="16" t="s">
        <v>2</v>
      </c>
      <c r="E122" s="95" t="s">
        <v>798</v>
      </c>
      <c r="F122" s="84" t="s">
        <v>796</v>
      </c>
      <c r="G122" s="48"/>
      <c r="H122" s="16" t="s">
        <v>837</v>
      </c>
      <c r="I122" s="16" t="s">
        <v>737</v>
      </c>
      <c r="J122" s="16" t="s">
        <v>255</v>
      </c>
      <c r="K122" s="48"/>
      <c r="L122" s="84" t="s">
        <v>58</v>
      </c>
      <c r="M122" s="48"/>
      <c r="N122" s="16" t="s">
        <v>617</v>
      </c>
      <c r="O122" s="84" t="s">
        <v>785</v>
      </c>
      <c r="P122" s="84" t="s">
        <v>610</v>
      </c>
      <c r="Q122" s="18"/>
      <c r="R122" s="16" t="s">
        <v>130</v>
      </c>
      <c r="S122" s="16" t="s">
        <v>62</v>
      </c>
      <c r="T122" s="16"/>
      <c r="U122" s="16"/>
      <c r="V122" s="16">
        <v>32</v>
      </c>
      <c r="W122" s="15">
        <f>ROUND(IF(D122=Table!$C$3,Y122*Table!$C$4/8,Y122*Table!$D$4/8),3)</f>
        <v>26.244</v>
      </c>
      <c r="X122" s="16">
        <f t="shared" si="23"/>
        <v>26.244</v>
      </c>
      <c r="Y122" s="16">
        <v>1.615</v>
      </c>
      <c r="Z122" s="16">
        <v>1</v>
      </c>
      <c r="AA122" s="15" t="s">
        <v>70</v>
      </c>
      <c r="AB122" s="85">
        <v>44008</v>
      </c>
      <c r="AC122" s="19">
        <v>44001</v>
      </c>
      <c r="AD122" s="85">
        <v>44008</v>
      </c>
      <c r="AE122" s="85">
        <v>44004</v>
      </c>
      <c r="AF122" s="85">
        <v>44004</v>
      </c>
      <c r="AG122" s="85" t="s">
        <v>164</v>
      </c>
      <c r="AH122" s="98">
        <v>0.9</v>
      </c>
      <c r="AI122" s="98">
        <v>0.9</v>
      </c>
      <c r="AJ122" s="98">
        <v>0.14299999999999999</v>
      </c>
      <c r="AK122" s="14"/>
      <c r="AL122" s="93" t="s">
        <v>916</v>
      </c>
      <c r="AM122" s="15"/>
      <c r="AN122" s="15"/>
    </row>
    <row r="123" spans="2:40" x14ac:dyDescent="0.25">
      <c r="B123" s="97">
        <f t="shared" si="18"/>
        <v>64</v>
      </c>
      <c r="C123" s="16">
        <v>20200619</v>
      </c>
      <c r="D123" s="16" t="s">
        <v>2</v>
      </c>
      <c r="E123" s="95" t="s">
        <v>798</v>
      </c>
      <c r="F123" s="84" t="s">
        <v>796</v>
      </c>
      <c r="G123" s="48"/>
      <c r="H123" s="16" t="s">
        <v>838</v>
      </c>
      <c r="I123" s="16" t="s">
        <v>738</v>
      </c>
      <c r="J123" s="16" t="s">
        <v>255</v>
      </c>
      <c r="K123" s="48"/>
      <c r="L123" s="84" t="s">
        <v>58</v>
      </c>
      <c r="M123" s="48"/>
      <c r="N123" s="16" t="s">
        <v>617</v>
      </c>
      <c r="O123" s="84" t="s">
        <v>618</v>
      </c>
      <c r="P123" s="84" t="s">
        <v>610</v>
      </c>
      <c r="Q123" s="18"/>
      <c r="R123" s="16" t="s">
        <v>130</v>
      </c>
      <c r="S123" s="16" t="s">
        <v>62</v>
      </c>
      <c r="T123" s="16"/>
      <c r="U123" s="16"/>
      <c r="V123" s="16">
        <v>40</v>
      </c>
      <c r="W123" s="15">
        <f>ROUND(IF(D123=Table!$C$3,Y123*Table!$C$4/8,Y123*Table!$D$4/8),3)</f>
        <v>26.244</v>
      </c>
      <c r="X123" s="16">
        <f t="shared" si="23"/>
        <v>26.244</v>
      </c>
      <c r="Y123" s="16">
        <v>1.615</v>
      </c>
      <c r="Z123" s="16">
        <v>1</v>
      </c>
      <c r="AA123" s="15" t="s">
        <v>70</v>
      </c>
      <c r="AB123" s="85">
        <v>44008</v>
      </c>
      <c r="AC123" s="19">
        <v>44001</v>
      </c>
      <c r="AD123" s="85">
        <v>44008</v>
      </c>
      <c r="AE123" s="85">
        <v>44004</v>
      </c>
      <c r="AF123" s="85">
        <v>44004</v>
      </c>
      <c r="AG123" s="85" t="s">
        <v>164</v>
      </c>
      <c r="AH123" s="98">
        <v>1</v>
      </c>
      <c r="AI123" s="98">
        <v>1</v>
      </c>
      <c r="AJ123" s="98">
        <v>0.5</v>
      </c>
      <c r="AK123" s="14"/>
      <c r="AL123" s="93"/>
      <c r="AM123" s="15"/>
      <c r="AN123" s="15"/>
    </row>
    <row r="124" spans="2:40" x14ac:dyDescent="0.25">
      <c r="B124" s="97">
        <f t="shared" si="18"/>
        <v>65</v>
      </c>
      <c r="C124" s="16">
        <v>20200619</v>
      </c>
      <c r="D124" s="16" t="s">
        <v>2</v>
      </c>
      <c r="E124" s="95" t="s">
        <v>798</v>
      </c>
      <c r="F124" s="84" t="s">
        <v>796</v>
      </c>
      <c r="G124" s="48"/>
      <c r="H124" s="16" t="s">
        <v>839</v>
      </c>
      <c r="I124" s="16" t="s">
        <v>739</v>
      </c>
      <c r="J124" s="16" t="s">
        <v>255</v>
      </c>
      <c r="K124" s="48"/>
      <c r="L124" s="84" t="s">
        <v>58</v>
      </c>
      <c r="M124" s="48"/>
      <c r="N124" s="16" t="s">
        <v>617</v>
      </c>
      <c r="O124" s="84" t="s">
        <v>786</v>
      </c>
      <c r="P124" s="84" t="s">
        <v>610</v>
      </c>
      <c r="Q124" s="18"/>
      <c r="R124" s="16" t="s">
        <v>130</v>
      </c>
      <c r="S124" s="16" t="s">
        <v>62</v>
      </c>
      <c r="T124" s="16"/>
      <c r="U124" s="16"/>
      <c r="V124" s="16">
        <v>46</v>
      </c>
      <c r="W124" s="15">
        <f>ROUND(IF(D124=Table!$C$3,Y124*Table!$C$4/8,Y124*Table!$D$4/8),3)</f>
        <v>31.768999999999998</v>
      </c>
      <c r="X124" s="16">
        <f t="shared" si="23"/>
        <v>31.768999999999998</v>
      </c>
      <c r="Y124" s="16">
        <v>1.9549999999999998</v>
      </c>
      <c r="Z124" s="16">
        <v>1</v>
      </c>
      <c r="AA124" s="15" t="s">
        <v>70</v>
      </c>
      <c r="AB124" s="85">
        <v>44008</v>
      </c>
      <c r="AC124" s="19">
        <v>44001</v>
      </c>
      <c r="AD124" s="85">
        <v>44008</v>
      </c>
      <c r="AE124" s="85">
        <v>44004</v>
      </c>
      <c r="AF124" s="85">
        <v>44004</v>
      </c>
      <c r="AG124" s="85" t="s">
        <v>164</v>
      </c>
      <c r="AH124" s="98">
        <v>0.90900000000000003</v>
      </c>
      <c r="AI124" s="98">
        <v>0.90900000000000003</v>
      </c>
      <c r="AJ124" s="98">
        <v>0.13300000000000001</v>
      </c>
      <c r="AK124" s="14"/>
      <c r="AL124" s="93" t="s">
        <v>916</v>
      </c>
      <c r="AM124" s="15"/>
      <c r="AN124" s="15"/>
    </row>
    <row r="125" spans="2:40" x14ac:dyDescent="0.25">
      <c r="B125" s="97">
        <f t="shared" ref="B125:B188" si="24">B124+1</f>
        <v>66</v>
      </c>
      <c r="C125" s="16">
        <v>20200619</v>
      </c>
      <c r="D125" s="16" t="s">
        <v>2</v>
      </c>
      <c r="E125" s="95" t="s">
        <v>798</v>
      </c>
      <c r="F125" s="84" t="s">
        <v>796</v>
      </c>
      <c r="G125" s="48"/>
      <c r="H125" s="16" t="s">
        <v>840</v>
      </c>
      <c r="I125" s="16" t="s">
        <v>740</v>
      </c>
      <c r="J125" s="16" t="s">
        <v>255</v>
      </c>
      <c r="K125" s="48"/>
      <c r="L125" s="84" t="s">
        <v>58</v>
      </c>
      <c r="M125" s="48"/>
      <c r="N125" s="16" t="s">
        <v>617</v>
      </c>
      <c r="O125" s="84" t="s">
        <v>787</v>
      </c>
      <c r="P125" s="84" t="s">
        <v>610</v>
      </c>
      <c r="Q125" s="18"/>
      <c r="R125" s="16" t="s">
        <v>130</v>
      </c>
      <c r="S125" s="16" t="s">
        <v>62</v>
      </c>
      <c r="T125" s="16"/>
      <c r="U125" s="16"/>
      <c r="V125" s="16">
        <v>65</v>
      </c>
      <c r="W125" s="15">
        <f>ROUND(IF(D125=Table!$C$3,Y125*Table!$C$4/8,Y125*Table!$D$4/8),3)</f>
        <v>40.055999999999997</v>
      </c>
      <c r="X125" s="16">
        <f t="shared" si="23"/>
        <v>40.055999999999997</v>
      </c>
      <c r="Y125" s="16">
        <v>2.4649999999999999</v>
      </c>
      <c r="Z125" s="16">
        <v>1</v>
      </c>
      <c r="AA125" s="15" t="s">
        <v>70</v>
      </c>
      <c r="AB125" s="85">
        <v>44008</v>
      </c>
      <c r="AC125" s="19">
        <v>44001</v>
      </c>
      <c r="AD125" s="85">
        <v>44008</v>
      </c>
      <c r="AE125" s="85">
        <v>44004</v>
      </c>
      <c r="AF125" s="85">
        <v>44004</v>
      </c>
      <c r="AG125" s="85" t="s">
        <v>164</v>
      </c>
      <c r="AH125" s="98">
        <v>1</v>
      </c>
      <c r="AI125" s="98">
        <v>1</v>
      </c>
      <c r="AJ125" s="98">
        <v>0.66700000000000004</v>
      </c>
      <c r="AK125" s="14"/>
      <c r="AL125" s="93"/>
      <c r="AM125" s="15"/>
      <c r="AN125" s="15"/>
    </row>
    <row r="126" spans="2:40" x14ac:dyDescent="0.25">
      <c r="B126" s="97">
        <f t="shared" si="24"/>
        <v>67</v>
      </c>
      <c r="C126" s="16">
        <v>20200619</v>
      </c>
      <c r="D126" s="16" t="s">
        <v>2</v>
      </c>
      <c r="E126" s="95" t="s">
        <v>798</v>
      </c>
      <c r="F126" s="84" t="s">
        <v>796</v>
      </c>
      <c r="G126" s="48"/>
      <c r="H126" s="16" t="s">
        <v>841</v>
      </c>
      <c r="I126" s="16" t="s">
        <v>741</v>
      </c>
      <c r="J126" s="16" t="s">
        <v>254</v>
      </c>
      <c r="K126" s="48"/>
      <c r="L126" s="84" t="s">
        <v>58</v>
      </c>
      <c r="M126" s="48"/>
      <c r="N126" s="16" t="s">
        <v>617</v>
      </c>
      <c r="O126" s="84" t="s">
        <v>618</v>
      </c>
      <c r="P126" s="84" t="s">
        <v>610</v>
      </c>
      <c r="Q126" s="18"/>
      <c r="R126" s="16" t="s">
        <v>130</v>
      </c>
      <c r="S126" s="16" t="s">
        <v>62</v>
      </c>
      <c r="T126" s="16"/>
      <c r="U126" s="16"/>
      <c r="V126" s="16">
        <v>15</v>
      </c>
      <c r="W126" s="15">
        <f>ROUND(IF(D126=Table!$C$3,Y126*Table!$C$4/8,Y126*Table!$D$4/8),3)</f>
        <v>26.244</v>
      </c>
      <c r="X126" s="16">
        <f t="shared" si="23"/>
        <v>26.244</v>
      </c>
      <c r="Y126" s="16">
        <v>1.615</v>
      </c>
      <c r="Z126" s="16">
        <v>1</v>
      </c>
      <c r="AA126" s="15" t="s">
        <v>70</v>
      </c>
      <c r="AB126" s="85">
        <v>44008</v>
      </c>
      <c r="AC126" s="19">
        <v>44001</v>
      </c>
      <c r="AD126" s="85">
        <v>44008</v>
      </c>
      <c r="AE126" s="85">
        <v>44004</v>
      </c>
      <c r="AF126" s="85">
        <v>44004</v>
      </c>
      <c r="AG126" s="85" t="s">
        <v>164</v>
      </c>
      <c r="AH126" s="98">
        <v>1</v>
      </c>
      <c r="AI126" s="98">
        <v>1</v>
      </c>
      <c r="AJ126" s="98">
        <v>0.4</v>
      </c>
      <c r="AK126" s="14"/>
      <c r="AL126" s="93"/>
      <c r="AM126" s="15"/>
      <c r="AN126" s="15"/>
    </row>
    <row r="127" spans="2:40" x14ac:dyDescent="0.25">
      <c r="B127" s="97">
        <f t="shared" si="24"/>
        <v>68</v>
      </c>
      <c r="C127" s="16">
        <v>20200619</v>
      </c>
      <c r="D127" s="16" t="s">
        <v>2</v>
      </c>
      <c r="E127" s="95" t="s">
        <v>798</v>
      </c>
      <c r="F127" s="84" t="s">
        <v>796</v>
      </c>
      <c r="G127" s="48"/>
      <c r="H127" s="16" t="s">
        <v>842</v>
      </c>
      <c r="I127" s="16" t="s">
        <v>742</v>
      </c>
      <c r="J127" s="16" t="s">
        <v>255</v>
      </c>
      <c r="K127" s="48"/>
      <c r="L127" s="84" t="s">
        <v>58</v>
      </c>
      <c r="M127" s="48"/>
      <c r="N127" s="16" t="s">
        <v>617</v>
      </c>
      <c r="O127" s="84" t="s">
        <v>619</v>
      </c>
      <c r="P127" s="84" t="s">
        <v>610</v>
      </c>
      <c r="Q127" s="18"/>
      <c r="R127" s="16" t="s">
        <v>130</v>
      </c>
      <c r="S127" s="16" t="s">
        <v>62</v>
      </c>
      <c r="T127" s="16"/>
      <c r="U127" s="16"/>
      <c r="V127" s="16">
        <v>28</v>
      </c>
      <c r="W127" s="15">
        <f>ROUND(IF(D127=Table!$C$3,Y127*Table!$C$4/8,Y127*Table!$D$4/8),3)</f>
        <v>26.244</v>
      </c>
      <c r="X127" s="16">
        <f t="shared" si="23"/>
        <v>26.244</v>
      </c>
      <c r="Y127" s="16">
        <v>1.615</v>
      </c>
      <c r="Z127" s="16">
        <v>1</v>
      </c>
      <c r="AA127" s="15" t="s">
        <v>70</v>
      </c>
      <c r="AB127" s="85">
        <v>44008</v>
      </c>
      <c r="AC127" s="19">
        <v>44001</v>
      </c>
      <c r="AD127" s="85">
        <v>44008</v>
      </c>
      <c r="AE127" s="85">
        <v>44004</v>
      </c>
      <c r="AF127" s="85">
        <v>44004</v>
      </c>
      <c r="AG127" s="85" t="s">
        <v>164</v>
      </c>
      <c r="AH127" s="98">
        <v>1</v>
      </c>
      <c r="AI127" s="98">
        <v>1</v>
      </c>
      <c r="AJ127" s="98">
        <v>0.154</v>
      </c>
      <c r="AK127" s="14"/>
      <c r="AL127" s="93"/>
      <c r="AM127" s="15"/>
      <c r="AN127" s="15"/>
    </row>
    <row r="128" spans="2:40" x14ac:dyDescent="0.25">
      <c r="B128" s="97">
        <f t="shared" si="24"/>
        <v>69</v>
      </c>
      <c r="C128" s="16">
        <v>20200619</v>
      </c>
      <c r="D128" s="16" t="s">
        <v>2</v>
      </c>
      <c r="E128" s="95" t="s">
        <v>798</v>
      </c>
      <c r="F128" s="84" t="s">
        <v>796</v>
      </c>
      <c r="G128" s="48"/>
      <c r="H128" s="16" t="s">
        <v>843</v>
      </c>
      <c r="I128" s="16" t="s">
        <v>743</v>
      </c>
      <c r="J128" s="16" t="s">
        <v>255</v>
      </c>
      <c r="K128" s="48"/>
      <c r="L128" s="84" t="s">
        <v>58</v>
      </c>
      <c r="M128" s="48"/>
      <c r="N128" s="16" t="s">
        <v>617</v>
      </c>
      <c r="O128" s="84" t="s">
        <v>788</v>
      </c>
      <c r="P128" s="84" t="s">
        <v>610</v>
      </c>
      <c r="Q128" s="18"/>
      <c r="R128" s="16" t="s">
        <v>130</v>
      </c>
      <c r="S128" s="16" t="s">
        <v>62</v>
      </c>
      <c r="T128" s="16"/>
      <c r="U128" s="16"/>
      <c r="V128" s="16">
        <v>32</v>
      </c>
      <c r="W128" s="15">
        <f>ROUND(IF(D128=Table!$C$3,Y128*Table!$C$4/8,Y128*Table!$D$4/8),3)</f>
        <v>26.244</v>
      </c>
      <c r="X128" s="16">
        <f t="shared" si="23"/>
        <v>26.244</v>
      </c>
      <c r="Y128" s="16">
        <v>1.615</v>
      </c>
      <c r="Z128" s="16">
        <v>1</v>
      </c>
      <c r="AA128" s="15" t="s">
        <v>70</v>
      </c>
      <c r="AB128" s="85">
        <v>44008</v>
      </c>
      <c r="AC128" s="19">
        <v>44001</v>
      </c>
      <c r="AD128" s="85">
        <v>44008</v>
      </c>
      <c r="AE128" s="85">
        <v>44004</v>
      </c>
      <c r="AF128" s="85">
        <v>44004</v>
      </c>
      <c r="AG128" s="85" t="s">
        <v>164</v>
      </c>
      <c r="AH128" s="98">
        <v>1</v>
      </c>
      <c r="AI128" s="98">
        <v>1</v>
      </c>
      <c r="AJ128" s="98">
        <v>0.25</v>
      </c>
      <c r="AK128" s="14"/>
      <c r="AL128" s="93"/>
      <c r="AM128" s="15"/>
      <c r="AN128" s="15"/>
    </row>
    <row r="129" spans="2:40" x14ac:dyDescent="0.25">
      <c r="B129" s="97">
        <f t="shared" si="24"/>
        <v>70</v>
      </c>
      <c r="C129" s="16">
        <v>20200619</v>
      </c>
      <c r="D129" s="16" t="s">
        <v>2</v>
      </c>
      <c r="E129" s="95" t="s">
        <v>798</v>
      </c>
      <c r="F129" s="84" t="s">
        <v>796</v>
      </c>
      <c r="G129" s="48"/>
      <c r="H129" s="16" t="s">
        <v>844</v>
      </c>
      <c r="I129" s="16" t="s">
        <v>744</v>
      </c>
      <c r="J129" s="16" t="s">
        <v>255</v>
      </c>
      <c r="K129" s="48"/>
      <c r="L129" s="84" t="s">
        <v>58</v>
      </c>
      <c r="M129" s="48"/>
      <c r="N129" s="16" t="s">
        <v>617</v>
      </c>
      <c r="O129" s="84" t="s">
        <v>789</v>
      </c>
      <c r="P129" s="84" t="s">
        <v>610</v>
      </c>
      <c r="Q129" s="18"/>
      <c r="R129" s="16" t="s">
        <v>130</v>
      </c>
      <c r="S129" s="16" t="s">
        <v>62</v>
      </c>
      <c r="T129" s="16"/>
      <c r="U129" s="16"/>
      <c r="V129" s="16">
        <v>55</v>
      </c>
      <c r="W129" s="15">
        <f>ROUND(IF(D129=Table!$C$3,Y129*Table!$C$4/8,Y129*Table!$D$4/8),3)</f>
        <v>37.293999999999997</v>
      </c>
      <c r="X129" s="16">
        <f t="shared" si="23"/>
        <v>37.293999999999997</v>
      </c>
      <c r="Y129" s="16">
        <v>2.2949999999999999</v>
      </c>
      <c r="Z129" s="16">
        <v>1</v>
      </c>
      <c r="AA129" s="15" t="s">
        <v>70</v>
      </c>
      <c r="AB129" s="85">
        <v>44008</v>
      </c>
      <c r="AC129" s="19">
        <v>44001</v>
      </c>
      <c r="AD129" s="85">
        <v>44008</v>
      </c>
      <c r="AE129" s="85">
        <v>44004</v>
      </c>
      <c r="AF129" s="85">
        <v>44004</v>
      </c>
      <c r="AG129" s="85" t="s">
        <v>164</v>
      </c>
      <c r="AH129" s="98">
        <v>1</v>
      </c>
      <c r="AI129" s="98">
        <v>1</v>
      </c>
      <c r="AJ129" s="98">
        <v>0.154</v>
      </c>
      <c r="AK129" s="14"/>
      <c r="AL129" s="93"/>
      <c r="AM129" s="15"/>
      <c r="AN129" s="15"/>
    </row>
    <row r="130" spans="2:40" x14ac:dyDescent="0.25">
      <c r="B130" s="97">
        <f t="shared" si="24"/>
        <v>71</v>
      </c>
      <c r="C130" s="16">
        <v>20200619</v>
      </c>
      <c r="D130" s="16" t="s">
        <v>2</v>
      </c>
      <c r="E130" s="95" t="s">
        <v>798</v>
      </c>
      <c r="F130" s="84" t="s">
        <v>796</v>
      </c>
      <c r="G130" s="48"/>
      <c r="H130" s="16" t="s">
        <v>467</v>
      </c>
      <c r="I130" s="18" t="s">
        <v>745</v>
      </c>
      <c r="J130" s="16" t="s">
        <v>254</v>
      </c>
      <c r="K130" s="48"/>
      <c r="L130" s="84" t="s">
        <v>58</v>
      </c>
      <c r="M130" s="48"/>
      <c r="N130" s="16" t="s">
        <v>617</v>
      </c>
      <c r="O130" s="84" t="s">
        <v>618</v>
      </c>
      <c r="P130" s="84" t="s">
        <v>803</v>
      </c>
      <c r="Q130" s="18"/>
      <c r="R130" s="16" t="s">
        <v>130</v>
      </c>
      <c r="S130" s="16" t="s">
        <v>62</v>
      </c>
      <c r="T130" s="16"/>
      <c r="U130" s="16"/>
      <c r="V130" s="16">
        <v>12</v>
      </c>
      <c r="W130" s="15">
        <f>ROUND(IF(D130=Table!$C$3,Y130*Table!$C$4/8,Y130*Table!$D$4/8),3)</f>
        <v>19.5</v>
      </c>
      <c r="X130" s="16">
        <f>W130</f>
        <v>19.5</v>
      </c>
      <c r="Y130" s="16">
        <v>1.2</v>
      </c>
      <c r="Z130" s="16">
        <v>1</v>
      </c>
      <c r="AA130" s="15" t="s">
        <v>70</v>
      </c>
      <c r="AB130" s="85">
        <v>44008</v>
      </c>
      <c r="AC130" s="19">
        <v>44001</v>
      </c>
      <c r="AD130" s="85">
        <v>44008</v>
      </c>
      <c r="AE130" s="85">
        <v>44006</v>
      </c>
      <c r="AF130" s="85">
        <v>44006</v>
      </c>
      <c r="AG130" s="85" t="s">
        <v>164</v>
      </c>
      <c r="AH130" s="98">
        <v>1</v>
      </c>
      <c r="AI130" s="98">
        <v>1</v>
      </c>
      <c r="AJ130" s="98">
        <v>1</v>
      </c>
      <c r="AK130" s="96"/>
      <c r="AL130" s="93" t="s">
        <v>917</v>
      </c>
      <c r="AM130" s="15"/>
      <c r="AN130" s="15"/>
    </row>
    <row r="131" spans="2:40" x14ac:dyDescent="0.25">
      <c r="B131" s="97">
        <f t="shared" si="24"/>
        <v>72</v>
      </c>
      <c r="C131" s="16">
        <v>20200619</v>
      </c>
      <c r="D131" s="16" t="s">
        <v>2</v>
      </c>
      <c r="E131" s="95" t="s">
        <v>798</v>
      </c>
      <c r="F131" s="84" t="s">
        <v>796</v>
      </c>
      <c r="G131" s="48"/>
      <c r="H131" s="16" t="s">
        <v>845</v>
      </c>
      <c r="I131" s="18" t="s">
        <v>746</v>
      </c>
      <c r="J131" s="16" t="s">
        <v>254</v>
      </c>
      <c r="K131" s="48"/>
      <c r="L131" s="84" t="s">
        <v>58</v>
      </c>
      <c r="M131" s="48"/>
      <c r="N131" s="16" t="s">
        <v>617</v>
      </c>
      <c r="O131" s="84" t="s">
        <v>621</v>
      </c>
      <c r="P131" s="84" t="s">
        <v>803</v>
      </c>
      <c r="Q131" s="18"/>
      <c r="R131" s="16" t="s">
        <v>130</v>
      </c>
      <c r="S131" s="16" t="s">
        <v>62</v>
      </c>
      <c r="T131" s="16"/>
      <c r="U131" s="16"/>
      <c r="V131" s="16">
        <v>12</v>
      </c>
      <c r="W131" s="15">
        <f>ROUND(IF(D131=Table!$C$3,Y131*Table!$C$4/8,Y131*Table!$D$4/8),3)</f>
        <v>19.5</v>
      </c>
      <c r="X131" s="16">
        <f>W131</f>
        <v>19.5</v>
      </c>
      <c r="Y131" s="16">
        <v>1.2</v>
      </c>
      <c r="Z131" s="16">
        <v>1</v>
      </c>
      <c r="AA131" s="15" t="s">
        <v>70</v>
      </c>
      <c r="AB131" s="85">
        <v>44008</v>
      </c>
      <c r="AC131" s="19">
        <v>44001</v>
      </c>
      <c r="AD131" s="85">
        <v>44008</v>
      </c>
      <c r="AE131" s="85">
        <v>44006</v>
      </c>
      <c r="AF131" s="85">
        <v>44006</v>
      </c>
      <c r="AG131" s="85" t="s">
        <v>164</v>
      </c>
      <c r="AH131" s="86">
        <v>1</v>
      </c>
      <c r="AI131" s="86">
        <v>1</v>
      </c>
      <c r="AJ131" s="86">
        <v>1</v>
      </c>
      <c r="AK131" s="96"/>
      <c r="AL131" s="93" t="s">
        <v>917</v>
      </c>
      <c r="AM131" s="15"/>
      <c r="AN131" s="15"/>
    </row>
    <row r="132" spans="2:40" x14ac:dyDescent="0.25">
      <c r="B132" s="97">
        <f t="shared" si="24"/>
        <v>73</v>
      </c>
      <c r="C132" s="16">
        <v>20200619</v>
      </c>
      <c r="D132" s="16" t="s">
        <v>2</v>
      </c>
      <c r="E132" s="95" t="s">
        <v>798</v>
      </c>
      <c r="F132" s="84" t="s">
        <v>796</v>
      </c>
      <c r="G132" s="48"/>
      <c r="H132" s="16" t="s">
        <v>846</v>
      </c>
      <c r="I132" s="18" t="s">
        <v>747</v>
      </c>
      <c r="J132" s="16" t="s">
        <v>255</v>
      </c>
      <c r="K132" s="48"/>
      <c r="L132" s="84" t="s">
        <v>58</v>
      </c>
      <c r="M132" s="48"/>
      <c r="N132" s="16" t="s">
        <v>617</v>
      </c>
      <c r="O132" s="84" t="s">
        <v>774</v>
      </c>
      <c r="P132" s="84" t="s">
        <v>807</v>
      </c>
      <c r="Q132" s="18"/>
      <c r="R132" s="16" t="s">
        <v>130</v>
      </c>
      <c r="S132" s="16" t="s">
        <v>62</v>
      </c>
      <c r="T132" s="16"/>
      <c r="U132" s="16"/>
      <c r="V132" s="16">
        <v>36</v>
      </c>
      <c r="W132" s="15">
        <f>ROUND(IF(D132=Table!$C$3,Y132*Table!$C$4/8,Y132*Table!$D$4/8),3)</f>
        <v>26.244</v>
      </c>
      <c r="X132" s="16">
        <f>W132</f>
        <v>26.244</v>
      </c>
      <c r="Y132" s="16">
        <v>1.615</v>
      </c>
      <c r="Z132" s="16">
        <v>1</v>
      </c>
      <c r="AA132" s="15" t="s">
        <v>70</v>
      </c>
      <c r="AB132" s="85">
        <v>44008</v>
      </c>
      <c r="AC132" s="19">
        <v>44001</v>
      </c>
      <c r="AD132" s="85">
        <v>44008</v>
      </c>
      <c r="AE132" s="85">
        <v>44006</v>
      </c>
      <c r="AF132" s="85">
        <v>44006</v>
      </c>
      <c r="AG132" s="85" t="s">
        <v>164</v>
      </c>
      <c r="AH132" s="86">
        <v>1</v>
      </c>
      <c r="AI132" s="86">
        <v>0.87</v>
      </c>
      <c r="AJ132" s="86">
        <v>1</v>
      </c>
      <c r="AK132" s="96"/>
      <c r="AL132" s="93" t="s">
        <v>917</v>
      </c>
      <c r="AM132" s="15"/>
      <c r="AN132" s="15"/>
    </row>
    <row r="133" spans="2:40" x14ac:dyDescent="0.25">
      <c r="B133" s="97">
        <f t="shared" si="24"/>
        <v>74</v>
      </c>
      <c r="C133" s="16">
        <v>20200619</v>
      </c>
      <c r="D133" s="16" t="s">
        <v>2</v>
      </c>
      <c r="E133" s="95" t="s">
        <v>798</v>
      </c>
      <c r="F133" s="84" t="s">
        <v>796</v>
      </c>
      <c r="G133" s="48"/>
      <c r="H133" s="16" t="s">
        <v>847</v>
      </c>
      <c r="I133" s="16" t="s">
        <v>748</v>
      </c>
      <c r="J133" s="16" t="s">
        <v>254</v>
      </c>
      <c r="K133" s="48"/>
      <c r="L133" s="84" t="s">
        <v>58</v>
      </c>
      <c r="M133" s="48"/>
      <c r="N133" s="16" t="s">
        <v>617</v>
      </c>
      <c r="O133" s="84" t="s">
        <v>281</v>
      </c>
      <c r="P133" s="84" t="s">
        <v>611</v>
      </c>
      <c r="Q133" s="18"/>
      <c r="R133" s="16" t="s">
        <v>130</v>
      </c>
      <c r="S133" s="16" t="s">
        <v>62</v>
      </c>
      <c r="T133" s="16"/>
      <c r="U133" s="16"/>
      <c r="V133" s="16">
        <v>35</v>
      </c>
      <c r="W133" s="15">
        <f>ROUND(IF(D133=Table!$C$3,Y133*Table!$C$4/8,Y133*Table!$D$4/8),3)</f>
        <v>26.244</v>
      </c>
      <c r="X133" s="16">
        <f t="shared" ref="X133:X141" si="25">W133</f>
        <v>26.244</v>
      </c>
      <c r="Y133" s="16">
        <v>1.615</v>
      </c>
      <c r="Z133" s="16">
        <v>1</v>
      </c>
      <c r="AA133" s="15" t="s">
        <v>70</v>
      </c>
      <c r="AB133" s="85">
        <v>44008</v>
      </c>
      <c r="AC133" s="19">
        <v>44001</v>
      </c>
      <c r="AD133" s="85">
        <v>44008</v>
      </c>
      <c r="AE133" s="85">
        <v>44004</v>
      </c>
      <c r="AF133" s="85">
        <v>44004</v>
      </c>
      <c r="AG133" s="85" t="s">
        <v>164</v>
      </c>
      <c r="AH133" s="86">
        <v>0.9</v>
      </c>
      <c r="AI133" s="86">
        <v>0.92300000000000004</v>
      </c>
      <c r="AJ133" s="86">
        <v>0.5</v>
      </c>
      <c r="AK133" s="96"/>
      <c r="AL133" s="93" t="s">
        <v>916</v>
      </c>
      <c r="AM133" s="15"/>
      <c r="AN133" s="15"/>
    </row>
    <row r="134" spans="2:40" x14ac:dyDescent="0.25">
      <c r="B134" s="97">
        <f t="shared" si="24"/>
        <v>75</v>
      </c>
      <c r="C134" s="16">
        <v>20200619</v>
      </c>
      <c r="D134" s="16" t="s">
        <v>2</v>
      </c>
      <c r="E134" s="95" t="s">
        <v>798</v>
      </c>
      <c r="F134" s="84" t="s">
        <v>796</v>
      </c>
      <c r="G134" s="48"/>
      <c r="H134" s="16" t="s">
        <v>468</v>
      </c>
      <c r="I134" s="16" t="s">
        <v>749</v>
      </c>
      <c r="J134" s="16" t="s">
        <v>254</v>
      </c>
      <c r="K134" s="48"/>
      <c r="L134" s="84" t="s">
        <v>58</v>
      </c>
      <c r="M134" s="48"/>
      <c r="N134" s="16" t="s">
        <v>617</v>
      </c>
      <c r="O134" s="84" t="s">
        <v>281</v>
      </c>
      <c r="P134" s="84" t="s">
        <v>616</v>
      </c>
      <c r="Q134" s="18"/>
      <c r="R134" s="16" t="s">
        <v>130</v>
      </c>
      <c r="S134" s="16" t="s">
        <v>62</v>
      </c>
      <c r="T134" s="16"/>
      <c r="U134" s="16"/>
      <c r="V134" s="16">
        <v>6</v>
      </c>
      <c r="W134" s="15">
        <f>ROUND(IF(D134=Table!$C$3,Y134*Table!$C$4/8,Y134*Table!$D$4/8),3)</f>
        <v>26.244</v>
      </c>
      <c r="X134" s="16">
        <f t="shared" si="25"/>
        <v>26.244</v>
      </c>
      <c r="Y134" s="16">
        <v>1.615</v>
      </c>
      <c r="Z134" s="16">
        <v>1</v>
      </c>
      <c r="AA134" s="15" t="s">
        <v>70</v>
      </c>
      <c r="AB134" s="85">
        <v>44008</v>
      </c>
      <c r="AC134" s="19">
        <v>44001</v>
      </c>
      <c r="AD134" s="85">
        <v>44008</v>
      </c>
      <c r="AE134" s="85">
        <v>44005</v>
      </c>
      <c r="AF134" s="85">
        <v>44005</v>
      </c>
      <c r="AG134" s="85" t="s">
        <v>164</v>
      </c>
      <c r="AH134" s="86">
        <v>1</v>
      </c>
      <c r="AI134" s="86">
        <v>1</v>
      </c>
      <c r="AJ134" s="86" t="s">
        <v>326</v>
      </c>
      <c r="AK134" s="96"/>
      <c r="AL134" s="93"/>
      <c r="AM134" s="15"/>
      <c r="AN134" s="15"/>
    </row>
    <row r="135" spans="2:40" x14ac:dyDescent="0.25">
      <c r="B135" s="97">
        <f t="shared" si="24"/>
        <v>76</v>
      </c>
      <c r="C135" s="16">
        <v>20200619</v>
      </c>
      <c r="D135" s="16" t="s">
        <v>2</v>
      </c>
      <c r="E135" s="95" t="s">
        <v>798</v>
      </c>
      <c r="F135" s="84" t="s">
        <v>796</v>
      </c>
      <c r="G135" s="48"/>
      <c r="H135" s="16" t="s">
        <v>848</v>
      </c>
      <c r="I135" s="16" t="s">
        <v>750</v>
      </c>
      <c r="J135" s="16" t="s">
        <v>254</v>
      </c>
      <c r="K135" s="48"/>
      <c r="L135" s="84" t="s">
        <v>58</v>
      </c>
      <c r="M135" s="48"/>
      <c r="N135" s="16" t="s">
        <v>617</v>
      </c>
      <c r="O135" s="84" t="s">
        <v>281</v>
      </c>
      <c r="P135" s="84" t="s">
        <v>616</v>
      </c>
      <c r="Q135" s="18"/>
      <c r="R135" s="16" t="s">
        <v>130</v>
      </c>
      <c r="S135" s="16" t="s">
        <v>62</v>
      </c>
      <c r="T135" s="16"/>
      <c r="U135" s="16"/>
      <c r="V135" s="16">
        <v>6</v>
      </c>
      <c r="W135" s="15">
        <f>ROUND(IF(D135=Table!$C$3,Y135*Table!$C$4/8,Y135*Table!$D$4/8),3)</f>
        <v>26.244</v>
      </c>
      <c r="X135" s="16">
        <f t="shared" si="25"/>
        <v>26.244</v>
      </c>
      <c r="Y135" s="16">
        <v>1.615</v>
      </c>
      <c r="Z135" s="16">
        <v>1</v>
      </c>
      <c r="AA135" s="15" t="s">
        <v>70</v>
      </c>
      <c r="AB135" s="85">
        <v>44008</v>
      </c>
      <c r="AC135" s="19">
        <v>44001</v>
      </c>
      <c r="AD135" s="85">
        <v>44008</v>
      </c>
      <c r="AE135" s="85">
        <v>44005</v>
      </c>
      <c r="AF135" s="85">
        <v>44005</v>
      </c>
      <c r="AG135" s="85" t="s">
        <v>164</v>
      </c>
      <c r="AH135" s="86">
        <v>1</v>
      </c>
      <c r="AI135" s="86">
        <v>1</v>
      </c>
      <c r="AJ135" s="86" t="s">
        <v>326</v>
      </c>
      <c r="AK135" s="96"/>
      <c r="AL135" s="93"/>
      <c r="AM135" s="15"/>
      <c r="AN135" s="15"/>
    </row>
    <row r="136" spans="2:40" x14ac:dyDescent="0.25">
      <c r="B136" s="97">
        <f t="shared" si="24"/>
        <v>77</v>
      </c>
      <c r="C136" s="16">
        <v>20200619</v>
      </c>
      <c r="D136" s="16" t="s">
        <v>2</v>
      </c>
      <c r="E136" s="95" t="s">
        <v>798</v>
      </c>
      <c r="F136" s="84" t="s">
        <v>796</v>
      </c>
      <c r="G136" s="48"/>
      <c r="H136" s="16" t="s">
        <v>469</v>
      </c>
      <c r="I136" s="16" t="s">
        <v>751</v>
      </c>
      <c r="J136" s="16" t="s">
        <v>255</v>
      </c>
      <c r="K136" s="48"/>
      <c r="L136" s="84" t="s">
        <v>58</v>
      </c>
      <c r="M136" s="48"/>
      <c r="N136" s="16" t="s">
        <v>617</v>
      </c>
      <c r="O136" s="84" t="s">
        <v>318</v>
      </c>
      <c r="P136" s="84" t="s">
        <v>802</v>
      </c>
      <c r="Q136" s="18"/>
      <c r="R136" s="16" t="s">
        <v>130</v>
      </c>
      <c r="S136" s="16" t="s">
        <v>62</v>
      </c>
      <c r="T136" s="16"/>
      <c r="U136" s="16"/>
      <c r="V136" s="16">
        <v>42</v>
      </c>
      <c r="W136" s="15">
        <f>ROUND(IF(D136=Table!$C$3,Y136*Table!$C$4/8,Y136*Table!$D$4/8),3)</f>
        <v>26.244</v>
      </c>
      <c r="X136" s="16">
        <f t="shared" si="25"/>
        <v>26.244</v>
      </c>
      <c r="Y136" s="16">
        <v>1.615</v>
      </c>
      <c r="Z136" s="16">
        <v>1</v>
      </c>
      <c r="AA136" s="15" t="s">
        <v>70</v>
      </c>
      <c r="AB136" s="85">
        <v>44008</v>
      </c>
      <c r="AC136" s="19">
        <v>44001</v>
      </c>
      <c r="AD136" s="85">
        <v>44008</v>
      </c>
      <c r="AE136" s="85">
        <v>44005</v>
      </c>
      <c r="AF136" s="85">
        <v>44005</v>
      </c>
      <c r="AG136" s="85" t="s">
        <v>164</v>
      </c>
      <c r="AH136" s="86">
        <v>1</v>
      </c>
      <c r="AI136" s="86">
        <v>1</v>
      </c>
      <c r="AJ136" s="86">
        <v>0.2</v>
      </c>
      <c r="AK136" s="96"/>
      <c r="AL136" s="93"/>
      <c r="AM136" s="15"/>
      <c r="AN136" s="15"/>
    </row>
    <row r="137" spans="2:40" x14ac:dyDescent="0.25">
      <c r="B137" s="97">
        <f t="shared" si="24"/>
        <v>78</v>
      </c>
      <c r="C137" s="16">
        <v>20200619</v>
      </c>
      <c r="D137" s="16" t="s">
        <v>2</v>
      </c>
      <c r="E137" s="95" t="s">
        <v>798</v>
      </c>
      <c r="F137" s="84" t="s">
        <v>796</v>
      </c>
      <c r="G137" s="48"/>
      <c r="H137" s="16" t="s">
        <v>849</v>
      </c>
      <c r="I137" s="16" t="s">
        <v>752</v>
      </c>
      <c r="J137" s="16" t="s">
        <v>254</v>
      </c>
      <c r="K137" s="48"/>
      <c r="L137" s="84" t="s">
        <v>58</v>
      </c>
      <c r="M137" s="48"/>
      <c r="N137" s="16" t="s">
        <v>617</v>
      </c>
      <c r="O137" s="84" t="s">
        <v>618</v>
      </c>
      <c r="P137" s="84" t="s">
        <v>807</v>
      </c>
      <c r="Q137" s="18"/>
      <c r="R137" s="16" t="s">
        <v>130</v>
      </c>
      <c r="S137" s="16" t="s">
        <v>62</v>
      </c>
      <c r="T137" s="16"/>
      <c r="U137" s="16"/>
      <c r="V137" s="16">
        <v>53</v>
      </c>
      <c r="W137" s="15">
        <f>ROUND(IF(D137=Table!$C$3,Y137*Table!$C$4/8,Y137*Table!$D$4/8),3)</f>
        <v>37.293999999999997</v>
      </c>
      <c r="X137" s="16">
        <f t="shared" si="25"/>
        <v>37.293999999999997</v>
      </c>
      <c r="Y137" s="16">
        <v>2.2949999999999999</v>
      </c>
      <c r="Z137" s="16">
        <v>1</v>
      </c>
      <c r="AA137" s="15" t="s">
        <v>70</v>
      </c>
      <c r="AB137" s="85">
        <v>44008</v>
      </c>
      <c r="AC137" s="19">
        <v>44001</v>
      </c>
      <c r="AD137" s="85">
        <v>44008</v>
      </c>
      <c r="AE137" s="85">
        <v>44005</v>
      </c>
      <c r="AF137" s="85">
        <v>44005</v>
      </c>
      <c r="AG137" s="85" t="s">
        <v>164</v>
      </c>
      <c r="AH137" s="86">
        <v>0.92900000000000005</v>
      </c>
      <c r="AI137" s="86">
        <v>0.94699999999999995</v>
      </c>
      <c r="AJ137" s="86">
        <v>0.46700000000000003</v>
      </c>
      <c r="AK137" s="96"/>
      <c r="AL137" s="93"/>
      <c r="AM137" s="15"/>
      <c r="AN137" s="15"/>
    </row>
    <row r="138" spans="2:40" x14ac:dyDescent="0.25">
      <c r="B138" s="97">
        <f t="shared" si="24"/>
        <v>79</v>
      </c>
      <c r="C138" s="16">
        <v>20200619</v>
      </c>
      <c r="D138" s="16" t="s">
        <v>2</v>
      </c>
      <c r="E138" s="95" t="s">
        <v>798</v>
      </c>
      <c r="F138" s="84" t="s">
        <v>796</v>
      </c>
      <c r="G138" s="48"/>
      <c r="H138" s="16" t="s">
        <v>850</v>
      </c>
      <c r="I138" s="16" t="s">
        <v>753</v>
      </c>
      <c r="J138" s="16" t="s">
        <v>254</v>
      </c>
      <c r="K138" s="48"/>
      <c r="L138" s="84" t="s">
        <v>58</v>
      </c>
      <c r="M138" s="48"/>
      <c r="N138" s="16" t="s">
        <v>617</v>
      </c>
      <c r="O138" s="84" t="s">
        <v>780</v>
      </c>
      <c r="P138" s="84" t="s">
        <v>613</v>
      </c>
      <c r="Q138" s="18"/>
      <c r="R138" s="16" t="s">
        <v>130</v>
      </c>
      <c r="S138" s="16" t="s">
        <v>62</v>
      </c>
      <c r="T138" s="16"/>
      <c r="U138" s="16"/>
      <c r="V138" s="16">
        <v>70</v>
      </c>
      <c r="W138" s="15">
        <f>ROUND(IF(D138=Table!$C$3,Y138*Table!$C$4/8,Y138*Table!$D$4/8),3)</f>
        <v>40.055999999999997</v>
      </c>
      <c r="X138" s="16">
        <f t="shared" si="25"/>
        <v>40.055999999999997</v>
      </c>
      <c r="Y138" s="16">
        <v>2.4649999999999999</v>
      </c>
      <c r="Z138" s="16">
        <v>1</v>
      </c>
      <c r="AA138" s="15" t="s">
        <v>70</v>
      </c>
      <c r="AB138" s="85">
        <v>44008</v>
      </c>
      <c r="AC138" s="19">
        <v>44001</v>
      </c>
      <c r="AD138" s="85">
        <v>44008</v>
      </c>
      <c r="AE138" s="85">
        <v>44005</v>
      </c>
      <c r="AF138" s="85">
        <v>44005</v>
      </c>
      <c r="AG138" s="85" t="s">
        <v>164</v>
      </c>
      <c r="AH138" s="86">
        <v>1</v>
      </c>
      <c r="AI138" s="86">
        <v>1</v>
      </c>
      <c r="AJ138" s="86">
        <v>0.33300000000000002</v>
      </c>
      <c r="AK138" s="96"/>
      <c r="AL138" s="93"/>
      <c r="AM138" s="15"/>
      <c r="AN138" s="15"/>
    </row>
    <row r="139" spans="2:40" x14ac:dyDescent="0.25">
      <c r="B139" s="97">
        <f t="shared" si="24"/>
        <v>80</v>
      </c>
      <c r="C139" s="16">
        <v>20200619</v>
      </c>
      <c r="D139" s="16" t="s">
        <v>2</v>
      </c>
      <c r="E139" s="95" t="s">
        <v>798</v>
      </c>
      <c r="F139" s="84" t="s">
        <v>796</v>
      </c>
      <c r="G139" s="48"/>
      <c r="H139" s="16" t="s">
        <v>470</v>
      </c>
      <c r="I139" s="16" t="s">
        <v>754</v>
      </c>
      <c r="J139" s="16" t="s">
        <v>255</v>
      </c>
      <c r="K139" s="48"/>
      <c r="L139" s="84" t="s">
        <v>58</v>
      </c>
      <c r="M139" s="48"/>
      <c r="N139" s="16" t="s">
        <v>617</v>
      </c>
      <c r="O139" s="84" t="s">
        <v>774</v>
      </c>
      <c r="P139" s="84" t="s">
        <v>807</v>
      </c>
      <c r="Q139" s="18"/>
      <c r="R139" s="16" t="s">
        <v>130</v>
      </c>
      <c r="S139" s="16" t="s">
        <v>62</v>
      </c>
      <c r="T139" s="16"/>
      <c r="U139" s="16"/>
      <c r="V139" s="16">
        <v>63</v>
      </c>
      <c r="W139" s="15">
        <f>ROUND(IF(D139=Table!$C$3,Y139*Table!$C$4/8,Y139*Table!$D$4/8),3)</f>
        <v>40.055999999999997</v>
      </c>
      <c r="X139" s="16">
        <f t="shared" si="25"/>
        <v>40.055999999999997</v>
      </c>
      <c r="Y139" s="16">
        <v>2.4649999999999999</v>
      </c>
      <c r="Z139" s="16">
        <v>1</v>
      </c>
      <c r="AA139" s="15" t="s">
        <v>70</v>
      </c>
      <c r="AB139" s="85">
        <v>44008</v>
      </c>
      <c r="AC139" s="19">
        <v>44001</v>
      </c>
      <c r="AD139" s="85">
        <v>44008</v>
      </c>
      <c r="AE139" s="85">
        <v>44005</v>
      </c>
      <c r="AF139" s="85">
        <v>44005</v>
      </c>
      <c r="AG139" s="85" t="s">
        <v>164</v>
      </c>
      <c r="AH139" s="86">
        <v>1</v>
      </c>
      <c r="AI139" s="86">
        <v>1</v>
      </c>
      <c r="AJ139" s="86" t="s">
        <v>326</v>
      </c>
      <c r="AK139" s="96"/>
      <c r="AL139" s="93"/>
      <c r="AM139" s="15"/>
      <c r="AN139" s="15"/>
    </row>
    <row r="140" spans="2:40" x14ac:dyDescent="0.25">
      <c r="B140" s="97">
        <f t="shared" si="24"/>
        <v>81</v>
      </c>
      <c r="C140" s="16">
        <v>20200619</v>
      </c>
      <c r="D140" s="16" t="s">
        <v>2</v>
      </c>
      <c r="E140" s="95" t="s">
        <v>798</v>
      </c>
      <c r="F140" s="84" t="s">
        <v>796</v>
      </c>
      <c r="G140" s="48"/>
      <c r="H140" s="16" t="s">
        <v>471</v>
      </c>
      <c r="I140" s="16" t="s">
        <v>755</v>
      </c>
      <c r="J140" s="16" t="s">
        <v>255</v>
      </c>
      <c r="K140" s="48"/>
      <c r="L140" s="84" t="s">
        <v>58</v>
      </c>
      <c r="M140" s="48"/>
      <c r="N140" s="16" t="s">
        <v>617</v>
      </c>
      <c r="O140" s="84" t="s">
        <v>790</v>
      </c>
      <c r="P140" s="84" t="s">
        <v>610</v>
      </c>
      <c r="Q140" s="18"/>
      <c r="R140" s="16" t="s">
        <v>130</v>
      </c>
      <c r="S140" s="16" t="s">
        <v>62</v>
      </c>
      <c r="T140" s="16"/>
      <c r="U140" s="16"/>
      <c r="V140" s="16">
        <v>39</v>
      </c>
      <c r="W140" s="15">
        <f>ROUND(IF(D140=Table!$C$3,Y140*Table!$C$4/8,Y140*Table!$D$4/8),3)</f>
        <v>26.244</v>
      </c>
      <c r="X140" s="16">
        <f t="shared" si="25"/>
        <v>26.244</v>
      </c>
      <c r="Y140" s="16">
        <v>1.615</v>
      </c>
      <c r="Z140" s="16">
        <v>1</v>
      </c>
      <c r="AA140" s="15" t="s">
        <v>70</v>
      </c>
      <c r="AB140" s="85">
        <v>44008</v>
      </c>
      <c r="AC140" s="19">
        <v>44001</v>
      </c>
      <c r="AD140" s="85">
        <v>44008</v>
      </c>
      <c r="AE140" s="85">
        <v>44005</v>
      </c>
      <c r="AF140" s="85">
        <v>44005</v>
      </c>
      <c r="AG140" s="85" t="s">
        <v>164</v>
      </c>
      <c r="AH140" s="86">
        <v>1</v>
      </c>
      <c r="AI140" s="86">
        <v>1</v>
      </c>
      <c r="AJ140" s="86">
        <v>0</v>
      </c>
      <c r="AK140" s="96"/>
      <c r="AL140" s="93"/>
      <c r="AM140" s="15"/>
      <c r="AN140" s="15"/>
    </row>
    <row r="141" spans="2:40" x14ac:dyDescent="0.25">
      <c r="B141" s="97">
        <f t="shared" si="24"/>
        <v>82</v>
      </c>
      <c r="C141" s="16">
        <v>20200619</v>
      </c>
      <c r="D141" s="16" t="s">
        <v>2</v>
      </c>
      <c r="E141" s="95" t="s">
        <v>798</v>
      </c>
      <c r="F141" s="84" t="s">
        <v>796</v>
      </c>
      <c r="G141" s="48"/>
      <c r="H141" s="16" t="s">
        <v>472</v>
      </c>
      <c r="I141" s="16" t="s">
        <v>756</v>
      </c>
      <c r="J141" s="16" t="s">
        <v>255</v>
      </c>
      <c r="K141" s="48"/>
      <c r="L141" s="84" t="s">
        <v>58</v>
      </c>
      <c r="M141" s="48"/>
      <c r="N141" s="16" t="s">
        <v>617</v>
      </c>
      <c r="O141" s="84" t="s">
        <v>791</v>
      </c>
      <c r="P141" s="84" t="s">
        <v>616</v>
      </c>
      <c r="Q141" s="18"/>
      <c r="R141" s="16" t="s">
        <v>130</v>
      </c>
      <c r="S141" s="16" t="s">
        <v>62</v>
      </c>
      <c r="T141" s="16"/>
      <c r="U141" s="16"/>
      <c r="V141" s="16">
        <v>129</v>
      </c>
      <c r="W141" s="15">
        <f>ROUND(IF(D141=Table!$C$3,Y141*Table!$C$4/8,Y141*Table!$D$4/8),3)</f>
        <v>40.055999999999997</v>
      </c>
      <c r="X141" s="16">
        <f t="shared" si="25"/>
        <v>40.055999999999997</v>
      </c>
      <c r="Y141" s="16">
        <v>2.4649999999999999</v>
      </c>
      <c r="Z141" s="16">
        <v>1</v>
      </c>
      <c r="AA141" s="15" t="s">
        <v>70</v>
      </c>
      <c r="AB141" s="85">
        <v>44008</v>
      </c>
      <c r="AC141" s="19">
        <v>44001</v>
      </c>
      <c r="AD141" s="85">
        <v>44008</v>
      </c>
      <c r="AE141" s="85">
        <v>44005</v>
      </c>
      <c r="AF141" s="85">
        <v>44005</v>
      </c>
      <c r="AG141" s="85" t="s">
        <v>164</v>
      </c>
      <c r="AH141" s="86">
        <v>1</v>
      </c>
      <c r="AI141" s="86">
        <v>0.98</v>
      </c>
      <c r="AJ141" s="86">
        <v>0.38500000000000001</v>
      </c>
      <c r="AK141" s="96"/>
      <c r="AL141" s="93"/>
      <c r="AM141" s="15"/>
      <c r="AN141" s="15"/>
    </row>
    <row r="142" spans="2:40" x14ac:dyDescent="0.25">
      <c r="B142" s="97">
        <f t="shared" si="24"/>
        <v>83</v>
      </c>
      <c r="C142" s="16">
        <v>20200619</v>
      </c>
      <c r="D142" s="16" t="s">
        <v>2</v>
      </c>
      <c r="E142" s="95" t="s">
        <v>798</v>
      </c>
      <c r="F142" s="84" t="s">
        <v>796</v>
      </c>
      <c r="G142" s="48"/>
      <c r="H142" s="16" t="s">
        <v>473</v>
      </c>
      <c r="I142" s="16" t="s">
        <v>757</v>
      </c>
      <c r="J142" s="16" t="s">
        <v>255</v>
      </c>
      <c r="K142" s="48"/>
      <c r="L142" s="84" t="s">
        <v>58</v>
      </c>
      <c r="M142" s="48"/>
      <c r="N142" s="16" t="s">
        <v>617</v>
      </c>
      <c r="O142" s="84" t="s">
        <v>792</v>
      </c>
      <c r="P142" s="84" t="s">
        <v>616</v>
      </c>
      <c r="Q142" s="18"/>
      <c r="R142" s="129" t="s">
        <v>853</v>
      </c>
      <c r="S142" s="16" t="s">
        <v>327</v>
      </c>
      <c r="T142" s="16"/>
      <c r="U142" s="16"/>
      <c r="V142" s="16">
        <v>65</v>
      </c>
      <c r="W142" s="15">
        <f>ROUND(IF(D142=Table!$C$3,Y142*Table!$C$4/8,Y142*Table!$D$4/8),3)</f>
        <v>40.055999999999997</v>
      </c>
      <c r="X142" s="16">
        <f>W142</f>
        <v>40.055999999999997</v>
      </c>
      <c r="Y142" s="16">
        <v>2.4649999999999999</v>
      </c>
      <c r="Z142" s="16">
        <f>Y142</f>
        <v>2.4649999999999999</v>
      </c>
      <c r="AA142" s="15" t="s">
        <v>70</v>
      </c>
      <c r="AB142" s="85">
        <v>44008</v>
      </c>
      <c r="AC142" s="19">
        <v>44001</v>
      </c>
      <c r="AD142" s="85">
        <v>44008</v>
      </c>
      <c r="AE142" s="85">
        <v>44008</v>
      </c>
      <c r="AF142" s="85">
        <v>44008</v>
      </c>
      <c r="AG142" s="85" t="s">
        <v>164</v>
      </c>
      <c r="AH142" s="98">
        <v>1</v>
      </c>
      <c r="AI142" s="98">
        <v>1</v>
      </c>
      <c r="AJ142" s="98">
        <v>0.72199999999999998</v>
      </c>
      <c r="AK142" s="14" t="s">
        <v>144</v>
      </c>
      <c r="AL142" s="93"/>
      <c r="AM142" s="15"/>
      <c r="AN142" s="15"/>
    </row>
    <row r="143" spans="2:40" x14ac:dyDescent="0.25">
      <c r="B143" s="97">
        <f t="shared" si="24"/>
        <v>84</v>
      </c>
      <c r="C143" s="16">
        <v>20200619</v>
      </c>
      <c r="D143" s="16" t="s">
        <v>2</v>
      </c>
      <c r="E143" s="95" t="s">
        <v>798</v>
      </c>
      <c r="F143" s="84" t="s">
        <v>796</v>
      </c>
      <c r="G143" s="48"/>
      <c r="H143" s="16" t="s">
        <v>474</v>
      </c>
      <c r="I143" s="16" t="s">
        <v>758</v>
      </c>
      <c r="J143" s="16" t="s">
        <v>255</v>
      </c>
      <c r="K143" s="48"/>
      <c r="L143" s="84" t="s">
        <v>58</v>
      </c>
      <c r="M143" s="48"/>
      <c r="N143" s="16" t="s">
        <v>617</v>
      </c>
      <c r="O143" s="84" t="s">
        <v>793</v>
      </c>
      <c r="P143" s="84" t="s">
        <v>616</v>
      </c>
      <c r="Q143" s="18"/>
      <c r="R143" s="129" t="s">
        <v>91</v>
      </c>
      <c r="S143" s="16" t="s">
        <v>61</v>
      </c>
      <c r="T143" s="16"/>
      <c r="U143" s="16"/>
      <c r="V143" s="16">
        <v>502</v>
      </c>
      <c r="W143" s="15">
        <f>ROUND(IF(D143=Table!$C$3,Y143*Table!$C$4/8,Y143*Table!$D$4/8),3)</f>
        <v>256.084</v>
      </c>
      <c r="X143" s="16">
        <f t="shared" ref="X143:X158" si="26">W143</f>
        <v>256.084</v>
      </c>
      <c r="Y143" s="16">
        <v>15.758999999999999</v>
      </c>
      <c r="Z143" s="16">
        <v>4</v>
      </c>
      <c r="AA143" s="15" t="s">
        <v>70</v>
      </c>
      <c r="AB143" s="85">
        <v>44008</v>
      </c>
      <c r="AC143" s="19">
        <v>44001</v>
      </c>
      <c r="AD143" s="85">
        <v>44008</v>
      </c>
      <c r="AE143" s="85">
        <v>44006</v>
      </c>
      <c r="AF143" s="85">
        <v>44006</v>
      </c>
      <c r="AG143" s="85" t="s">
        <v>165</v>
      </c>
      <c r="AH143" s="98">
        <v>1</v>
      </c>
      <c r="AI143" s="98">
        <v>0.995</v>
      </c>
      <c r="AJ143" s="98">
        <v>0.38300000000000001</v>
      </c>
      <c r="AK143" s="14" t="s">
        <v>144</v>
      </c>
      <c r="AL143" s="112" t="s">
        <v>855</v>
      </c>
      <c r="AM143" s="15"/>
      <c r="AN143" s="15"/>
    </row>
    <row r="144" spans="2:40" x14ac:dyDescent="0.25">
      <c r="B144" s="97">
        <f t="shared" si="24"/>
        <v>85</v>
      </c>
      <c r="C144" s="16">
        <v>20200619</v>
      </c>
      <c r="D144" s="16" t="s">
        <v>3</v>
      </c>
      <c r="E144" s="95" t="s">
        <v>798</v>
      </c>
      <c r="F144" s="84" t="s">
        <v>256</v>
      </c>
      <c r="G144" s="48"/>
      <c r="H144" s="16" t="s">
        <v>235</v>
      </c>
      <c r="I144" s="16" t="s">
        <v>260</v>
      </c>
      <c r="J144" s="16" t="s">
        <v>255</v>
      </c>
      <c r="K144" s="48"/>
      <c r="L144" s="84" t="s">
        <v>851</v>
      </c>
      <c r="M144" s="48"/>
      <c r="N144" s="16" t="s">
        <v>852</v>
      </c>
      <c r="O144" s="84" t="s">
        <v>58</v>
      </c>
      <c r="P144" s="84" t="s">
        <v>808</v>
      </c>
      <c r="Q144" s="18"/>
      <c r="R144" s="129" t="s">
        <v>853</v>
      </c>
      <c r="S144" s="16" t="s">
        <v>327</v>
      </c>
      <c r="T144" s="16"/>
      <c r="U144" s="16"/>
      <c r="V144" s="16">
        <v>42</v>
      </c>
      <c r="W144" s="15">
        <f>ROUND(IF(D144=Table!$C$3,Y144*Table!$C$4/8,Y144*Table!$D$4/8),3)</f>
        <v>67.5</v>
      </c>
      <c r="X144" s="16">
        <f t="shared" si="26"/>
        <v>67.5</v>
      </c>
      <c r="Y144" s="16">
        <v>1.2</v>
      </c>
      <c r="Z144" s="16">
        <f t="shared" ref="Z144:Z158" si="27">Y144</f>
        <v>1.2</v>
      </c>
      <c r="AA144" s="15" t="s">
        <v>70</v>
      </c>
      <c r="AB144" s="85">
        <v>44008</v>
      </c>
      <c r="AC144" s="19">
        <v>44001</v>
      </c>
      <c r="AD144" s="85">
        <v>44008</v>
      </c>
      <c r="AE144" s="85">
        <v>44004</v>
      </c>
      <c r="AF144" s="85">
        <v>44004</v>
      </c>
      <c r="AG144" s="85" t="s">
        <v>164</v>
      </c>
      <c r="AH144" s="98">
        <v>1</v>
      </c>
      <c r="AI144" s="98">
        <v>1</v>
      </c>
      <c r="AJ144" s="98">
        <v>1</v>
      </c>
      <c r="AK144" s="14" t="s">
        <v>144</v>
      </c>
      <c r="AL144" s="93"/>
      <c r="AM144" s="15"/>
      <c r="AN144" s="15"/>
    </row>
    <row r="145" spans="2:40" x14ac:dyDescent="0.25">
      <c r="B145" s="97">
        <f t="shared" si="24"/>
        <v>86</v>
      </c>
      <c r="C145" s="16">
        <v>20200619</v>
      </c>
      <c r="D145" s="16" t="s">
        <v>3</v>
      </c>
      <c r="E145" s="95" t="s">
        <v>798</v>
      </c>
      <c r="F145" s="84" t="s">
        <v>257</v>
      </c>
      <c r="G145" s="48"/>
      <c r="H145" s="16" t="s">
        <v>223</v>
      </c>
      <c r="I145" s="16" t="s">
        <v>261</v>
      </c>
      <c r="J145" s="16" t="s">
        <v>255</v>
      </c>
      <c r="K145" s="48"/>
      <c r="L145" s="84" t="s">
        <v>851</v>
      </c>
      <c r="M145" s="48"/>
      <c r="N145" s="16" t="s">
        <v>852</v>
      </c>
      <c r="O145" s="84" t="s">
        <v>58</v>
      </c>
      <c r="P145" s="84" t="s">
        <v>477</v>
      </c>
      <c r="Q145" s="18"/>
      <c r="R145" s="129" t="s">
        <v>853</v>
      </c>
      <c r="S145" s="16" t="s">
        <v>327</v>
      </c>
      <c r="T145" s="16"/>
      <c r="U145" s="16"/>
      <c r="V145" s="16">
        <v>500</v>
      </c>
      <c r="W145" s="15">
        <f>ROUND(IF(D145=Table!$C$3,Y145*Table!$C$4/8,Y145*Table!$D$4/8),3)</f>
        <v>157.5</v>
      </c>
      <c r="X145" s="16">
        <f t="shared" si="26"/>
        <v>157.5</v>
      </c>
      <c r="Y145" s="16">
        <v>2.8000000000000003</v>
      </c>
      <c r="Z145" s="16">
        <f t="shared" si="27"/>
        <v>2.8000000000000003</v>
      </c>
      <c r="AA145" s="15" t="s">
        <v>70</v>
      </c>
      <c r="AB145" s="85">
        <v>44008</v>
      </c>
      <c r="AC145" s="19">
        <v>44001</v>
      </c>
      <c r="AD145" s="85">
        <v>44008</v>
      </c>
      <c r="AE145" s="85">
        <v>44004</v>
      </c>
      <c r="AF145" s="85">
        <v>44004</v>
      </c>
      <c r="AG145" s="85" t="s">
        <v>164</v>
      </c>
      <c r="AH145" s="98">
        <v>1</v>
      </c>
      <c r="AI145" s="98">
        <v>1</v>
      </c>
      <c r="AJ145" s="98">
        <v>0.81</v>
      </c>
      <c r="AK145" s="14" t="s">
        <v>144</v>
      </c>
      <c r="AL145" s="93"/>
      <c r="AM145" s="15"/>
      <c r="AN145" s="15"/>
    </row>
    <row r="146" spans="2:40" x14ac:dyDescent="0.25">
      <c r="B146" s="97">
        <f t="shared" si="24"/>
        <v>87</v>
      </c>
      <c r="C146" s="16">
        <v>20200619</v>
      </c>
      <c r="D146" s="16" t="s">
        <v>3</v>
      </c>
      <c r="E146" s="95" t="s">
        <v>798</v>
      </c>
      <c r="F146" s="84" t="s">
        <v>258</v>
      </c>
      <c r="G146" s="48"/>
      <c r="H146" s="16" t="s">
        <v>316</v>
      </c>
      <c r="I146" s="16" t="s">
        <v>262</v>
      </c>
      <c r="J146" s="16" t="s">
        <v>255</v>
      </c>
      <c r="K146" s="48"/>
      <c r="L146" s="84" t="s">
        <v>851</v>
      </c>
      <c r="M146" s="48"/>
      <c r="N146" s="16" t="s">
        <v>852</v>
      </c>
      <c r="O146" s="84" t="s">
        <v>58</v>
      </c>
      <c r="P146" s="84" t="s">
        <v>478</v>
      </c>
      <c r="Q146" s="18"/>
      <c r="R146" s="129" t="s">
        <v>853</v>
      </c>
      <c r="S146" s="16" t="s">
        <v>327</v>
      </c>
      <c r="T146" s="16"/>
      <c r="U146" s="16"/>
      <c r="V146" s="16">
        <v>1006</v>
      </c>
      <c r="W146" s="15">
        <f>ROUND(IF(D146=Table!$C$3,Y146*Table!$C$4/8,Y146*Table!$D$4/8),3)</f>
        <v>90</v>
      </c>
      <c r="X146" s="16">
        <f t="shared" si="26"/>
        <v>90</v>
      </c>
      <c r="Y146" s="16">
        <v>1.6</v>
      </c>
      <c r="Z146" s="16">
        <f t="shared" si="27"/>
        <v>1.6</v>
      </c>
      <c r="AA146" s="15" t="s">
        <v>70</v>
      </c>
      <c r="AB146" s="85">
        <v>44008</v>
      </c>
      <c r="AC146" s="19">
        <v>44001</v>
      </c>
      <c r="AD146" s="85">
        <v>44008</v>
      </c>
      <c r="AE146" s="85">
        <v>44004</v>
      </c>
      <c r="AF146" s="85">
        <v>44004</v>
      </c>
      <c r="AG146" s="85" t="s">
        <v>164</v>
      </c>
      <c r="AH146" s="98">
        <v>1</v>
      </c>
      <c r="AI146" s="98">
        <v>1</v>
      </c>
      <c r="AJ146" s="98">
        <v>0</v>
      </c>
      <c r="AK146" s="14" t="s">
        <v>144</v>
      </c>
      <c r="AL146" s="93"/>
      <c r="AM146" s="15"/>
      <c r="AN146" s="15"/>
    </row>
    <row r="147" spans="2:40" x14ac:dyDescent="0.25">
      <c r="B147" s="97">
        <f t="shared" si="24"/>
        <v>88</v>
      </c>
      <c r="C147" s="16">
        <v>20200619</v>
      </c>
      <c r="D147" s="16" t="s">
        <v>3</v>
      </c>
      <c r="E147" s="95" t="s">
        <v>798</v>
      </c>
      <c r="F147" s="84" t="s">
        <v>258</v>
      </c>
      <c r="G147" s="48"/>
      <c r="H147" s="16" t="s">
        <v>251</v>
      </c>
      <c r="I147" s="16" t="s">
        <v>263</v>
      </c>
      <c r="J147" s="16" t="s">
        <v>255</v>
      </c>
      <c r="K147" s="48"/>
      <c r="L147" s="84" t="s">
        <v>851</v>
      </c>
      <c r="M147" s="48"/>
      <c r="N147" s="16" t="s">
        <v>852</v>
      </c>
      <c r="O147" s="84" t="s">
        <v>58</v>
      </c>
      <c r="P147" s="84" t="s">
        <v>478</v>
      </c>
      <c r="Q147" s="18"/>
      <c r="R147" s="129" t="s">
        <v>853</v>
      </c>
      <c r="S147" s="16" t="s">
        <v>327</v>
      </c>
      <c r="T147" s="16"/>
      <c r="U147" s="16"/>
      <c r="V147" s="16">
        <v>83</v>
      </c>
      <c r="W147" s="15">
        <f>ROUND(IF(D147=Table!$C$3,Y147*Table!$C$4/8,Y147*Table!$D$4/8),3)</f>
        <v>81</v>
      </c>
      <c r="X147" s="16">
        <f t="shared" si="26"/>
        <v>81</v>
      </c>
      <c r="Y147" s="16">
        <v>1.44</v>
      </c>
      <c r="Z147" s="16">
        <f t="shared" si="27"/>
        <v>1.44</v>
      </c>
      <c r="AA147" s="15" t="s">
        <v>70</v>
      </c>
      <c r="AB147" s="85">
        <v>44008</v>
      </c>
      <c r="AC147" s="19">
        <v>44001</v>
      </c>
      <c r="AD147" s="85">
        <v>44008</v>
      </c>
      <c r="AE147" s="85">
        <v>44007</v>
      </c>
      <c r="AF147" s="85">
        <v>44007</v>
      </c>
      <c r="AG147" s="85" t="s">
        <v>164</v>
      </c>
      <c r="AH147" s="98">
        <v>1</v>
      </c>
      <c r="AI147" s="98">
        <v>1</v>
      </c>
      <c r="AJ147" s="98">
        <v>0.83</v>
      </c>
      <c r="AK147" s="14" t="s">
        <v>144</v>
      </c>
      <c r="AL147" s="93"/>
      <c r="AM147" s="15"/>
      <c r="AN147" s="15"/>
    </row>
    <row r="148" spans="2:40" x14ac:dyDescent="0.25">
      <c r="B148" s="97">
        <f t="shared" si="24"/>
        <v>89</v>
      </c>
      <c r="C148" s="16">
        <v>20200619</v>
      </c>
      <c r="D148" s="16" t="s">
        <v>3</v>
      </c>
      <c r="E148" s="95" t="s">
        <v>798</v>
      </c>
      <c r="F148" s="84" t="s">
        <v>258</v>
      </c>
      <c r="G148" s="48"/>
      <c r="H148" s="16" t="s">
        <v>252</v>
      </c>
      <c r="I148" s="16" t="s">
        <v>264</v>
      </c>
      <c r="J148" s="16" t="s">
        <v>255</v>
      </c>
      <c r="K148" s="48"/>
      <c r="L148" s="84" t="s">
        <v>851</v>
      </c>
      <c r="M148" s="48"/>
      <c r="N148" s="16" t="s">
        <v>852</v>
      </c>
      <c r="O148" s="84" t="s">
        <v>58</v>
      </c>
      <c r="P148" s="84" t="s">
        <v>478</v>
      </c>
      <c r="Q148" s="18"/>
      <c r="R148" s="129" t="s">
        <v>853</v>
      </c>
      <c r="S148" s="16" t="s">
        <v>327</v>
      </c>
      <c r="T148" s="16"/>
      <c r="U148" s="16"/>
      <c r="V148" s="16">
        <v>975</v>
      </c>
      <c r="W148" s="15">
        <f>ROUND(IF(D148=Table!$C$3,Y148*Table!$C$4/8,Y148*Table!$D$4/8),3)</f>
        <v>81</v>
      </c>
      <c r="X148" s="16">
        <f t="shared" si="26"/>
        <v>81</v>
      </c>
      <c r="Y148" s="16">
        <v>1.44</v>
      </c>
      <c r="Z148" s="16">
        <f t="shared" si="27"/>
        <v>1.44</v>
      </c>
      <c r="AA148" s="15" t="s">
        <v>70</v>
      </c>
      <c r="AB148" s="85">
        <v>44008</v>
      </c>
      <c r="AC148" s="19">
        <v>44001</v>
      </c>
      <c r="AD148" s="85">
        <v>44008</v>
      </c>
      <c r="AE148" s="85">
        <v>44005</v>
      </c>
      <c r="AF148" s="85">
        <v>44005</v>
      </c>
      <c r="AG148" s="85" t="s">
        <v>164</v>
      </c>
      <c r="AH148" s="98">
        <v>1</v>
      </c>
      <c r="AI148" s="98">
        <v>1</v>
      </c>
      <c r="AJ148" s="98">
        <v>0.5</v>
      </c>
      <c r="AK148" s="14" t="s">
        <v>144</v>
      </c>
      <c r="AL148" s="93"/>
      <c r="AM148" s="15"/>
      <c r="AN148" s="15"/>
    </row>
    <row r="149" spans="2:40" x14ac:dyDescent="0.25">
      <c r="B149" s="97">
        <f t="shared" si="24"/>
        <v>90</v>
      </c>
      <c r="C149" s="16">
        <v>20200619</v>
      </c>
      <c r="D149" s="16" t="s">
        <v>3</v>
      </c>
      <c r="E149" s="95" t="s">
        <v>798</v>
      </c>
      <c r="F149" s="84" t="s">
        <v>797</v>
      </c>
      <c r="G149" s="48"/>
      <c r="H149" s="16" t="s">
        <v>236</v>
      </c>
      <c r="I149" s="16" t="s">
        <v>462</v>
      </c>
      <c r="J149" s="16" t="s">
        <v>255</v>
      </c>
      <c r="K149" s="48"/>
      <c r="L149" s="84" t="s">
        <v>851</v>
      </c>
      <c r="M149" s="48"/>
      <c r="N149" s="16" t="s">
        <v>852</v>
      </c>
      <c r="O149" s="84" t="s">
        <v>58</v>
      </c>
      <c r="P149" s="84" t="s">
        <v>809</v>
      </c>
      <c r="Q149" s="18"/>
      <c r="R149" s="129" t="s">
        <v>853</v>
      </c>
      <c r="S149" s="16" t="s">
        <v>327</v>
      </c>
      <c r="T149" s="16"/>
      <c r="U149" s="16"/>
      <c r="V149" s="16">
        <v>82</v>
      </c>
      <c r="W149" s="15">
        <f>ROUND(IF(D149=Table!$C$3,Y149*Table!$C$4/8,Y149*Table!$D$4/8),3)</f>
        <v>67.5</v>
      </c>
      <c r="X149" s="16">
        <f t="shared" si="26"/>
        <v>67.5</v>
      </c>
      <c r="Y149" s="16">
        <v>1.2</v>
      </c>
      <c r="Z149" s="16">
        <f t="shared" si="27"/>
        <v>1.2</v>
      </c>
      <c r="AA149" s="15" t="s">
        <v>70</v>
      </c>
      <c r="AB149" s="85">
        <v>44008</v>
      </c>
      <c r="AC149" s="19">
        <v>44001</v>
      </c>
      <c r="AD149" s="85">
        <v>44008</v>
      </c>
      <c r="AE149" s="85">
        <v>44005</v>
      </c>
      <c r="AF149" s="85">
        <v>44005</v>
      </c>
      <c r="AG149" s="85" t="s">
        <v>164</v>
      </c>
      <c r="AH149" s="98">
        <v>1</v>
      </c>
      <c r="AI149" s="98">
        <v>1</v>
      </c>
      <c r="AJ149" s="98">
        <v>1</v>
      </c>
      <c r="AK149" s="14" t="s">
        <v>144</v>
      </c>
      <c r="AL149" s="93"/>
      <c r="AM149" s="15"/>
      <c r="AN149" s="15"/>
    </row>
    <row r="150" spans="2:40" x14ac:dyDescent="0.25">
      <c r="B150" s="97">
        <f t="shared" si="24"/>
        <v>91</v>
      </c>
      <c r="C150" s="16">
        <v>20200619</v>
      </c>
      <c r="D150" s="16" t="s">
        <v>3</v>
      </c>
      <c r="E150" s="95" t="s">
        <v>798</v>
      </c>
      <c r="F150" s="84" t="s">
        <v>797</v>
      </c>
      <c r="G150" s="48"/>
      <c r="H150" s="16" t="s">
        <v>266</v>
      </c>
      <c r="I150" s="16" t="s">
        <v>759</v>
      </c>
      <c r="J150" s="16" t="s">
        <v>255</v>
      </c>
      <c r="K150" s="48"/>
      <c r="L150" s="84" t="s">
        <v>851</v>
      </c>
      <c r="M150" s="48"/>
      <c r="N150" s="16" t="s">
        <v>852</v>
      </c>
      <c r="O150" s="84" t="s">
        <v>58</v>
      </c>
      <c r="P150" s="84" t="s">
        <v>809</v>
      </c>
      <c r="Q150" s="18"/>
      <c r="R150" s="16" t="s">
        <v>853</v>
      </c>
      <c r="S150" s="16" t="s">
        <v>327</v>
      </c>
      <c r="T150" s="16"/>
      <c r="U150" s="16"/>
      <c r="V150" s="16">
        <v>405</v>
      </c>
      <c r="W150" s="15">
        <f>ROUND(IF(D150=Table!$C$3,Y150*Table!$C$4/8,Y150*Table!$D$4/8),3)</f>
        <v>103.5</v>
      </c>
      <c r="X150" s="16">
        <f t="shared" si="26"/>
        <v>103.5</v>
      </c>
      <c r="Y150" s="16">
        <v>1.8399999999999999</v>
      </c>
      <c r="Z150" s="16">
        <f t="shared" si="27"/>
        <v>1.8399999999999999</v>
      </c>
      <c r="AA150" s="15" t="s">
        <v>70</v>
      </c>
      <c r="AB150" s="85">
        <v>44008</v>
      </c>
      <c r="AC150" s="19">
        <v>44001</v>
      </c>
      <c r="AD150" s="85">
        <v>44008</v>
      </c>
      <c r="AE150" s="85">
        <v>44005</v>
      </c>
      <c r="AF150" s="85">
        <v>44005</v>
      </c>
      <c r="AG150" s="85" t="s">
        <v>164</v>
      </c>
      <c r="AH150" s="86">
        <v>1</v>
      </c>
      <c r="AI150" s="86">
        <v>1</v>
      </c>
      <c r="AJ150" s="86">
        <v>0.75</v>
      </c>
      <c r="AK150" s="96" t="s">
        <v>144</v>
      </c>
      <c r="AL150" s="93"/>
      <c r="AM150" s="15"/>
      <c r="AN150" s="15"/>
    </row>
    <row r="151" spans="2:40" x14ac:dyDescent="0.25">
      <c r="B151" s="97">
        <f t="shared" si="24"/>
        <v>92</v>
      </c>
      <c r="C151" s="16">
        <v>20200619</v>
      </c>
      <c r="D151" s="16" t="s">
        <v>3</v>
      </c>
      <c r="E151" s="95" t="s">
        <v>798</v>
      </c>
      <c r="F151" s="84" t="s">
        <v>259</v>
      </c>
      <c r="G151" s="48"/>
      <c r="H151" s="16" t="s">
        <v>227</v>
      </c>
      <c r="I151" s="16" t="s">
        <v>265</v>
      </c>
      <c r="J151" s="16" t="s">
        <v>255</v>
      </c>
      <c r="K151" s="48"/>
      <c r="L151" s="84" t="s">
        <v>851</v>
      </c>
      <c r="M151" s="48"/>
      <c r="N151" s="16" t="s">
        <v>852</v>
      </c>
      <c r="O151" s="84" t="s">
        <v>58</v>
      </c>
      <c r="P151" s="84" t="s">
        <v>475</v>
      </c>
      <c r="Q151" s="18"/>
      <c r="R151" s="16" t="s">
        <v>853</v>
      </c>
      <c r="S151" s="16" t="s">
        <v>327</v>
      </c>
      <c r="T151" s="16"/>
      <c r="U151" s="16"/>
      <c r="V151" s="16">
        <v>225</v>
      </c>
      <c r="W151" s="15">
        <f>ROUND(IF(D151=Table!$C$3,Y151*Table!$C$4/8,Y151*Table!$D$4/8),3)</f>
        <v>67.5</v>
      </c>
      <c r="X151" s="16">
        <f t="shared" si="26"/>
        <v>67.5</v>
      </c>
      <c r="Y151" s="16">
        <v>1.2</v>
      </c>
      <c r="Z151" s="16">
        <f t="shared" si="27"/>
        <v>1.2</v>
      </c>
      <c r="AA151" s="15" t="s">
        <v>70</v>
      </c>
      <c r="AB151" s="85">
        <v>44008</v>
      </c>
      <c r="AC151" s="19">
        <v>44001</v>
      </c>
      <c r="AD151" s="85">
        <v>44008</v>
      </c>
      <c r="AE151" s="85">
        <v>44006</v>
      </c>
      <c r="AF151" s="85">
        <v>44006</v>
      </c>
      <c r="AG151" s="85" t="s">
        <v>164</v>
      </c>
      <c r="AH151" s="86">
        <v>0.98</v>
      </c>
      <c r="AI151" s="86">
        <v>0.94</v>
      </c>
      <c r="AJ151" s="86">
        <v>0.91</v>
      </c>
      <c r="AK151" s="96" t="s">
        <v>144</v>
      </c>
      <c r="AL151" s="233" t="s">
        <v>1705</v>
      </c>
      <c r="AM151" s="15"/>
      <c r="AN151" s="15"/>
    </row>
    <row r="152" spans="2:40" x14ac:dyDescent="0.25">
      <c r="B152" s="97">
        <f t="shared" si="24"/>
        <v>93</v>
      </c>
      <c r="C152" s="16">
        <v>20200619</v>
      </c>
      <c r="D152" s="16" t="s">
        <v>3</v>
      </c>
      <c r="E152" s="95" t="s">
        <v>798</v>
      </c>
      <c r="F152" s="84" t="s">
        <v>259</v>
      </c>
      <c r="G152" s="48"/>
      <c r="H152" s="16" t="s">
        <v>253</v>
      </c>
      <c r="I152" s="16" t="s">
        <v>461</v>
      </c>
      <c r="J152" s="16" t="s">
        <v>255</v>
      </c>
      <c r="K152" s="48"/>
      <c r="L152" s="84" t="s">
        <v>851</v>
      </c>
      <c r="M152" s="48"/>
      <c r="N152" s="16" t="s">
        <v>852</v>
      </c>
      <c r="O152" s="84" t="s">
        <v>58</v>
      </c>
      <c r="P152" s="84" t="s">
        <v>475</v>
      </c>
      <c r="Q152" s="18"/>
      <c r="R152" s="16" t="s">
        <v>853</v>
      </c>
      <c r="S152" s="16" t="s">
        <v>327</v>
      </c>
      <c r="T152" s="16"/>
      <c r="U152" s="16"/>
      <c r="V152" s="16">
        <v>74</v>
      </c>
      <c r="W152" s="15">
        <f>ROUND(IF(D152=Table!$C$3,Y152*Table!$C$4/8,Y152*Table!$D$4/8),3)</f>
        <v>67.5</v>
      </c>
      <c r="X152" s="16">
        <f t="shared" si="26"/>
        <v>67.5</v>
      </c>
      <c r="Y152" s="16">
        <v>1.2</v>
      </c>
      <c r="Z152" s="16">
        <f t="shared" si="27"/>
        <v>1.2</v>
      </c>
      <c r="AA152" s="15" t="s">
        <v>70</v>
      </c>
      <c r="AB152" s="85">
        <v>44008</v>
      </c>
      <c r="AC152" s="19">
        <v>44001</v>
      </c>
      <c r="AD152" s="85">
        <v>44008</v>
      </c>
      <c r="AE152" s="85">
        <v>44006</v>
      </c>
      <c r="AF152" s="85">
        <v>44006</v>
      </c>
      <c r="AG152" s="85" t="s">
        <v>164</v>
      </c>
      <c r="AH152" s="86">
        <v>1</v>
      </c>
      <c r="AI152" s="86">
        <v>1</v>
      </c>
      <c r="AJ152" s="86">
        <v>0.33</v>
      </c>
      <c r="AK152" s="96" t="s">
        <v>144</v>
      </c>
      <c r="AL152" s="93"/>
      <c r="AM152" s="15"/>
      <c r="AN152" s="15"/>
    </row>
    <row r="153" spans="2:40" x14ac:dyDescent="0.25">
      <c r="B153" s="97">
        <f t="shared" si="24"/>
        <v>94</v>
      </c>
      <c r="C153" s="16">
        <v>20200619</v>
      </c>
      <c r="D153" s="16" t="s">
        <v>3</v>
      </c>
      <c r="E153" s="95" t="s">
        <v>798</v>
      </c>
      <c r="F153" s="84" t="s">
        <v>460</v>
      </c>
      <c r="G153" s="48"/>
      <c r="H153" s="16" t="s">
        <v>237</v>
      </c>
      <c r="I153" s="16" t="s">
        <v>760</v>
      </c>
      <c r="J153" s="16" t="s">
        <v>255</v>
      </c>
      <c r="K153" s="48"/>
      <c r="L153" s="84" t="s">
        <v>851</v>
      </c>
      <c r="M153" s="48"/>
      <c r="N153" s="16" t="s">
        <v>852</v>
      </c>
      <c r="O153" s="84" t="s">
        <v>58</v>
      </c>
      <c r="P153" s="84" t="s">
        <v>476</v>
      </c>
      <c r="Q153" s="18"/>
      <c r="R153" s="16" t="s">
        <v>853</v>
      </c>
      <c r="S153" s="16" t="s">
        <v>327</v>
      </c>
      <c r="T153" s="16"/>
      <c r="U153" s="16"/>
      <c r="V153" s="16">
        <v>161</v>
      </c>
      <c r="W153" s="15">
        <f>ROUND(IF(D153=Table!$C$3,Y153*Table!$C$4/8,Y153*Table!$D$4/8),3)</f>
        <v>90</v>
      </c>
      <c r="X153" s="16">
        <f t="shared" si="26"/>
        <v>90</v>
      </c>
      <c r="Y153" s="16">
        <v>1.6</v>
      </c>
      <c r="Z153" s="16">
        <f t="shared" si="27"/>
        <v>1.6</v>
      </c>
      <c r="AA153" s="15" t="s">
        <v>70</v>
      </c>
      <c r="AB153" s="85">
        <v>44008</v>
      </c>
      <c r="AC153" s="19">
        <v>44001</v>
      </c>
      <c r="AD153" s="85">
        <v>44008</v>
      </c>
      <c r="AE153" s="85">
        <v>44006</v>
      </c>
      <c r="AF153" s="85">
        <v>44006</v>
      </c>
      <c r="AG153" s="85" t="s">
        <v>164</v>
      </c>
      <c r="AH153" s="86">
        <v>1</v>
      </c>
      <c r="AI153" s="86">
        <v>1</v>
      </c>
      <c r="AJ153" s="86">
        <v>0.33</v>
      </c>
      <c r="AK153" s="96" t="s">
        <v>144</v>
      </c>
      <c r="AL153" s="93"/>
      <c r="AM153" s="15"/>
      <c r="AN153" s="15"/>
    </row>
    <row r="154" spans="2:40" x14ac:dyDescent="0.25">
      <c r="B154" s="97">
        <f t="shared" si="24"/>
        <v>95</v>
      </c>
      <c r="C154" s="16">
        <v>20200619</v>
      </c>
      <c r="D154" s="16" t="s">
        <v>3</v>
      </c>
      <c r="E154" s="95" t="s">
        <v>798</v>
      </c>
      <c r="F154" s="84" t="s">
        <v>460</v>
      </c>
      <c r="G154" s="48"/>
      <c r="H154" s="16" t="s">
        <v>238</v>
      </c>
      <c r="I154" s="16" t="s">
        <v>761</v>
      </c>
      <c r="J154" s="16" t="s">
        <v>255</v>
      </c>
      <c r="K154" s="48"/>
      <c r="L154" s="84" t="s">
        <v>851</v>
      </c>
      <c r="M154" s="48"/>
      <c r="N154" s="16" t="s">
        <v>852</v>
      </c>
      <c r="O154" s="84" t="s">
        <v>58</v>
      </c>
      <c r="P154" s="84" t="s">
        <v>477</v>
      </c>
      <c r="Q154" s="18"/>
      <c r="R154" s="16" t="s">
        <v>853</v>
      </c>
      <c r="S154" s="16" t="s">
        <v>327</v>
      </c>
      <c r="T154" s="16"/>
      <c r="U154" s="16"/>
      <c r="V154" s="16">
        <v>208</v>
      </c>
      <c r="W154" s="15">
        <f>ROUND(IF(D154=Table!$C$3,Y154*Table!$C$4/8,Y154*Table!$D$4/8),3)</f>
        <v>81</v>
      </c>
      <c r="X154" s="16">
        <f t="shared" si="26"/>
        <v>81</v>
      </c>
      <c r="Y154" s="16">
        <v>1.44</v>
      </c>
      <c r="Z154" s="16">
        <f t="shared" si="27"/>
        <v>1.44</v>
      </c>
      <c r="AA154" s="15" t="s">
        <v>70</v>
      </c>
      <c r="AB154" s="85">
        <v>44008</v>
      </c>
      <c r="AC154" s="19">
        <v>44001</v>
      </c>
      <c r="AD154" s="85">
        <v>44008</v>
      </c>
      <c r="AE154" s="85">
        <v>44006</v>
      </c>
      <c r="AF154" s="85">
        <v>44006</v>
      </c>
      <c r="AG154" s="85" t="s">
        <v>164</v>
      </c>
      <c r="AH154" s="86">
        <v>1</v>
      </c>
      <c r="AI154" s="86">
        <v>1</v>
      </c>
      <c r="AJ154" s="86">
        <v>0.53</v>
      </c>
      <c r="AK154" s="96" t="s">
        <v>144</v>
      </c>
      <c r="AL154" s="93"/>
      <c r="AM154" s="15"/>
      <c r="AN154" s="15"/>
    </row>
    <row r="155" spans="2:40" x14ac:dyDescent="0.25">
      <c r="B155" s="97">
        <f t="shared" si="24"/>
        <v>96</v>
      </c>
      <c r="C155" s="16">
        <v>20200619</v>
      </c>
      <c r="D155" s="16" t="s">
        <v>3</v>
      </c>
      <c r="E155" s="95" t="s">
        <v>798</v>
      </c>
      <c r="F155" s="84" t="s">
        <v>460</v>
      </c>
      <c r="G155" s="48"/>
      <c r="H155" s="16" t="s">
        <v>239</v>
      </c>
      <c r="I155" s="16" t="s">
        <v>762</v>
      </c>
      <c r="J155" s="16" t="s">
        <v>255</v>
      </c>
      <c r="K155" s="48"/>
      <c r="L155" s="84" t="s">
        <v>851</v>
      </c>
      <c r="M155" s="48"/>
      <c r="N155" s="16" t="s">
        <v>852</v>
      </c>
      <c r="O155" s="84" t="s">
        <v>58</v>
      </c>
      <c r="P155" s="84" t="s">
        <v>478</v>
      </c>
      <c r="Q155" s="18"/>
      <c r="R155" s="16" t="s">
        <v>853</v>
      </c>
      <c r="S155" s="16" t="s">
        <v>327</v>
      </c>
      <c r="T155" s="16"/>
      <c r="U155" s="16"/>
      <c r="V155" s="16">
        <v>92</v>
      </c>
      <c r="W155" s="15">
        <f>ROUND(IF(D155=Table!$C$3,Y155*Table!$C$4/8,Y155*Table!$D$4/8),3)</f>
        <v>67.5</v>
      </c>
      <c r="X155" s="16">
        <f t="shared" si="26"/>
        <v>67.5</v>
      </c>
      <c r="Y155" s="16">
        <v>1.2</v>
      </c>
      <c r="Z155" s="16">
        <f t="shared" si="27"/>
        <v>1.2</v>
      </c>
      <c r="AA155" s="15" t="s">
        <v>70</v>
      </c>
      <c r="AB155" s="85">
        <v>44008</v>
      </c>
      <c r="AC155" s="19">
        <v>44001</v>
      </c>
      <c r="AD155" s="85">
        <v>44008</v>
      </c>
      <c r="AE155" s="85">
        <v>44006</v>
      </c>
      <c r="AF155" s="85">
        <v>44006</v>
      </c>
      <c r="AG155" s="85" t="s">
        <v>164</v>
      </c>
      <c r="AH155" s="86">
        <v>1</v>
      </c>
      <c r="AI155" s="86">
        <v>1</v>
      </c>
      <c r="AJ155" s="86">
        <v>1</v>
      </c>
      <c r="AK155" s="96" t="s">
        <v>144</v>
      </c>
      <c r="AL155" s="93"/>
      <c r="AM155" s="15"/>
      <c r="AN155" s="15"/>
    </row>
    <row r="156" spans="2:40" x14ac:dyDescent="0.25">
      <c r="B156" s="97">
        <f t="shared" si="24"/>
        <v>97</v>
      </c>
      <c r="C156" s="16">
        <v>20200619</v>
      </c>
      <c r="D156" s="16" t="s">
        <v>3</v>
      </c>
      <c r="E156" s="95" t="s">
        <v>798</v>
      </c>
      <c r="F156" s="84" t="s">
        <v>460</v>
      </c>
      <c r="G156" s="48"/>
      <c r="H156" s="16" t="s">
        <v>240</v>
      </c>
      <c r="I156" s="16" t="s">
        <v>763</v>
      </c>
      <c r="J156" s="16" t="s">
        <v>255</v>
      </c>
      <c r="K156" s="48"/>
      <c r="L156" s="84" t="s">
        <v>851</v>
      </c>
      <c r="M156" s="48"/>
      <c r="N156" s="16" t="s">
        <v>852</v>
      </c>
      <c r="O156" s="84" t="s">
        <v>58</v>
      </c>
      <c r="P156" s="84" t="s">
        <v>478</v>
      </c>
      <c r="Q156" s="18"/>
      <c r="R156" s="16" t="s">
        <v>853</v>
      </c>
      <c r="S156" s="16" t="s">
        <v>327</v>
      </c>
      <c r="T156" s="16"/>
      <c r="U156" s="16"/>
      <c r="V156" s="16">
        <v>155</v>
      </c>
      <c r="W156" s="15">
        <f>ROUND(IF(D156=Table!$C$3,Y156*Table!$C$4/8,Y156*Table!$D$4/8),3)</f>
        <v>121.5</v>
      </c>
      <c r="X156" s="16">
        <f t="shared" si="26"/>
        <v>121.5</v>
      </c>
      <c r="Y156" s="16">
        <v>2.16</v>
      </c>
      <c r="Z156" s="16">
        <f t="shared" si="27"/>
        <v>2.16</v>
      </c>
      <c r="AA156" s="15" t="s">
        <v>70</v>
      </c>
      <c r="AB156" s="85">
        <v>44008</v>
      </c>
      <c r="AC156" s="19">
        <v>44001</v>
      </c>
      <c r="AD156" s="85">
        <v>44008</v>
      </c>
      <c r="AE156" s="85">
        <v>44006</v>
      </c>
      <c r="AF156" s="85">
        <v>44006</v>
      </c>
      <c r="AG156" s="85" t="s">
        <v>164</v>
      </c>
      <c r="AH156" s="86">
        <v>1</v>
      </c>
      <c r="AI156" s="86">
        <v>1</v>
      </c>
      <c r="AJ156" s="86">
        <v>1</v>
      </c>
      <c r="AK156" s="96" t="s">
        <v>144</v>
      </c>
      <c r="AL156" s="93"/>
      <c r="AM156" s="15"/>
      <c r="AN156" s="15"/>
    </row>
    <row r="157" spans="2:40" x14ac:dyDescent="0.25">
      <c r="B157" s="97">
        <f t="shared" si="24"/>
        <v>98</v>
      </c>
      <c r="C157" s="16">
        <v>20200619</v>
      </c>
      <c r="D157" s="16" t="s">
        <v>3</v>
      </c>
      <c r="E157" s="95" t="s">
        <v>798</v>
      </c>
      <c r="F157" s="84" t="s">
        <v>460</v>
      </c>
      <c r="G157" s="48"/>
      <c r="H157" s="16" t="s">
        <v>267</v>
      </c>
      <c r="I157" s="16" t="s">
        <v>764</v>
      </c>
      <c r="J157" s="16" t="s">
        <v>255</v>
      </c>
      <c r="K157" s="48"/>
      <c r="L157" s="84" t="s">
        <v>851</v>
      </c>
      <c r="M157" s="48"/>
      <c r="N157" s="16" t="s">
        <v>852</v>
      </c>
      <c r="O157" s="84" t="s">
        <v>58</v>
      </c>
      <c r="P157" s="84" t="s">
        <v>478</v>
      </c>
      <c r="Q157" s="18"/>
      <c r="R157" s="16" t="s">
        <v>853</v>
      </c>
      <c r="S157" s="16" t="s">
        <v>327</v>
      </c>
      <c r="T157" s="16"/>
      <c r="U157" s="16"/>
      <c r="V157" s="16">
        <v>264</v>
      </c>
      <c r="W157" s="15">
        <f>ROUND(IF(D157=Table!$C$3,Y157*Table!$C$4/8,Y157*Table!$D$4/8),3)</f>
        <v>193.5</v>
      </c>
      <c r="X157" s="16">
        <f t="shared" si="26"/>
        <v>193.5</v>
      </c>
      <c r="Y157" s="16">
        <v>3.44</v>
      </c>
      <c r="Z157" s="16">
        <f t="shared" si="27"/>
        <v>3.44</v>
      </c>
      <c r="AA157" s="15" t="s">
        <v>70</v>
      </c>
      <c r="AB157" s="85">
        <v>44008</v>
      </c>
      <c r="AC157" s="19">
        <v>44001</v>
      </c>
      <c r="AD157" s="85">
        <v>44008</v>
      </c>
      <c r="AE157" s="85">
        <v>44006</v>
      </c>
      <c r="AF157" s="85">
        <v>44006</v>
      </c>
      <c r="AG157" s="85" t="s">
        <v>164</v>
      </c>
      <c r="AH157" s="86">
        <v>1</v>
      </c>
      <c r="AI157" s="86">
        <v>1</v>
      </c>
      <c r="AJ157" s="86">
        <v>1</v>
      </c>
      <c r="AK157" s="96" t="s">
        <v>144</v>
      </c>
      <c r="AL157" s="93"/>
      <c r="AM157" s="15"/>
      <c r="AN157" s="15"/>
    </row>
    <row r="158" spans="2:40" x14ac:dyDescent="0.25">
      <c r="B158" s="97">
        <f t="shared" si="24"/>
        <v>99</v>
      </c>
      <c r="C158" s="16">
        <v>20200619</v>
      </c>
      <c r="D158" s="16" t="s">
        <v>3</v>
      </c>
      <c r="E158" s="95" t="s">
        <v>798</v>
      </c>
      <c r="F158" s="84" t="s">
        <v>460</v>
      </c>
      <c r="G158" s="48"/>
      <c r="H158" s="16" t="s">
        <v>268</v>
      </c>
      <c r="I158" s="16" t="s">
        <v>463</v>
      </c>
      <c r="J158" s="16" t="s">
        <v>255</v>
      </c>
      <c r="K158" s="48"/>
      <c r="L158" s="84" t="s">
        <v>851</v>
      </c>
      <c r="M158" s="48"/>
      <c r="N158" s="16" t="s">
        <v>852</v>
      </c>
      <c r="O158" s="84" t="s">
        <v>58</v>
      </c>
      <c r="P158" s="84" t="s">
        <v>478</v>
      </c>
      <c r="Q158" s="18"/>
      <c r="R158" s="16" t="s">
        <v>853</v>
      </c>
      <c r="S158" s="16" t="s">
        <v>327</v>
      </c>
      <c r="T158" s="16"/>
      <c r="U158" s="16"/>
      <c r="V158" s="16">
        <v>115</v>
      </c>
      <c r="W158" s="15">
        <f>ROUND(IF(D158=Table!$C$3,Y158*Table!$C$4/8,Y158*Table!$D$4/8),3)</f>
        <v>103.5</v>
      </c>
      <c r="X158" s="16">
        <f t="shared" si="26"/>
        <v>103.5</v>
      </c>
      <c r="Y158" s="16">
        <v>1.8399999999999999</v>
      </c>
      <c r="Z158" s="16">
        <f t="shared" si="27"/>
        <v>1.8399999999999999</v>
      </c>
      <c r="AA158" s="15" t="s">
        <v>70</v>
      </c>
      <c r="AB158" s="85">
        <v>44008</v>
      </c>
      <c r="AC158" s="19">
        <v>44001</v>
      </c>
      <c r="AD158" s="85">
        <v>44008</v>
      </c>
      <c r="AE158" s="85">
        <v>44006</v>
      </c>
      <c r="AF158" s="85">
        <v>44006</v>
      </c>
      <c r="AG158" s="85" t="s">
        <v>164</v>
      </c>
      <c r="AH158" s="86">
        <v>1</v>
      </c>
      <c r="AI158" s="86">
        <v>1</v>
      </c>
      <c r="AJ158" s="86">
        <v>1</v>
      </c>
      <c r="AK158" s="96" t="s">
        <v>144</v>
      </c>
      <c r="AL158" s="93"/>
      <c r="AM158" s="15"/>
      <c r="AN158" s="15"/>
    </row>
    <row r="159" spans="2:40" x14ac:dyDescent="0.25">
      <c r="B159" s="189">
        <f t="shared" si="24"/>
        <v>100</v>
      </c>
      <c r="C159" s="16">
        <v>20200629</v>
      </c>
      <c r="D159" s="16" t="s">
        <v>2</v>
      </c>
      <c r="E159" s="95" t="s">
        <v>1086</v>
      </c>
      <c r="F159" s="84" t="s">
        <v>1081</v>
      </c>
      <c r="G159" s="48"/>
      <c r="H159" s="16" t="s">
        <v>1182</v>
      </c>
      <c r="I159" s="16" t="s">
        <v>1088</v>
      </c>
      <c r="J159" s="16" t="s">
        <v>254</v>
      </c>
      <c r="K159" s="48"/>
      <c r="L159" s="84"/>
      <c r="M159" s="48"/>
      <c r="N159" s="16" t="s">
        <v>1259</v>
      </c>
      <c r="O159" s="84" t="s">
        <v>1161</v>
      </c>
      <c r="P159" s="84" t="s">
        <v>1087</v>
      </c>
      <c r="Q159" s="18"/>
      <c r="R159" s="16" t="s">
        <v>1252</v>
      </c>
      <c r="S159" s="16" t="s">
        <v>925</v>
      </c>
      <c r="T159" s="16"/>
      <c r="U159" s="16"/>
      <c r="V159" s="16"/>
      <c r="W159" s="16">
        <f>ROUND(IF(D159=Table!$C$3,Y159*Table!$C$4/8,Y159*Table!$D$4/8),3)</f>
        <v>32.5</v>
      </c>
      <c r="X159" s="16">
        <f t="shared" ref="X159:X165" si="28">W159</f>
        <v>32.5</v>
      </c>
      <c r="Y159" s="16">
        <v>2</v>
      </c>
      <c r="Z159" s="16">
        <v>2</v>
      </c>
      <c r="AA159" s="15" t="s">
        <v>70</v>
      </c>
      <c r="AB159" s="85">
        <v>44015</v>
      </c>
      <c r="AC159" s="85">
        <v>44011</v>
      </c>
      <c r="AD159" s="85">
        <v>44015</v>
      </c>
      <c r="AE159" s="85">
        <v>44011</v>
      </c>
      <c r="AF159" s="85">
        <v>44012</v>
      </c>
      <c r="AG159" s="85" t="s">
        <v>164</v>
      </c>
      <c r="AH159" s="86">
        <v>0.73899999999999999</v>
      </c>
      <c r="AI159" s="86">
        <v>0.76</v>
      </c>
      <c r="AJ159" s="86">
        <v>1</v>
      </c>
      <c r="AK159" s="96" t="s">
        <v>144</v>
      </c>
      <c r="AL159" s="93" t="s">
        <v>1311</v>
      </c>
      <c r="AM159" s="93" t="s">
        <v>58</v>
      </c>
      <c r="AN159" s="93" t="s">
        <v>58</v>
      </c>
    </row>
    <row r="160" spans="2:40" x14ac:dyDescent="0.25">
      <c r="B160" s="189">
        <f t="shared" si="24"/>
        <v>101</v>
      </c>
      <c r="C160" s="16">
        <v>20200629</v>
      </c>
      <c r="D160" s="16" t="s">
        <v>2</v>
      </c>
      <c r="E160" s="95" t="s">
        <v>1086</v>
      </c>
      <c r="F160" s="84" t="s">
        <v>1081</v>
      </c>
      <c r="G160" s="48"/>
      <c r="H160" s="16" t="s">
        <v>1183</v>
      </c>
      <c r="I160" s="16" t="s">
        <v>1089</v>
      </c>
      <c r="J160" s="16" t="s">
        <v>254</v>
      </c>
      <c r="K160" s="48"/>
      <c r="L160" s="84"/>
      <c r="M160" s="48"/>
      <c r="N160" s="16" t="s">
        <v>1259</v>
      </c>
      <c r="O160" s="84" t="s">
        <v>318</v>
      </c>
      <c r="P160" s="84" t="s">
        <v>1087</v>
      </c>
      <c r="Q160" s="18"/>
      <c r="R160" s="16" t="s">
        <v>1252</v>
      </c>
      <c r="S160" s="16" t="s">
        <v>925</v>
      </c>
      <c r="T160" s="16"/>
      <c r="U160" s="16"/>
      <c r="V160" s="16"/>
      <c r="W160" s="16">
        <f>ROUND(IF(D160=Table!$C$3,Y160*Table!$C$4/8,Y160*Table!$D$4/8),3)</f>
        <v>32.5</v>
      </c>
      <c r="X160" s="16">
        <f t="shared" si="28"/>
        <v>32.5</v>
      </c>
      <c r="Y160" s="16">
        <v>2</v>
      </c>
      <c r="Z160" s="16">
        <f>Y160</f>
        <v>2</v>
      </c>
      <c r="AA160" s="15" t="s">
        <v>70</v>
      </c>
      <c r="AB160" s="85">
        <v>44015</v>
      </c>
      <c r="AC160" s="85">
        <v>44011</v>
      </c>
      <c r="AD160" s="85">
        <v>44015</v>
      </c>
      <c r="AE160" s="85">
        <v>44012</v>
      </c>
      <c r="AF160" s="85">
        <v>44012</v>
      </c>
      <c r="AG160" s="85" t="s">
        <v>164</v>
      </c>
      <c r="AH160" s="86">
        <v>0.81799999999999995</v>
      </c>
      <c r="AI160" s="86">
        <v>0.81799999999999995</v>
      </c>
      <c r="AJ160" s="197" t="s">
        <v>58</v>
      </c>
      <c r="AK160" s="96" t="s">
        <v>144</v>
      </c>
      <c r="AL160" s="93" t="s">
        <v>1316</v>
      </c>
      <c r="AM160" s="93" t="s">
        <v>58</v>
      </c>
      <c r="AN160" s="93" t="s">
        <v>58</v>
      </c>
    </row>
    <row r="161" spans="2:40" x14ac:dyDescent="0.25">
      <c r="B161" s="189">
        <f t="shared" si="24"/>
        <v>102</v>
      </c>
      <c r="C161" s="16">
        <v>20200629</v>
      </c>
      <c r="D161" s="16" t="s">
        <v>2</v>
      </c>
      <c r="E161" s="95" t="s">
        <v>1086</v>
      </c>
      <c r="F161" s="84" t="s">
        <v>1081</v>
      </c>
      <c r="G161" s="48"/>
      <c r="H161" s="16" t="s">
        <v>1184</v>
      </c>
      <c r="I161" s="16" t="s">
        <v>1090</v>
      </c>
      <c r="J161" s="16" t="s">
        <v>254</v>
      </c>
      <c r="K161" s="48"/>
      <c r="L161" s="84"/>
      <c r="M161" s="48"/>
      <c r="N161" s="16" t="s">
        <v>1259</v>
      </c>
      <c r="O161" s="84" t="s">
        <v>618</v>
      </c>
      <c r="P161" s="84" t="s">
        <v>1087</v>
      </c>
      <c r="Q161" s="18"/>
      <c r="R161" s="16" t="s">
        <v>1252</v>
      </c>
      <c r="S161" s="16" t="s">
        <v>925</v>
      </c>
      <c r="T161" s="16"/>
      <c r="U161" s="16"/>
      <c r="V161" s="16"/>
      <c r="W161" s="16">
        <f>ROUND(IF(D161=Table!$C$3,Y161*Table!$C$4/8,Y161*Table!$D$4/8),3)</f>
        <v>32.5</v>
      </c>
      <c r="X161" s="16">
        <f t="shared" si="28"/>
        <v>32.5</v>
      </c>
      <c r="Y161" s="16">
        <v>2</v>
      </c>
      <c r="Z161" s="16">
        <v>2</v>
      </c>
      <c r="AA161" s="15" t="s">
        <v>70</v>
      </c>
      <c r="AB161" s="85">
        <v>44015</v>
      </c>
      <c r="AC161" s="85">
        <v>44011</v>
      </c>
      <c r="AD161" s="85">
        <v>44015</v>
      </c>
      <c r="AE161" s="85">
        <v>44012</v>
      </c>
      <c r="AF161" s="85">
        <v>44012</v>
      </c>
      <c r="AG161" s="85" t="s">
        <v>164</v>
      </c>
      <c r="AH161" s="86">
        <v>1</v>
      </c>
      <c r="AI161" s="86">
        <v>1</v>
      </c>
      <c r="AJ161" s="197" t="s">
        <v>58</v>
      </c>
      <c r="AK161" s="96" t="s">
        <v>144</v>
      </c>
      <c r="AL161" s="93" t="s">
        <v>1481</v>
      </c>
      <c r="AM161" s="93" t="s">
        <v>58</v>
      </c>
      <c r="AN161" s="93" t="s">
        <v>58</v>
      </c>
    </row>
    <row r="162" spans="2:40" x14ac:dyDescent="0.25">
      <c r="B162" s="189">
        <f t="shared" si="24"/>
        <v>103</v>
      </c>
      <c r="C162" s="16">
        <v>20200629</v>
      </c>
      <c r="D162" s="16" t="s">
        <v>2</v>
      </c>
      <c r="E162" s="95" t="s">
        <v>1086</v>
      </c>
      <c r="F162" s="84" t="s">
        <v>1081</v>
      </c>
      <c r="G162" s="48"/>
      <c r="H162" s="16" t="s">
        <v>1185</v>
      </c>
      <c r="I162" s="16" t="s">
        <v>1091</v>
      </c>
      <c r="J162" s="16" t="s">
        <v>254</v>
      </c>
      <c r="K162" s="48"/>
      <c r="L162" s="84"/>
      <c r="M162" s="48"/>
      <c r="N162" s="16" t="s">
        <v>1259</v>
      </c>
      <c r="O162" s="84" t="s">
        <v>318</v>
      </c>
      <c r="P162" s="84" t="s">
        <v>1087</v>
      </c>
      <c r="Q162" s="18"/>
      <c r="R162" s="16" t="s">
        <v>1252</v>
      </c>
      <c r="S162" s="16" t="s">
        <v>925</v>
      </c>
      <c r="T162" s="16"/>
      <c r="U162" s="16"/>
      <c r="V162" s="16"/>
      <c r="W162" s="16">
        <f>ROUND(IF(D162=Table!$C$3,Y162*Table!$C$4/8,Y162*Table!$D$4/8),3)</f>
        <v>45.5</v>
      </c>
      <c r="X162" s="16">
        <f t="shared" si="28"/>
        <v>45.5</v>
      </c>
      <c r="Y162" s="16">
        <v>2.8</v>
      </c>
      <c r="Z162" s="16">
        <v>3</v>
      </c>
      <c r="AA162" s="15" t="s">
        <v>70</v>
      </c>
      <c r="AB162" s="85">
        <v>44015</v>
      </c>
      <c r="AC162" s="85">
        <v>44011</v>
      </c>
      <c r="AD162" s="85">
        <v>44015</v>
      </c>
      <c r="AE162" s="85">
        <v>44012</v>
      </c>
      <c r="AF162" s="85">
        <v>44012</v>
      </c>
      <c r="AG162" s="85" t="s">
        <v>164</v>
      </c>
      <c r="AH162" s="86">
        <v>1</v>
      </c>
      <c r="AI162" s="86">
        <v>1</v>
      </c>
      <c r="AJ162" s="197">
        <v>1</v>
      </c>
      <c r="AK162" s="96" t="s">
        <v>144</v>
      </c>
      <c r="AL162" s="93" t="s">
        <v>58</v>
      </c>
      <c r="AM162" s="93" t="s">
        <v>58</v>
      </c>
      <c r="AN162" s="93" t="s">
        <v>58</v>
      </c>
    </row>
    <row r="163" spans="2:40" x14ac:dyDescent="0.25">
      <c r="B163" s="189">
        <f t="shared" si="24"/>
        <v>104</v>
      </c>
      <c r="C163" s="16">
        <v>20200629</v>
      </c>
      <c r="D163" s="16" t="s">
        <v>2</v>
      </c>
      <c r="E163" s="95" t="s">
        <v>1086</v>
      </c>
      <c r="F163" s="84" t="s">
        <v>1082</v>
      </c>
      <c r="G163" s="48"/>
      <c r="H163" s="16" t="s">
        <v>1186</v>
      </c>
      <c r="I163" s="16" t="s">
        <v>1092</v>
      </c>
      <c r="J163" s="16" t="s">
        <v>254</v>
      </c>
      <c r="K163" s="48"/>
      <c r="L163" s="84"/>
      <c r="M163" s="48"/>
      <c r="N163" s="16" t="s">
        <v>1259</v>
      </c>
      <c r="O163" s="84" t="s">
        <v>1162</v>
      </c>
      <c r="P163" s="84" t="s">
        <v>1087</v>
      </c>
      <c r="Q163" s="18"/>
      <c r="R163" s="16" t="s">
        <v>1252</v>
      </c>
      <c r="S163" s="16" t="s">
        <v>925</v>
      </c>
      <c r="T163" s="16"/>
      <c r="U163" s="16"/>
      <c r="V163" s="16"/>
      <c r="W163" s="16">
        <f>ROUND(IF(D163=Table!$C$3,Y163*Table!$C$4/8,Y163*Table!$D$4/8),3)</f>
        <v>32.5</v>
      </c>
      <c r="X163" s="16">
        <f t="shared" si="28"/>
        <v>32.5</v>
      </c>
      <c r="Y163" s="16">
        <v>2</v>
      </c>
      <c r="Z163" s="16">
        <v>1.5</v>
      </c>
      <c r="AA163" s="15" t="s">
        <v>70</v>
      </c>
      <c r="AB163" s="85">
        <v>44015</v>
      </c>
      <c r="AC163" s="85">
        <v>44011</v>
      </c>
      <c r="AD163" s="85">
        <v>44015</v>
      </c>
      <c r="AE163" s="85">
        <v>44013</v>
      </c>
      <c r="AF163" s="85">
        <v>44013</v>
      </c>
      <c r="AG163" s="85" t="s">
        <v>164</v>
      </c>
      <c r="AH163" s="86">
        <v>1</v>
      </c>
      <c r="AI163" s="86">
        <v>1</v>
      </c>
      <c r="AJ163" s="86">
        <v>1</v>
      </c>
      <c r="AK163" s="96" t="s">
        <v>144</v>
      </c>
      <c r="AL163" s="93" t="s">
        <v>58</v>
      </c>
      <c r="AM163" s="93" t="s">
        <v>58</v>
      </c>
      <c r="AN163" s="93" t="s">
        <v>58</v>
      </c>
    </row>
    <row r="164" spans="2:40" x14ac:dyDescent="0.25">
      <c r="B164" s="189">
        <f t="shared" si="24"/>
        <v>105</v>
      </c>
      <c r="C164" s="16">
        <v>20200629</v>
      </c>
      <c r="D164" s="16" t="s">
        <v>2</v>
      </c>
      <c r="E164" s="95" t="s">
        <v>1086</v>
      </c>
      <c r="F164" s="84" t="s">
        <v>1082</v>
      </c>
      <c r="G164" s="48"/>
      <c r="H164" s="16" t="s">
        <v>251</v>
      </c>
      <c r="I164" s="16" t="s">
        <v>1093</v>
      </c>
      <c r="J164" s="16" t="s">
        <v>254</v>
      </c>
      <c r="K164" s="48"/>
      <c r="L164" s="84"/>
      <c r="M164" s="48"/>
      <c r="N164" s="16" t="s">
        <v>1259</v>
      </c>
      <c r="O164" s="84" t="s">
        <v>281</v>
      </c>
      <c r="P164" s="84" t="s">
        <v>1087</v>
      </c>
      <c r="Q164" s="18"/>
      <c r="R164" s="16" t="s">
        <v>1252</v>
      </c>
      <c r="S164" s="16" t="s">
        <v>925</v>
      </c>
      <c r="T164" s="16"/>
      <c r="U164" s="16"/>
      <c r="V164" s="16"/>
      <c r="W164" s="16">
        <f>ROUND(IF(D164=Table!$C$3,Y164*Table!$C$4/8,Y164*Table!$D$4/8),3)</f>
        <v>32.5</v>
      </c>
      <c r="X164" s="16">
        <f t="shared" si="28"/>
        <v>32.5</v>
      </c>
      <c r="Y164" s="16">
        <v>2</v>
      </c>
      <c r="Z164" s="16">
        <v>1</v>
      </c>
      <c r="AA164" s="15" t="s">
        <v>70</v>
      </c>
      <c r="AB164" s="85">
        <v>44015</v>
      </c>
      <c r="AC164" s="85">
        <v>44011</v>
      </c>
      <c r="AD164" s="85">
        <v>44015</v>
      </c>
      <c r="AE164" s="85">
        <v>44013</v>
      </c>
      <c r="AF164" s="85">
        <v>44013</v>
      </c>
      <c r="AG164" s="85" t="s">
        <v>164</v>
      </c>
      <c r="AH164" s="86">
        <v>0.84599999999999997</v>
      </c>
      <c r="AI164" s="86">
        <v>0.84599999999999997</v>
      </c>
      <c r="AJ164" s="197" t="s">
        <v>58</v>
      </c>
      <c r="AK164" s="96" t="s">
        <v>144</v>
      </c>
      <c r="AL164" s="93" t="s">
        <v>1341</v>
      </c>
      <c r="AM164" s="93" t="s">
        <v>58</v>
      </c>
      <c r="AN164" s="93" t="s">
        <v>58</v>
      </c>
    </row>
    <row r="165" spans="2:40" x14ac:dyDescent="0.25">
      <c r="B165" s="189">
        <f t="shared" si="24"/>
        <v>106</v>
      </c>
      <c r="C165" s="16">
        <v>20200629</v>
      </c>
      <c r="D165" s="16" t="s">
        <v>2</v>
      </c>
      <c r="E165" s="95" t="s">
        <v>1086</v>
      </c>
      <c r="F165" s="84" t="s">
        <v>1082</v>
      </c>
      <c r="G165" s="48"/>
      <c r="H165" s="16" t="s">
        <v>252</v>
      </c>
      <c r="I165" s="16" t="s">
        <v>1094</v>
      </c>
      <c r="J165" s="16" t="s">
        <v>254</v>
      </c>
      <c r="K165" s="48"/>
      <c r="L165" s="84"/>
      <c r="M165" s="48"/>
      <c r="N165" s="16" t="s">
        <v>1259</v>
      </c>
      <c r="O165" s="84" t="s">
        <v>1163</v>
      </c>
      <c r="P165" s="84" t="s">
        <v>1087</v>
      </c>
      <c r="Q165" s="18"/>
      <c r="R165" s="16" t="s">
        <v>1252</v>
      </c>
      <c r="S165" s="16" t="s">
        <v>925</v>
      </c>
      <c r="T165" s="16"/>
      <c r="U165" s="16"/>
      <c r="V165" s="16"/>
      <c r="W165" s="16">
        <f>ROUND(IF(D165=Table!$C$3,Y165*Table!$C$4/8,Y165*Table!$D$4/8),3)</f>
        <v>32.5</v>
      </c>
      <c r="X165" s="16">
        <f t="shared" si="28"/>
        <v>32.5</v>
      </c>
      <c r="Y165" s="16">
        <v>2</v>
      </c>
      <c r="Z165" s="16">
        <v>1.5</v>
      </c>
      <c r="AA165" s="15" t="s">
        <v>70</v>
      </c>
      <c r="AB165" s="85">
        <v>44015</v>
      </c>
      <c r="AC165" s="85">
        <v>44011</v>
      </c>
      <c r="AD165" s="85">
        <v>44015</v>
      </c>
      <c r="AE165" s="85">
        <v>44013</v>
      </c>
      <c r="AF165" s="85">
        <v>44013</v>
      </c>
      <c r="AG165" s="85" t="s">
        <v>164</v>
      </c>
      <c r="AH165" s="86">
        <v>0.88200000000000001</v>
      </c>
      <c r="AI165" s="86">
        <v>0.88200000000000001</v>
      </c>
      <c r="AJ165" s="86">
        <v>1</v>
      </c>
      <c r="AK165" s="96" t="s">
        <v>144</v>
      </c>
      <c r="AL165" s="93" t="s">
        <v>1341</v>
      </c>
      <c r="AM165" s="93" t="s">
        <v>58</v>
      </c>
      <c r="AN165" s="93" t="s">
        <v>58</v>
      </c>
    </row>
    <row r="166" spans="2:40" x14ac:dyDescent="0.25">
      <c r="B166" s="189">
        <f t="shared" si="24"/>
        <v>107</v>
      </c>
      <c r="C166" s="16">
        <v>20200629</v>
      </c>
      <c r="D166" s="16" t="s">
        <v>2</v>
      </c>
      <c r="E166" s="95" t="s">
        <v>1086</v>
      </c>
      <c r="F166" s="84" t="s">
        <v>1082</v>
      </c>
      <c r="G166" s="48"/>
      <c r="H166" s="16" t="s">
        <v>1187</v>
      </c>
      <c r="I166" s="16" t="s">
        <v>1095</v>
      </c>
      <c r="J166" s="16" t="s">
        <v>254</v>
      </c>
      <c r="K166" s="48"/>
      <c r="L166" s="84"/>
      <c r="M166" s="48"/>
      <c r="N166" s="16" t="s">
        <v>1259</v>
      </c>
      <c r="O166" s="84" t="s">
        <v>281</v>
      </c>
      <c r="P166" s="84" t="s">
        <v>1087</v>
      </c>
      <c r="Q166" s="18"/>
      <c r="R166" s="16" t="s">
        <v>1252</v>
      </c>
      <c r="S166" s="16" t="s">
        <v>925</v>
      </c>
      <c r="T166" s="16"/>
      <c r="U166" s="16"/>
      <c r="V166" s="16"/>
      <c r="W166" s="16">
        <f>ROUND(IF(D166=Table!$C$3,Y166*Table!$C$4/8,Y166*Table!$D$4/8),3)</f>
        <v>32.5</v>
      </c>
      <c r="X166" s="16">
        <f t="shared" ref="X166:X171" si="29">W166</f>
        <v>32.5</v>
      </c>
      <c r="Y166" s="16">
        <v>2</v>
      </c>
      <c r="Z166" s="16">
        <v>1.5</v>
      </c>
      <c r="AA166" s="15" t="s">
        <v>70</v>
      </c>
      <c r="AB166" s="85">
        <v>44015</v>
      </c>
      <c r="AC166" s="85">
        <v>44011</v>
      </c>
      <c r="AD166" s="85">
        <v>44015</v>
      </c>
      <c r="AE166" s="85">
        <v>44013</v>
      </c>
      <c r="AF166" s="85">
        <v>44013</v>
      </c>
      <c r="AG166" s="85" t="s">
        <v>164</v>
      </c>
      <c r="AH166" s="86">
        <v>1</v>
      </c>
      <c r="AI166" s="86">
        <v>1</v>
      </c>
      <c r="AJ166" s="86">
        <v>1</v>
      </c>
      <c r="AK166" s="96" t="s">
        <v>144</v>
      </c>
      <c r="AL166" s="93" t="s">
        <v>58</v>
      </c>
      <c r="AM166" s="93" t="s">
        <v>58</v>
      </c>
      <c r="AN166" s="93" t="s">
        <v>58</v>
      </c>
    </row>
    <row r="167" spans="2:40" x14ac:dyDescent="0.25">
      <c r="B167" s="189">
        <f t="shared" si="24"/>
        <v>108</v>
      </c>
      <c r="C167" s="16">
        <v>20200629</v>
      </c>
      <c r="D167" s="16" t="s">
        <v>2</v>
      </c>
      <c r="E167" s="95" t="s">
        <v>1086</v>
      </c>
      <c r="F167" s="84" t="s">
        <v>1082</v>
      </c>
      <c r="G167" s="48"/>
      <c r="H167" s="16" t="s">
        <v>1188</v>
      </c>
      <c r="I167" s="16" t="s">
        <v>1096</v>
      </c>
      <c r="J167" s="16" t="s">
        <v>254</v>
      </c>
      <c r="K167" s="48"/>
      <c r="L167" s="84"/>
      <c r="M167" s="48"/>
      <c r="N167" s="16" t="s">
        <v>1259</v>
      </c>
      <c r="O167" s="84" t="s">
        <v>1164</v>
      </c>
      <c r="P167" s="84" t="s">
        <v>1087</v>
      </c>
      <c r="Q167" s="18"/>
      <c r="R167" s="16" t="s">
        <v>1252</v>
      </c>
      <c r="S167" s="16" t="s">
        <v>925</v>
      </c>
      <c r="T167" s="16"/>
      <c r="U167" s="16"/>
      <c r="V167" s="16"/>
      <c r="W167" s="16">
        <f>ROUND(IF(D167=Table!$C$3,Y167*Table!$C$4/8,Y167*Table!$D$4/8),3)</f>
        <v>32.5</v>
      </c>
      <c r="X167" s="16">
        <f t="shared" si="29"/>
        <v>32.5</v>
      </c>
      <c r="Y167" s="16">
        <v>2</v>
      </c>
      <c r="Z167" s="16">
        <v>1.5</v>
      </c>
      <c r="AA167" s="15" t="s">
        <v>70</v>
      </c>
      <c r="AB167" s="85">
        <v>44015</v>
      </c>
      <c r="AC167" s="85">
        <v>44011</v>
      </c>
      <c r="AD167" s="85">
        <v>44015</v>
      </c>
      <c r="AE167" s="85">
        <v>44013</v>
      </c>
      <c r="AF167" s="85">
        <v>44013</v>
      </c>
      <c r="AG167" s="85" t="s">
        <v>164</v>
      </c>
      <c r="AH167" s="86">
        <v>0.84599999999999997</v>
      </c>
      <c r="AI167" s="86">
        <v>0.84599999999999997</v>
      </c>
      <c r="AJ167" s="197" t="s">
        <v>58</v>
      </c>
      <c r="AK167" s="96" t="s">
        <v>144</v>
      </c>
      <c r="AL167" s="93" t="s">
        <v>1316</v>
      </c>
      <c r="AM167" s="93" t="s">
        <v>58</v>
      </c>
      <c r="AN167" s="93" t="s">
        <v>58</v>
      </c>
    </row>
    <row r="168" spans="2:40" x14ac:dyDescent="0.25">
      <c r="B168" s="189">
        <f t="shared" si="24"/>
        <v>109</v>
      </c>
      <c r="C168" s="16">
        <v>20200629</v>
      </c>
      <c r="D168" s="16" t="s">
        <v>2</v>
      </c>
      <c r="E168" s="95" t="s">
        <v>1086</v>
      </c>
      <c r="F168" s="84" t="s">
        <v>1082</v>
      </c>
      <c r="G168" s="48"/>
      <c r="H168" s="16" t="s">
        <v>236</v>
      </c>
      <c r="I168" s="16" t="s">
        <v>696</v>
      </c>
      <c r="J168" s="16" t="s">
        <v>254</v>
      </c>
      <c r="K168" s="48"/>
      <c r="L168" s="84"/>
      <c r="M168" s="48"/>
      <c r="N168" s="16" t="s">
        <v>1259</v>
      </c>
      <c r="O168" s="84" t="s">
        <v>1165</v>
      </c>
      <c r="P168" s="84" t="s">
        <v>1087</v>
      </c>
      <c r="Q168" s="18"/>
      <c r="R168" s="16" t="s">
        <v>1252</v>
      </c>
      <c r="S168" s="16" t="s">
        <v>925</v>
      </c>
      <c r="T168" s="16"/>
      <c r="U168" s="16"/>
      <c r="V168" s="16"/>
      <c r="W168" s="16">
        <f>ROUND(IF(D168=Table!$C$3,Y168*Table!$C$4/8,Y168*Table!$D$4/8),3)</f>
        <v>32.5</v>
      </c>
      <c r="X168" s="16">
        <f t="shared" si="29"/>
        <v>32.5</v>
      </c>
      <c r="Y168" s="16">
        <v>2</v>
      </c>
      <c r="Z168" s="16">
        <v>1.5</v>
      </c>
      <c r="AA168" s="15" t="s">
        <v>70</v>
      </c>
      <c r="AB168" s="85">
        <v>44015</v>
      </c>
      <c r="AC168" s="85">
        <v>44011</v>
      </c>
      <c r="AD168" s="85">
        <v>44015</v>
      </c>
      <c r="AE168" s="85">
        <v>44013</v>
      </c>
      <c r="AF168" s="85">
        <v>44013</v>
      </c>
      <c r="AG168" s="85" t="s">
        <v>164</v>
      </c>
      <c r="AH168" s="86">
        <v>1</v>
      </c>
      <c r="AI168" s="86">
        <v>1</v>
      </c>
      <c r="AJ168" s="86">
        <v>1</v>
      </c>
      <c r="AK168" s="96" t="s">
        <v>144</v>
      </c>
      <c r="AL168" s="93" t="s">
        <v>58</v>
      </c>
      <c r="AM168" s="93" t="s">
        <v>58</v>
      </c>
      <c r="AN168" s="93" t="s">
        <v>58</v>
      </c>
    </row>
    <row r="169" spans="2:40" x14ac:dyDescent="0.25">
      <c r="B169" s="189">
        <f t="shared" si="24"/>
        <v>110</v>
      </c>
      <c r="C169" s="16">
        <v>20200629</v>
      </c>
      <c r="D169" s="16" t="s">
        <v>2</v>
      </c>
      <c r="E169" s="95" t="s">
        <v>1086</v>
      </c>
      <c r="F169" s="84" t="s">
        <v>1082</v>
      </c>
      <c r="G169" s="48"/>
      <c r="H169" s="16" t="s">
        <v>266</v>
      </c>
      <c r="I169" s="16" t="s">
        <v>1097</v>
      </c>
      <c r="J169" s="16" t="s">
        <v>254</v>
      </c>
      <c r="K169" s="48"/>
      <c r="L169" s="84"/>
      <c r="M169" s="48"/>
      <c r="N169" s="16" t="s">
        <v>1259</v>
      </c>
      <c r="O169" s="84" t="s">
        <v>281</v>
      </c>
      <c r="P169" s="84" t="s">
        <v>1087</v>
      </c>
      <c r="Q169" s="18"/>
      <c r="R169" s="16" t="s">
        <v>1252</v>
      </c>
      <c r="S169" s="16" t="s">
        <v>925</v>
      </c>
      <c r="T169" s="16"/>
      <c r="U169" s="16"/>
      <c r="V169" s="16"/>
      <c r="W169" s="16">
        <f>ROUND(IF(D169=Table!$C$3,Y169*Table!$C$4/8,Y169*Table!$D$4/8),3)</f>
        <v>32.5</v>
      </c>
      <c r="X169" s="16">
        <f t="shared" si="29"/>
        <v>32.5</v>
      </c>
      <c r="Y169" s="16">
        <v>2</v>
      </c>
      <c r="Z169" s="16">
        <v>1.5</v>
      </c>
      <c r="AA169" s="15" t="s">
        <v>70</v>
      </c>
      <c r="AB169" s="85">
        <v>44015</v>
      </c>
      <c r="AC169" s="85">
        <v>44011</v>
      </c>
      <c r="AD169" s="85">
        <v>44015</v>
      </c>
      <c r="AE169" s="85">
        <v>44013</v>
      </c>
      <c r="AF169" s="85">
        <v>44013</v>
      </c>
      <c r="AG169" s="85" t="s">
        <v>164</v>
      </c>
      <c r="AH169" s="86">
        <v>1</v>
      </c>
      <c r="AI169" s="86">
        <v>1</v>
      </c>
      <c r="AJ169" s="86">
        <v>1</v>
      </c>
      <c r="AK169" s="96" t="s">
        <v>144</v>
      </c>
      <c r="AL169" s="93" t="s">
        <v>58</v>
      </c>
      <c r="AM169" s="93" t="s">
        <v>58</v>
      </c>
      <c r="AN169" s="93" t="s">
        <v>58</v>
      </c>
    </row>
    <row r="170" spans="2:40" x14ac:dyDescent="0.25">
      <c r="B170" s="189">
        <f t="shared" si="24"/>
        <v>111</v>
      </c>
      <c r="C170" s="16">
        <v>20200629</v>
      </c>
      <c r="D170" s="16" t="s">
        <v>2</v>
      </c>
      <c r="E170" s="95" t="s">
        <v>1086</v>
      </c>
      <c r="F170" s="84" t="s">
        <v>1082</v>
      </c>
      <c r="G170" s="48"/>
      <c r="H170" s="16" t="s">
        <v>1189</v>
      </c>
      <c r="I170" s="16" t="s">
        <v>1098</v>
      </c>
      <c r="J170" s="16" t="s">
        <v>254</v>
      </c>
      <c r="K170" s="48"/>
      <c r="L170" s="84"/>
      <c r="M170" s="48"/>
      <c r="N170" s="16" t="s">
        <v>1259</v>
      </c>
      <c r="O170" s="84" t="s">
        <v>1164</v>
      </c>
      <c r="P170" s="84" t="s">
        <v>1087</v>
      </c>
      <c r="Q170" s="18"/>
      <c r="R170" s="16" t="s">
        <v>1252</v>
      </c>
      <c r="S170" s="16" t="s">
        <v>925</v>
      </c>
      <c r="T170" s="16"/>
      <c r="U170" s="16"/>
      <c r="V170" s="16"/>
      <c r="W170" s="16">
        <f>ROUND(IF(D170=Table!$C$3,Y170*Table!$C$4/8,Y170*Table!$D$4/8),3)</f>
        <v>35.1</v>
      </c>
      <c r="X170" s="16">
        <f t="shared" si="29"/>
        <v>35.1</v>
      </c>
      <c r="Y170" s="16">
        <v>2.16</v>
      </c>
      <c r="Z170" s="16">
        <v>1.5</v>
      </c>
      <c r="AA170" s="15" t="s">
        <v>70</v>
      </c>
      <c r="AB170" s="85">
        <v>44015</v>
      </c>
      <c r="AC170" s="85">
        <v>44011</v>
      </c>
      <c r="AD170" s="85">
        <v>44015</v>
      </c>
      <c r="AE170" s="85">
        <v>44013</v>
      </c>
      <c r="AF170" s="85">
        <v>44013</v>
      </c>
      <c r="AG170" s="85" t="s">
        <v>164</v>
      </c>
      <c r="AH170" s="86">
        <v>0.81</v>
      </c>
      <c r="AI170" s="86">
        <v>0.81</v>
      </c>
      <c r="AJ170" s="197" t="s">
        <v>58</v>
      </c>
      <c r="AK170" s="96" t="s">
        <v>144</v>
      </c>
      <c r="AL170" s="93" t="s">
        <v>1316</v>
      </c>
      <c r="AM170" s="93" t="s">
        <v>58</v>
      </c>
      <c r="AN170" s="93" t="s">
        <v>58</v>
      </c>
    </row>
    <row r="171" spans="2:40" x14ac:dyDescent="0.25">
      <c r="B171" s="189">
        <f t="shared" si="24"/>
        <v>112</v>
      </c>
      <c r="C171" s="16">
        <v>20200629</v>
      </c>
      <c r="D171" s="16" t="s">
        <v>2</v>
      </c>
      <c r="E171" s="95" t="s">
        <v>1086</v>
      </c>
      <c r="F171" s="84" t="s">
        <v>1082</v>
      </c>
      <c r="G171" s="48"/>
      <c r="H171" s="16" t="s">
        <v>227</v>
      </c>
      <c r="I171" s="16" t="s">
        <v>1099</v>
      </c>
      <c r="J171" s="16" t="s">
        <v>254</v>
      </c>
      <c r="K171" s="48"/>
      <c r="L171" s="84"/>
      <c r="M171" s="48"/>
      <c r="N171" s="16" t="s">
        <v>1259</v>
      </c>
      <c r="O171" s="84" t="s">
        <v>1166</v>
      </c>
      <c r="P171" s="84" t="s">
        <v>1087</v>
      </c>
      <c r="Q171" s="18"/>
      <c r="R171" s="16" t="s">
        <v>1252</v>
      </c>
      <c r="S171" s="16" t="s">
        <v>925</v>
      </c>
      <c r="T171" s="16"/>
      <c r="U171" s="16"/>
      <c r="V171" s="16"/>
      <c r="W171" s="16">
        <f>ROUND(IF(D171=Table!$C$3,Y171*Table!$C$4/8,Y171*Table!$D$4/8),3)</f>
        <v>32.5</v>
      </c>
      <c r="X171" s="16">
        <f t="shared" si="29"/>
        <v>32.5</v>
      </c>
      <c r="Y171" s="16">
        <v>2</v>
      </c>
      <c r="Z171" s="16">
        <v>1.5</v>
      </c>
      <c r="AA171" s="15" t="s">
        <v>70</v>
      </c>
      <c r="AB171" s="85">
        <v>44015</v>
      </c>
      <c r="AC171" s="85">
        <v>44011</v>
      </c>
      <c r="AD171" s="85">
        <v>44015</v>
      </c>
      <c r="AE171" s="85">
        <v>44014</v>
      </c>
      <c r="AF171" s="85">
        <v>44014</v>
      </c>
      <c r="AG171" s="85" t="s">
        <v>164</v>
      </c>
      <c r="AH171" s="86">
        <v>0.88200000000000001</v>
      </c>
      <c r="AI171" s="86">
        <v>0.88900000000000001</v>
      </c>
      <c r="AJ171" s="86">
        <v>1</v>
      </c>
      <c r="AK171" s="96" t="s">
        <v>144</v>
      </c>
      <c r="AL171" s="93" t="s">
        <v>1341</v>
      </c>
      <c r="AM171" s="93" t="s">
        <v>58</v>
      </c>
      <c r="AN171" s="93" t="s">
        <v>58</v>
      </c>
    </row>
    <row r="172" spans="2:40" x14ac:dyDescent="0.25">
      <c r="B172" s="189">
        <f t="shared" si="24"/>
        <v>113</v>
      </c>
      <c r="C172" s="16">
        <v>20200629</v>
      </c>
      <c r="D172" s="16" t="s">
        <v>2</v>
      </c>
      <c r="E172" s="95" t="s">
        <v>1086</v>
      </c>
      <c r="F172" s="84" t="s">
        <v>1082</v>
      </c>
      <c r="G172" s="48"/>
      <c r="H172" s="16" t="s">
        <v>253</v>
      </c>
      <c r="I172" s="16" t="s">
        <v>1100</v>
      </c>
      <c r="J172" s="16" t="s">
        <v>255</v>
      </c>
      <c r="K172" s="48"/>
      <c r="L172" s="84"/>
      <c r="M172" s="48"/>
      <c r="N172" s="16" t="s">
        <v>1259</v>
      </c>
      <c r="O172" s="84" t="s">
        <v>1167</v>
      </c>
      <c r="P172" s="84" t="s">
        <v>1087</v>
      </c>
      <c r="Q172" s="18"/>
      <c r="R172" s="16" t="s">
        <v>1252</v>
      </c>
      <c r="S172" s="16" t="s">
        <v>925</v>
      </c>
      <c r="T172" s="16"/>
      <c r="U172" s="16"/>
      <c r="V172" s="16"/>
      <c r="W172" s="16">
        <f>ROUND(IF(D172=Table!$C$3,Y172*Table!$C$4/8,Y172*Table!$D$4/8),3)</f>
        <v>32.5</v>
      </c>
      <c r="X172" s="16">
        <f>W172</f>
        <v>32.5</v>
      </c>
      <c r="Y172" s="16">
        <v>2</v>
      </c>
      <c r="Z172" s="16">
        <v>4</v>
      </c>
      <c r="AA172" s="15" t="s">
        <v>70</v>
      </c>
      <c r="AB172" s="85">
        <v>44015</v>
      </c>
      <c r="AC172" s="85">
        <v>44011</v>
      </c>
      <c r="AD172" s="85">
        <v>44015</v>
      </c>
      <c r="AE172" s="85">
        <v>44015</v>
      </c>
      <c r="AF172" s="85">
        <v>44015</v>
      </c>
      <c r="AG172" s="85" t="s">
        <v>165</v>
      </c>
      <c r="AH172" s="86">
        <v>1</v>
      </c>
      <c r="AI172" s="86">
        <v>1</v>
      </c>
      <c r="AJ172" s="86">
        <v>1</v>
      </c>
      <c r="AK172" s="96" t="s">
        <v>134</v>
      </c>
      <c r="AL172" s="93" t="s">
        <v>1738</v>
      </c>
      <c r="AM172" s="198" t="s">
        <v>58</v>
      </c>
      <c r="AN172" s="198" t="s">
        <v>58</v>
      </c>
    </row>
    <row r="173" spans="2:40" x14ac:dyDescent="0.25">
      <c r="B173" s="189">
        <f t="shared" si="24"/>
        <v>114</v>
      </c>
      <c r="C173" s="16">
        <v>20200629</v>
      </c>
      <c r="D173" s="16" t="s">
        <v>2</v>
      </c>
      <c r="E173" s="95" t="s">
        <v>1086</v>
      </c>
      <c r="F173" s="84" t="s">
        <v>1082</v>
      </c>
      <c r="G173" s="48"/>
      <c r="H173" s="16" t="s">
        <v>1190</v>
      </c>
      <c r="I173" s="16" t="s">
        <v>1101</v>
      </c>
      <c r="J173" s="16" t="s">
        <v>254</v>
      </c>
      <c r="K173" s="48"/>
      <c r="L173" s="84"/>
      <c r="M173" s="48"/>
      <c r="N173" s="16" t="s">
        <v>1259</v>
      </c>
      <c r="O173" s="84" t="s">
        <v>281</v>
      </c>
      <c r="P173" s="84" t="s">
        <v>1087</v>
      </c>
      <c r="Q173" s="18"/>
      <c r="R173" s="16" t="s">
        <v>1257</v>
      </c>
      <c r="S173" s="16" t="s">
        <v>327</v>
      </c>
      <c r="T173" s="16"/>
      <c r="U173" s="16"/>
      <c r="V173" s="16"/>
      <c r="W173" s="16">
        <f>ROUND(IF(D173=Table!$C$3,Y173*Table!$C$4/8,Y173*Table!$D$4/8),3)</f>
        <v>32.5</v>
      </c>
      <c r="X173" s="16">
        <f>W173</f>
        <v>32.5</v>
      </c>
      <c r="Y173" s="16">
        <v>2</v>
      </c>
      <c r="Z173" s="16">
        <f>Y173</f>
        <v>2</v>
      </c>
      <c r="AA173" s="15" t="s">
        <v>70</v>
      </c>
      <c r="AB173" s="85">
        <v>44015</v>
      </c>
      <c r="AC173" s="85">
        <v>44011</v>
      </c>
      <c r="AD173" s="85">
        <v>44015</v>
      </c>
      <c r="AE173" s="85">
        <v>44015</v>
      </c>
      <c r="AF173" s="85">
        <v>44015</v>
      </c>
      <c r="AG173" s="85" t="s">
        <v>164</v>
      </c>
      <c r="AH173" s="86">
        <v>1</v>
      </c>
      <c r="AI173" s="86">
        <v>1</v>
      </c>
      <c r="AJ173" s="86" t="s">
        <v>326</v>
      </c>
      <c r="AK173" s="96" t="s">
        <v>144</v>
      </c>
      <c r="AL173" s="93"/>
      <c r="AM173" s="15"/>
      <c r="AN173" s="15"/>
    </row>
    <row r="174" spans="2:40" x14ac:dyDescent="0.25">
      <c r="B174" s="189">
        <f t="shared" si="24"/>
        <v>115</v>
      </c>
      <c r="C174" s="16">
        <v>20200629</v>
      </c>
      <c r="D174" s="16" t="s">
        <v>2</v>
      </c>
      <c r="E174" s="95" t="s">
        <v>1086</v>
      </c>
      <c r="F174" s="84" t="s">
        <v>1082</v>
      </c>
      <c r="G174" s="48"/>
      <c r="H174" s="16" t="s">
        <v>1191</v>
      </c>
      <c r="I174" s="16" t="s">
        <v>1102</v>
      </c>
      <c r="J174" s="16" t="s">
        <v>254</v>
      </c>
      <c r="K174" s="48"/>
      <c r="L174" s="84"/>
      <c r="M174" s="48"/>
      <c r="N174" s="16" t="s">
        <v>1259</v>
      </c>
      <c r="O174" s="84" t="s">
        <v>1168</v>
      </c>
      <c r="P174" s="84" t="s">
        <v>1087</v>
      </c>
      <c r="Q174" s="18"/>
      <c r="R174" s="16" t="s">
        <v>1253</v>
      </c>
      <c r="S174" s="16" t="s">
        <v>136</v>
      </c>
      <c r="T174" s="16"/>
      <c r="U174" s="16"/>
      <c r="V174" s="16"/>
      <c r="W174" s="16">
        <f>ROUND(IF(D174=Table!$C$3,Y174*Table!$C$4/8,Y174*Table!$D$4/8),3)</f>
        <v>39</v>
      </c>
      <c r="X174" s="16">
        <v>39</v>
      </c>
      <c r="Y174" s="16">
        <v>2.4</v>
      </c>
      <c r="Z174" s="16">
        <v>1.5</v>
      </c>
      <c r="AA174" s="15" t="s">
        <v>70</v>
      </c>
      <c r="AB174" s="85">
        <v>44015</v>
      </c>
      <c r="AC174" s="85">
        <v>44011</v>
      </c>
      <c r="AD174" s="85">
        <v>44015</v>
      </c>
      <c r="AE174" s="85">
        <v>44011</v>
      </c>
      <c r="AF174" s="85">
        <v>44011</v>
      </c>
      <c r="AG174" s="85" t="s">
        <v>164</v>
      </c>
      <c r="AH174" s="86">
        <v>1</v>
      </c>
      <c r="AI174" s="86">
        <v>1</v>
      </c>
      <c r="AJ174" s="86">
        <v>1</v>
      </c>
      <c r="AK174" s="96" t="s">
        <v>144</v>
      </c>
      <c r="AL174" s="93"/>
      <c r="AM174" s="15"/>
      <c r="AN174" s="15"/>
    </row>
    <row r="175" spans="2:40" x14ac:dyDescent="0.25">
      <c r="B175" s="189">
        <f t="shared" si="24"/>
        <v>116</v>
      </c>
      <c r="C175" s="16">
        <v>20200629</v>
      </c>
      <c r="D175" s="16" t="s">
        <v>2</v>
      </c>
      <c r="E175" s="95" t="s">
        <v>1086</v>
      </c>
      <c r="F175" s="84" t="s">
        <v>1082</v>
      </c>
      <c r="G175" s="48"/>
      <c r="H175" s="16" t="s">
        <v>1192</v>
      </c>
      <c r="I175" s="16" t="s">
        <v>1103</v>
      </c>
      <c r="J175" s="16" t="s">
        <v>254</v>
      </c>
      <c r="K175" s="48"/>
      <c r="L175" s="84"/>
      <c r="M175" s="48"/>
      <c r="N175" s="16" t="s">
        <v>1259</v>
      </c>
      <c r="O175" s="84" t="s">
        <v>1169</v>
      </c>
      <c r="P175" s="84" t="s">
        <v>1087</v>
      </c>
      <c r="Q175" s="18"/>
      <c r="R175" s="16" t="s">
        <v>1253</v>
      </c>
      <c r="S175" s="16" t="s">
        <v>136</v>
      </c>
      <c r="T175" s="16"/>
      <c r="U175" s="16"/>
      <c r="V175" s="16"/>
      <c r="W175" s="16">
        <f>ROUND(IF(D175=Table!$C$3,Y175*Table!$C$4/8,Y175*Table!$D$4/8),3)</f>
        <v>32.5</v>
      </c>
      <c r="X175" s="16">
        <v>32.5</v>
      </c>
      <c r="Y175" s="16">
        <v>2</v>
      </c>
      <c r="Z175" s="16">
        <v>1.5</v>
      </c>
      <c r="AA175" s="15" t="s">
        <v>70</v>
      </c>
      <c r="AB175" s="85">
        <v>44015</v>
      </c>
      <c r="AC175" s="85">
        <v>44011</v>
      </c>
      <c r="AD175" s="85">
        <v>44015</v>
      </c>
      <c r="AE175" s="85">
        <v>44011</v>
      </c>
      <c r="AF175" s="85">
        <v>44011</v>
      </c>
      <c r="AG175" s="85" t="s">
        <v>164</v>
      </c>
      <c r="AH175" s="86">
        <v>1</v>
      </c>
      <c r="AI175" s="86">
        <v>1</v>
      </c>
      <c r="AJ175" s="86" t="s">
        <v>326</v>
      </c>
      <c r="AK175" s="96" t="s">
        <v>144</v>
      </c>
      <c r="AL175" s="93"/>
      <c r="AM175" s="15"/>
      <c r="AN175" s="15"/>
    </row>
    <row r="176" spans="2:40" x14ac:dyDescent="0.25">
      <c r="B176" s="189">
        <f t="shared" si="24"/>
        <v>117</v>
      </c>
      <c r="C176" s="16">
        <v>20200629</v>
      </c>
      <c r="D176" s="16" t="s">
        <v>2</v>
      </c>
      <c r="E176" s="95" t="s">
        <v>1086</v>
      </c>
      <c r="F176" s="84" t="s">
        <v>1082</v>
      </c>
      <c r="G176" s="48"/>
      <c r="H176" s="16" t="s">
        <v>1193</v>
      </c>
      <c r="I176" s="16" t="s">
        <v>1104</v>
      </c>
      <c r="J176" s="16" t="s">
        <v>255</v>
      </c>
      <c r="K176" s="48"/>
      <c r="L176" s="84"/>
      <c r="M176" s="48"/>
      <c r="N176" s="16" t="s">
        <v>1259</v>
      </c>
      <c r="O176" s="84" t="s">
        <v>1170</v>
      </c>
      <c r="P176" s="84" t="s">
        <v>1087</v>
      </c>
      <c r="Q176" s="18"/>
      <c r="R176" s="16" t="s">
        <v>1253</v>
      </c>
      <c r="S176" s="16" t="s">
        <v>136</v>
      </c>
      <c r="T176" s="16"/>
      <c r="U176" s="16"/>
      <c r="V176" s="16"/>
      <c r="W176" s="16">
        <f>ROUND(IF(D176=Table!$C$3,Y176*Table!$C$4/8,Y176*Table!$D$4/8),3)</f>
        <v>71.5</v>
      </c>
      <c r="X176" s="16">
        <v>71.5</v>
      </c>
      <c r="Y176" s="16">
        <v>4.4000000000000004</v>
      </c>
      <c r="Z176" s="16">
        <v>3</v>
      </c>
      <c r="AA176" s="15" t="s">
        <v>70</v>
      </c>
      <c r="AB176" s="85">
        <v>44015</v>
      </c>
      <c r="AC176" s="85">
        <v>44011</v>
      </c>
      <c r="AD176" s="85">
        <v>44015</v>
      </c>
      <c r="AE176" s="85">
        <v>44011</v>
      </c>
      <c r="AF176" s="85">
        <v>44011</v>
      </c>
      <c r="AG176" s="85" t="s">
        <v>164</v>
      </c>
      <c r="AH176" s="86">
        <v>1</v>
      </c>
      <c r="AI176" s="86">
        <v>1</v>
      </c>
      <c r="AJ176" s="86" t="s">
        <v>326</v>
      </c>
      <c r="AK176" s="96" t="s">
        <v>144</v>
      </c>
      <c r="AL176" s="93"/>
      <c r="AM176" s="15"/>
      <c r="AN176" s="15"/>
    </row>
    <row r="177" spans="2:40" x14ac:dyDescent="0.25">
      <c r="B177" s="189">
        <f t="shared" si="24"/>
        <v>118</v>
      </c>
      <c r="C177" s="16">
        <v>20200629</v>
      </c>
      <c r="D177" s="16" t="s">
        <v>2</v>
      </c>
      <c r="E177" s="95" t="s">
        <v>1086</v>
      </c>
      <c r="F177" s="84" t="s">
        <v>1082</v>
      </c>
      <c r="G177" s="48"/>
      <c r="H177" s="16" t="s">
        <v>1194</v>
      </c>
      <c r="I177" s="16" t="s">
        <v>1105</v>
      </c>
      <c r="J177" s="16" t="s">
        <v>254</v>
      </c>
      <c r="K177" s="48"/>
      <c r="L177" s="84"/>
      <c r="M177" s="48"/>
      <c r="N177" s="16" t="s">
        <v>1259</v>
      </c>
      <c r="O177" s="84" t="s">
        <v>1165</v>
      </c>
      <c r="P177" s="84" t="s">
        <v>1087</v>
      </c>
      <c r="Q177" s="18"/>
      <c r="R177" s="16" t="s">
        <v>1253</v>
      </c>
      <c r="S177" s="16" t="s">
        <v>136</v>
      </c>
      <c r="T177" s="16"/>
      <c r="U177" s="16"/>
      <c r="V177" s="16"/>
      <c r="W177" s="16">
        <f>ROUND(IF(D177=Table!$C$3,Y177*Table!$C$4/8,Y177*Table!$D$4/8),3)</f>
        <v>32.5</v>
      </c>
      <c r="X177" s="16">
        <v>32.5</v>
      </c>
      <c r="Y177" s="16">
        <v>2</v>
      </c>
      <c r="Z177" s="16">
        <v>1.5</v>
      </c>
      <c r="AA177" s="15" t="s">
        <v>70</v>
      </c>
      <c r="AB177" s="85">
        <v>44015</v>
      </c>
      <c r="AC177" s="85">
        <v>44011</v>
      </c>
      <c r="AD177" s="85">
        <v>44015</v>
      </c>
      <c r="AE177" s="85">
        <v>44011</v>
      </c>
      <c r="AF177" s="85">
        <v>44011</v>
      </c>
      <c r="AG177" s="85" t="s">
        <v>164</v>
      </c>
      <c r="AH177" s="86">
        <v>1</v>
      </c>
      <c r="AI177" s="86">
        <v>1</v>
      </c>
      <c r="AJ177" s="86" t="s">
        <v>326</v>
      </c>
      <c r="AK177" s="96" t="s">
        <v>144</v>
      </c>
      <c r="AL177" s="93"/>
      <c r="AM177" s="15"/>
      <c r="AN177" s="15"/>
    </row>
    <row r="178" spans="2:40" x14ac:dyDescent="0.25">
      <c r="B178" s="189">
        <f t="shared" si="24"/>
        <v>119</v>
      </c>
      <c r="C178" s="16">
        <v>20200629</v>
      </c>
      <c r="D178" s="16" t="s">
        <v>2</v>
      </c>
      <c r="E178" s="95" t="s">
        <v>1086</v>
      </c>
      <c r="F178" s="84" t="s">
        <v>1082</v>
      </c>
      <c r="G178" s="48"/>
      <c r="H178" s="16" t="s">
        <v>1195</v>
      </c>
      <c r="I178" s="16" t="s">
        <v>1106</v>
      </c>
      <c r="J178" s="16" t="s">
        <v>254</v>
      </c>
      <c r="K178" s="48"/>
      <c r="L178" s="84"/>
      <c r="M178" s="48"/>
      <c r="N178" s="16" t="s">
        <v>1259</v>
      </c>
      <c r="O178" s="84" t="s">
        <v>1171</v>
      </c>
      <c r="P178" s="84" t="s">
        <v>1087</v>
      </c>
      <c r="Q178" s="18"/>
      <c r="R178" s="16" t="s">
        <v>1253</v>
      </c>
      <c r="S178" s="16" t="s">
        <v>136</v>
      </c>
      <c r="T178" s="16"/>
      <c r="U178" s="16"/>
      <c r="V178" s="16"/>
      <c r="W178" s="16">
        <f>ROUND(IF(D178=Table!$C$3,Y178*Table!$C$4/8,Y178*Table!$D$4/8),3)</f>
        <v>49.4</v>
      </c>
      <c r="X178" s="16">
        <v>49.4</v>
      </c>
      <c r="Y178" s="16">
        <v>3.04</v>
      </c>
      <c r="Z178" s="16">
        <v>2.5</v>
      </c>
      <c r="AA178" s="15" t="s">
        <v>70</v>
      </c>
      <c r="AB178" s="85">
        <v>44015</v>
      </c>
      <c r="AC178" s="85">
        <v>44011</v>
      </c>
      <c r="AD178" s="85">
        <v>44015</v>
      </c>
      <c r="AE178" s="85">
        <v>44011</v>
      </c>
      <c r="AF178" s="85">
        <v>44011</v>
      </c>
      <c r="AG178" s="85" t="s">
        <v>164</v>
      </c>
      <c r="AH178" s="86">
        <v>1</v>
      </c>
      <c r="AI178" s="86">
        <v>1</v>
      </c>
      <c r="AJ178" s="86" t="s">
        <v>326</v>
      </c>
      <c r="AK178" s="96" t="s">
        <v>144</v>
      </c>
      <c r="AL178" s="93"/>
      <c r="AM178" s="15"/>
      <c r="AN178" s="15"/>
    </row>
    <row r="179" spans="2:40" x14ac:dyDescent="0.25">
      <c r="B179" s="189">
        <f t="shared" si="24"/>
        <v>120</v>
      </c>
      <c r="C179" s="16">
        <v>20200629</v>
      </c>
      <c r="D179" s="16" t="s">
        <v>2</v>
      </c>
      <c r="E179" s="95" t="s">
        <v>1086</v>
      </c>
      <c r="F179" s="84" t="s">
        <v>1082</v>
      </c>
      <c r="G179" s="48"/>
      <c r="H179" s="16" t="s">
        <v>1196</v>
      </c>
      <c r="I179" s="16" t="s">
        <v>695</v>
      </c>
      <c r="J179" s="16" t="s">
        <v>254</v>
      </c>
      <c r="K179" s="48"/>
      <c r="L179" s="84"/>
      <c r="M179" s="48"/>
      <c r="N179" s="16" t="s">
        <v>1259</v>
      </c>
      <c r="O179" s="84" t="s">
        <v>1172</v>
      </c>
      <c r="P179" s="84" t="s">
        <v>1087</v>
      </c>
      <c r="Q179" s="18"/>
      <c r="R179" s="16" t="s">
        <v>1253</v>
      </c>
      <c r="S179" s="16" t="s">
        <v>136</v>
      </c>
      <c r="T179" s="16"/>
      <c r="U179" s="16"/>
      <c r="V179" s="16"/>
      <c r="W179" s="16">
        <f>ROUND(IF(D179=Table!$C$3,Y179*Table!$C$4/8,Y179*Table!$D$4/8),3)</f>
        <v>32.5</v>
      </c>
      <c r="X179" s="16">
        <v>32.5</v>
      </c>
      <c r="Y179" s="16">
        <v>2</v>
      </c>
      <c r="Z179" s="16">
        <v>1.5</v>
      </c>
      <c r="AA179" s="15" t="s">
        <v>70</v>
      </c>
      <c r="AB179" s="85">
        <v>44015</v>
      </c>
      <c r="AC179" s="85">
        <v>44011</v>
      </c>
      <c r="AD179" s="85">
        <v>44015</v>
      </c>
      <c r="AE179" s="85">
        <v>44012</v>
      </c>
      <c r="AF179" s="85">
        <v>44012</v>
      </c>
      <c r="AG179" s="85" t="s">
        <v>164</v>
      </c>
      <c r="AH179" s="86">
        <v>1</v>
      </c>
      <c r="AI179" s="86">
        <v>1</v>
      </c>
      <c r="AJ179" s="86" t="s">
        <v>326</v>
      </c>
      <c r="AK179" s="96" t="s">
        <v>144</v>
      </c>
      <c r="AL179" s="93"/>
      <c r="AM179" s="15"/>
      <c r="AN179" s="15"/>
    </row>
    <row r="180" spans="2:40" x14ac:dyDescent="0.25">
      <c r="B180" s="189">
        <f t="shared" si="24"/>
        <v>121</v>
      </c>
      <c r="C180" s="16">
        <v>20200629</v>
      </c>
      <c r="D180" s="16" t="s">
        <v>2</v>
      </c>
      <c r="E180" s="95" t="s">
        <v>1086</v>
      </c>
      <c r="F180" s="84" t="s">
        <v>1082</v>
      </c>
      <c r="G180" s="48"/>
      <c r="H180" s="16" t="s">
        <v>1197</v>
      </c>
      <c r="I180" s="16" t="s">
        <v>1107</v>
      </c>
      <c r="J180" s="16" t="s">
        <v>254</v>
      </c>
      <c r="K180" s="48"/>
      <c r="L180" s="84"/>
      <c r="M180" s="48"/>
      <c r="N180" s="16" t="s">
        <v>1259</v>
      </c>
      <c r="O180" s="84" t="s">
        <v>1173</v>
      </c>
      <c r="P180" s="84" t="s">
        <v>1087</v>
      </c>
      <c r="Q180" s="18"/>
      <c r="R180" s="16" t="s">
        <v>1253</v>
      </c>
      <c r="S180" s="16" t="s">
        <v>136</v>
      </c>
      <c r="T180" s="16"/>
      <c r="U180" s="16"/>
      <c r="V180" s="16"/>
      <c r="W180" s="16">
        <f>ROUND(IF(D180=Table!$C$3,Y180*Table!$C$4/8,Y180*Table!$D$4/8),3)</f>
        <v>49.4</v>
      </c>
      <c r="X180" s="16">
        <v>49.4</v>
      </c>
      <c r="Y180" s="16">
        <v>3.04</v>
      </c>
      <c r="Z180" s="16">
        <v>2.5</v>
      </c>
      <c r="AA180" s="15" t="s">
        <v>70</v>
      </c>
      <c r="AB180" s="85">
        <v>44015</v>
      </c>
      <c r="AC180" s="85">
        <v>44011</v>
      </c>
      <c r="AD180" s="85">
        <v>44015</v>
      </c>
      <c r="AE180" s="85">
        <v>44012</v>
      </c>
      <c r="AF180" s="85">
        <v>44012</v>
      </c>
      <c r="AG180" s="85" t="s">
        <v>164</v>
      </c>
      <c r="AH180" s="86">
        <v>0.94699999999999995</v>
      </c>
      <c r="AI180" s="86">
        <v>0.95199999999999996</v>
      </c>
      <c r="AJ180" s="86">
        <v>1</v>
      </c>
      <c r="AK180" s="96" t="s">
        <v>144</v>
      </c>
      <c r="AL180" s="14" t="s">
        <v>1313</v>
      </c>
      <c r="AM180" s="15"/>
      <c r="AN180" s="15"/>
    </row>
    <row r="181" spans="2:40" x14ac:dyDescent="0.25">
      <c r="B181" s="189">
        <f t="shared" si="24"/>
        <v>122</v>
      </c>
      <c r="C181" s="16">
        <v>20200629</v>
      </c>
      <c r="D181" s="16" t="s">
        <v>2</v>
      </c>
      <c r="E181" s="95" t="s">
        <v>1086</v>
      </c>
      <c r="F181" s="84" t="s">
        <v>1082</v>
      </c>
      <c r="G181" s="48"/>
      <c r="H181" s="16" t="s">
        <v>1198</v>
      </c>
      <c r="I181" s="16" t="s">
        <v>1108</v>
      </c>
      <c r="J181" s="16" t="s">
        <v>254</v>
      </c>
      <c r="K181" s="48"/>
      <c r="L181" s="84"/>
      <c r="M181" s="48"/>
      <c r="N181" s="16" t="s">
        <v>1259</v>
      </c>
      <c r="O181" s="84" t="s">
        <v>1174</v>
      </c>
      <c r="P181" s="84" t="s">
        <v>1087</v>
      </c>
      <c r="Q181" s="18"/>
      <c r="R181" s="16" t="s">
        <v>1253</v>
      </c>
      <c r="S181" s="16" t="s">
        <v>136</v>
      </c>
      <c r="T181" s="16"/>
      <c r="U181" s="16"/>
      <c r="V181" s="16"/>
      <c r="W181" s="16">
        <f>ROUND(IF(D181=Table!$C$3,Y181*Table!$C$4/8,Y181*Table!$D$4/8),3)</f>
        <v>32.5</v>
      </c>
      <c r="X181" s="16">
        <v>32.5</v>
      </c>
      <c r="Y181" s="16">
        <v>2</v>
      </c>
      <c r="Z181" s="16">
        <v>1.5</v>
      </c>
      <c r="AA181" s="15" t="s">
        <v>70</v>
      </c>
      <c r="AB181" s="85">
        <v>44015</v>
      </c>
      <c r="AC181" s="85">
        <v>44011</v>
      </c>
      <c r="AD181" s="85">
        <v>44015</v>
      </c>
      <c r="AE181" s="85">
        <v>44012</v>
      </c>
      <c r="AF181" s="85">
        <v>44012</v>
      </c>
      <c r="AG181" s="85" t="s">
        <v>164</v>
      </c>
      <c r="AH181" s="86">
        <v>1</v>
      </c>
      <c r="AI181" s="86">
        <v>1</v>
      </c>
      <c r="AJ181" s="86" t="s">
        <v>326</v>
      </c>
      <c r="AK181" s="96" t="s">
        <v>144</v>
      </c>
      <c r="AL181" s="93"/>
      <c r="AM181" s="15"/>
      <c r="AN181" s="15"/>
    </row>
    <row r="182" spans="2:40" x14ac:dyDescent="0.25">
      <c r="B182" s="189">
        <f t="shared" si="24"/>
        <v>123</v>
      </c>
      <c r="C182" s="16">
        <v>20200629</v>
      </c>
      <c r="D182" s="16" t="s">
        <v>2</v>
      </c>
      <c r="E182" s="95" t="s">
        <v>1086</v>
      </c>
      <c r="F182" s="84" t="s">
        <v>1082</v>
      </c>
      <c r="G182" s="48"/>
      <c r="H182" s="16" t="s">
        <v>237</v>
      </c>
      <c r="I182" s="16" t="s">
        <v>1109</v>
      </c>
      <c r="J182" s="16" t="s">
        <v>254</v>
      </c>
      <c r="K182" s="48"/>
      <c r="L182" s="84"/>
      <c r="M182" s="48"/>
      <c r="N182" s="16" t="s">
        <v>1259</v>
      </c>
      <c r="O182" s="84" t="s">
        <v>1168</v>
      </c>
      <c r="P182" s="84" t="s">
        <v>1087</v>
      </c>
      <c r="Q182" s="18"/>
      <c r="R182" s="16" t="s">
        <v>1253</v>
      </c>
      <c r="S182" s="16" t="s">
        <v>136</v>
      </c>
      <c r="T182" s="16"/>
      <c r="U182" s="16"/>
      <c r="V182" s="16"/>
      <c r="W182" s="16">
        <f>ROUND(IF(D182=Table!$C$3,Y182*Table!$C$4/8,Y182*Table!$D$4/8),3)</f>
        <v>45.5</v>
      </c>
      <c r="X182" s="16">
        <v>45.5</v>
      </c>
      <c r="Y182" s="16">
        <v>2.8</v>
      </c>
      <c r="Z182" s="16">
        <v>1.5</v>
      </c>
      <c r="AA182" s="15" t="s">
        <v>70</v>
      </c>
      <c r="AB182" s="85">
        <v>44015</v>
      </c>
      <c r="AC182" s="85">
        <v>44011</v>
      </c>
      <c r="AD182" s="85">
        <v>44015</v>
      </c>
      <c r="AE182" s="85">
        <v>44012</v>
      </c>
      <c r="AF182" s="85">
        <v>44012</v>
      </c>
      <c r="AG182" s="85" t="s">
        <v>164</v>
      </c>
      <c r="AH182" s="86">
        <v>0.89500000000000002</v>
      </c>
      <c r="AI182" s="86">
        <v>0.9</v>
      </c>
      <c r="AJ182" s="86">
        <v>1</v>
      </c>
      <c r="AK182" s="96" t="s">
        <v>144</v>
      </c>
      <c r="AL182" s="93" t="s">
        <v>1318</v>
      </c>
      <c r="AM182" s="15"/>
      <c r="AN182" s="15"/>
    </row>
    <row r="183" spans="2:40" x14ac:dyDescent="0.25">
      <c r="B183" s="189">
        <f t="shared" si="24"/>
        <v>124</v>
      </c>
      <c r="C183" s="16">
        <v>20200629</v>
      </c>
      <c r="D183" s="16" t="s">
        <v>2</v>
      </c>
      <c r="E183" s="95" t="s">
        <v>1086</v>
      </c>
      <c r="F183" s="84" t="s">
        <v>1083</v>
      </c>
      <c r="G183" s="48"/>
      <c r="H183" s="16" t="s">
        <v>238</v>
      </c>
      <c r="I183" s="16" t="s">
        <v>1110</v>
      </c>
      <c r="J183" s="16" t="s">
        <v>254</v>
      </c>
      <c r="K183" s="48"/>
      <c r="L183" s="84"/>
      <c r="M183" s="48"/>
      <c r="N183" s="16" t="s">
        <v>1259</v>
      </c>
      <c r="O183" s="84" t="s">
        <v>1175</v>
      </c>
      <c r="P183" s="84" t="s">
        <v>1087</v>
      </c>
      <c r="Q183" s="18"/>
      <c r="R183" s="16" t="s">
        <v>1253</v>
      </c>
      <c r="S183" s="16" t="s">
        <v>136</v>
      </c>
      <c r="T183" s="16"/>
      <c r="U183" s="16"/>
      <c r="V183" s="16"/>
      <c r="W183" s="16">
        <f>ROUND(IF(D183=Table!$C$3,Y183*Table!$C$4/8,Y183*Table!$D$4/8),3)</f>
        <v>35.1</v>
      </c>
      <c r="X183" s="16">
        <v>35.1</v>
      </c>
      <c r="Y183" s="16">
        <v>2.16</v>
      </c>
      <c r="Z183" s="16">
        <v>1.5</v>
      </c>
      <c r="AA183" s="15" t="s">
        <v>70</v>
      </c>
      <c r="AB183" s="85">
        <v>44015</v>
      </c>
      <c r="AC183" s="85">
        <v>44011</v>
      </c>
      <c r="AD183" s="85">
        <v>44015</v>
      </c>
      <c r="AE183" s="85">
        <v>44012</v>
      </c>
      <c r="AF183" s="85">
        <v>44012</v>
      </c>
      <c r="AG183" s="85" t="s">
        <v>164</v>
      </c>
      <c r="AH183" s="86">
        <v>0.91300000000000003</v>
      </c>
      <c r="AI183" s="86">
        <v>0.92600000000000005</v>
      </c>
      <c r="AJ183" s="86">
        <v>1</v>
      </c>
      <c r="AK183" s="96" t="s">
        <v>144</v>
      </c>
      <c r="AL183" s="93" t="s">
        <v>959</v>
      </c>
      <c r="AM183" s="15"/>
      <c r="AN183" s="15"/>
    </row>
    <row r="184" spans="2:40" x14ac:dyDescent="0.25">
      <c r="B184" s="189">
        <f t="shared" si="24"/>
        <v>125</v>
      </c>
      <c r="C184" s="16">
        <v>20200629</v>
      </c>
      <c r="D184" s="16" t="s">
        <v>2</v>
      </c>
      <c r="E184" s="95" t="s">
        <v>1086</v>
      </c>
      <c r="F184" s="84" t="s">
        <v>1084</v>
      </c>
      <c r="G184" s="48"/>
      <c r="H184" s="16" t="s">
        <v>1199</v>
      </c>
      <c r="I184" s="16" t="s">
        <v>1111</v>
      </c>
      <c r="J184" s="16" t="s">
        <v>254</v>
      </c>
      <c r="K184" s="48"/>
      <c r="L184" s="84"/>
      <c r="M184" s="48"/>
      <c r="N184" s="16" t="s">
        <v>1259</v>
      </c>
      <c r="O184" s="84" t="s">
        <v>1168</v>
      </c>
      <c r="P184" s="84" t="s">
        <v>1087</v>
      </c>
      <c r="Q184" s="18"/>
      <c r="R184" s="16" t="s">
        <v>1253</v>
      </c>
      <c r="S184" s="16" t="s">
        <v>136</v>
      </c>
      <c r="T184" s="16"/>
      <c r="U184" s="16"/>
      <c r="V184" s="16"/>
      <c r="W184" s="16">
        <f>ROUND(IF(D184=Table!$C$3,Y184*Table!$C$4/8,Y184*Table!$D$4/8),3)</f>
        <v>32.5</v>
      </c>
      <c r="X184" s="16">
        <v>32.5</v>
      </c>
      <c r="Y184" s="16">
        <v>2</v>
      </c>
      <c r="Z184" s="16">
        <v>1.5</v>
      </c>
      <c r="AA184" s="15" t="s">
        <v>70</v>
      </c>
      <c r="AB184" s="85">
        <v>44015</v>
      </c>
      <c r="AC184" s="85">
        <v>44011</v>
      </c>
      <c r="AD184" s="85">
        <v>44015</v>
      </c>
      <c r="AE184" s="85">
        <v>44012</v>
      </c>
      <c r="AF184" s="85">
        <v>44012</v>
      </c>
      <c r="AG184" s="85" t="s">
        <v>164</v>
      </c>
      <c r="AH184" s="86">
        <v>1</v>
      </c>
      <c r="AI184" s="86">
        <v>1</v>
      </c>
      <c r="AJ184" s="86" t="s">
        <v>326</v>
      </c>
      <c r="AK184" s="96" t="s">
        <v>144</v>
      </c>
      <c r="AL184" s="93"/>
      <c r="AM184" s="15"/>
      <c r="AN184" s="15"/>
    </row>
    <row r="185" spans="2:40" x14ac:dyDescent="0.25">
      <c r="B185" s="189">
        <f t="shared" si="24"/>
        <v>126</v>
      </c>
      <c r="C185" s="16">
        <v>20200629</v>
      </c>
      <c r="D185" s="16" t="s">
        <v>2</v>
      </c>
      <c r="E185" s="95" t="s">
        <v>1086</v>
      </c>
      <c r="F185" s="84" t="s">
        <v>1084</v>
      </c>
      <c r="G185" s="48"/>
      <c r="H185" s="16" t="s">
        <v>1200</v>
      </c>
      <c r="I185" s="16" t="s">
        <v>1112</v>
      </c>
      <c r="J185" s="16" t="s">
        <v>254</v>
      </c>
      <c r="K185" s="48"/>
      <c r="L185" s="84"/>
      <c r="M185" s="48"/>
      <c r="N185" s="16" t="s">
        <v>1259</v>
      </c>
      <c r="O185" s="84" t="s">
        <v>1172</v>
      </c>
      <c r="P185" s="84" t="s">
        <v>1087</v>
      </c>
      <c r="Q185" s="18"/>
      <c r="R185" s="16" t="s">
        <v>1253</v>
      </c>
      <c r="S185" s="16" t="s">
        <v>136</v>
      </c>
      <c r="T185" s="16"/>
      <c r="U185" s="16"/>
      <c r="V185" s="16"/>
      <c r="W185" s="16">
        <f>ROUND(IF(D185=Table!$C$3,Y185*Table!$C$4/8,Y185*Table!$D$4/8),3)</f>
        <v>32.5</v>
      </c>
      <c r="X185" s="16">
        <v>32.5</v>
      </c>
      <c r="Y185" s="16">
        <v>2</v>
      </c>
      <c r="Z185" s="16">
        <v>1.5</v>
      </c>
      <c r="AA185" s="15" t="s">
        <v>70</v>
      </c>
      <c r="AB185" s="85">
        <v>44015</v>
      </c>
      <c r="AC185" s="85">
        <v>44011</v>
      </c>
      <c r="AD185" s="85">
        <v>44015</v>
      </c>
      <c r="AE185" s="85">
        <v>44013</v>
      </c>
      <c r="AF185" s="85">
        <v>44014</v>
      </c>
      <c r="AG185" s="85" t="s">
        <v>164</v>
      </c>
      <c r="AH185" s="86">
        <v>1</v>
      </c>
      <c r="AI185" s="86">
        <v>1</v>
      </c>
      <c r="AJ185" s="86">
        <v>1</v>
      </c>
      <c r="AK185" s="96" t="s">
        <v>144</v>
      </c>
      <c r="AL185" s="93"/>
      <c r="AM185" s="15"/>
      <c r="AN185" s="15"/>
    </row>
    <row r="186" spans="2:40" x14ac:dyDescent="0.25">
      <c r="B186" s="189">
        <f t="shared" si="24"/>
        <v>127</v>
      </c>
      <c r="C186" s="16">
        <v>20200629</v>
      </c>
      <c r="D186" s="16" t="s">
        <v>2</v>
      </c>
      <c r="E186" s="95" t="s">
        <v>1086</v>
      </c>
      <c r="F186" s="84" t="s">
        <v>1084</v>
      </c>
      <c r="G186" s="48"/>
      <c r="H186" s="16" t="s">
        <v>1201</v>
      </c>
      <c r="I186" s="16" t="s">
        <v>1113</v>
      </c>
      <c r="J186" s="16" t="s">
        <v>254</v>
      </c>
      <c r="K186" s="48"/>
      <c r="L186" s="84"/>
      <c r="M186" s="48"/>
      <c r="N186" s="16" t="s">
        <v>1259</v>
      </c>
      <c r="O186" s="84" t="s">
        <v>1176</v>
      </c>
      <c r="P186" s="84" t="s">
        <v>1087</v>
      </c>
      <c r="Q186" s="18"/>
      <c r="R186" s="16" t="s">
        <v>1253</v>
      </c>
      <c r="S186" s="16" t="s">
        <v>136</v>
      </c>
      <c r="T186" s="16"/>
      <c r="U186" s="16"/>
      <c r="V186" s="16"/>
      <c r="W186" s="16">
        <f>ROUND(IF(D186=Table!$C$3,Y186*Table!$C$4/8,Y186*Table!$D$4/8),3)</f>
        <v>35.1</v>
      </c>
      <c r="X186" s="16">
        <v>35.1</v>
      </c>
      <c r="Y186" s="16">
        <v>2.16</v>
      </c>
      <c r="Z186" s="16">
        <v>1.5</v>
      </c>
      <c r="AA186" s="15" t="s">
        <v>70</v>
      </c>
      <c r="AB186" s="85">
        <v>44015</v>
      </c>
      <c r="AC186" s="85">
        <v>44011</v>
      </c>
      <c r="AD186" s="85">
        <v>44015</v>
      </c>
      <c r="AE186" s="85">
        <v>44013</v>
      </c>
      <c r="AF186" s="85">
        <v>44014</v>
      </c>
      <c r="AG186" s="85" t="s">
        <v>164</v>
      </c>
      <c r="AH186" s="86">
        <v>0.93500000000000005</v>
      </c>
      <c r="AI186" s="86">
        <v>0.93899999999999995</v>
      </c>
      <c r="AJ186" s="86">
        <v>1</v>
      </c>
      <c r="AK186" s="96" t="s">
        <v>144</v>
      </c>
      <c r="AL186" s="93" t="s">
        <v>959</v>
      </c>
      <c r="AM186" s="15"/>
      <c r="AN186" s="15"/>
    </row>
    <row r="187" spans="2:40" x14ac:dyDescent="0.25">
      <c r="B187" s="189">
        <f t="shared" si="24"/>
        <v>128</v>
      </c>
      <c r="C187" s="16">
        <v>20200629</v>
      </c>
      <c r="D187" s="16" t="s">
        <v>2</v>
      </c>
      <c r="E187" s="95" t="s">
        <v>1086</v>
      </c>
      <c r="F187" s="84" t="s">
        <v>1084</v>
      </c>
      <c r="G187" s="48"/>
      <c r="H187" s="16" t="s">
        <v>1202</v>
      </c>
      <c r="I187" s="16" t="s">
        <v>1114</v>
      </c>
      <c r="J187" s="16" t="s">
        <v>254</v>
      </c>
      <c r="K187" s="48"/>
      <c r="L187" s="84"/>
      <c r="M187" s="48"/>
      <c r="N187" s="16" t="s">
        <v>1259</v>
      </c>
      <c r="O187" s="84" t="s">
        <v>621</v>
      </c>
      <c r="P187" s="84" t="s">
        <v>1087</v>
      </c>
      <c r="Q187" s="18"/>
      <c r="R187" s="16" t="s">
        <v>1253</v>
      </c>
      <c r="S187" s="16" t="s">
        <v>136</v>
      </c>
      <c r="T187" s="16"/>
      <c r="U187" s="16"/>
      <c r="V187" s="16"/>
      <c r="W187" s="16">
        <f>ROUND(IF(D187=Table!$C$3,Y187*Table!$C$4/8,Y187*Table!$D$4/8),3)</f>
        <v>32.5</v>
      </c>
      <c r="X187" s="16">
        <v>32.5</v>
      </c>
      <c r="Y187" s="16">
        <v>2</v>
      </c>
      <c r="Z187" s="16">
        <v>1.5</v>
      </c>
      <c r="AA187" s="15" t="s">
        <v>70</v>
      </c>
      <c r="AB187" s="85">
        <v>44015</v>
      </c>
      <c r="AC187" s="85">
        <v>44011</v>
      </c>
      <c r="AD187" s="85">
        <v>44015</v>
      </c>
      <c r="AE187" s="85">
        <v>44013</v>
      </c>
      <c r="AF187" s="85">
        <v>44014</v>
      </c>
      <c r="AG187" s="85" t="s">
        <v>164</v>
      </c>
      <c r="AH187" s="86">
        <v>1</v>
      </c>
      <c r="AI187" s="86">
        <v>1</v>
      </c>
      <c r="AJ187" s="86">
        <v>1</v>
      </c>
      <c r="AK187" s="96" t="s">
        <v>144</v>
      </c>
      <c r="AL187" s="93"/>
      <c r="AM187" s="15"/>
      <c r="AN187" s="15"/>
    </row>
    <row r="188" spans="2:40" x14ac:dyDescent="0.25">
      <c r="B188" s="189">
        <f t="shared" si="24"/>
        <v>129</v>
      </c>
      <c r="C188" s="16">
        <v>20200629</v>
      </c>
      <c r="D188" s="16" t="s">
        <v>2</v>
      </c>
      <c r="E188" s="95" t="s">
        <v>1086</v>
      </c>
      <c r="F188" s="84" t="s">
        <v>1084</v>
      </c>
      <c r="G188" s="48"/>
      <c r="H188" s="16" t="s">
        <v>1203</v>
      </c>
      <c r="I188" s="16" t="s">
        <v>1115</v>
      </c>
      <c r="J188" s="16" t="s">
        <v>255</v>
      </c>
      <c r="K188" s="48"/>
      <c r="L188" s="84"/>
      <c r="M188" s="48"/>
      <c r="N188" s="16" t="s">
        <v>1259</v>
      </c>
      <c r="O188" s="84" t="s">
        <v>318</v>
      </c>
      <c r="P188" s="84" t="s">
        <v>1087</v>
      </c>
      <c r="Q188" s="18"/>
      <c r="R188" s="16" t="s">
        <v>1254</v>
      </c>
      <c r="S188" s="16" t="s">
        <v>63</v>
      </c>
      <c r="T188" s="16"/>
      <c r="U188" s="16"/>
      <c r="V188" s="16"/>
      <c r="W188" s="16">
        <f>ROUND(IF(D188=Table!$C$3,Y188*Table!$C$4/8,Y188*Table!$D$4/8),3)</f>
        <v>71.5</v>
      </c>
      <c r="X188" s="16">
        <f>W188</f>
        <v>71.5</v>
      </c>
      <c r="Y188" s="16">
        <v>4.4000000000000004</v>
      </c>
      <c r="Z188" s="16">
        <v>1</v>
      </c>
      <c r="AA188" s="15" t="s">
        <v>70</v>
      </c>
      <c r="AB188" s="85">
        <v>44015</v>
      </c>
      <c r="AC188" s="85">
        <v>44011</v>
      </c>
      <c r="AD188" s="85">
        <v>44015</v>
      </c>
      <c r="AE188" s="85">
        <v>44012</v>
      </c>
      <c r="AF188" s="85">
        <v>44012</v>
      </c>
      <c r="AG188" s="85" t="s">
        <v>164</v>
      </c>
      <c r="AH188" s="86">
        <v>1</v>
      </c>
      <c r="AI188" s="86">
        <v>1</v>
      </c>
      <c r="AJ188" s="86">
        <v>1</v>
      </c>
      <c r="AK188" s="96" t="s">
        <v>144</v>
      </c>
      <c r="AL188" s="93"/>
      <c r="AM188" s="15"/>
      <c r="AN188" s="15"/>
    </row>
    <row r="189" spans="2:40" x14ac:dyDescent="0.25">
      <c r="B189" s="189">
        <f t="shared" ref="B189:B252" si="30">B188+1</f>
        <v>130</v>
      </c>
      <c r="C189" s="16">
        <v>20200629</v>
      </c>
      <c r="D189" s="16" t="s">
        <v>2</v>
      </c>
      <c r="E189" s="95" t="s">
        <v>1086</v>
      </c>
      <c r="F189" s="84" t="s">
        <v>1084</v>
      </c>
      <c r="G189" s="48"/>
      <c r="H189" s="16" t="s">
        <v>239</v>
      </c>
      <c r="I189" s="16" t="s">
        <v>1116</v>
      </c>
      <c r="J189" s="16" t="s">
        <v>254</v>
      </c>
      <c r="K189" s="48"/>
      <c r="L189" s="84"/>
      <c r="M189" s="48"/>
      <c r="N189" s="16" t="s">
        <v>1259</v>
      </c>
      <c r="O189" s="84" t="s">
        <v>318</v>
      </c>
      <c r="P189" s="84" t="s">
        <v>1087</v>
      </c>
      <c r="Q189" s="18"/>
      <c r="R189" s="16" t="s">
        <v>1254</v>
      </c>
      <c r="S189" s="16" t="s">
        <v>63</v>
      </c>
      <c r="T189" s="16"/>
      <c r="U189" s="16"/>
      <c r="V189" s="16"/>
      <c r="W189" s="16">
        <f>ROUND(IF(D189=Table!$C$3,Y189*Table!$C$4/8,Y189*Table!$D$4/8),3)</f>
        <v>32.5</v>
      </c>
      <c r="X189" s="16">
        <f>W189</f>
        <v>32.5</v>
      </c>
      <c r="Y189" s="16">
        <v>2</v>
      </c>
      <c r="Z189" s="16">
        <v>1</v>
      </c>
      <c r="AA189" s="15" t="s">
        <v>70</v>
      </c>
      <c r="AB189" s="85">
        <v>44015</v>
      </c>
      <c r="AC189" s="85">
        <v>44011</v>
      </c>
      <c r="AD189" s="85">
        <v>44015</v>
      </c>
      <c r="AE189" s="85">
        <v>44012</v>
      </c>
      <c r="AF189" s="85">
        <v>44012</v>
      </c>
      <c r="AG189" s="85" t="s">
        <v>164</v>
      </c>
      <c r="AH189" s="86">
        <v>1</v>
      </c>
      <c r="AI189" s="86">
        <v>1</v>
      </c>
      <c r="AJ189" s="86">
        <v>1</v>
      </c>
      <c r="AK189" s="96" t="s">
        <v>144</v>
      </c>
      <c r="AL189" s="93"/>
      <c r="AM189" s="15"/>
      <c r="AN189" s="15"/>
    </row>
    <row r="190" spans="2:40" x14ac:dyDescent="0.25">
      <c r="B190" s="189">
        <f t="shared" si="30"/>
        <v>131</v>
      </c>
      <c r="C190" s="16">
        <v>20200629</v>
      </c>
      <c r="D190" s="16" t="s">
        <v>2</v>
      </c>
      <c r="E190" s="95" t="s">
        <v>1086</v>
      </c>
      <c r="F190" s="84" t="s">
        <v>1084</v>
      </c>
      <c r="G190" s="48"/>
      <c r="H190" s="16" t="s">
        <v>1204</v>
      </c>
      <c r="I190" s="16" t="s">
        <v>1117</v>
      </c>
      <c r="J190" s="16" t="s">
        <v>255</v>
      </c>
      <c r="K190" s="48"/>
      <c r="L190" s="84"/>
      <c r="M190" s="48"/>
      <c r="N190" s="16" t="s">
        <v>1259</v>
      </c>
      <c r="O190" s="84" t="s">
        <v>621</v>
      </c>
      <c r="P190" s="84" t="s">
        <v>1087</v>
      </c>
      <c r="Q190" s="18"/>
      <c r="R190" s="16" t="s">
        <v>1254</v>
      </c>
      <c r="S190" s="16" t="s">
        <v>63</v>
      </c>
      <c r="T190" s="16"/>
      <c r="U190" s="16"/>
      <c r="V190" s="16"/>
      <c r="W190" s="16">
        <f>ROUND(IF(D190=Table!$C$3,Y190*Table!$C$4/8,Y190*Table!$D$4/8),3)</f>
        <v>35.1</v>
      </c>
      <c r="X190" s="16">
        <f>W190</f>
        <v>35.1</v>
      </c>
      <c r="Y190" s="16">
        <v>2.16</v>
      </c>
      <c r="Z190" s="16">
        <v>1</v>
      </c>
      <c r="AA190" s="15" t="s">
        <v>70</v>
      </c>
      <c r="AB190" s="85">
        <v>44015</v>
      </c>
      <c r="AC190" s="85">
        <v>44011</v>
      </c>
      <c r="AD190" s="85">
        <v>44015</v>
      </c>
      <c r="AE190" s="85">
        <v>44012</v>
      </c>
      <c r="AF190" s="85">
        <v>44012</v>
      </c>
      <c r="AG190" s="85" t="s">
        <v>164</v>
      </c>
      <c r="AH190" s="86">
        <v>0.69699999999999995</v>
      </c>
      <c r="AI190" s="86">
        <v>0.69699999999999995</v>
      </c>
      <c r="AJ190" s="86" t="s">
        <v>326</v>
      </c>
      <c r="AK190" s="96" t="s">
        <v>144</v>
      </c>
      <c r="AL190" s="93" t="s">
        <v>1319</v>
      </c>
      <c r="AM190" s="15"/>
      <c r="AN190" s="15"/>
    </row>
    <row r="191" spans="2:40" x14ac:dyDescent="0.25">
      <c r="B191" s="189">
        <f t="shared" si="30"/>
        <v>132</v>
      </c>
      <c r="C191" s="16">
        <v>20200629</v>
      </c>
      <c r="D191" s="16" t="s">
        <v>2</v>
      </c>
      <c r="E191" s="95" t="s">
        <v>1086</v>
      </c>
      <c r="F191" s="84" t="s">
        <v>1084</v>
      </c>
      <c r="G191" s="48"/>
      <c r="H191" s="16" t="s">
        <v>240</v>
      </c>
      <c r="I191" s="16" t="s">
        <v>1118</v>
      </c>
      <c r="J191" s="16" t="s">
        <v>254</v>
      </c>
      <c r="K191" s="48"/>
      <c r="L191" s="84"/>
      <c r="M191" s="48"/>
      <c r="N191" s="16" t="s">
        <v>1259</v>
      </c>
      <c r="O191" s="84" t="s">
        <v>318</v>
      </c>
      <c r="P191" s="84" t="s">
        <v>1087</v>
      </c>
      <c r="Q191" s="18"/>
      <c r="R191" s="16" t="s">
        <v>1254</v>
      </c>
      <c r="S191" s="16" t="s">
        <v>63</v>
      </c>
      <c r="T191" s="16"/>
      <c r="U191" s="16"/>
      <c r="V191" s="16"/>
      <c r="W191" s="16">
        <f>ROUND(IF(D191=Table!$C$3,Y191*Table!$C$4/8,Y191*Table!$D$4/8),3)</f>
        <v>52</v>
      </c>
      <c r="X191" s="16">
        <f t="shared" ref="X191:X202" si="31">W191</f>
        <v>52</v>
      </c>
      <c r="Y191" s="16">
        <v>3.2</v>
      </c>
      <c r="Z191" s="16">
        <v>1</v>
      </c>
      <c r="AA191" s="15" t="s">
        <v>70</v>
      </c>
      <c r="AB191" s="85">
        <v>44015</v>
      </c>
      <c r="AC191" s="85">
        <v>44011</v>
      </c>
      <c r="AD191" s="85">
        <v>44015</v>
      </c>
      <c r="AE191" s="85">
        <v>44011</v>
      </c>
      <c r="AF191" s="85">
        <v>44011</v>
      </c>
      <c r="AG191" s="85" t="s">
        <v>164</v>
      </c>
      <c r="AH191" s="86">
        <v>1</v>
      </c>
      <c r="AI191" s="86">
        <v>1</v>
      </c>
      <c r="AJ191" s="86">
        <v>1</v>
      </c>
      <c r="AK191" s="96" t="s">
        <v>144</v>
      </c>
      <c r="AL191" s="93"/>
      <c r="AM191" s="15"/>
      <c r="AN191" s="15"/>
    </row>
    <row r="192" spans="2:40" x14ac:dyDescent="0.25">
      <c r="B192" s="189">
        <f t="shared" si="30"/>
        <v>133</v>
      </c>
      <c r="C192" s="16">
        <v>20200629</v>
      </c>
      <c r="D192" s="16" t="s">
        <v>2</v>
      </c>
      <c r="E192" s="95" t="s">
        <v>1086</v>
      </c>
      <c r="F192" s="84" t="s">
        <v>1084</v>
      </c>
      <c r="G192" s="48"/>
      <c r="H192" s="16" t="s">
        <v>1205</v>
      </c>
      <c r="I192" s="16" t="s">
        <v>1119</v>
      </c>
      <c r="J192" s="16" t="s">
        <v>254</v>
      </c>
      <c r="K192" s="48"/>
      <c r="L192" s="84"/>
      <c r="M192" s="48"/>
      <c r="N192" s="16" t="s">
        <v>1259</v>
      </c>
      <c r="O192" s="84" t="s">
        <v>621</v>
      </c>
      <c r="P192" s="84" t="s">
        <v>1087</v>
      </c>
      <c r="Q192" s="18"/>
      <c r="R192" s="16" t="s">
        <v>1254</v>
      </c>
      <c r="S192" s="16" t="s">
        <v>63</v>
      </c>
      <c r="T192" s="16"/>
      <c r="U192" s="16"/>
      <c r="V192" s="16"/>
      <c r="W192" s="16">
        <f>ROUND(IF(D192=Table!$C$3,Y192*Table!$C$4/8,Y192*Table!$D$4/8),3)</f>
        <v>32.5</v>
      </c>
      <c r="X192" s="16">
        <f t="shared" si="31"/>
        <v>32.5</v>
      </c>
      <c r="Y192" s="16">
        <v>2</v>
      </c>
      <c r="Z192" s="16">
        <v>1</v>
      </c>
      <c r="AA192" s="15" t="s">
        <v>70</v>
      </c>
      <c r="AB192" s="85">
        <v>44015</v>
      </c>
      <c r="AC192" s="85">
        <v>44011</v>
      </c>
      <c r="AD192" s="85">
        <v>44015</v>
      </c>
      <c r="AE192" s="85">
        <v>44011</v>
      </c>
      <c r="AF192" s="85">
        <v>44011</v>
      </c>
      <c r="AG192" s="85" t="s">
        <v>164</v>
      </c>
      <c r="AH192" s="86">
        <v>1</v>
      </c>
      <c r="AI192" s="86">
        <v>1</v>
      </c>
      <c r="AJ192" s="86">
        <v>1</v>
      </c>
      <c r="AK192" s="96" t="s">
        <v>144</v>
      </c>
      <c r="AL192" s="93"/>
      <c r="AM192" s="15"/>
      <c r="AN192" s="15"/>
    </row>
    <row r="193" spans="2:40" x14ac:dyDescent="0.25">
      <c r="B193" s="189">
        <f t="shared" si="30"/>
        <v>134</v>
      </c>
      <c r="C193" s="16">
        <v>20200629</v>
      </c>
      <c r="D193" s="16" t="s">
        <v>2</v>
      </c>
      <c r="E193" s="95" t="s">
        <v>1086</v>
      </c>
      <c r="F193" s="84" t="s">
        <v>1084</v>
      </c>
      <c r="G193" s="48"/>
      <c r="H193" s="16" t="s">
        <v>1206</v>
      </c>
      <c r="I193" s="16" t="s">
        <v>1120</v>
      </c>
      <c r="J193" s="16" t="s">
        <v>254</v>
      </c>
      <c r="K193" s="48"/>
      <c r="L193" s="84"/>
      <c r="M193" s="48"/>
      <c r="N193" s="16" t="s">
        <v>1259</v>
      </c>
      <c r="O193" s="84" t="s">
        <v>621</v>
      </c>
      <c r="P193" s="84" t="s">
        <v>1087</v>
      </c>
      <c r="Q193" s="18"/>
      <c r="R193" s="16" t="s">
        <v>1254</v>
      </c>
      <c r="S193" s="16" t="s">
        <v>63</v>
      </c>
      <c r="T193" s="16"/>
      <c r="U193" s="16"/>
      <c r="V193" s="16"/>
      <c r="W193" s="16">
        <f>ROUND(IF(D193=Table!$C$3,Y193*Table!$C$4/8,Y193*Table!$D$4/8),3)</f>
        <v>32.5</v>
      </c>
      <c r="X193" s="16">
        <f t="shared" si="31"/>
        <v>32.5</v>
      </c>
      <c r="Y193" s="16">
        <v>2</v>
      </c>
      <c r="Z193" s="16">
        <v>1</v>
      </c>
      <c r="AA193" s="15" t="s">
        <v>70</v>
      </c>
      <c r="AB193" s="85">
        <v>44015</v>
      </c>
      <c r="AC193" s="85">
        <v>44011</v>
      </c>
      <c r="AD193" s="85">
        <v>44015</v>
      </c>
      <c r="AE193" s="85">
        <v>44011</v>
      </c>
      <c r="AF193" s="85">
        <v>44011</v>
      </c>
      <c r="AG193" s="85" t="s">
        <v>164</v>
      </c>
      <c r="AH193" s="86">
        <v>0.85699999999999998</v>
      </c>
      <c r="AI193" s="86">
        <v>0.85699999999999998</v>
      </c>
      <c r="AJ193" s="86" t="s">
        <v>326</v>
      </c>
      <c r="AK193" s="96" t="s">
        <v>144</v>
      </c>
      <c r="AL193" s="14" t="s">
        <v>1275</v>
      </c>
      <c r="AM193" s="15"/>
      <c r="AN193" s="15"/>
    </row>
    <row r="194" spans="2:40" x14ac:dyDescent="0.25">
      <c r="B194" s="189">
        <f t="shared" si="30"/>
        <v>135</v>
      </c>
      <c r="C194" s="16">
        <v>20200629</v>
      </c>
      <c r="D194" s="16" t="s">
        <v>2</v>
      </c>
      <c r="E194" s="95" t="s">
        <v>1086</v>
      </c>
      <c r="F194" s="84" t="s">
        <v>1084</v>
      </c>
      <c r="G194" s="48"/>
      <c r="H194" s="16" t="s">
        <v>1207</v>
      </c>
      <c r="I194" s="16" t="s">
        <v>1121</v>
      </c>
      <c r="J194" s="16" t="s">
        <v>254</v>
      </c>
      <c r="K194" s="48"/>
      <c r="L194" s="84"/>
      <c r="M194" s="48"/>
      <c r="N194" s="16" t="s">
        <v>1259</v>
      </c>
      <c r="O194" s="84" t="s">
        <v>318</v>
      </c>
      <c r="P194" s="84" t="s">
        <v>1087</v>
      </c>
      <c r="Q194" s="18"/>
      <c r="R194" s="16" t="s">
        <v>1254</v>
      </c>
      <c r="S194" s="16" t="s">
        <v>63</v>
      </c>
      <c r="T194" s="16"/>
      <c r="U194" s="16"/>
      <c r="V194" s="16"/>
      <c r="W194" s="16">
        <f>ROUND(IF(D194=Table!$C$3,Y194*Table!$C$4/8,Y194*Table!$D$4/8),3)</f>
        <v>32.5</v>
      </c>
      <c r="X194" s="16">
        <f t="shared" si="31"/>
        <v>32.5</v>
      </c>
      <c r="Y194" s="16">
        <v>2</v>
      </c>
      <c r="Z194" s="16">
        <v>1</v>
      </c>
      <c r="AA194" s="15" t="s">
        <v>70</v>
      </c>
      <c r="AB194" s="85">
        <v>44015</v>
      </c>
      <c r="AC194" s="85">
        <v>44011</v>
      </c>
      <c r="AD194" s="85">
        <v>44015</v>
      </c>
      <c r="AE194" s="85">
        <v>44011</v>
      </c>
      <c r="AF194" s="85">
        <v>44011</v>
      </c>
      <c r="AG194" s="85" t="s">
        <v>164</v>
      </c>
      <c r="AH194" s="86">
        <v>0.81</v>
      </c>
      <c r="AI194" s="86">
        <v>0.81</v>
      </c>
      <c r="AJ194" s="86">
        <v>1</v>
      </c>
      <c r="AK194" s="96" t="s">
        <v>144</v>
      </c>
      <c r="AL194" s="14" t="s">
        <v>1274</v>
      </c>
      <c r="AM194" s="15"/>
      <c r="AN194" s="15"/>
    </row>
    <row r="195" spans="2:40" x14ac:dyDescent="0.25">
      <c r="B195" s="189">
        <f t="shared" si="30"/>
        <v>136</v>
      </c>
      <c r="C195" s="16">
        <v>20200629</v>
      </c>
      <c r="D195" s="16" t="s">
        <v>2</v>
      </c>
      <c r="E195" s="95" t="s">
        <v>1086</v>
      </c>
      <c r="F195" s="84" t="s">
        <v>1084</v>
      </c>
      <c r="G195" s="48"/>
      <c r="H195" s="16" t="s">
        <v>1208</v>
      </c>
      <c r="I195" s="16" t="s">
        <v>1122</v>
      </c>
      <c r="J195" s="16" t="s">
        <v>254</v>
      </c>
      <c r="K195" s="48"/>
      <c r="L195" s="84"/>
      <c r="M195" s="48"/>
      <c r="N195" s="16" t="s">
        <v>1259</v>
      </c>
      <c r="O195" s="84" t="s">
        <v>318</v>
      </c>
      <c r="P195" s="84" t="s">
        <v>1087</v>
      </c>
      <c r="Q195" s="18"/>
      <c r="R195" s="16" t="s">
        <v>1254</v>
      </c>
      <c r="S195" s="16" t="s">
        <v>63</v>
      </c>
      <c r="T195" s="16"/>
      <c r="U195" s="16"/>
      <c r="V195" s="16"/>
      <c r="W195" s="16">
        <f>ROUND(IF(D195=Table!$C$3,Y195*Table!$C$4/8,Y195*Table!$D$4/8),3)</f>
        <v>32.5</v>
      </c>
      <c r="X195" s="16">
        <f t="shared" si="31"/>
        <v>32.5</v>
      </c>
      <c r="Y195" s="16">
        <v>2</v>
      </c>
      <c r="Z195" s="16">
        <v>1</v>
      </c>
      <c r="AA195" s="15" t="s">
        <v>70</v>
      </c>
      <c r="AB195" s="85">
        <v>44015</v>
      </c>
      <c r="AC195" s="85">
        <v>44011</v>
      </c>
      <c r="AD195" s="85">
        <v>44015</v>
      </c>
      <c r="AE195" s="85">
        <v>44011</v>
      </c>
      <c r="AF195" s="85">
        <v>44011</v>
      </c>
      <c r="AG195" s="85" t="s">
        <v>164</v>
      </c>
      <c r="AH195" s="86">
        <v>0.84599999999999997</v>
      </c>
      <c r="AI195" s="86">
        <v>0.84599999999999997</v>
      </c>
      <c r="AJ195" s="86" t="s">
        <v>326</v>
      </c>
      <c r="AK195" s="96" t="s">
        <v>144</v>
      </c>
      <c r="AL195" s="14" t="s">
        <v>1273</v>
      </c>
      <c r="AM195" s="15"/>
      <c r="AN195" s="15"/>
    </row>
    <row r="196" spans="2:40" x14ac:dyDescent="0.25">
      <c r="B196" s="189">
        <f t="shared" si="30"/>
        <v>137</v>
      </c>
      <c r="C196" s="16">
        <v>20200629</v>
      </c>
      <c r="D196" s="16" t="s">
        <v>2</v>
      </c>
      <c r="E196" s="95" t="s">
        <v>1086</v>
      </c>
      <c r="F196" s="84" t="s">
        <v>1084</v>
      </c>
      <c r="G196" s="48"/>
      <c r="H196" s="16" t="s">
        <v>267</v>
      </c>
      <c r="I196" s="16" t="s">
        <v>1123</v>
      </c>
      <c r="J196" s="16" t="s">
        <v>254</v>
      </c>
      <c r="K196" s="48"/>
      <c r="L196" s="84"/>
      <c r="M196" s="48"/>
      <c r="N196" s="16" t="s">
        <v>1259</v>
      </c>
      <c r="O196" s="84" t="s">
        <v>618</v>
      </c>
      <c r="P196" s="84" t="s">
        <v>1087</v>
      </c>
      <c r="Q196" s="18"/>
      <c r="R196" s="16" t="s">
        <v>1254</v>
      </c>
      <c r="S196" s="16" t="s">
        <v>63</v>
      </c>
      <c r="T196" s="16"/>
      <c r="U196" s="16"/>
      <c r="V196" s="16"/>
      <c r="W196" s="16">
        <f>ROUND(IF(D196=Table!$C$3,Y196*Table!$C$4/8,Y196*Table!$D$4/8),3)</f>
        <v>32.5</v>
      </c>
      <c r="X196" s="16">
        <f t="shared" si="31"/>
        <v>32.5</v>
      </c>
      <c r="Y196" s="16">
        <v>2</v>
      </c>
      <c r="Z196" s="16">
        <v>1</v>
      </c>
      <c r="AA196" s="15" t="s">
        <v>70</v>
      </c>
      <c r="AB196" s="85">
        <v>44015</v>
      </c>
      <c r="AC196" s="85">
        <v>44011</v>
      </c>
      <c r="AD196" s="85">
        <v>44015</v>
      </c>
      <c r="AE196" s="85">
        <v>44011</v>
      </c>
      <c r="AF196" s="85">
        <v>44011</v>
      </c>
      <c r="AG196" s="85" t="s">
        <v>164</v>
      </c>
      <c r="AH196" s="86">
        <v>0.81799999999999995</v>
      </c>
      <c r="AI196" s="86">
        <v>0.81799999999999995</v>
      </c>
      <c r="AJ196" s="86" t="s">
        <v>326</v>
      </c>
      <c r="AK196" s="96" t="s">
        <v>144</v>
      </c>
      <c r="AL196" s="93" t="s">
        <v>1272</v>
      </c>
      <c r="AM196" s="15"/>
      <c r="AN196" s="15"/>
    </row>
    <row r="197" spans="2:40" x14ac:dyDescent="0.25">
      <c r="B197" s="189">
        <f t="shared" si="30"/>
        <v>138</v>
      </c>
      <c r="C197" s="16">
        <v>20200629</v>
      </c>
      <c r="D197" s="16" t="s">
        <v>2</v>
      </c>
      <c r="E197" s="95" t="s">
        <v>1086</v>
      </c>
      <c r="F197" s="84" t="s">
        <v>1084</v>
      </c>
      <c r="G197" s="48"/>
      <c r="H197" s="16" t="s">
        <v>268</v>
      </c>
      <c r="I197" s="16" t="s">
        <v>1124</v>
      </c>
      <c r="J197" s="16" t="s">
        <v>254</v>
      </c>
      <c r="K197" s="48"/>
      <c r="L197" s="84"/>
      <c r="M197" s="48"/>
      <c r="N197" s="16" t="s">
        <v>1259</v>
      </c>
      <c r="O197" s="84" t="s">
        <v>318</v>
      </c>
      <c r="P197" s="84" t="s">
        <v>1087</v>
      </c>
      <c r="Q197" s="18"/>
      <c r="R197" s="16" t="s">
        <v>1254</v>
      </c>
      <c r="S197" s="16" t="s">
        <v>63</v>
      </c>
      <c r="T197" s="16"/>
      <c r="U197" s="16"/>
      <c r="V197" s="16"/>
      <c r="W197" s="16">
        <f>ROUND(IF(D197=Table!$C$3,Y197*Table!$C$4/8,Y197*Table!$D$4/8),3)</f>
        <v>32.5</v>
      </c>
      <c r="X197" s="16">
        <f t="shared" si="31"/>
        <v>32.5</v>
      </c>
      <c r="Y197" s="16">
        <v>2</v>
      </c>
      <c r="Z197" s="16">
        <v>1</v>
      </c>
      <c r="AA197" s="15" t="s">
        <v>70</v>
      </c>
      <c r="AB197" s="85">
        <v>44015</v>
      </c>
      <c r="AC197" s="85">
        <v>44011</v>
      </c>
      <c r="AD197" s="85">
        <v>44015</v>
      </c>
      <c r="AE197" s="85">
        <v>44011</v>
      </c>
      <c r="AF197" s="85">
        <v>44011</v>
      </c>
      <c r="AG197" s="85" t="s">
        <v>164</v>
      </c>
      <c r="AH197" s="86">
        <v>1</v>
      </c>
      <c r="AI197" s="86">
        <v>1</v>
      </c>
      <c r="AJ197" s="86">
        <v>1</v>
      </c>
      <c r="AK197" s="96" t="s">
        <v>144</v>
      </c>
      <c r="AL197" s="93"/>
      <c r="AM197" s="15"/>
      <c r="AN197" s="15"/>
    </row>
    <row r="198" spans="2:40" x14ac:dyDescent="0.25">
      <c r="B198" s="189">
        <f t="shared" si="30"/>
        <v>139</v>
      </c>
      <c r="C198" s="16">
        <v>20200629</v>
      </c>
      <c r="D198" s="16" t="s">
        <v>2</v>
      </c>
      <c r="E198" s="95" t="s">
        <v>1086</v>
      </c>
      <c r="F198" s="84" t="s">
        <v>1084</v>
      </c>
      <c r="G198" s="48"/>
      <c r="H198" s="16" t="s">
        <v>1209</v>
      </c>
      <c r="I198" s="16" t="s">
        <v>1125</v>
      </c>
      <c r="J198" s="16" t="s">
        <v>254</v>
      </c>
      <c r="K198" s="48"/>
      <c r="L198" s="84"/>
      <c r="M198" s="48"/>
      <c r="N198" s="16" t="s">
        <v>1259</v>
      </c>
      <c r="O198" s="84" t="s">
        <v>618</v>
      </c>
      <c r="P198" s="84" t="s">
        <v>1087</v>
      </c>
      <c r="Q198" s="18"/>
      <c r="R198" s="16" t="s">
        <v>1254</v>
      </c>
      <c r="S198" s="16" t="s">
        <v>63</v>
      </c>
      <c r="T198" s="16"/>
      <c r="U198" s="16"/>
      <c r="V198" s="16"/>
      <c r="W198" s="16">
        <f>ROUND(IF(D198=Table!$C$3,Y198*Table!$C$4/8,Y198*Table!$D$4/8),3)</f>
        <v>32.5</v>
      </c>
      <c r="X198" s="16">
        <f t="shared" si="31"/>
        <v>32.5</v>
      </c>
      <c r="Y198" s="16">
        <v>2</v>
      </c>
      <c r="Z198" s="16">
        <v>1</v>
      </c>
      <c r="AA198" s="15" t="s">
        <v>70</v>
      </c>
      <c r="AB198" s="85">
        <v>44015</v>
      </c>
      <c r="AC198" s="85">
        <v>44011</v>
      </c>
      <c r="AD198" s="85">
        <v>44015</v>
      </c>
      <c r="AE198" s="85">
        <v>44011</v>
      </c>
      <c r="AF198" s="85">
        <v>44011</v>
      </c>
      <c r="AG198" s="85" t="s">
        <v>164</v>
      </c>
      <c r="AH198" s="86">
        <v>0.86699999999999999</v>
      </c>
      <c r="AI198" s="86">
        <v>0.86699999999999999</v>
      </c>
      <c r="AJ198" s="86">
        <v>1</v>
      </c>
      <c r="AK198" s="96" t="s">
        <v>144</v>
      </c>
      <c r="AL198" s="93" t="s">
        <v>1263</v>
      </c>
      <c r="AM198" s="15"/>
      <c r="AN198" s="15"/>
    </row>
    <row r="199" spans="2:40" x14ac:dyDescent="0.25">
      <c r="B199" s="189">
        <f t="shared" si="30"/>
        <v>140</v>
      </c>
      <c r="C199" s="16">
        <v>20200629</v>
      </c>
      <c r="D199" s="16" t="s">
        <v>2</v>
      </c>
      <c r="E199" s="95" t="s">
        <v>1086</v>
      </c>
      <c r="F199" s="84" t="s">
        <v>1084</v>
      </c>
      <c r="G199" s="48"/>
      <c r="H199" s="16" t="s">
        <v>1210</v>
      </c>
      <c r="I199" s="16" t="s">
        <v>1126</v>
      </c>
      <c r="J199" s="16" t="s">
        <v>254</v>
      </c>
      <c r="K199" s="48"/>
      <c r="L199" s="84"/>
      <c r="M199" s="48"/>
      <c r="N199" s="16" t="s">
        <v>1259</v>
      </c>
      <c r="O199" s="84" t="s">
        <v>1177</v>
      </c>
      <c r="P199" s="84" t="s">
        <v>1087</v>
      </c>
      <c r="Q199" s="18"/>
      <c r="R199" s="16" t="s">
        <v>1254</v>
      </c>
      <c r="S199" s="16" t="s">
        <v>63</v>
      </c>
      <c r="T199" s="16"/>
      <c r="U199" s="16"/>
      <c r="V199" s="16"/>
      <c r="W199" s="16">
        <f>ROUND(IF(D199=Table!$C$3,Y199*Table!$C$4/8,Y199*Table!$D$4/8),3)</f>
        <v>32.5</v>
      </c>
      <c r="X199" s="16">
        <f t="shared" si="31"/>
        <v>32.5</v>
      </c>
      <c r="Y199" s="16">
        <v>2</v>
      </c>
      <c r="Z199" s="16">
        <v>1</v>
      </c>
      <c r="AA199" s="15" t="s">
        <v>70</v>
      </c>
      <c r="AB199" s="85">
        <v>44015</v>
      </c>
      <c r="AC199" s="85">
        <v>44011</v>
      </c>
      <c r="AD199" s="85">
        <v>44015</v>
      </c>
      <c r="AE199" s="85">
        <v>44011</v>
      </c>
      <c r="AF199" s="85">
        <v>44011</v>
      </c>
      <c r="AG199" s="85" t="s">
        <v>164</v>
      </c>
      <c r="AH199" s="86">
        <v>0.9</v>
      </c>
      <c r="AI199" s="86">
        <v>0.9</v>
      </c>
      <c r="AJ199" s="86">
        <v>1</v>
      </c>
      <c r="AK199" s="96" t="s">
        <v>144</v>
      </c>
      <c r="AL199" s="14" t="s">
        <v>1262</v>
      </c>
      <c r="AM199" s="15"/>
      <c r="AN199" s="15"/>
    </row>
    <row r="200" spans="2:40" x14ac:dyDescent="0.25">
      <c r="B200" s="189">
        <f t="shared" si="30"/>
        <v>141</v>
      </c>
      <c r="C200" s="16">
        <v>20200629</v>
      </c>
      <c r="D200" s="16" t="s">
        <v>2</v>
      </c>
      <c r="E200" s="95" t="s">
        <v>1086</v>
      </c>
      <c r="F200" s="84" t="s">
        <v>1084</v>
      </c>
      <c r="G200" s="48"/>
      <c r="H200" s="16" t="s">
        <v>1211</v>
      </c>
      <c r="I200" s="16" t="s">
        <v>1127</v>
      </c>
      <c r="J200" s="16" t="s">
        <v>254</v>
      </c>
      <c r="K200" s="48"/>
      <c r="L200" s="84"/>
      <c r="M200" s="48"/>
      <c r="N200" s="16" t="s">
        <v>1259</v>
      </c>
      <c r="O200" s="84" t="s">
        <v>318</v>
      </c>
      <c r="P200" s="84" t="s">
        <v>1087</v>
      </c>
      <c r="Q200" s="18"/>
      <c r="R200" s="16" t="s">
        <v>1254</v>
      </c>
      <c r="S200" s="16" t="s">
        <v>63</v>
      </c>
      <c r="T200" s="16"/>
      <c r="U200" s="16"/>
      <c r="V200" s="16"/>
      <c r="W200" s="16">
        <f>ROUND(IF(D200=Table!$C$3,Y200*Table!$C$4/8,Y200*Table!$D$4/8),3)</f>
        <v>52</v>
      </c>
      <c r="X200" s="16">
        <f t="shared" si="31"/>
        <v>52</v>
      </c>
      <c r="Y200" s="16">
        <v>3.2</v>
      </c>
      <c r="Z200" s="16">
        <v>1</v>
      </c>
      <c r="AA200" s="15" t="s">
        <v>70</v>
      </c>
      <c r="AB200" s="85">
        <v>44015</v>
      </c>
      <c r="AC200" s="85">
        <v>44011</v>
      </c>
      <c r="AD200" s="85">
        <v>44015</v>
      </c>
      <c r="AE200" s="85">
        <v>44011</v>
      </c>
      <c r="AF200" s="85">
        <v>44011</v>
      </c>
      <c r="AG200" s="85" t="s">
        <v>164</v>
      </c>
      <c r="AH200" s="86">
        <v>1</v>
      </c>
      <c r="AI200" s="86">
        <v>1</v>
      </c>
      <c r="AJ200" s="86">
        <v>1</v>
      </c>
      <c r="AK200" s="96" t="s">
        <v>144</v>
      </c>
      <c r="AL200" s="93"/>
      <c r="AM200" s="15"/>
      <c r="AN200" s="15"/>
    </row>
    <row r="201" spans="2:40" x14ac:dyDescent="0.25">
      <c r="B201" s="189">
        <f t="shared" si="30"/>
        <v>142</v>
      </c>
      <c r="C201" s="16">
        <v>20200629</v>
      </c>
      <c r="D201" s="16" t="s">
        <v>2</v>
      </c>
      <c r="E201" s="95" t="s">
        <v>1086</v>
      </c>
      <c r="F201" s="84" t="s">
        <v>1084</v>
      </c>
      <c r="G201" s="48"/>
      <c r="H201" s="16" t="s">
        <v>1212</v>
      </c>
      <c r="I201" s="16" t="s">
        <v>1128</v>
      </c>
      <c r="J201" s="16" t="s">
        <v>254</v>
      </c>
      <c r="K201" s="48"/>
      <c r="L201" s="84"/>
      <c r="M201" s="48"/>
      <c r="N201" s="16" t="s">
        <v>1259</v>
      </c>
      <c r="O201" s="84" t="s">
        <v>618</v>
      </c>
      <c r="P201" s="84" t="s">
        <v>1087</v>
      </c>
      <c r="Q201" s="18"/>
      <c r="R201" s="16" t="s">
        <v>1254</v>
      </c>
      <c r="S201" s="16" t="s">
        <v>63</v>
      </c>
      <c r="T201" s="16"/>
      <c r="U201" s="16"/>
      <c r="V201" s="16"/>
      <c r="W201" s="16">
        <f>ROUND(IF(D201=Table!$C$3,Y201*Table!$C$4/8,Y201*Table!$D$4/8),3)</f>
        <v>39</v>
      </c>
      <c r="X201" s="16">
        <f t="shared" si="31"/>
        <v>39</v>
      </c>
      <c r="Y201" s="16">
        <v>2.4</v>
      </c>
      <c r="Z201" s="16">
        <v>1</v>
      </c>
      <c r="AA201" s="15" t="s">
        <v>70</v>
      </c>
      <c r="AB201" s="85">
        <v>44015</v>
      </c>
      <c r="AC201" s="85">
        <v>44011</v>
      </c>
      <c r="AD201" s="85">
        <v>44015</v>
      </c>
      <c r="AE201" s="85">
        <v>44011</v>
      </c>
      <c r="AF201" s="85">
        <v>44011</v>
      </c>
      <c r="AG201" s="85" t="s">
        <v>164</v>
      </c>
      <c r="AH201" s="86">
        <v>1</v>
      </c>
      <c r="AI201" s="86">
        <v>1</v>
      </c>
      <c r="AJ201" s="86" t="s">
        <v>326</v>
      </c>
      <c r="AK201" s="96" t="s">
        <v>144</v>
      </c>
      <c r="AL201" s="93"/>
      <c r="AM201" s="15"/>
      <c r="AN201" s="15"/>
    </row>
    <row r="202" spans="2:40" x14ac:dyDescent="0.25">
      <c r="B202" s="189">
        <f t="shared" si="30"/>
        <v>143</v>
      </c>
      <c r="C202" s="16">
        <v>20200629</v>
      </c>
      <c r="D202" s="16" t="s">
        <v>2</v>
      </c>
      <c r="E202" s="95" t="s">
        <v>1086</v>
      </c>
      <c r="F202" s="84" t="s">
        <v>1084</v>
      </c>
      <c r="G202" s="48"/>
      <c r="H202" s="16" t="s">
        <v>1213</v>
      </c>
      <c r="I202" s="16" t="s">
        <v>1129</v>
      </c>
      <c r="J202" s="16" t="s">
        <v>254</v>
      </c>
      <c r="K202" s="48"/>
      <c r="L202" s="84"/>
      <c r="M202" s="48"/>
      <c r="N202" s="16" t="s">
        <v>1259</v>
      </c>
      <c r="O202" s="84" t="s">
        <v>281</v>
      </c>
      <c r="P202" s="84" t="s">
        <v>1087</v>
      </c>
      <c r="Q202" s="18"/>
      <c r="R202" s="16" t="s">
        <v>1254</v>
      </c>
      <c r="S202" s="16" t="s">
        <v>63</v>
      </c>
      <c r="T202" s="16"/>
      <c r="U202" s="16"/>
      <c r="V202" s="16"/>
      <c r="W202" s="16">
        <f>ROUND(IF(D202=Table!$C$3,Y202*Table!$C$4/8,Y202*Table!$D$4/8),3)</f>
        <v>32.5</v>
      </c>
      <c r="X202" s="16">
        <f t="shared" si="31"/>
        <v>32.5</v>
      </c>
      <c r="Y202" s="16">
        <v>2</v>
      </c>
      <c r="Z202" s="16">
        <v>1</v>
      </c>
      <c r="AA202" s="15" t="s">
        <v>70</v>
      </c>
      <c r="AB202" s="85">
        <v>44015</v>
      </c>
      <c r="AC202" s="85">
        <v>44011</v>
      </c>
      <c r="AD202" s="85">
        <v>44015</v>
      </c>
      <c r="AE202" s="85">
        <v>44011</v>
      </c>
      <c r="AF202" s="85">
        <v>44011</v>
      </c>
      <c r="AG202" s="85" t="s">
        <v>164</v>
      </c>
      <c r="AH202" s="86">
        <v>0.81799999999999995</v>
      </c>
      <c r="AI202" s="86">
        <v>0.81799999999999995</v>
      </c>
      <c r="AJ202" s="86">
        <v>1</v>
      </c>
      <c r="AK202" s="96" t="s">
        <v>144</v>
      </c>
      <c r="AL202" s="14" t="s">
        <v>1260</v>
      </c>
      <c r="AM202" s="15"/>
      <c r="AN202" s="15"/>
    </row>
    <row r="203" spans="2:40" x14ac:dyDescent="0.25">
      <c r="B203" s="189">
        <f t="shared" si="30"/>
        <v>144</v>
      </c>
      <c r="C203" s="16">
        <v>20200629</v>
      </c>
      <c r="D203" s="16" t="s">
        <v>2</v>
      </c>
      <c r="E203" s="95" t="s">
        <v>1086</v>
      </c>
      <c r="F203" s="84" t="s">
        <v>1084</v>
      </c>
      <c r="G203" s="48"/>
      <c r="H203" s="16" t="s">
        <v>1214</v>
      </c>
      <c r="I203" s="16" t="s">
        <v>1130</v>
      </c>
      <c r="J203" s="16" t="s">
        <v>254</v>
      </c>
      <c r="K203" s="48"/>
      <c r="L203" s="84"/>
      <c r="M203" s="48"/>
      <c r="N203" s="16" t="s">
        <v>1259</v>
      </c>
      <c r="O203" s="84" t="s">
        <v>281</v>
      </c>
      <c r="P203" s="84" t="s">
        <v>1087</v>
      </c>
      <c r="Q203" s="18"/>
      <c r="R203" s="16" t="s">
        <v>1255</v>
      </c>
      <c r="S203" s="16" t="s">
        <v>62</v>
      </c>
      <c r="T203" s="16"/>
      <c r="U203" s="16"/>
      <c r="V203" s="16"/>
      <c r="W203" s="16">
        <f>ROUND(IF(D203=Table!$C$3,Y203*Table!$C$4/8,Y203*Table!$D$4/8),3)</f>
        <v>32.5</v>
      </c>
      <c r="X203" s="16">
        <f t="shared" ref="X203:X209" si="32">W203</f>
        <v>32.5</v>
      </c>
      <c r="Y203" s="16">
        <v>2</v>
      </c>
      <c r="Z203" s="16">
        <v>1</v>
      </c>
      <c r="AA203" s="15" t="s">
        <v>70</v>
      </c>
      <c r="AB203" s="85">
        <v>44015</v>
      </c>
      <c r="AC203" s="85">
        <v>44011</v>
      </c>
      <c r="AD203" s="85">
        <v>44015</v>
      </c>
      <c r="AE203" s="85">
        <v>44012</v>
      </c>
      <c r="AF203" s="85">
        <v>44012</v>
      </c>
      <c r="AG203" s="85" t="s">
        <v>164</v>
      </c>
      <c r="AH203" s="86">
        <v>0.875</v>
      </c>
      <c r="AI203" s="86">
        <v>0.88200000000000001</v>
      </c>
      <c r="AJ203" s="86">
        <v>1</v>
      </c>
      <c r="AK203" s="96"/>
      <c r="AL203" s="93" t="s">
        <v>1441</v>
      </c>
      <c r="AM203" s="15"/>
      <c r="AN203" s="15"/>
    </row>
    <row r="204" spans="2:40" x14ac:dyDescent="0.25">
      <c r="B204" s="189">
        <f t="shared" si="30"/>
        <v>145</v>
      </c>
      <c r="C204" s="16">
        <v>20200629</v>
      </c>
      <c r="D204" s="16" t="s">
        <v>2</v>
      </c>
      <c r="E204" s="95" t="s">
        <v>1086</v>
      </c>
      <c r="F204" s="84" t="s">
        <v>1084</v>
      </c>
      <c r="G204" s="48"/>
      <c r="H204" s="16" t="s">
        <v>241</v>
      </c>
      <c r="I204" s="16" t="s">
        <v>1131</v>
      </c>
      <c r="J204" s="16" t="s">
        <v>254</v>
      </c>
      <c r="K204" s="48"/>
      <c r="L204" s="84"/>
      <c r="M204" s="48"/>
      <c r="N204" s="16" t="s">
        <v>1259</v>
      </c>
      <c r="O204" s="84" t="s">
        <v>620</v>
      </c>
      <c r="P204" s="84" t="s">
        <v>1087</v>
      </c>
      <c r="Q204" s="18"/>
      <c r="R204" s="16" t="s">
        <v>1255</v>
      </c>
      <c r="S204" s="16" t="s">
        <v>62</v>
      </c>
      <c r="T204" s="16"/>
      <c r="U204" s="16"/>
      <c r="V204" s="16"/>
      <c r="W204" s="16">
        <f>ROUND(IF(D204=Table!$C$3,Y204*Table!$C$4/8,Y204*Table!$D$4/8),3)</f>
        <v>35.1</v>
      </c>
      <c r="X204" s="16">
        <f t="shared" si="32"/>
        <v>35.1</v>
      </c>
      <c r="Y204" s="16">
        <v>2.16</v>
      </c>
      <c r="Z204" s="16">
        <v>1</v>
      </c>
      <c r="AA204" s="15" t="s">
        <v>70</v>
      </c>
      <c r="AB204" s="85">
        <v>44015</v>
      </c>
      <c r="AC204" s="85">
        <v>44011</v>
      </c>
      <c r="AD204" s="85">
        <v>44015</v>
      </c>
      <c r="AE204" s="85">
        <v>44012</v>
      </c>
      <c r="AF204" s="85">
        <v>44012</v>
      </c>
      <c r="AG204" s="85" t="s">
        <v>164</v>
      </c>
      <c r="AH204" s="86">
        <v>0.85199999999999998</v>
      </c>
      <c r="AI204" s="86">
        <v>0.85199999999999998</v>
      </c>
      <c r="AJ204" s="86">
        <v>1</v>
      </c>
      <c r="AK204" s="96"/>
      <c r="AL204" s="93" t="s">
        <v>1439</v>
      </c>
      <c r="AM204" s="15"/>
      <c r="AN204" s="15"/>
    </row>
    <row r="205" spans="2:40" x14ac:dyDescent="0.25">
      <c r="B205" s="189">
        <f t="shared" si="30"/>
        <v>146</v>
      </c>
      <c r="C205" s="16">
        <v>20200629</v>
      </c>
      <c r="D205" s="16" t="s">
        <v>2</v>
      </c>
      <c r="E205" s="95" t="s">
        <v>1086</v>
      </c>
      <c r="F205" s="84" t="s">
        <v>1084</v>
      </c>
      <c r="G205" s="48"/>
      <c r="H205" s="16" t="s">
        <v>242</v>
      </c>
      <c r="I205" s="16" t="s">
        <v>1132</v>
      </c>
      <c r="J205" s="16" t="s">
        <v>254</v>
      </c>
      <c r="K205" s="48"/>
      <c r="L205" s="84"/>
      <c r="M205" s="48"/>
      <c r="N205" s="16" t="s">
        <v>1259</v>
      </c>
      <c r="O205" s="84" t="s">
        <v>618</v>
      </c>
      <c r="P205" s="84" t="s">
        <v>1087</v>
      </c>
      <c r="Q205" s="18"/>
      <c r="R205" s="16" t="s">
        <v>1255</v>
      </c>
      <c r="S205" s="16" t="s">
        <v>62</v>
      </c>
      <c r="T205" s="16"/>
      <c r="U205" s="16"/>
      <c r="V205" s="16"/>
      <c r="W205" s="16">
        <f>ROUND(IF(D205=Table!$C$3,Y205*Table!$C$4/8,Y205*Table!$D$4/8),3)</f>
        <v>32.5</v>
      </c>
      <c r="X205" s="16">
        <f t="shared" si="32"/>
        <v>32.5</v>
      </c>
      <c r="Y205" s="16">
        <v>2</v>
      </c>
      <c r="Z205" s="16">
        <v>1</v>
      </c>
      <c r="AA205" s="15" t="s">
        <v>70</v>
      </c>
      <c r="AB205" s="85">
        <v>44015</v>
      </c>
      <c r="AC205" s="85">
        <v>44011</v>
      </c>
      <c r="AD205" s="85">
        <v>44015</v>
      </c>
      <c r="AE205" s="85">
        <v>44012</v>
      </c>
      <c r="AF205" s="85">
        <v>44012</v>
      </c>
      <c r="AG205" s="85" t="s">
        <v>164</v>
      </c>
      <c r="AH205" s="86">
        <v>1</v>
      </c>
      <c r="AI205" s="86">
        <v>1</v>
      </c>
      <c r="AJ205" s="86" t="s">
        <v>326</v>
      </c>
      <c r="AK205" s="96"/>
      <c r="AL205" s="93"/>
      <c r="AM205" s="15"/>
      <c r="AN205" s="15"/>
    </row>
    <row r="206" spans="2:40" x14ac:dyDescent="0.25">
      <c r="B206" s="189">
        <f t="shared" si="30"/>
        <v>147</v>
      </c>
      <c r="C206" s="16">
        <v>20200629</v>
      </c>
      <c r="D206" s="16" t="s">
        <v>2</v>
      </c>
      <c r="E206" s="95" t="s">
        <v>1086</v>
      </c>
      <c r="F206" s="84" t="s">
        <v>1084</v>
      </c>
      <c r="G206" s="48"/>
      <c r="H206" s="16" t="s">
        <v>243</v>
      </c>
      <c r="I206" s="16" t="s">
        <v>1133</v>
      </c>
      <c r="J206" s="16" t="s">
        <v>255</v>
      </c>
      <c r="K206" s="48"/>
      <c r="L206" s="84"/>
      <c r="M206" s="48"/>
      <c r="N206" s="16" t="s">
        <v>1259</v>
      </c>
      <c r="O206" s="84" t="s">
        <v>618</v>
      </c>
      <c r="P206" s="84" t="s">
        <v>1087</v>
      </c>
      <c r="Q206" s="18"/>
      <c r="R206" s="16" t="s">
        <v>1255</v>
      </c>
      <c r="S206" s="16" t="s">
        <v>62</v>
      </c>
      <c r="T206" s="16"/>
      <c r="U206" s="16"/>
      <c r="V206" s="16"/>
      <c r="W206" s="16">
        <f>ROUND(IF(D206=Table!$C$3,Y206*Table!$C$4/8,Y206*Table!$D$4/8),3)</f>
        <v>35.1</v>
      </c>
      <c r="X206" s="16">
        <f t="shared" si="32"/>
        <v>35.1</v>
      </c>
      <c r="Y206" s="16">
        <v>2.16</v>
      </c>
      <c r="Z206" s="16">
        <v>1</v>
      </c>
      <c r="AA206" s="15" t="s">
        <v>70</v>
      </c>
      <c r="AB206" s="85">
        <v>44015</v>
      </c>
      <c r="AC206" s="85">
        <v>44011</v>
      </c>
      <c r="AD206" s="85">
        <v>44015</v>
      </c>
      <c r="AE206" s="85">
        <v>44012</v>
      </c>
      <c r="AF206" s="85">
        <v>44012</v>
      </c>
      <c r="AG206" s="85" t="s">
        <v>164</v>
      </c>
      <c r="AH206" s="86">
        <v>1</v>
      </c>
      <c r="AI206" s="86">
        <v>1</v>
      </c>
      <c r="AJ206" s="86">
        <v>1</v>
      </c>
      <c r="AK206" s="96"/>
      <c r="AL206" s="93"/>
      <c r="AM206" s="15"/>
      <c r="AN206" s="15"/>
    </row>
    <row r="207" spans="2:40" x14ac:dyDescent="0.25">
      <c r="B207" s="189">
        <f t="shared" si="30"/>
        <v>148</v>
      </c>
      <c r="C207" s="16">
        <v>20200629</v>
      </c>
      <c r="D207" s="16" t="s">
        <v>2</v>
      </c>
      <c r="E207" s="95" t="s">
        <v>1086</v>
      </c>
      <c r="F207" s="84" t="s">
        <v>1084</v>
      </c>
      <c r="G207" s="48"/>
      <c r="H207" s="16" t="s">
        <v>317</v>
      </c>
      <c r="I207" s="16" t="s">
        <v>1134</v>
      </c>
      <c r="J207" s="16" t="s">
        <v>255</v>
      </c>
      <c r="K207" s="48"/>
      <c r="L207" s="84"/>
      <c r="M207" s="48"/>
      <c r="N207" s="16" t="s">
        <v>1259</v>
      </c>
      <c r="O207" s="84" t="s">
        <v>621</v>
      </c>
      <c r="P207" s="84" t="s">
        <v>1087</v>
      </c>
      <c r="Q207" s="18"/>
      <c r="R207" s="16" t="s">
        <v>1255</v>
      </c>
      <c r="S207" s="16" t="s">
        <v>62</v>
      </c>
      <c r="T207" s="16"/>
      <c r="U207" s="16"/>
      <c r="V207" s="16"/>
      <c r="W207" s="16">
        <f>ROUND(IF(D207=Table!$C$3,Y207*Table!$C$4/8,Y207*Table!$D$4/8),3)</f>
        <v>32.5</v>
      </c>
      <c r="X207" s="16">
        <f t="shared" si="32"/>
        <v>32.5</v>
      </c>
      <c r="Y207" s="16">
        <v>2</v>
      </c>
      <c r="Z207" s="16">
        <v>1</v>
      </c>
      <c r="AA207" s="15" t="s">
        <v>70</v>
      </c>
      <c r="AB207" s="85">
        <v>44015</v>
      </c>
      <c r="AC207" s="85">
        <v>44011</v>
      </c>
      <c r="AD207" s="85">
        <v>44015</v>
      </c>
      <c r="AE207" s="85">
        <v>44012</v>
      </c>
      <c r="AF207" s="85">
        <v>44012</v>
      </c>
      <c r="AG207" s="85" t="s">
        <v>164</v>
      </c>
      <c r="AH207" s="86">
        <v>1</v>
      </c>
      <c r="AI207" s="86">
        <v>1</v>
      </c>
      <c r="AJ207" s="86">
        <v>1</v>
      </c>
      <c r="AK207" s="96"/>
      <c r="AL207" s="93"/>
      <c r="AM207" s="15"/>
      <c r="AN207" s="15"/>
    </row>
    <row r="208" spans="2:40" x14ac:dyDescent="0.25">
      <c r="B208" s="189">
        <f t="shared" si="30"/>
        <v>149</v>
      </c>
      <c r="C208" s="16">
        <v>20200629</v>
      </c>
      <c r="D208" s="16" t="s">
        <v>2</v>
      </c>
      <c r="E208" s="95" t="s">
        <v>1086</v>
      </c>
      <c r="F208" s="84" t="s">
        <v>1084</v>
      </c>
      <c r="G208" s="48"/>
      <c r="H208" s="16" t="s">
        <v>244</v>
      </c>
      <c r="I208" s="16" t="s">
        <v>1135</v>
      </c>
      <c r="J208" s="16" t="s">
        <v>254</v>
      </c>
      <c r="K208" s="48"/>
      <c r="L208" s="84"/>
      <c r="M208" s="48"/>
      <c r="N208" s="16" t="s">
        <v>1259</v>
      </c>
      <c r="O208" s="84" t="s">
        <v>621</v>
      </c>
      <c r="P208" s="84" t="s">
        <v>1087</v>
      </c>
      <c r="Q208" s="18"/>
      <c r="R208" s="16" t="s">
        <v>1255</v>
      </c>
      <c r="S208" s="16" t="s">
        <v>62</v>
      </c>
      <c r="T208" s="16"/>
      <c r="U208" s="16"/>
      <c r="V208" s="16"/>
      <c r="W208" s="16">
        <f>ROUND(IF(D208=Table!$C$3,Y208*Table!$C$4/8,Y208*Table!$D$4/8),3)</f>
        <v>39</v>
      </c>
      <c r="X208" s="16">
        <f t="shared" si="32"/>
        <v>39</v>
      </c>
      <c r="Y208" s="16">
        <v>2.4</v>
      </c>
      <c r="Z208" s="16">
        <v>1</v>
      </c>
      <c r="AA208" s="15" t="s">
        <v>70</v>
      </c>
      <c r="AB208" s="85">
        <v>44015</v>
      </c>
      <c r="AC208" s="85">
        <v>44011</v>
      </c>
      <c r="AD208" s="85">
        <v>44015</v>
      </c>
      <c r="AE208" s="85">
        <v>44012</v>
      </c>
      <c r="AF208" s="85">
        <v>44012</v>
      </c>
      <c r="AG208" s="85" t="s">
        <v>164</v>
      </c>
      <c r="AH208" s="86">
        <v>1</v>
      </c>
      <c r="AI208" s="86">
        <v>1</v>
      </c>
      <c r="AJ208" s="86">
        <v>1</v>
      </c>
      <c r="AK208" s="96"/>
      <c r="AL208" s="93"/>
      <c r="AM208" s="15"/>
      <c r="AN208" s="15"/>
    </row>
    <row r="209" spans="2:40" x14ac:dyDescent="0.25">
      <c r="B209" s="189">
        <f t="shared" si="30"/>
        <v>150</v>
      </c>
      <c r="C209" s="16">
        <v>20200629</v>
      </c>
      <c r="D209" s="16" t="s">
        <v>2</v>
      </c>
      <c r="E209" s="95" t="s">
        <v>1086</v>
      </c>
      <c r="F209" s="84" t="s">
        <v>1084</v>
      </c>
      <c r="G209" s="48"/>
      <c r="H209" s="16" t="s">
        <v>1215</v>
      </c>
      <c r="I209" s="18" t="s">
        <v>1136</v>
      </c>
      <c r="J209" s="16" t="s">
        <v>254</v>
      </c>
      <c r="K209" s="48"/>
      <c r="L209" s="84"/>
      <c r="M209" s="48"/>
      <c r="N209" s="16" t="s">
        <v>1259</v>
      </c>
      <c r="O209" s="84" t="s">
        <v>619</v>
      </c>
      <c r="P209" s="84" t="s">
        <v>1087</v>
      </c>
      <c r="Q209" s="18"/>
      <c r="R209" s="16" t="s">
        <v>1255</v>
      </c>
      <c r="S209" s="16" t="s">
        <v>62</v>
      </c>
      <c r="T209" s="16"/>
      <c r="U209" s="16"/>
      <c r="V209" s="16"/>
      <c r="W209" s="16">
        <f>ROUND(IF(D209=Table!$C$3,Y209*Table!$C$4/8,Y209*Table!$D$4/8),3)</f>
        <v>149.5</v>
      </c>
      <c r="X209" s="16">
        <f t="shared" si="32"/>
        <v>149.5</v>
      </c>
      <c r="Y209" s="16">
        <v>9.1999999999999993</v>
      </c>
      <c r="Z209" s="16">
        <v>1</v>
      </c>
      <c r="AA209" s="15" t="s">
        <v>70</v>
      </c>
      <c r="AB209" s="85">
        <v>44015</v>
      </c>
      <c r="AC209" s="85">
        <v>44011</v>
      </c>
      <c r="AD209" s="85">
        <v>44015</v>
      </c>
      <c r="AE209" s="85">
        <v>44012</v>
      </c>
      <c r="AF209" s="85">
        <v>44012</v>
      </c>
      <c r="AG209" s="85" t="s">
        <v>164</v>
      </c>
      <c r="AH209" s="86">
        <v>0.94199999999999995</v>
      </c>
      <c r="AI209" s="86">
        <v>0.94399999999999995</v>
      </c>
      <c r="AJ209" s="86">
        <v>1</v>
      </c>
      <c r="AK209" s="96"/>
      <c r="AL209" s="93" t="s">
        <v>1440</v>
      </c>
      <c r="AM209" s="15"/>
      <c r="AN209" s="15"/>
    </row>
    <row r="210" spans="2:40" x14ac:dyDescent="0.25">
      <c r="B210" s="189">
        <f t="shared" si="30"/>
        <v>151</v>
      </c>
      <c r="C210" s="16">
        <v>20200629</v>
      </c>
      <c r="D210" s="16" t="s">
        <v>2</v>
      </c>
      <c r="E210" s="95" t="s">
        <v>1086</v>
      </c>
      <c r="F210" s="84" t="s">
        <v>1084</v>
      </c>
      <c r="G210" s="48"/>
      <c r="H210" s="16" t="s">
        <v>245</v>
      </c>
      <c r="I210" s="16" t="s">
        <v>1137</v>
      </c>
      <c r="J210" s="16" t="s">
        <v>255</v>
      </c>
      <c r="K210" s="48"/>
      <c r="L210" s="84"/>
      <c r="M210" s="48"/>
      <c r="N210" s="16" t="s">
        <v>1259</v>
      </c>
      <c r="O210" s="84" t="s">
        <v>620</v>
      </c>
      <c r="P210" s="84" t="s">
        <v>1087</v>
      </c>
      <c r="Q210" s="18"/>
      <c r="R210" s="16" t="s">
        <v>1255</v>
      </c>
      <c r="S210" s="16" t="s">
        <v>62</v>
      </c>
      <c r="T210" s="16"/>
      <c r="U210" s="16"/>
      <c r="V210" s="16"/>
      <c r="W210" s="16">
        <f>ROUND(IF(D210=Table!$C$3,Y210*Table!$C$4/8,Y210*Table!$D$4/8),3)</f>
        <v>39</v>
      </c>
      <c r="X210" s="16">
        <f>W210</f>
        <v>39</v>
      </c>
      <c r="Y210" s="16">
        <v>2.4</v>
      </c>
      <c r="Z210" s="16">
        <v>1</v>
      </c>
      <c r="AA210" s="15" t="s">
        <v>70</v>
      </c>
      <c r="AB210" s="85">
        <v>44015</v>
      </c>
      <c r="AC210" s="85">
        <v>44011</v>
      </c>
      <c r="AD210" s="85">
        <v>44015</v>
      </c>
      <c r="AE210" s="85">
        <v>44012</v>
      </c>
      <c r="AF210" s="85">
        <v>44012</v>
      </c>
      <c r="AG210" s="85" t="s">
        <v>164</v>
      </c>
      <c r="AH210" s="86">
        <v>0.88200000000000001</v>
      </c>
      <c r="AI210" s="86">
        <v>0.88200000000000001</v>
      </c>
      <c r="AJ210" s="86">
        <v>1</v>
      </c>
      <c r="AK210" s="96"/>
      <c r="AL210" s="93" t="s">
        <v>1441</v>
      </c>
      <c r="AM210" s="15"/>
      <c r="AN210" s="15"/>
    </row>
    <row r="211" spans="2:40" x14ac:dyDescent="0.25">
      <c r="B211" s="189">
        <f t="shared" si="30"/>
        <v>152</v>
      </c>
      <c r="C211" s="16">
        <v>20200629</v>
      </c>
      <c r="D211" s="16" t="s">
        <v>2</v>
      </c>
      <c r="E211" s="95" t="s">
        <v>1086</v>
      </c>
      <c r="F211" s="84" t="s">
        <v>1084</v>
      </c>
      <c r="G211" s="48"/>
      <c r="H211" s="16" t="s">
        <v>224</v>
      </c>
      <c r="I211" s="16" t="s">
        <v>1138</v>
      </c>
      <c r="J211" s="16" t="s">
        <v>254</v>
      </c>
      <c r="K211" s="48"/>
      <c r="L211" s="84"/>
      <c r="M211" s="48"/>
      <c r="N211" s="16" t="s">
        <v>1259</v>
      </c>
      <c r="O211" s="84" t="s">
        <v>620</v>
      </c>
      <c r="P211" s="84" t="s">
        <v>1087</v>
      </c>
      <c r="Q211" s="18"/>
      <c r="R211" s="16" t="s">
        <v>1255</v>
      </c>
      <c r="S211" s="16" t="s">
        <v>62</v>
      </c>
      <c r="T211" s="16"/>
      <c r="U211" s="16"/>
      <c r="V211" s="16"/>
      <c r="W211" s="16">
        <f>ROUND(IF(D211=Table!$C$3,Y211*Table!$C$4/8,Y211*Table!$D$4/8),3)</f>
        <v>49.4</v>
      </c>
      <c r="X211" s="16">
        <f>W211</f>
        <v>49.4</v>
      </c>
      <c r="Y211" s="16">
        <v>3.04</v>
      </c>
      <c r="Z211" s="16">
        <v>1</v>
      </c>
      <c r="AA211" s="15" t="s">
        <v>70</v>
      </c>
      <c r="AB211" s="85">
        <v>44015</v>
      </c>
      <c r="AC211" s="85">
        <v>44011</v>
      </c>
      <c r="AD211" s="85">
        <v>44015</v>
      </c>
      <c r="AE211" s="85">
        <v>44012</v>
      </c>
      <c r="AF211" s="85">
        <v>44012</v>
      </c>
      <c r="AG211" s="85" t="s">
        <v>164</v>
      </c>
      <c r="AH211" s="86">
        <v>0.97099999999999997</v>
      </c>
      <c r="AI211" s="86">
        <v>0.97199999999999998</v>
      </c>
      <c r="AJ211" s="86">
        <v>1</v>
      </c>
      <c r="AK211" s="96"/>
      <c r="AL211" s="93" t="s">
        <v>1442</v>
      </c>
      <c r="AM211" s="15"/>
      <c r="AN211" s="15"/>
    </row>
    <row r="212" spans="2:40" x14ac:dyDescent="0.25">
      <c r="B212" s="189">
        <f t="shared" si="30"/>
        <v>153</v>
      </c>
      <c r="C212" s="16">
        <v>20200629</v>
      </c>
      <c r="D212" s="16" t="s">
        <v>2</v>
      </c>
      <c r="E212" s="95" t="s">
        <v>1086</v>
      </c>
      <c r="F212" s="84" t="s">
        <v>1084</v>
      </c>
      <c r="G212" s="48"/>
      <c r="H212" s="16" t="s">
        <v>246</v>
      </c>
      <c r="I212" s="16" t="s">
        <v>1139</v>
      </c>
      <c r="J212" s="16" t="s">
        <v>254</v>
      </c>
      <c r="K212" s="48"/>
      <c r="L212" s="84"/>
      <c r="M212" s="48"/>
      <c r="N212" s="16" t="s">
        <v>1259</v>
      </c>
      <c r="O212" s="84" t="s">
        <v>621</v>
      </c>
      <c r="P212" s="84" t="s">
        <v>1087</v>
      </c>
      <c r="Q212" s="18"/>
      <c r="R212" s="16" t="s">
        <v>1255</v>
      </c>
      <c r="S212" s="16" t="s">
        <v>62</v>
      </c>
      <c r="T212" s="16"/>
      <c r="U212" s="16"/>
      <c r="V212" s="16"/>
      <c r="W212" s="16">
        <f>ROUND(IF(D212=Table!$C$3,Y212*Table!$C$4/8,Y212*Table!$D$4/8),3)</f>
        <v>35.1</v>
      </c>
      <c r="X212" s="16">
        <f>W212</f>
        <v>35.1</v>
      </c>
      <c r="Y212" s="16">
        <v>2.16</v>
      </c>
      <c r="Z212" s="16">
        <v>1</v>
      </c>
      <c r="AA212" s="15" t="s">
        <v>70</v>
      </c>
      <c r="AB212" s="85">
        <v>44015</v>
      </c>
      <c r="AC212" s="85">
        <v>44011</v>
      </c>
      <c r="AD212" s="85">
        <v>44015</v>
      </c>
      <c r="AE212" s="85">
        <v>44012</v>
      </c>
      <c r="AF212" s="85">
        <v>44012</v>
      </c>
      <c r="AG212" s="85" t="s">
        <v>164</v>
      </c>
      <c r="AH212" s="86">
        <v>0.81799999999999995</v>
      </c>
      <c r="AI212" s="86">
        <v>0.81799999999999995</v>
      </c>
      <c r="AJ212" s="86">
        <v>1</v>
      </c>
      <c r="AK212" s="96"/>
      <c r="AL212" s="93" t="s">
        <v>1441</v>
      </c>
      <c r="AM212" s="15"/>
      <c r="AN212" s="15"/>
    </row>
    <row r="213" spans="2:40" x14ac:dyDescent="0.25">
      <c r="B213" s="189">
        <f t="shared" si="30"/>
        <v>154</v>
      </c>
      <c r="C213" s="16">
        <v>20200629</v>
      </c>
      <c r="D213" s="16" t="s">
        <v>2</v>
      </c>
      <c r="E213" s="95" t="s">
        <v>1086</v>
      </c>
      <c r="F213" s="84" t="s">
        <v>1084</v>
      </c>
      <c r="G213" s="48"/>
      <c r="H213" s="16" t="s">
        <v>247</v>
      </c>
      <c r="I213" s="16" t="s">
        <v>1140</v>
      </c>
      <c r="J213" s="16" t="s">
        <v>254</v>
      </c>
      <c r="K213" s="48"/>
      <c r="L213" s="84"/>
      <c r="M213" s="48"/>
      <c r="N213" s="16" t="s">
        <v>1259</v>
      </c>
      <c r="O213" s="84" t="s">
        <v>621</v>
      </c>
      <c r="P213" s="84" t="s">
        <v>1087</v>
      </c>
      <c r="Q213" s="18"/>
      <c r="R213" s="16" t="s">
        <v>1255</v>
      </c>
      <c r="S213" s="16" t="s">
        <v>62</v>
      </c>
      <c r="T213" s="16"/>
      <c r="U213" s="16"/>
      <c r="V213" s="16"/>
      <c r="W213" s="16">
        <f>ROUND(IF(D213=Table!$C$3,Y213*Table!$C$4/8,Y213*Table!$D$4/8),3)</f>
        <v>39</v>
      </c>
      <c r="X213" s="16">
        <f>W213</f>
        <v>39</v>
      </c>
      <c r="Y213" s="16">
        <v>2.4</v>
      </c>
      <c r="Z213" s="16">
        <v>1</v>
      </c>
      <c r="AA213" s="15" t="s">
        <v>70</v>
      </c>
      <c r="AB213" s="85">
        <v>44015</v>
      </c>
      <c r="AC213" s="85">
        <v>44011</v>
      </c>
      <c r="AD213" s="85">
        <v>44015</v>
      </c>
      <c r="AE213" s="85">
        <v>44012</v>
      </c>
      <c r="AF213" s="85">
        <v>44012</v>
      </c>
      <c r="AG213" s="85" t="s">
        <v>164</v>
      </c>
      <c r="AH213" s="86">
        <v>0.88200000000000001</v>
      </c>
      <c r="AI213" s="86">
        <v>0.88600000000000001</v>
      </c>
      <c r="AJ213" s="86">
        <v>1</v>
      </c>
      <c r="AK213" s="96"/>
      <c r="AL213" s="93" t="s">
        <v>1441</v>
      </c>
      <c r="AM213" s="15"/>
      <c r="AN213" s="15"/>
    </row>
    <row r="214" spans="2:40" x14ac:dyDescent="0.25">
      <c r="B214" s="189">
        <f t="shared" si="30"/>
        <v>155</v>
      </c>
      <c r="C214" s="16">
        <v>20200629</v>
      </c>
      <c r="D214" s="16" t="s">
        <v>2</v>
      </c>
      <c r="E214" s="95" t="s">
        <v>1086</v>
      </c>
      <c r="F214" s="84" t="s">
        <v>1084</v>
      </c>
      <c r="G214" s="48"/>
      <c r="H214" s="16" t="s">
        <v>248</v>
      </c>
      <c r="I214" s="16" t="s">
        <v>1141</v>
      </c>
      <c r="J214" s="16" t="s">
        <v>255</v>
      </c>
      <c r="K214" s="48"/>
      <c r="L214" s="84"/>
      <c r="M214" s="48"/>
      <c r="N214" s="16" t="s">
        <v>1259</v>
      </c>
      <c r="O214" s="84" t="s">
        <v>621</v>
      </c>
      <c r="P214" s="84" t="s">
        <v>1087</v>
      </c>
      <c r="Q214" s="18"/>
      <c r="R214" s="16" t="s">
        <v>1255</v>
      </c>
      <c r="S214" s="16" t="s">
        <v>62</v>
      </c>
      <c r="T214" s="16"/>
      <c r="U214" s="16"/>
      <c r="V214" s="16"/>
      <c r="W214" s="16">
        <f>ROUND(IF(D214=Table!$C$3,Y214*Table!$C$4/8,Y214*Table!$D$4/8),3)</f>
        <v>65</v>
      </c>
      <c r="X214" s="16">
        <f>W214</f>
        <v>65</v>
      </c>
      <c r="Y214" s="16">
        <v>4</v>
      </c>
      <c r="Z214" s="16">
        <v>1</v>
      </c>
      <c r="AA214" s="15" t="s">
        <v>70</v>
      </c>
      <c r="AB214" s="85">
        <v>44015</v>
      </c>
      <c r="AC214" s="85">
        <v>44011</v>
      </c>
      <c r="AD214" s="85">
        <v>44015</v>
      </c>
      <c r="AE214" s="85">
        <v>44012</v>
      </c>
      <c r="AF214" s="85">
        <v>44012</v>
      </c>
      <c r="AG214" s="85" t="s">
        <v>164</v>
      </c>
      <c r="AH214" s="86">
        <v>0.88200000000000001</v>
      </c>
      <c r="AI214" s="86">
        <v>0.89500000000000002</v>
      </c>
      <c r="AJ214" s="86">
        <v>1</v>
      </c>
      <c r="AK214" s="96"/>
      <c r="AL214" s="93" t="s">
        <v>1441</v>
      </c>
      <c r="AM214" s="15"/>
      <c r="AN214" s="15"/>
    </row>
    <row r="215" spans="2:40" x14ac:dyDescent="0.25">
      <c r="B215" s="189">
        <f t="shared" si="30"/>
        <v>156</v>
      </c>
      <c r="C215" s="16">
        <v>20200629</v>
      </c>
      <c r="D215" s="16" t="s">
        <v>2</v>
      </c>
      <c r="E215" s="95" t="s">
        <v>1086</v>
      </c>
      <c r="F215" s="84" t="s">
        <v>1084</v>
      </c>
      <c r="G215" s="48"/>
      <c r="H215" s="16" t="s">
        <v>269</v>
      </c>
      <c r="I215" s="16" t="s">
        <v>1142</v>
      </c>
      <c r="J215" s="16" t="s">
        <v>254</v>
      </c>
      <c r="K215" s="48"/>
      <c r="L215" s="84"/>
      <c r="M215" s="48"/>
      <c r="N215" s="16" t="s">
        <v>1259</v>
      </c>
      <c r="O215" s="84" t="s">
        <v>318</v>
      </c>
      <c r="P215" s="84" t="s">
        <v>1087</v>
      </c>
      <c r="Q215" s="18"/>
      <c r="R215" s="16" t="s">
        <v>1256</v>
      </c>
      <c r="S215" s="16" t="s">
        <v>137</v>
      </c>
      <c r="T215" s="16"/>
      <c r="U215" s="16"/>
      <c r="V215" s="16"/>
      <c r="W215" s="16">
        <f>ROUND(IF(D215=Table!$C$3,Y215*Table!$C$4/8,Y215*Table!$D$4/8),3)</f>
        <v>32.5</v>
      </c>
      <c r="X215" s="16">
        <v>32.5</v>
      </c>
      <c r="Y215" s="16">
        <v>2</v>
      </c>
      <c r="Z215" s="16">
        <v>2</v>
      </c>
      <c r="AA215" s="15" t="s">
        <v>70</v>
      </c>
      <c r="AB215" s="85">
        <v>44015</v>
      </c>
      <c r="AC215" s="85">
        <v>44011</v>
      </c>
      <c r="AD215" s="85">
        <v>44015</v>
      </c>
      <c r="AE215" s="85">
        <v>44013</v>
      </c>
      <c r="AF215" s="85">
        <v>44013</v>
      </c>
      <c r="AG215" s="85" t="s">
        <v>164</v>
      </c>
      <c r="AH215" s="86">
        <v>0.84599999999999997</v>
      </c>
      <c r="AI215" s="86">
        <v>0.85699999999999998</v>
      </c>
      <c r="AJ215" s="86">
        <v>1</v>
      </c>
      <c r="AK215" s="96" t="s">
        <v>144</v>
      </c>
      <c r="AL215" s="14" t="s">
        <v>1393</v>
      </c>
      <c r="AM215" s="15"/>
      <c r="AN215" s="15"/>
    </row>
    <row r="216" spans="2:40" x14ac:dyDescent="0.25">
      <c r="B216" s="189">
        <f t="shared" si="30"/>
        <v>157</v>
      </c>
      <c r="C216" s="16">
        <v>20200629</v>
      </c>
      <c r="D216" s="16" t="s">
        <v>2</v>
      </c>
      <c r="E216" s="95" t="s">
        <v>1086</v>
      </c>
      <c r="F216" s="84" t="s">
        <v>1084</v>
      </c>
      <c r="G216" s="48"/>
      <c r="H216" s="16" t="s">
        <v>270</v>
      </c>
      <c r="I216" s="16" t="s">
        <v>1143</v>
      </c>
      <c r="J216" s="16" t="s">
        <v>254</v>
      </c>
      <c r="K216" s="48"/>
      <c r="L216" s="84"/>
      <c r="M216" s="48"/>
      <c r="N216" s="16" t="s">
        <v>1259</v>
      </c>
      <c r="O216" s="84" t="s">
        <v>281</v>
      </c>
      <c r="P216" s="84" t="s">
        <v>1087</v>
      </c>
      <c r="Q216" s="18"/>
      <c r="R216" s="16" t="s">
        <v>1256</v>
      </c>
      <c r="S216" s="16" t="s">
        <v>137</v>
      </c>
      <c r="T216" s="16"/>
      <c r="U216" s="16"/>
      <c r="V216" s="16"/>
      <c r="W216" s="16">
        <f>ROUND(IF(D216=Table!$C$3,Y216*Table!$C$4/8,Y216*Table!$D$4/8),3)</f>
        <v>45.5</v>
      </c>
      <c r="X216" s="16">
        <v>45.5</v>
      </c>
      <c r="Y216" s="16">
        <v>2.8</v>
      </c>
      <c r="Z216" s="16">
        <v>2.5</v>
      </c>
      <c r="AA216" s="15" t="s">
        <v>70</v>
      </c>
      <c r="AB216" s="85">
        <v>44015</v>
      </c>
      <c r="AC216" s="85">
        <v>44011</v>
      </c>
      <c r="AD216" s="85">
        <v>44015</v>
      </c>
      <c r="AE216" s="85">
        <v>44013</v>
      </c>
      <c r="AF216" s="85">
        <v>44013</v>
      </c>
      <c r="AG216" s="85" t="s">
        <v>164</v>
      </c>
      <c r="AH216" s="86">
        <v>1</v>
      </c>
      <c r="AI216" s="86">
        <v>1</v>
      </c>
      <c r="AJ216" s="86">
        <v>1</v>
      </c>
      <c r="AK216" s="96" t="s">
        <v>144</v>
      </c>
      <c r="AL216" s="93" t="s">
        <v>58</v>
      </c>
      <c r="AM216" s="198" t="s">
        <v>58</v>
      </c>
      <c r="AN216" s="198" t="s">
        <v>58</v>
      </c>
    </row>
    <row r="217" spans="2:40" x14ac:dyDescent="0.25">
      <c r="B217" s="189">
        <f t="shared" si="30"/>
        <v>158</v>
      </c>
      <c r="C217" s="16">
        <v>20200629</v>
      </c>
      <c r="D217" s="16" t="s">
        <v>2</v>
      </c>
      <c r="E217" s="95" t="s">
        <v>1086</v>
      </c>
      <c r="F217" s="84" t="s">
        <v>1084</v>
      </c>
      <c r="G217" s="48"/>
      <c r="H217" s="16" t="s">
        <v>271</v>
      </c>
      <c r="I217" s="16" t="s">
        <v>1144</v>
      </c>
      <c r="J217" s="16" t="s">
        <v>254</v>
      </c>
      <c r="K217" s="48"/>
      <c r="L217" s="84"/>
      <c r="M217" s="48"/>
      <c r="N217" s="16" t="s">
        <v>1259</v>
      </c>
      <c r="O217" s="84" t="s">
        <v>1178</v>
      </c>
      <c r="P217" s="84" t="s">
        <v>1087</v>
      </c>
      <c r="Q217" s="18"/>
      <c r="R217" s="16" t="s">
        <v>1256</v>
      </c>
      <c r="S217" s="16" t="s">
        <v>137</v>
      </c>
      <c r="T217" s="16"/>
      <c r="U217" s="16"/>
      <c r="V217" s="16"/>
      <c r="W217" s="16">
        <f>ROUND(IF(D217=Table!$C$3,Y217*Table!$C$4/8,Y217*Table!$D$4/8),3)</f>
        <v>88.4</v>
      </c>
      <c r="X217" s="16">
        <v>88.4</v>
      </c>
      <c r="Y217" s="16">
        <v>5.44</v>
      </c>
      <c r="Z217" s="16">
        <v>5</v>
      </c>
      <c r="AA217" s="15" t="s">
        <v>70</v>
      </c>
      <c r="AB217" s="85">
        <v>44015</v>
      </c>
      <c r="AC217" s="85">
        <v>44011</v>
      </c>
      <c r="AD217" s="85">
        <v>44015</v>
      </c>
      <c r="AE217" s="85">
        <v>44012</v>
      </c>
      <c r="AF217" s="85">
        <v>44012</v>
      </c>
      <c r="AG217" s="85" t="s">
        <v>164</v>
      </c>
      <c r="AH217" s="86">
        <v>1</v>
      </c>
      <c r="AI217" s="86">
        <v>1</v>
      </c>
      <c r="AJ217" s="86">
        <v>1</v>
      </c>
      <c r="AK217" s="96" t="s">
        <v>144</v>
      </c>
      <c r="AL217" s="93" t="s">
        <v>58</v>
      </c>
      <c r="AM217" s="198" t="s">
        <v>58</v>
      </c>
      <c r="AN217" s="198" t="s">
        <v>58</v>
      </c>
    </row>
    <row r="218" spans="2:40" x14ac:dyDescent="0.25">
      <c r="B218" s="189">
        <f t="shared" si="30"/>
        <v>159</v>
      </c>
      <c r="C218" s="16">
        <v>20200629</v>
      </c>
      <c r="D218" s="16" t="s">
        <v>2</v>
      </c>
      <c r="E218" s="95" t="s">
        <v>1086</v>
      </c>
      <c r="F218" s="84" t="s">
        <v>1084</v>
      </c>
      <c r="G218" s="48"/>
      <c r="H218" s="16" t="s">
        <v>225</v>
      </c>
      <c r="I218" s="16" t="s">
        <v>1145</v>
      </c>
      <c r="J218" s="16" t="s">
        <v>254</v>
      </c>
      <c r="K218" s="48"/>
      <c r="L218" s="84"/>
      <c r="M218" s="48"/>
      <c r="N218" s="16" t="s">
        <v>1259</v>
      </c>
      <c r="O218" s="84" t="s">
        <v>621</v>
      </c>
      <c r="P218" s="84" t="s">
        <v>1087</v>
      </c>
      <c r="Q218" s="18"/>
      <c r="R218" s="16" t="s">
        <v>1256</v>
      </c>
      <c r="S218" s="16" t="s">
        <v>137</v>
      </c>
      <c r="T218" s="16"/>
      <c r="U218" s="16"/>
      <c r="V218" s="16"/>
      <c r="W218" s="16">
        <f>ROUND(IF(D218=Table!$C$3,Y218*Table!$C$4/8,Y218*Table!$D$4/8),3)</f>
        <v>32.5</v>
      </c>
      <c r="X218" s="16">
        <v>32.5</v>
      </c>
      <c r="Y218" s="16">
        <v>2</v>
      </c>
      <c r="Z218" s="16">
        <v>3</v>
      </c>
      <c r="AA218" s="15" t="s">
        <v>70</v>
      </c>
      <c r="AB218" s="85">
        <v>44015</v>
      </c>
      <c r="AC218" s="85">
        <v>44011</v>
      </c>
      <c r="AD218" s="85">
        <v>44015</v>
      </c>
      <c r="AE218" s="85">
        <v>44011</v>
      </c>
      <c r="AF218" s="85">
        <v>44012</v>
      </c>
      <c r="AG218" s="85" t="s">
        <v>164</v>
      </c>
      <c r="AH218" s="86">
        <v>1</v>
      </c>
      <c r="AI218" s="86">
        <v>1</v>
      </c>
      <c r="AJ218" s="86">
        <v>1</v>
      </c>
      <c r="AK218" s="96" t="s">
        <v>144</v>
      </c>
      <c r="AL218" s="93" t="s">
        <v>58</v>
      </c>
      <c r="AM218" s="198" t="s">
        <v>58</v>
      </c>
      <c r="AN218" s="198" t="s">
        <v>58</v>
      </c>
    </row>
    <row r="219" spans="2:40" x14ac:dyDescent="0.25">
      <c r="B219" s="189">
        <f t="shared" si="30"/>
        <v>160</v>
      </c>
      <c r="C219" s="16">
        <v>20200629</v>
      </c>
      <c r="D219" s="16" t="s">
        <v>2</v>
      </c>
      <c r="E219" s="95" t="s">
        <v>1086</v>
      </c>
      <c r="F219" s="84" t="s">
        <v>1084</v>
      </c>
      <c r="G219" s="48"/>
      <c r="H219" s="16" t="s">
        <v>249</v>
      </c>
      <c r="I219" s="16" t="s">
        <v>1146</v>
      </c>
      <c r="J219" s="16" t="s">
        <v>255</v>
      </c>
      <c r="K219" s="48"/>
      <c r="L219" s="84"/>
      <c r="M219" s="48"/>
      <c r="N219" s="16" t="s">
        <v>1259</v>
      </c>
      <c r="O219" s="84" t="s">
        <v>1179</v>
      </c>
      <c r="P219" s="84" t="s">
        <v>1087</v>
      </c>
      <c r="Q219" s="18"/>
      <c r="R219" s="16" t="s">
        <v>1256</v>
      </c>
      <c r="S219" s="16" t="s">
        <v>137</v>
      </c>
      <c r="T219" s="16"/>
      <c r="U219" s="16"/>
      <c r="V219" s="16"/>
      <c r="W219" s="16">
        <f>ROUND(IF(D219=Table!$C$3,Y219*Table!$C$4/8,Y219*Table!$D$4/8),3)</f>
        <v>45.5</v>
      </c>
      <c r="X219" s="16">
        <v>45.5</v>
      </c>
      <c r="Y219" s="16">
        <v>2.8</v>
      </c>
      <c r="Z219" s="16">
        <v>2</v>
      </c>
      <c r="AA219" s="15" t="s">
        <v>70</v>
      </c>
      <c r="AB219" s="85">
        <v>44015</v>
      </c>
      <c r="AC219" s="85">
        <v>44011</v>
      </c>
      <c r="AD219" s="85">
        <v>44015</v>
      </c>
      <c r="AE219" s="85">
        <v>44015</v>
      </c>
      <c r="AF219" s="85">
        <v>44015</v>
      </c>
      <c r="AG219" s="85" t="s">
        <v>164</v>
      </c>
      <c r="AH219" s="86">
        <v>0.91300000000000003</v>
      </c>
      <c r="AI219" s="86">
        <v>0.91700000000000004</v>
      </c>
      <c r="AJ219" s="86">
        <v>0.93799999999999994</v>
      </c>
      <c r="AK219" s="96" t="s">
        <v>144</v>
      </c>
      <c r="AL219" s="140" t="s">
        <v>1691</v>
      </c>
      <c r="AM219" s="15"/>
      <c r="AN219" s="15"/>
    </row>
    <row r="220" spans="2:40" x14ac:dyDescent="0.25">
      <c r="B220" s="189">
        <f t="shared" si="30"/>
        <v>161</v>
      </c>
      <c r="C220" s="16">
        <v>20200629</v>
      </c>
      <c r="D220" s="16" t="s">
        <v>2</v>
      </c>
      <c r="E220" s="95" t="s">
        <v>1086</v>
      </c>
      <c r="F220" s="84" t="s">
        <v>1084</v>
      </c>
      <c r="G220" s="48"/>
      <c r="H220" s="16" t="s">
        <v>272</v>
      </c>
      <c r="I220" s="16" t="s">
        <v>1147</v>
      </c>
      <c r="J220" s="16" t="s">
        <v>255</v>
      </c>
      <c r="K220" s="48"/>
      <c r="L220" s="84"/>
      <c r="M220" s="48"/>
      <c r="N220" s="16" t="s">
        <v>1259</v>
      </c>
      <c r="O220" s="84" t="s">
        <v>1180</v>
      </c>
      <c r="P220" s="84" t="s">
        <v>1087</v>
      </c>
      <c r="Q220" s="18"/>
      <c r="R220" s="16" t="s">
        <v>1256</v>
      </c>
      <c r="S220" s="16" t="s">
        <v>137</v>
      </c>
      <c r="T220" s="16"/>
      <c r="U220" s="16"/>
      <c r="V220" s="16"/>
      <c r="W220" s="16">
        <f>ROUND(IF(D220=Table!$C$3,Y220*Table!$C$4/8,Y220*Table!$D$4/8),3)</f>
        <v>78</v>
      </c>
      <c r="X220" s="16">
        <v>78</v>
      </c>
      <c r="Y220" s="16">
        <v>4.8</v>
      </c>
      <c r="Z220" s="16">
        <v>4.8</v>
      </c>
      <c r="AA220" s="15" t="s">
        <v>70</v>
      </c>
      <c r="AB220" s="85">
        <v>44015</v>
      </c>
      <c r="AC220" s="85">
        <v>44011</v>
      </c>
      <c r="AD220" s="85">
        <v>44015</v>
      </c>
      <c r="AE220" s="85">
        <v>44015</v>
      </c>
      <c r="AF220" s="85">
        <v>44015</v>
      </c>
      <c r="AG220" s="85" t="s">
        <v>164</v>
      </c>
      <c r="AH220" s="98">
        <v>0.93300000000000005</v>
      </c>
      <c r="AI220" s="98">
        <v>0.93300000000000005</v>
      </c>
      <c r="AJ220" s="86">
        <v>0.9</v>
      </c>
      <c r="AK220" s="96" t="s">
        <v>144</v>
      </c>
      <c r="AL220" s="140" t="s">
        <v>1692</v>
      </c>
      <c r="AM220" s="15"/>
      <c r="AN220" s="15"/>
    </row>
    <row r="221" spans="2:40" x14ac:dyDescent="0.25">
      <c r="B221" s="189">
        <f t="shared" si="30"/>
        <v>162</v>
      </c>
      <c r="C221" s="16">
        <v>20200629</v>
      </c>
      <c r="D221" s="16" t="s">
        <v>2</v>
      </c>
      <c r="E221" s="95" t="s">
        <v>1086</v>
      </c>
      <c r="F221" s="84" t="s">
        <v>1084</v>
      </c>
      <c r="G221" s="48"/>
      <c r="H221" s="16" t="s">
        <v>273</v>
      </c>
      <c r="I221" s="16" t="s">
        <v>1148</v>
      </c>
      <c r="J221" s="16" t="s">
        <v>255</v>
      </c>
      <c r="K221" s="48"/>
      <c r="L221" s="84"/>
      <c r="M221" s="48"/>
      <c r="N221" s="16" t="s">
        <v>1259</v>
      </c>
      <c r="O221" s="84" t="s">
        <v>1177</v>
      </c>
      <c r="P221" s="84" t="s">
        <v>1087</v>
      </c>
      <c r="Q221" s="18"/>
      <c r="R221" s="16" t="s">
        <v>1256</v>
      </c>
      <c r="S221" s="16" t="s">
        <v>137</v>
      </c>
      <c r="T221" s="16"/>
      <c r="U221" s="16"/>
      <c r="V221" s="16"/>
      <c r="W221" s="16">
        <f>ROUND(IF(D221=Table!$C$3,Y221*Table!$C$4/8,Y221*Table!$D$4/8),3)</f>
        <v>35.1</v>
      </c>
      <c r="X221" s="16">
        <v>35.1</v>
      </c>
      <c r="Y221" s="16">
        <v>2.16</v>
      </c>
      <c r="Z221" s="16">
        <v>2</v>
      </c>
      <c r="AA221" s="15" t="s">
        <v>70</v>
      </c>
      <c r="AB221" s="85">
        <v>44015</v>
      </c>
      <c r="AC221" s="85">
        <v>44011</v>
      </c>
      <c r="AD221" s="85">
        <v>44015</v>
      </c>
      <c r="AE221" s="85">
        <v>44014</v>
      </c>
      <c r="AF221" s="85">
        <v>44014</v>
      </c>
      <c r="AG221" s="85" t="s">
        <v>164</v>
      </c>
      <c r="AH221" s="86">
        <v>0.95799999999999996</v>
      </c>
      <c r="AI221" s="86">
        <v>0.96399999999999997</v>
      </c>
      <c r="AJ221" s="86">
        <v>1</v>
      </c>
      <c r="AK221" s="96" t="s">
        <v>144</v>
      </c>
      <c r="AL221" s="93" t="s">
        <v>1693</v>
      </c>
      <c r="AM221" s="15" t="s">
        <v>58</v>
      </c>
      <c r="AN221" s="15" t="s">
        <v>58</v>
      </c>
    </row>
    <row r="222" spans="2:40" x14ac:dyDescent="0.25">
      <c r="B222" s="189">
        <f t="shared" si="30"/>
        <v>163</v>
      </c>
      <c r="C222" s="16">
        <v>20200629</v>
      </c>
      <c r="D222" s="16" t="s">
        <v>2</v>
      </c>
      <c r="E222" s="95" t="s">
        <v>1086</v>
      </c>
      <c r="F222" s="84" t="s">
        <v>1084</v>
      </c>
      <c r="G222" s="48"/>
      <c r="H222" s="16" t="s">
        <v>274</v>
      </c>
      <c r="I222" s="16" t="s">
        <v>1149</v>
      </c>
      <c r="J222" s="16" t="s">
        <v>255</v>
      </c>
      <c r="K222" s="48"/>
      <c r="L222" s="84"/>
      <c r="M222" s="48"/>
      <c r="N222" s="16" t="s">
        <v>1259</v>
      </c>
      <c r="O222" s="84" t="s">
        <v>1177</v>
      </c>
      <c r="P222" s="84" t="s">
        <v>1087</v>
      </c>
      <c r="Q222" s="18"/>
      <c r="R222" s="16" t="s">
        <v>1256</v>
      </c>
      <c r="S222" s="16" t="s">
        <v>137</v>
      </c>
      <c r="T222" s="16"/>
      <c r="U222" s="16"/>
      <c r="V222" s="16"/>
      <c r="W222" s="16">
        <f>ROUND(IF(D222=Table!$C$3,Y222*Table!$C$4/8,Y222*Table!$D$4/8),3)</f>
        <v>35.1</v>
      </c>
      <c r="X222" s="16">
        <v>35.1</v>
      </c>
      <c r="Y222" s="16">
        <v>2.16</v>
      </c>
      <c r="Z222" s="16">
        <v>2</v>
      </c>
      <c r="AA222" s="15" t="s">
        <v>70</v>
      </c>
      <c r="AB222" s="85">
        <v>44015</v>
      </c>
      <c r="AC222" s="85">
        <v>44011</v>
      </c>
      <c r="AD222" s="85">
        <v>44015</v>
      </c>
      <c r="AE222" s="85">
        <v>44014</v>
      </c>
      <c r="AF222" s="85">
        <v>44014</v>
      </c>
      <c r="AG222" s="85" t="s">
        <v>164</v>
      </c>
      <c r="AH222" s="86">
        <v>1</v>
      </c>
      <c r="AI222" s="86">
        <v>1</v>
      </c>
      <c r="AJ222" s="86">
        <v>1</v>
      </c>
      <c r="AK222" s="96" t="s">
        <v>144</v>
      </c>
      <c r="AL222" s="14" t="s">
        <v>58</v>
      </c>
      <c r="AM222" s="198" t="s">
        <v>58</v>
      </c>
      <c r="AN222" s="198" t="s">
        <v>58</v>
      </c>
    </row>
    <row r="223" spans="2:40" x14ac:dyDescent="0.25">
      <c r="B223" s="189">
        <f t="shared" si="30"/>
        <v>164</v>
      </c>
      <c r="C223" s="16">
        <v>20200629</v>
      </c>
      <c r="D223" s="16" t="s">
        <v>2</v>
      </c>
      <c r="E223" s="95" t="s">
        <v>1086</v>
      </c>
      <c r="F223" s="84" t="s">
        <v>1084</v>
      </c>
      <c r="G223" s="48"/>
      <c r="H223" s="16" t="s">
        <v>275</v>
      </c>
      <c r="I223" s="16" t="s">
        <v>1150</v>
      </c>
      <c r="J223" s="16" t="s">
        <v>255</v>
      </c>
      <c r="K223" s="48"/>
      <c r="L223" s="84"/>
      <c r="M223" s="48"/>
      <c r="N223" s="16" t="s">
        <v>1259</v>
      </c>
      <c r="O223" s="84" t="s">
        <v>1177</v>
      </c>
      <c r="P223" s="84" t="s">
        <v>1087</v>
      </c>
      <c r="Q223" s="18"/>
      <c r="R223" s="16" t="s">
        <v>1256</v>
      </c>
      <c r="S223" s="16" t="s">
        <v>137</v>
      </c>
      <c r="T223" s="16"/>
      <c r="U223" s="16"/>
      <c r="V223" s="16"/>
      <c r="W223" s="16">
        <f>ROUND(IF(D223=Table!$C$3,Y223*Table!$C$4/8,Y223*Table!$D$4/8),3)</f>
        <v>65</v>
      </c>
      <c r="X223" s="16">
        <v>65</v>
      </c>
      <c r="Y223" s="16">
        <v>4</v>
      </c>
      <c r="Z223" s="16">
        <v>3</v>
      </c>
      <c r="AA223" s="15" t="s">
        <v>70</v>
      </c>
      <c r="AB223" s="85">
        <v>44015</v>
      </c>
      <c r="AC223" s="85">
        <v>44011</v>
      </c>
      <c r="AD223" s="85">
        <v>44015</v>
      </c>
      <c r="AE223" s="85">
        <v>44013</v>
      </c>
      <c r="AF223" s="85">
        <v>44013</v>
      </c>
      <c r="AG223" s="85" t="s">
        <v>164</v>
      </c>
      <c r="AH223" s="86">
        <v>0.84399999999999997</v>
      </c>
      <c r="AI223" s="86">
        <v>0.86099999999999999</v>
      </c>
      <c r="AJ223" s="86">
        <v>1</v>
      </c>
      <c r="AK223" s="96" t="s">
        <v>144</v>
      </c>
      <c r="AL223" s="93" t="s">
        <v>1695</v>
      </c>
      <c r="AM223" s="15"/>
      <c r="AN223" s="15"/>
    </row>
    <row r="224" spans="2:40" x14ac:dyDescent="0.25">
      <c r="B224" s="189">
        <f t="shared" si="30"/>
        <v>165</v>
      </c>
      <c r="C224" s="16">
        <v>20200629</v>
      </c>
      <c r="D224" s="16" t="s">
        <v>2</v>
      </c>
      <c r="E224" s="95" t="s">
        <v>1086</v>
      </c>
      <c r="F224" s="84" t="s">
        <v>1084</v>
      </c>
      <c r="G224" s="48"/>
      <c r="H224" s="16" t="s">
        <v>226</v>
      </c>
      <c r="I224" s="16" t="s">
        <v>1151</v>
      </c>
      <c r="J224" s="16" t="s">
        <v>255</v>
      </c>
      <c r="K224" s="48"/>
      <c r="L224" s="84"/>
      <c r="M224" s="48"/>
      <c r="N224" s="16" t="s">
        <v>1259</v>
      </c>
      <c r="O224" s="84" t="s">
        <v>318</v>
      </c>
      <c r="P224" s="84" t="s">
        <v>1087</v>
      </c>
      <c r="Q224" s="18"/>
      <c r="R224" s="16" t="s">
        <v>1256</v>
      </c>
      <c r="S224" s="16" t="s">
        <v>137</v>
      </c>
      <c r="T224" s="16"/>
      <c r="U224" s="16"/>
      <c r="V224" s="16"/>
      <c r="W224" s="16">
        <f>ROUND(IF(D224=Table!$C$3,Y224*Table!$C$4/8,Y224*Table!$D$4/8),3)</f>
        <v>32.5</v>
      </c>
      <c r="X224" s="16">
        <v>32.5</v>
      </c>
      <c r="Y224" s="16">
        <v>2</v>
      </c>
      <c r="Z224" s="16">
        <v>2</v>
      </c>
      <c r="AA224" s="15" t="s">
        <v>70</v>
      </c>
      <c r="AB224" s="85">
        <v>44015</v>
      </c>
      <c r="AC224" s="85">
        <v>44011</v>
      </c>
      <c r="AD224" s="85">
        <v>44015</v>
      </c>
      <c r="AE224" s="85">
        <v>44014</v>
      </c>
      <c r="AF224" s="85">
        <v>44014</v>
      </c>
      <c r="AG224" s="85" t="s">
        <v>164</v>
      </c>
      <c r="AH224" s="86">
        <v>0.85699999999999998</v>
      </c>
      <c r="AI224" s="86">
        <v>0.85699999999999998</v>
      </c>
      <c r="AJ224" s="86" t="s">
        <v>20</v>
      </c>
      <c r="AK224" s="96" t="s">
        <v>144</v>
      </c>
      <c r="AL224" s="208" t="s">
        <v>1703</v>
      </c>
      <c r="AM224" s="198" t="s">
        <v>58</v>
      </c>
      <c r="AN224" s="198" t="s">
        <v>58</v>
      </c>
    </row>
    <row r="225" spans="2:40" x14ac:dyDescent="0.25">
      <c r="B225" s="189">
        <f t="shared" si="30"/>
        <v>166</v>
      </c>
      <c r="C225" s="16">
        <v>20200629</v>
      </c>
      <c r="D225" s="16" t="s">
        <v>2</v>
      </c>
      <c r="E225" s="95" t="s">
        <v>1086</v>
      </c>
      <c r="F225" s="84" t="s">
        <v>1084</v>
      </c>
      <c r="G225" s="48"/>
      <c r="H225" s="16" t="s">
        <v>250</v>
      </c>
      <c r="I225" s="16" t="s">
        <v>1152</v>
      </c>
      <c r="J225" s="16" t="s">
        <v>254</v>
      </c>
      <c r="K225" s="48"/>
      <c r="L225" s="84"/>
      <c r="M225" s="48"/>
      <c r="N225" s="16" t="s">
        <v>1259</v>
      </c>
      <c r="O225" s="84" t="s">
        <v>281</v>
      </c>
      <c r="P225" s="84" t="s">
        <v>1087</v>
      </c>
      <c r="Q225" s="18"/>
      <c r="R225" s="16" t="s">
        <v>1257</v>
      </c>
      <c r="S225" s="16" t="s">
        <v>327</v>
      </c>
      <c r="T225" s="16"/>
      <c r="U225" s="16"/>
      <c r="V225" s="16"/>
      <c r="W225" s="16">
        <f>ROUND(IF(D225=Table!$C$3,Y225*Table!$C$4/8,Y225*Table!$D$4/8),3)</f>
        <v>32.5</v>
      </c>
      <c r="X225" s="16">
        <f>W225</f>
        <v>32.5</v>
      </c>
      <c r="Y225" s="16">
        <v>2</v>
      </c>
      <c r="Z225" s="16">
        <f>Y225</f>
        <v>2</v>
      </c>
      <c r="AA225" s="15" t="s">
        <v>70</v>
      </c>
      <c r="AB225" s="85">
        <v>44015</v>
      </c>
      <c r="AC225" s="85">
        <v>44011</v>
      </c>
      <c r="AD225" s="85">
        <v>44015</v>
      </c>
      <c r="AE225" s="85">
        <v>44011</v>
      </c>
      <c r="AF225" s="85">
        <v>44011</v>
      </c>
      <c r="AG225" s="85" t="s">
        <v>164</v>
      </c>
      <c r="AH225" s="86">
        <v>1</v>
      </c>
      <c r="AI225" s="86">
        <v>1</v>
      </c>
      <c r="AJ225" s="86">
        <v>1</v>
      </c>
      <c r="AK225" s="96" t="s">
        <v>144</v>
      </c>
      <c r="AL225" s="93"/>
      <c r="AM225" s="15"/>
      <c r="AN225" s="15"/>
    </row>
    <row r="226" spans="2:40" x14ac:dyDescent="0.25">
      <c r="B226" s="189">
        <f t="shared" si="30"/>
        <v>167</v>
      </c>
      <c r="C226" s="16">
        <v>20200629</v>
      </c>
      <c r="D226" s="16" t="s">
        <v>2</v>
      </c>
      <c r="E226" s="95" t="s">
        <v>1086</v>
      </c>
      <c r="F226" s="84" t="s">
        <v>1084</v>
      </c>
      <c r="G226" s="48"/>
      <c r="H226" s="16" t="s">
        <v>1216</v>
      </c>
      <c r="I226" s="16" t="s">
        <v>1153</v>
      </c>
      <c r="J226" s="16" t="s">
        <v>254</v>
      </c>
      <c r="K226" s="48"/>
      <c r="L226" s="84"/>
      <c r="M226" s="48"/>
      <c r="N226" s="16" t="s">
        <v>1259</v>
      </c>
      <c r="O226" s="84" t="s">
        <v>620</v>
      </c>
      <c r="P226" s="84" t="s">
        <v>1087</v>
      </c>
      <c r="Q226" s="18"/>
      <c r="R226" s="16" t="s">
        <v>1257</v>
      </c>
      <c r="S226" s="16" t="s">
        <v>327</v>
      </c>
      <c r="T226" s="16"/>
      <c r="U226" s="16"/>
      <c r="V226" s="16"/>
      <c r="W226" s="16">
        <f>ROUND(IF(D226=Table!$C$3,Y226*Table!$C$4/8,Y226*Table!$D$4/8),3)</f>
        <v>149.5</v>
      </c>
      <c r="X226" s="16">
        <f>W226</f>
        <v>149.5</v>
      </c>
      <c r="Y226" s="16">
        <v>9.1999999999999993</v>
      </c>
      <c r="Z226" s="16">
        <f t="shared" ref="Z226:Z233" si="33">Y226</f>
        <v>9.1999999999999993</v>
      </c>
      <c r="AA226" s="15" t="s">
        <v>70</v>
      </c>
      <c r="AB226" s="85">
        <v>44015</v>
      </c>
      <c r="AC226" s="85">
        <v>44011</v>
      </c>
      <c r="AD226" s="85">
        <v>44015</v>
      </c>
      <c r="AE226" s="85">
        <v>44014</v>
      </c>
      <c r="AF226" s="85">
        <v>44014</v>
      </c>
      <c r="AG226" s="85" t="s">
        <v>164</v>
      </c>
      <c r="AH226" s="86">
        <v>1</v>
      </c>
      <c r="AI226" s="86">
        <v>1</v>
      </c>
      <c r="AJ226" s="86">
        <v>1</v>
      </c>
      <c r="AK226" s="96" t="s">
        <v>144</v>
      </c>
      <c r="AL226" s="93"/>
      <c r="AM226" s="15"/>
      <c r="AN226" s="15"/>
    </row>
    <row r="227" spans="2:40" x14ac:dyDescent="0.25">
      <c r="B227" s="189">
        <f t="shared" si="30"/>
        <v>168</v>
      </c>
      <c r="C227" s="16">
        <v>20200629</v>
      </c>
      <c r="D227" s="16" t="s">
        <v>2</v>
      </c>
      <c r="E227" s="95" t="s">
        <v>1086</v>
      </c>
      <c r="F227" s="84" t="s">
        <v>1084</v>
      </c>
      <c r="G227" s="48"/>
      <c r="H227" s="16" t="s">
        <v>810</v>
      </c>
      <c r="I227" s="16" t="s">
        <v>1154</v>
      </c>
      <c r="J227" s="16" t="s">
        <v>254</v>
      </c>
      <c r="K227" s="48"/>
      <c r="L227" s="84"/>
      <c r="M227" s="48"/>
      <c r="N227" s="16" t="s">
        <v>1259</v>
      </c>
      <c r="O227" s="84" t="s">
        <v>618</v>
      </c>
      <c r="P227" s="84" t="s">
        <v>1087</v>
      </c>
      <c r="Q227" s="18"/>
      <c r="R227" s="16" t="s">
        <v>1257</v>
      </c>
      <c r="S227" s="16" t="s">
        <v>327</v>
      </c>
      <c r="T227" s="16"/>
      <c r="U227" s="16"/>
      <c r="V227" s="16"/>
      <c r="W227" s="16">
        <f>ROUND(IF(D227=Table!$C$3,Y227*Table!$C$4/8,Y227*Table!$D$4/8),3)</f>
        <v>35.1</v>
      </c>
      <c r="X227" s="16">
        <f t="shared" ref="X227:X245" si="34">W227</f>
        <v>35.1</v>
      </c>
      <c r="Y227" s="16">
        <v>2.16</v>
      </c>
      <c r="Z227" s="16">
        <f t="shared" si="33"/>
        <v>2.16</v>
      </c>
      <c r="AA227" s="15" t="s">
        <v>70</v>
      </c>
      <c r="AB227" s="85">
        <v>44015</v>
      </c>
      <c r="AC227" s="85">
        <v>44011</v>
      </c>
      <c r="AD227" s="85">
        <v>44015</v>
      </c>
      <c r="AE227" s="85">
        <v>44012</v>
      </c>
      <c r="AF227" s="85">
        <v>44012</v>
      </c>
      <c r="AG227" s="85" t="s">
        <v>164</v>
      </c>
      <c r="AH227" s="86">
        <v>0.84599999999999997</v>
      </c>
      <c r="AI227" s="86">
        <v>0.84599999999999997</v>
      </c>
      <c r="AJ227" s="86">
        <v>1</v>
      </c>
      <c r="AK227" s="96" t="s">
        <v>144</v>
      </c>
      <c r="AL227" s="93" t="s">
        <v>1317</v>
      </c>
      <c r="AM227" s="15"/>
      <c r="AN227" s="15"/>
    </row>
    <row r="228" spans="2:40" x14ac:dyDescent="0.25">
      <c r="B228" s="189">
        <f t="shared" si="30"/>
        <v>169</v>
      </c>
      <c r="C228" s="16">
        <v>20200629</v>
      </c>
      <c r="D228" s="16" t="s">
        <v>2</v>
      </c>
      <c r="E228" s="95" t="s">
        <v>1086</v>
      </c>
      <c r="F228" s="84" t="s">
        <v>1084</v>
      </c>
      <c r="G228" s="48"/>
      <c r="H228" s="16" t="s">
        <v>276</v>
      </c>
      <c r="I228" s="16" t="s">
        <v>1155</v>
      </c>
      <c r="J228" s="16" t="s">
        <v>254</v>
      </c>
      <c r="K228" s="48"/>
      <c r="L228" s="84"/>
      <c r="M228" s="48"/>
      <c r="N228" s="16" t="s">
        <v>1259</v>
      </c>
      <c r="O228" s="84" t="s">
        <v>281</v>
      </c>
      <c r="P228" s="84" t="s">
        <v>1087</v>
      </c>
      <c r="Q228" s="18"/>
      <c r="R228" s="16" t="s">
        <v>1257</v>
      </c>
      <c r="S228" s="16" t="s">
        <v>327</v>
      </c>
      <c r="T228" s="16"/>
      <c r="U228" s="16"/>
      <c r="V228" s="16"/>
      <c r="W228" s="16">
        <f>ROUND(IF(D228=Table!$C$3,Y228*Table!$C$4/8,Y228*Table!$D$4/8),3)</f>
        <v>39</v>
      </c>
      <c r="X228" s="16">
        <f t="shared" si="34"/>
        <v>39</v>
      </c>
      <c r="Y228" s="16">
        <v>2.4</v>
      </c>
      <c r="Z228" s="16">
        <f t="shared" si="33"/>
        <v>2.4</v>
      </c>
      <c r="AA228" s="15" t="s">
        <v>70</v>
      </c>
      <c r="AB228" s="85">
        <v>44015</v>
      </c>
      <c r="AC228" s="85">
        <v>44011</v>
      </c>
      <c r="AD228" s="85">
        <v>44015</v>
      </c>
      <c r="AE228" s="85">
        <v>44012</v>
      </c>
      <c r="AF228" s="85">
        <v>44012</v>
      </c>
      <c r="AG228" s="85" t="s">
        <v>164</v>
      </c>
      <c r="AH228" s="86">
        <v>1</v>
      </c>
      <c r="AI228" s="86">
        <v>1</v>
      </c>
      <c r="AJ228" s="86">
        <v>1</v>
      </c>
      <c r="AK228" s="96" t="s">
        <v>144</v>
      </c>
      <c r="AL228" s="93"/>
      <c r="AM228" s="15"/>
      <c r="AN228" s="15"/>
    </row>
    <row r="229" spans="2:40" x14ac:dyDescent="0.25">
      <c r="B229" s="189">
        <f t="shared" si="30"/>
        <v>170</v>
      </c>
      <c r="C229" s="16">
        <v>20200629</v>
      </c>
      <c r="D229" s="16" t="s">
        <v>2</v>
      </c>
      <c r="E229" s="95" t="s">
        <v>1086</v>
      </c>
      <c r="F229" s="84" t="s">
        <v>1084</v>
      </c>
      <c r="G229" s="48"/>
      <c r="H229" s="16" t="s">
        <v>811</v>
      </c>
      <c r="I229" s="16" t="s">
        <v>1156</v>
      </c>
      <c r="J229" s="16" t="s">
        <v>254</v>
      </c>
      <c r="K229" s="48"/>
      <c r="L229" s="84"/>
      <c r="M229" s="48"/>
      <c r="N229" s="16" t="s">
        <v>1259</v>
      </c>
      <c r="O229" s="84" t="s">
        <v>318</v>
      </c>
      <c r="P229" s="84" t="s">
        <v>1087</v>
      </c>
      <c r="Q229" s="18"/>
      <c r="R229" s="16" t="s">
        <v>1257</v>
      </c>
      <c r="S229" s="16" t="s">
        <v>327</v>
      </c>
      <c r="T229" s="16"/>
      <c r="U229" s="16"/>
      <c r="V229" s="16"/>
      <c r="W229" s="16">
        <f>ROUND(IF(D229=Table!$C$3,Y229*Table!$C$4/8,Y229*Table!$D$4/8),3)</f>
        <v>84.5</v>
      </c>
      <c r="X229" s="16">
        <f t="shared" si="34"/>
        <v>84.5</v>
      </c>
      <c r="Y229" s="16">
        <v>5.2</v>
      </c>
      <c r="Z229" s="16">
        <f t="shared" si="33"/>
        <v>5.2</v>
      </c>
      <c r="AA229" s="15" t="s">
        <v>70</v>
      </c>
      <c r="AB229" s="85">
        <v>44015</v>
      </c>
      <c r="AC229" s="85">
        <v>44011</v>
      </c>
      <c r="AD229" s="85">
        <v>44015</v>
      </c>
      <c r="AE229" s="85">
        <v>44013</v>
      </c>
      <c r="AF229" s="85">
        <v>44013</v>
      </c>
      <c r="AG229" s="85" t="s">
        <v>164</v>
      </c>
      <c r="AH229" s="86">
        <v>1</v>
      </c>
      <c r="AI229" s="86">
        <v>1</v>
      </c>
      <c r="AJ229" s="86">
        <v>0.93300000000000005</v>
      </c>
      <c r="AK229" s="96" t="s">
        <v>144</v>
      </c>
      <c r="AL229" s="93" t="s">
        <v>1400</v>
      </c>
      <c r="AM229" s="15"/>
      <c r="AN229" s="15"/>
    </row>
    <row r="230" spans="2:40" x14ac:dyDescent="0.25">
      <c r="B230" s="189">
        <f t="shared" si="30"/>
        <v>171</v>
      </c>
      <c r="C230" s="16">
        <v>20200629</v>
      </c>
      <c r="D230" s="16" t="s">
        <v>2</v>
      </c>
      <c r="E230" s="95" t="s">
        <v>1086</v>
      </c>
      <c r="F230" s="84" t="s">
        <v>1084</v>
      </c>
      <c r="G230" s="48"/>
      <c r="H230" s="16" t="s">
        <v>811</v>
      </c>
      <c r="I230" s="16" t="s">
        <v>1157</v>
      </c>
      <c r="J230" s="16" t="s">
        <v>254</v>
      </c>
      <c r="K230" s="48"/>
      <c r="L230" s="84"/>
      <c r="M230" s="48"/>
      <c r="N230" s="16" t="s">
        <v>1259</v>
      </c>
      <c r="O230" s="84" t="s">
        <v>1181</v>
      </c>
      <c r="P230" s="84" t="s">
        <v>1087</v>
      </c>
      <c r="Q230" s="18"/>
      <c r="R230" s="16" t="s">
        <v>1257</v>
      </c>
      <c r="S230" s="16" t="s">
        <v>327</v>
      </c>
      <c r="T230" s="16"/>
      <c r="U230" s="16"/>
      <c r="V230" s="16"/>
      <c r="W230" s="16">
        <f>ROUND(IF(D230=Table!$C$3,Y230*Table!$C$4/8,Y230*Table!$D$4/8),3)</f>
        <v>35.1</v>
      </c>
      <c r="X230" s="16">
        <f t="shared" si="34"/>
        <v>35.1</v>
      </c>
      <c r="Y230" s="16">
        <v>2.16</v>
      </c>
      <c r="Z230" s="16">
        <f t="shared" si="33"/>
        <v>2.16</v>
      </c>
      <c r="AA230" s="15" t="s">
        <v>70</v>
      </c>
      <c r="AB230" s="85">
        <v>44015</v>
      </c>
      <c r="AC230" s="85">
        <v>44011</v>
      </c>
      <c r="AD230" s="85">
        <v>44015</v>
      </c>
      <c r="AE230" s="85">
        <v>44012</v>
      </c>
      <c r="AF230" s="85">
        <v>44012</v>
      </c>
      <c r="AG230" s="85" t="s">
        <v>164</v>
      </c>
      <c r="AH230" s="86">
        <v>0.75</v>
      </c>
      <c r="AI230" s="86">
        <v>0.75</v>
      </c>
      <c r="AJ230" s="86">
        <v>1</v>
      </c>
      <c r="AK230" s="96" t="s">
        <v>144</v>
      </c>
      <c r="AL230" s="93" t="s">
        <v>1328</v>
      </c>
      <c r="AM230" s="15"/>
      <c r="AN230" s="15"/>
    </row>
    <row r="231" spans="2:40" x14ac:dyDescent="0.25">
      <c r="B231" s="189">
        <f t="shared" si="30"/>
        <v>172</v>
      </c>
      <c r="C231" s="16">
        <v>20200629</v>
      </c>
      <c r="D231" s="16" t="s">
        <v>2</v>
      </c>
      <c r="E231" s="95" t="s">
        <v>1086</v>
      </c>
      <c r="F231" s="84" t="s">
        <v>1085</v>
      </c>
      <c r="G231" s="48"/>
      <c r="H231" s="16" t="s">
        <v>812</v>
      </c>
      <c r="I231" s="16" t="s">
        <v>1158</v>
      </c>
      <c r="J231" s="16" t="s">
        <v>254</v>
      </c>
      <c r="K231" s="48"/>
      <c r="L231" s="84"/>
      <c r="M231" s="48"/>
      <c r="N231" s="16" t="s">
        <v>1259</v>
      </c>
      <c r="O231" s="84" t="s">
        <v>618</v>
      </c>
      <c r="P231" s="84" t="s">
        <v>1087</v>
      </c>
      <c r="Q231" s="18"/>
      <c r="R231" s="16" t="s">
        <v>1257</v>
      </c>
      <c r="S231" s="16" t="s">
        <v>327</v>
      </c>
      <c r="T231" s="16"/>
      <c r="U231" s="16"/>
      <c r="V231" s="16"/>
      <c r="W231" s="16">
        <f>ROUND(IF(D231=Table!$C$3,Y231*Table!$C$4/8,Y231*Table!$D$4/8),3)</f>
        <v>32.5</v>
      </c>
      <c r="X231" s="16">
        <f t="shared" si="34"/>
        <v>32.5</v>
      </c>
      <c r="Y231" s="16">
        <v>2</v>
      </c>
      <c r="Z231" s="16">
        <f t="shared" si="33"/>
        <v>2</v>
      </c>
      <c r="AA231" s="15" t="s">
        <v>70</v>
      </c>
      <c r="AB231" s="85">
        <v>44015</v>
      </c>
      <c r="AC231" s="85">
        <v>44011</v>
      </c>
      <c r="AD231" s="85">
        <v>44015</v>
      </c>
      <c r="AE231" s="85">
        <v>44012</v>
      </c>
      <c r="AF231" s="85">
        <v>44012</v>
      </c>
      <c r="AG231" s="85" t="s">
        <v>164</v>
      </c>
      <c r="AH231" s="86">
        <v>1</v>
      </c>
      <c r="AI231" s="86">
        <v>1</v>
      </c>
      <c r="AJ231" s="86">
        <v>1</v>
      </c>
      <c r="AK231" s="96" t="s">
        <v>144</v>
      </c>
      <c r="AL231" s="93"/>
      <c r="AM231" s="15"/>
      <c r="AN231" s="15"/>
    </row>
    <row r="232" spans="2:40" x14ac:dyDescent="0.25">
      <c r="B232" s="189">
        <f t="shared" si="30"/>
        <v>173</v>
      </c>
      <c r="C232" s="16">
        <v>20200629</v>
      </c>
      <c r="D232" s="16" t="s">
        <v>2</v>
      </c>
      <c r="E232" s="95" t="s">
        <v>1086</v>
      </c>
      <c r="F232" s="84" t="s">
        <v>1085</v>
      </c>
      <c r="G232" s="48"/>
      <c r="H232" s="16" t="s">
        <v>813</v>
      </c>
      <c r="I232" s="16" t="s">
        <v>1159</v>
      </c>
      <c r="J232" s="16" t="s">
        <v>254</v>
      </c>
      <c r="K232" s="48"/>
      <c r="L232" s="84"/>
      <c r="M232" s="48"/>
      <c r="N232" s="16" t="s">
        <v>1259</v>
      </c>
      <c r="O232" s="84" t="s">
        <v>318</v>
      </c>
      <c r="P232" s="84" t="s">
        <v>1087</v>
      </c>
      <c r="Q232" s="18"/>
      <c r="R232" s="16" t="s">
        <v>1257</v>
      </c>
      <c r="S232" s="16" t="s">
        <v>327</v>
      </c>
      <c r="T232" s="16"/>
      <c r="U232" s="16"/>
      <c r="V232" s="16"/>
      <c r="W232" s="16">
        <f>ROUND(IF(D232=Table!$C$3,Y232*Table!$C$4/8,Y232*Table!$D$4/8),3)</f>
        <v>32.5</v>
      </c>
      <c r="X232" s="16">
        <f t="shared" si="34"/>
        <v>32.5</v>
      </c>
      <c r="Y232" s="16">
        <v>2</v>
      </c>
      <c r="Z232" s="16">
        <f t="shared" si="33"/>
        <v>2</v>
      </c>
      <c r="AA232" s="15" t="s">
        <v>70</v>
      </c>
      <c r="AB232" s="85">
        <v>44015</v>
      </c>
      <c r="AC232" s="85">
        <v>44011</v>
      </c>
      <c r="AD232" s="85">
        <v>44015</v>
      </c>
      <c r="AE232" s="85">
        <v>44012</v>
      </c>
      <c r="AF232" s="85">
        <v>44012</v>
      </c>
      <c r="AG232" s="85" t="s">
        <v>164</v>
      </c>
      <c r="AH232" s="86">
        <v>1</v>
      </c>
      <c r="AI232" s="86">
        <v>1</v>
      </c>
      <c r="AJ232" s="86">
        <v>1</v>
      </c>
      <c r="AK232" s="96" t="s">
        <v>144</v>
      </c>
      <c r="AL232" s="93"/>
      <c r="AM232" s="15"/>
      <c r="AN232" s="15"/>
    </row>
    <row r="233" spans="2:40" x14ac:dyDescent="0.25">
      <c r="B233" s="189">
        <f t="shared" si="30"/>
        <v>174</v>
      </c>
      <c r="C233" s="16">
        <v>20200629</v>
      </c>
      <c r="D233" s="16" t="s">
        <v>2</v>
      </c>
      <c r="E233" s="95" t="s">
        <v>1086</v>
      </c>
      <c r="F233" s="84" t="s">
        <v>1085</v>
      </c>
      <c r="G233" s="48"/>
      <c r="H233" s="16" t="s">
        <v>814</v>
      </c>
      <c r="I233" s="16" t="s">
        <v>1160</v>
      </c>
      <c r="J233" s="16" t="s">
        <v>254</v>
      </c>
      <c r="K233" s="48"/>
      <c r="L233" s="84"/>
      <c r="M233" s="48"/>
      <c r="N233" s="16" t="s">
        <v>1259</v>
      </c>
      <c r="O233" s="84" t="s">
        <v>618</v>
      </c>
      <c r="P233" s="84" t="s">
        <v>1087</v>
      </c>
      <c r="Q233" s="18"/>
      <c r="R233" s="16" t="s">
        <v>1257</v>
      </c>
      <c r="S233" s="16" t="s">
        <v>327</v>
      </c>
      <c r="T233" s="16"/>
      <c r="U233" s="16"/>
      <c r="V233" s="16"/>
      <c r="W233" s="16">
        <f>ROUND(IF(D233=Table!$C$3,Y233*Table!$C$4/8,Y233*Table!$D$4/8),3)</f>
        <v>32.5</v>
      </c>
      <c r="X233" s="16">
        <f t="shared" si="34"/>
        <v>32.5</v>
      </c>
      <c r="Y233" s="16">
        <v>2</v>
      </c>
      <c r="Z233" s="16">
        <f t="shared" si="33"/>
        <v>2</v>
      </c>
      <c r="AA233" s="15" t="s">
        <v>70</v>
      </c>
      <c r="AB233" s="85">
        <v>44015</v>
      </c>
      <c r="AC233" s="85">
        <v>44011</v>
      </c>
      <c r="AD233" s="85">
        <v>44015</v>
      </c>
      <c r="AE233" s="85">
        <v>44012</v>
      </c>
      <c r="AF233" s="85">
        <v>44012</v>
      </c>
      <c r="AG233" s="85" t="s">
        <v>164</v>
      </c>
      <c r="AH233" s="86">
        <v>1</v>
      </c>
      <c r="AI233" s="86">
        <v>1</v>
      </c>
      <c r="AJ233" s="86">
        <v>1</v>
      </c>
      <c r="AK233" s="96" t="s">
        <v>144</v>
      </c>
      <c r="AL233" s="93"/>
      <c r="AM233" s="15"/>
      <c r="AN233" s="15"/>
    </row>
    <row r="234" spans="2:40" x14ac:dyDescent="0.25">
      <c r="B234" s="92">
        <f t="shared" si="30"/>
        <v>175</v>
      </c>
      <c r="C234" s="16">
        <v>20200629</v>
      </c>
      <c r="D234" s="16" t="s">
        <v>2</v>
      </c>
      <c r="E234" s="95" t="s">
        <v>1251</v>
      </c>
      <c r="F234" s="84" t="s">
        <v>1249</v>
      </c>
      <c r="G234" s="48"/>
      <c r="H234" s="16" t="s">
        <v>1231</v>
      </c>
      <c r="I234" s="137" t="s">
        <v>1217</v>
      </c>
      <c r="J234" s="16" t="s">
        <v>255</v>
      </c>
      <c r="K234" s="48"/>
      <c r="L234" s="84"/>
      <c r="M234" s="48"/>
      <c r="N234" s="16" t="s">
        <v>1258</v>
      </c>
      <c r="O234" s="84" t="s">
        <v>1242</v>
      </c>
      <c r="P234" s="84" t="s">
        <v>1087</v>
      </c>
      <c r="Q234" s="18"/>
      <c r="R234" s="16" t="s">
        <v>1252</v>
      </c>
      <c r="S234" s="16" t="s">
        <v>61</v>
      </c>
      <c r="T234" s="16"/>
      <c r="U234" s="16"/>
      <c r="V234" s="16"/>
      <c r="W234" s="16">
        <f>ROUND(IF(D234=Table!$C$3,Y234*Table!$C$4/8,Y234*Table!$D$4/8),3)</f>
        <v>32.5</v>
      </c>
      <c r="X234" s="16">
        <f t="shared" si="34"/>
        <v>32.5</v>
      </c>
      <c r="Y234" s="16">
        <v>2</v>
      </c>
      <c r="Z234" s="16">
        <f t="shared" ref="Z234:Z247" si="35">Y234</f>
        <v>2</v>
      </c>
      <c r="AA234" s="15" t="s">
        <v>70</v>
      </c>
      <c r="AB234" s="85">
        <v>44015</v>
      </c>
      <c r="AC234" s="85">
        <v>44011</v>
      </c>
      <c r="AD234" s="85">
        <v>44015</v>
      </c>
      <c r="AE234" s="85">
        <v>44012</v>
      </c>
      <c r="AF234" s="85">
        <v>44012</v>
      </c>
      <c r="AG234" s="85" t="s">
        <v>165</v>
      </c>
      <c r="AH234" s="86">
        <v>0.84299999999999997</v>
      </c>
      <c r="AI234" s="86">
        <v>0.85199999999999998</v>
      </c>
      <c r="AJ234" s="86">
        <v>1</v>
      </c>
      <c r="AK234" s="96" t="s">
        <v>144</v>
      </c>
      <c r="AL234" s="196" t="s">
        <v>1308</v>
      </c>
      <c r="AM234" s="15"/>
      <c r="AN234" s="15"/>
    </row>
    <row r="235" spans="2:40" x14ac:dyDescent="0.25">
      <c r="B235" s="92">
        <f t="shared" si="30"/>
        <v>176</v>
      </c>
      <c r="C235" s="16">
        <v>20200629</v>
      </c>
      <c r="D235" s="16" t="s">
        <v>2</v>
      </c>
      <c r="E235" s="95" t="s">
        <v>1251</v>
      </c>
      <c r="F235" s="84" t="s">
        <v>1249</v>
      </c>
      <c r="G235" s="48"/>
      <c r="H235" s="16" t="s">
        <v>1232</v>
      </c>
      <c r="I235" s="137" t="s">
        <v>1218</v>
      </c>
      <c r="J235" s="16" t="s">
        <v>254</v>
      </c>
      <c r="K235" s="48"/>
      <c r="L235" s="84"/>
      <c r="M235" s="48"/>
      <c r="N235" s="16" t="s">
        <v>1258</v>
      </c>
      <c r="O235" s="84" t="s">
        <v>1243</v>
      </c>
      <c r="P235" s="84" t="s">
        <v>1087</v>
      </c>
      <c r="Q235" s="18"/>
      <c r="R235" s="16" t="s">
        <v>1252</v>
      </c>
      <c r="S235" s="16" t="s">
        <v>61</v>
      </c>
      <c r="T235" s="16"/>
      <c r="U235" s="16"/>
      <c r="V235" s="16"/>
      <c r="W235" s="16">
        <f>ROUND(IF(D235=Table!$C$3,Y235*Table!$C$4/8,Y235*Table!$D$4/8),3)</f>
        <v>104</v>
      </c>
      <c r="X235" s="16">
        <f t="shared" si="34"/>
        <v>104</v>
      </c>
      <c r="Y235" s="16">
        <v>6.4</v>
      </c>
      <c r="Z235" s="16">
        <f t="shared" si="35"/>
        <v>6.4</v>
      </c>
      <c r="AA235" s="15" t="s">
        <v>70</v>
      </c>
      <c r="AB235" s="85">
        <v>44015</v>
      </c>
      <c r="AC235" s="85">
        <v>44011</v>
      </c>
      <c r="AD235" s="85">
        <v>44015</v>
      </c>
      <c r="AE235" s="85">
        <v>44012</v>
      </c>
      <c r="AF235" s="85">
        <v>44012</v>
      </c>
      <c r="AG235" s="85" t="s">
        <v>165</v>
      </c>
      <c r="AH235" s="86">
        <v>1</v>
      </c>
      <c r="AI235" s="86">
        <v>1</v>
      </c>
      <c r="AJ235" s="86">
        <v>0.93799999999999994</v>
      </c>
      <c r="AK235" s="96" t="s">
        <v>144</v>
      </c>
      <c r="AL235" s="140" t="s">
        <v>1314</v>
      </c>
      <c r="AM235" s="15"/>
      <c r="AN235" s="15"/>
    </row>
    <row r="236" spans="2:40" x14ac:dyDescent="0.25">
      <c r="B236" s="92">
        <f t="shared" si="30"/>
        <v>177</v>
      </c>
      <c r="C236" s="16">
        <v>20200629</v>
      </c>
      <c r="D236" s="16" t="s">
        <v>2</v>
      </c>
      <c r="E236" s="95" t="s">
        <v>1251</v>
      </c>
      <c r="F236" s="84" t="s">
        <v>1250</v>
      </c>
      <c r="G236" s="48"/>
      <c r="H236" s="16" t="s">
        <v>1233</v>
      </c>
      <c r="I236" s="16" t="s">
        <v>1219</v>
      </c>
      <c r="J236" s="16" t="s">
        <v>1246</v>
      </c>
      <c r="K236" s="48"/>
      <c r="L236" s="84"/>
      <c r="M236" s="48"/>
      <c r="N236" s="16" t="s">
        <v>1258</v>
      </c>
      <c r="O236" s="84" t="s">
        <v>621</v>
      </c>
      <c r="P236" s="84" t="s">
        <v>1087</v>
      </c>
      <c r="Q236" s="18"/>
      <c r="R236" s="16" t="s">
        <v>1252</v>
      </c>
      <c r="S236" s="16" t="s">
        <v>61</v>
      </c>
      <c r="T236" s="16"/>
      <c r="U236" s="16"/>
      <c r="V236" s="16"/>
      <c r="W236" s="16">
        <f>ROUND(IF(D236=Table!$C$3,Y236*Table!$C$4/8,Y236*Table!$D$4/8),3)</f>
        <v>13</v>
      </c>
      <c r="X236" s="16">
        <f t="shared" si="34"/>
        <v>13</v>
      </c>
      <c r="Y236" s="16">
        <v>0.8</v>
      </c>
      <c r="Z236" s="16">
        <f t="shared" si="35"/>
        <v>0.8</v>
      </c>
      <c r="AA236" s="15" t="s">
        <v>70</v>
      </c>
      <c r="AB236" s="85">
        <v>44015</v>
      </c>
      <c r="AC236" s="85">
        <v>44011</v>
      </c>
      <c r="AD236" s="85">
        <v>44015</v>
      </c>
      <c r="AE236" s="85">
        <v>44013</v>
      </c>
      <c r="AF236" s="85">
        <v>44013</v>
      </c>
      <c r="AG236" s="85" t="s">
        <v>164</v>
      </c>
      <c r="AH236" s="86">
        <v>0.90500000000000003</v>
      </c>
      <c r="AI236" s="86">
        <v>0.90900000000000003</v>
      </c>
      <c r="AJ236" s="86" t="s">
        <v>326</v>
      </c>
      <c r="AK236" s="96" t="s">
        <v>144</v>
      </c>
      <c r="AL236" s="93" t="s">
        <v>1391</v>
      </c>
      <c r="AM236" s="15"/>
      <c r="AN236" s="15"/>
    </row>
    <row r="237" spans="2:40" x14ac:dyDescent="0.25">
      <c r="B237" s="92">
        <f t="shared" si="30"/>
        <v>178</v>
      </c>
      <c r="C237" s="16">
        <v>20200629</v>
      </c>
      <c r="D237" s="16" t="s">
        <v>2</v>
      </c>
      <c r="E237" s="95" t="s">
        <v>1251</v>
      </c>
      <c r="F237" s="84" t="s">
        <v>1084</v>
      </c>
      <c r="G237" s="48"/>
      <c r="H237" s="16" t="s">
        <v>235</v>
      </c>
      <c r="I237" s="16" t="s">
        <v>1220</v>
      </c>
      <c r="J237" s="16" t="s">
        <v>1247</v>
      </c>
      <c r="K237" s="48"/>
      <c r="L237" s="84"/>
      <c r="M237" s="48"/>
      <c r="N237" s="16" t="s">
        <v>1258</v>
      </c>
      <c r="O237" s="84" t="s">
        <v>621</v>
      </c>
      <c r="P237" s="84" t="s">
        <v>1087</v>
      </c>
      <c r="Q237" s="18"/>
      <c r="R237" s="16" t="s">
        <v>1252</v>
      </c>
      <c r="S237" s="16" t="s">
        <v>61</v>
      </c>
      <c r="T237" s="16"/>
      <c r="U237" s="16"/>
      <c r="V237" s="16"/>
      <c r="W237" s="16">
        <f>ROUND(IF(D237=Table!$C$3,Y237*Table!$C$4/8,Y237*Table!$D$4/8),3)</f>
        <v>45.5</v>
      </c>
      <c r="X237" s="16">
        <f t="shared" si="34"/>
        <v>45.5</v>
      </c>
      <c r="Y237" s="16">
        <v>2.8</v>
      </c>
      <c r="Z237" s="16">
        <f t="shared" si="35"/>
        <v>2.8</v>
      </c>
      <c r="AA237" s="15" t="s">
        <v>70</v>
      </c>
      <c r="AB237" s="85">
        <v>44015</v>
      </c>
      <c r="AC237" s="85">
        <v>44011</v>
      </c>
      <c r="AD237" s="85">
        <v>44015</v>
      </c>
      <c r="AE237" s="85">
        <v>44013</v>
      </c>
      <c r="AF237" s="85">
        <v>44013</v>
      </c>
      <c r="AG237" s="85" t="s">
        <v>164</v>
      </c>
      <c r="AH237" s="86">
        <v>1</v>
      </c>
      <c r="AI237" s="86">
        <v>1</v>
      </c>
      <c r="AJ237" s="86">
        <v>1</v>
      </c>
      <c r="AK237" s="96" t="s">
        <v>144</v>
      </c>
      <c r="AL237" s="93"/>
      <c r="AM237" s="15"/>
      <c r="AN237" s="15"/>
    </row>
    <row r="238" spans="2:40" x14ac:dyDescent="0.25">
      <c r="B238" s="92">
        <f t="shared" si="30"/>
        <v>179</v>
      </c>
      <c r="C238" s="16">
        <v>20200629</v>
      </c>
      <c r="D238" s="16" t="s">
        <v>2</v>
      </c>
      <c r="E238" s="95" t="s">
        <v>1251</v>
      </c>
      <c r="F238" s="84" t="s">
        <v>1084</v>
      </c>
      <c r="G238" s="48"/>
      <c r="H238" s="16" t="s">
        <v>1234</v>
      </c>
      <c r="I238" s="16" t="s">
        <v>1221</v>
      </c>
      <c r="J238" s="16" t="s">
        <v>1248</v>
      </c>
      <c r="K238" s="48"/>
      <c r="L238" s="84"/>
      <c r="M238" s="48"/>
      <c r="N238" s="16" t="s">
        <v>1258</v>
      </c>
      <c r="O238" s="84" t="s">
        <v>318</v>
      </c>
      <c r="P238" s="84" t="s">
        <v>1087</v>
      </c>
      <c r="Q238" s="18"/>
      <c r="R238" s="16" t="s">
        <v>1252</v>
      </c>
      <c r="S238" s="16" t="s">
        <v>61</v>
      </c>
      <c r="T238" s="16"/>
      <c r="U238" s="16"/>
      <c r="V238" s="16"/>
      <c r="W238" s="16">
        <f>ROUND(IF(D238=Table!$C$3,Y238*Table!$C$4/8,Y238*Table!$D$4/8),3)</f>
        <v>13</v>
      </c>
      <c r="X238" s="16">
        <f t="shared" si="34"/>
        <v>13</v>
      </c>
      <c r="Y238" s="16">
        <v>0.8</v>
      </c>
      <c r="Z238" s="16">
        <f t="shared" si="35"/>
        <v>0.8</v>
      </c>
      <c r="AA238" s="15" t="s">
        <v>70</v>
      </c>
      <c r="AB238" s="85">
        <v>44015</v>
      </c>
      <c r="AC238" s="85">
        <v>44011</v>
      </c>
      <c r="AD238" s="85">
        <v>44015</v>
      </c>
      <c r="AE238" s="85">
        <v>44013</v>
      </c>
      <c r="AF238" s="85">
        <v>44013</v>
      </c>
      <c r="AG238" s="85" t="s">
        <v>164</v>
      </c>
      <c r="AH238" s="86">
        <v>0.88200000000000001</v>
      </c>
      <c r="AI238" s="86">
        <v>0.88900000000000001</v>
      </c>
      <c r="AJ238" s="86">
        <v>1</v>
      </c>
      <c r="AK238" s="96" t="s">
        <v>144</v>
      </c>
      <c r="AL238" s="93" t="s">
        <v>1391</v>
      </c>
      <c r="AM238" s="15"/>
      <c r="AN238" s="15"/>
    </row>
    <row r="239" spans="2:40" x14ac:dyDescent="0.25">
      <c r="B239" s="92">
        <f t="shared" si="30"/>
        <v>180</v>
      </c>
      <c r="C239" s="16">
        <v>20200629</v>
      </c>
      <c r="D239" s="16" t="s">
        <v>2</v>
      </c>
      <c r="E239" s="95" t="s">
        <v>1251</v>
      </c>
      <c r="F239" s="84" t="s">
        <v>1084</v>
      </c>
      <c r="G239" s="48"/>
      <c r="H239" s="16" t="s">
        <v>223</v>
      </c>
      <c r="I239" s="16" t="s">
        <v>1222</v>
      </c>
      <c r="J239" s="16" t="s">
        <v>1247</v>
      </c>
      <c r="K239" s="48"/>
      <c r="L239" s="84"/>
      <c r="M239" s="48"/>
      <c r="N239" s="16" t="s">
        <v>1258</v>
      </c>
      <c r="O239" s="84" t="s">
        <v>620</v>
      </c>
      <c r="P239" s="84" t="s">
        <v>1087</v>
      </c>
      <c r="Q239" s="18"/>
      <c r="R239" s="16" t="s">
        <v>1252</v>
      </c>
      <c r="S239" s="16" t="s">
        <v>61</v>
      </c>
      <c r="T239" s="16"/>
      <c r="U239" s="16"/>
      <c r="V239" s="16"/>
      <c r="W239" s="16">
        <f>ROUND(IF(D239=Table!$C$3,Y239*Table!$C$4/8,Y239*Table!$D$4/8),3)</f>
        <v>32.5</v>
      </c>
      <c r="X239" s="16">
        <f t="shared" si="34"/>
        <v>32.5</v>
      </c>
      <c r="Y239" s="16">
        <v>2</v>
      </c>
      <c r="Z239" s="16">
        <f t="shared" si="35"/>
        <v>2</v>
      </c>
      <c r="AA239" s="15" t="s">
        <v>70</v>
      </c>
      <c r="AB239" s="85">
        <v>44015</v>
      </c>
      <c r="AC239" s="85">
        <v>44011</v>
      </c>
      <c r="AD239" s="85">
        <v>44015</v>
      </c>
      <c r="AE239" s="85">
        <v>44012</v>
      </c>
      <c r="AF239" s="85">
        <v>44012</v>
      </c>
      <c r="AG239" s="85" t="s">
        <v>164</v>
      </c>
      <c r="AH239" s="86">
        <v>1</v>
      </c>
      <c r="AI239" s="86">
        <v>1</v>
      </c>
      <c r="AJ239" s="86">
        <v>1</v>
      </c>
      <c r="AK239" s="96" t="s">
        <v>144</v>
      </c>
      <c r="AL239" s="93"/>
      <c r="AM239" s="15"/>
      <c r="AN239" s="15"/>
    </row>
    <row r="240" spans="2:40" x14ac:dyDescent="0.25">
      <c r="B240" s="92">
        <f t="shared" si="30"/>
        <v>181</v>
      </c>
      <c r="C240" s="16">
        <v>20200629</v>
      </c>
      <c r="D240" s="16" t="s">
        <v>2</v>
      </c>
      <c r="E240" s="95" t="s">
        <v>1251</v>
      </c>
      <c r="F240" s="84" t="s">
        <v>1084</v>
      </c>
      <c r="G240" s="48"/>
      <c r="H240" s="16" t="s">
        <v>316</v>
      </c>
      <c r="I240" s="16" t="s">
        <v>1223</v>
      </c>
      <c r="J240" s="16" t="s">
        <v>255</v>
      </c>
      <c r="K240" s="48"/>
      <c r="L240" s="84"/>
      <c r="M240" s="48"/>
      <c r="N240" s="16" t="s">
        <v>1258</v>
      </c>
      <c r="O240" s="84" t="s">
        <v>620</v>
      </c>
      <c r="P240" s="84" t="s">
        <v>1087</v>
      </c>
      <c r="Q240" s="18"/>
      <c r="R240" s="16" t="s">
        <v>1252</v>
      </c>
      <c r="S240" s="16" t="s">
        <v>61</v>
      </c>
      <c r="T240" s="16"/>
      <c r="U240" s="16"/>
      <c r="V240" s="16"/>
      <c r="W240" s="16">
        <f>ROUND(IF(D240=Table!$C$3,Y240*Table!$C$4/8,Y240*Table!$D$4/8),3)</f>
        <v>49.4</v>
      </c>
      <c r="X240" s="16">
        <f t="shared" si="34"/>
        <v>49.4</v>
      </c>
      <c r="Y240" s="16">
        <v>3.04</v>
      </c>
      <c r="Z240" s="16">
        <f t="shared" si="35"/>
        <v>3.04</v>
      </c>
      <c r="AA240" s="15" t="s">
        <v>70</v>
      </c>
      <c r="AB240" s="85">
        <v>44015</v>
      </c>
      <c r="AC240" s="85">
        <v>44011</v>
      </c>
      <c r="AD240" s="85">
        <v>44015</v>
      </c>
      <c r="AE240" s="85">
        <v>44012</v>
      </c>
      <c r="AF240" s="85">
        <v>44012</v>
      </c>
      <c r="AG240" s="85" t="s">
        <v>164</v>
      </c>
      <c r="AH240" s="86">
        <v>1</v>
      </c>
      <c r="AI240" s="86">
        <v>1</v>
      </c>
      <c r="AJ240" s="86">
        <v>1</v>
      </c>
      <c r="AK240" s="96" t="s">
        <v>144</v>
      </c>
      <c r="AL240" s="93"/>
      <c r="AM240" s="15"/>
      <c r="AN240" s="15"/>
    </row>
    <row r="241" spans="2:40" x14ac:dyDescent="0.25">
      <c r="B241" s="92">
        <f t="shared" si="30"/>
        <v>182</v>
      </c>
      <c r="C241" s="16">
        <v>20200629</v>
      </c>
      <c r="D241" s="16" t="s">
        <v>2</v>
      </c>
      <c r="E241" s="95" t="s">
        <v>1251</v>
      </c>
      <c r="F241" s="84" t="s">
        <v>1084</v>
      </c>
      <c r="G241" s="48"/>
      <c r="H241" s="16" t="s">
        <v>1235</v>
      </c>
      <c r="I241" s="16" t="s">
        <v>1224</v>
      </c>
      <c r="J241" s="16" t="s">
        <v>1247</v>
      </c>
      <c r="K241" s="48"/>
      <c r="L241" s="84"/>
      <c r="M241" s="48"/>
      <c r="N241" s="16" t="s">
        <v>1258</v>
      </c>
      <c r="O241" s="84" t="s">
        <v>1244</v>
      </c>
      <c r="P241" s="84" t="s">
        <v>1087</v>
      </c>
      <c r="Q241" s="18"/>
      <c r="R241" s="16" t="s">
        <v>1252</v>
      </c>
      <c r="S241" s="16" t="s">
        <v>61</v>
      </c>
      <c r="T241" s="16"/>
      <c r="U241" s="16"/>
      <c r="V241" s="16"/>
      <c r="W241" s="16">
        <f>ROUND(IF(D241=Table!$C$3,Y241*Table!$C$4/8,Y241*Table!$D$4/8),3)</f>
        <v>104</v>
      </c>
      <c r="X241" s="16">
        <f t="shared" si="34"/>
        <v>104</v>
      </c>
      <c r="Y241" s="16">
        <v>6.4</v>
      </c>
      <c r="Z241" s="16">
        <f t="shared" si="35"/>
        <v>6.4</v>
      </c>
      <c r="AA241" s="15" t="s">
        <v>70</v>
      </c>
      <c r="AB241" s="85">
        <v>44015</v>
      </c>
      <c r="AC241" s="85">
        <v>44011</v>
      </c>
      <c r="AD241" s="85">
        <v>44015</v>
      </c>
      <c r="AE241" s="85">
        <v>44012</v>
      </c>
      <c r="AF241" s="85">
        <v>44012</v>
      </c>
      <c r="AG241" s="85" t="s">
        <v>165</v>
      </c>
      <c r="AH241" s="86">
        <v>0.93300000000000005</v>
      </c>
      <c r="AI241" s="86">
        <v>0.91200000000000003</v>
      </c>
      <c r="AJ241" s="86">
        <v>0.90600000000000003</v>
      </c>
      <c r="AK241" s="96" t="s">
        <v>144</v>
      </c>
      <c r="AL241" s="140" t="s">
        <v>1327</v>
      </c>
      <c r="AM241" s="15"/>
      <c r="AN241" s="15"/>
    </row>
    <row r="242" spans="2:40" x14ac:dyDescent="0.25">
      <c r="B242" s="92">
        <f t="shared" si="30"/>
        <v>183</v>
      </c>
      <c r="C242" s="16">
        <v>20200629</v>
      </c>
      <c r="D242" s="16" t="s">
        <v>2</v>
      </c>
      <c r="E242" s="95" t="s">
        <v>1251</v>
      </c>
      <c r="F242" s="84" t="s">
        <v>1084</v>
      </c>
      <c r="G242" s="48"/>
      <c r="H242" s="16" t="s">
        <v>1236</v>
      </c>
      <c r="I242" s="16" t="s">
        <v>1225</v>
      </c>
      <c r="J242" s="16" t="s">
        <v>254</v>
      </c>
      <c r="K242" s="48"/>
      <c r="L242" s="84"/>
      <c r="M242" s="48"/>
      <c r="N242" s="16" t="s">
        <v>1258</v>
      </c>
      <c r="O242" s="84" t="s">
        <v>281</v>
      </c>
      <c r="P242" s="84" t="s">
        <v>1087</v>
      </c>
      <c r="Q242" s="18"/>
      <c r="R242" s="16" t="s">
        <v>1252</v>
      </c>
      <c r="S242" s="16" t="s">
        <v>61</v>
      </c>
      <c r="T242" s="16"/>
      <c r="U242" s="16"/>
      <c r="V242" s="16"/>
      <c r="W242" s="16">
        <f>ROUND(IF(D242=Table!$C$3,Y242*Table!$C$4/8,Y242*Table!$D$4/8),3)</f>
        <v>32.5</v>
      </c>
      <c r="X242" s="16">
        <f t="shared" si="34"/>
        <v>32.5</v>
      </c>
      <c r="Y242" s="16">
        <v>2</v>
      </c>
      <c r="Z242" s="16">
        <f t="shared" si="35"/>
        <v>2</v>
      </c>
      <c r="AA242" s="15" t="s">
        <v>70</v>
      </c>
      <c r="AB242" s="85">
        <v>44015</v>
      </c>
      <c r="AC242" s="85">
        <v>44011</v>
      </c>
      <c r="AD242" s="85">
        <v>44015</v>
      </c>
      <c r="AE242" s="85">
        <v>44012</v>
      </c>
      <c r="AF242" s="85">
        <v>44012</v>
      </c>
      <c r="AG242" s="85" t="s">
        <v>164</v>
      </c>
      <c r="AH242" s="86">
        <v>1</v>
      </c>
      <c r="AI242" s="86">
        <v>1</v>
      </c>
      <c r="AJ242" s="86" t="s">
        <v>326</v>
      </c>
      <c r="AK242" s="96" t="s">
        <v>144</v>
      </c>
      <c r="AL242" s="93"/>
      <c r="AM242" s="15"/>
      <c r="AN242" s="15"/>
    </row>
    <row r="243" spans="2:40" x14ac:dyDescent="0.25">
      <c r="B243" s="92">
        <f t="shared" si="30"/>
        <v>184</v>
      </c>
      <c r="C243" s="16">
        <v>20200629</v>
      </c>
      <c r="D243" s="16" t="s">
        <v>2</v>
      </c>
      <c r="E243" s="95" t="s">
        <v>1251</v>
      </c>
      <c r="F243" s="84" t="s">
        <v>1084</v>
      </c>
      <c r="G243" s="48"/>
      <c r="H243" s="16" t="s">
        <v>1237</v>
      </c>
      <c r="I243" s="16" t="s">
        <v>1226</v>
      </c>
      <c r="J243" s="16" t="s">
        <v>1247</v>
      </c>
      <c r="K243" s="48"/>
      <c r="L243" s="84"/>
      <c r="M243" s="48"/>
      <c r="N243" s="16" t="s">
        <v>1258</v>
      </c>
      <c r="O243" s="84" t="s">
        <v>774</v>
      </c>
      <c r="P243" s="84" t="s">
        <v>1087</v>
      </c>
      <c r="Q243" s="18"/>
      <c r="R243" s="16" t="s">
        <v>1252</v>
      </c>
      <c r="S243" s="16" t="s">
        <v>61</v>
      </c>
      <c r="T243" s="16"/>
      <c r="U243" s="16"/>
      <c r="V243" s="16"/>
      <c r="W243" s="16">
        <f>ROUND(IF(D243=Table!$C$3,Y243*Table!$C$4/8,Y243*Table!$D$4/8),3)</f>
        <v>39</v>
      </c>
      <c r="X243" s="16">
        <f t="shared" si="34"/>
        <v>39</v>
      </c>
      <c r="Y243" s="16">
        <v>2.4</v>
      </c>
      <c r="Z243" s="16">
        <f t="shared" si="35"/>
        <v>2.4</v>
      </c>
      <c r="AA243" s="15" t="s">
        <v>70</v>
      </c>
      <c r="AB243" s="85">
        <v>44015</v>
      </c>
      <c r="AC243" s="85">
        <v>44011</v>
      </c>
      <c r="AD243" s="85">
        <v>44015</v>
      </c>
      <c r="AE243" s="85">
        <v>44012</v>
      </c>
      <c r="AF243" s="85">
        <v>44012</v>
      </c>
      <c r="AG243" s="85" t="s">
        <v>164</v>
      </c>
      <c r="AH243" s="86">
        <v>1</v>
      </c>
      <c r="AI243" s="86">
        <v>1</v>
      </c>
      <c r="AJ243" s="86">
        <v>1</v>
      </c>
      <c r="AK243" s="96" t="s">
        <v>144</v>
      </c>
      <c r="AL243" s="93"/>
      <c r="AM243" s="15"/>
      <c r="AN243" s="15"/>
    </row>
    <row r="244" spans="2:40" x14ac:dyDescent="0.25">
      <c r="B244" s="92">
        <f t="shared" si="30"/>
        <v>185</v>
      </c>
      <c r="C244" s="16">
        <v>20200629</v>
      </c>
      <c r="D244" s="16" t="s">
        <v>2</v>
      </c>
      <c r="E244" s="95" t="s">
        <v>1251</v>
      </c>
      <c r="F244" s="84" t="s">
        <v>1084</v>
      </c>
      <c r="G244" s="48"/>
      <c r="H244" s="16" t="s">
        <v>1238</v>
      </c>
      <c r="I244" s="16" t="s">
        <v>1227</v>
      </c>
      <c r="J244" s="16" t="s">
        <v>1247</v>
      </c>
      <c r="K244" s="48"/>
      <c r="L244" s="84"/>
      <c r="M244" s="48"/>
      <c r="N244" s="16" t="s">
        <v>1258</v>
      </c>
      <c r="O244" s="84" t="s">
        <v>620</v>
      </c>
      <c r="P244" s="84" t="s">
        <v>1087</v>
      </c>
      <c r="Q244" s="18"/>
      <c r="R244" s="16" t="s">
        <v>1252</v>
      </c>
      <c r="S244" s="16" t="s">
        <v>61</v>
      </c>
      <c r="T244" s="16"/>
      <c r="U244" s="16"/>
      <c r="V244" s="16"/>
      <c r="W244" s="16">
        <f>ROUND(IF(D244=Table!$C$3,Y244*Table!$C$4/8,Y244*Table!$D$4/8),3)</f>
        <v>65</v>
      </c>
      <c r="X244" s="16">
        <f t="shared" si="34"/>
        <v>65</v>
      </c>
      <c r="Y244" s="16">
        <v>4</v>
      </c>
      <c r="Z244" s="16">
        <f t="shared" si="35"/>
        <v>4</v>
      </c>
      <c r="AA244" s="15" t="s">
        <v>70</v>
      </c>
      <c r="AB244" s="85">
        <v>44015</v>
      </c>
      <c r="AC244" s="85">
        <v>44011</v>
      </c>
      <c r="AD244" s="85">
        <v>44015</v>
      </c>
      <c r="AE244" s="85">
        <v>44013</v>
      </c>
      <c r="AF244" s="85">
        <v>44013</v>
      </c>
      <c r="AG244" s="85" t="s">
        <v>165</v>
      </c>
      <c r="AH244" s="86">
        <v>1</v>
      </c>
      <c r="AI244" s="86">
        <v>0.92300000000000004</v>
      </c>
      <c r="AJ244" s="86">
        <v>0.94099999999999995</v>
      </c>
      <c r="AK244" s="96" t="s">
        <v>144</v>
      </c>
      <c r="AL244" s="140" t="s">
        <v>1399</v>
      </c>
      <c r="AM244" s="15"/>
      <c r="AN244" s="15"/>
    </row>
    <row r="245" spans="2:40" x14ac:dyDescent="0.25">
      <c r="B245" s="92">
        <f t="shared" si="30"/>
        <v>186</v>
      </c>
      <c r="C245" s="16">
        <v>20200629</v>
      </c>
      <c r="D245" s="16" t="s">
        <v>2</v>
      </c>
      <c r="E245" s="95" t="s">
        <v>1251</v>
      </c>
      <c r="F245" s="84" t="s">
        <v>1084</v>
      </c>
      <c r="G245" s="48"/>
      <c r="H245" s="16" t="s">
        <v>1239</v>
      </c>
      <c r="I245" s="16" t="s">
        <v>1228</v>
      </c>
      <c r="J245" s="16" t="s">
        <v>1247</v>
      </c>
      <c r="K245" s="48"/>
      <c r="L245" s="84"/>
      <c r="M245" s="48"/>
      <c r="N245" s="16" t="s">
        <v>1258</v>
      </c>
      <c r="O245" s="84" t="s">
        <v>620</v>
      </c>
      <c r="P245" s="84" t="s">
        <v>1087</v>
      </c>
      <c r="Q245" s="18"/>
      <c r="R245" s="16" t="s">
        <v>1253</v>
      </c>
      <c r="S245" s="16" t="s">
        <v>327</v>
      </c>
      <c r="T245" s="16"/>
      <c r="U245" s="16"/>
      <c r="V245" s="16"/>
      <c r="W245" s="16">
        <f>ROUND(IF(D245=Table!$C$3,Y245*Table!$C$4/8,Y245*Table!$D$4/8),3)</f>
        <v>26</v>
      </c>
      <c r="X245" s="16">
        <f t="shared" si="34"/>
        <v>26</v>
      </c>
      <c r="Y245" s="16">
        <v>1.6</v>
      </c>
      <c r="Z245" s="16">
        <f t="shared" si="35"/>
        <v>1.6</v>
      </c>
      <c r="AA245" s="15" t="s">
        <v>70</v>
      </c>
      <c r="AB245" s="85">
        <v>44015</v>
      </c>
      <c r="AC245" s="85">
        <v>44011</v>
      </c>
      <c r="AD245" s="85">
        <v>44015</v>
      </c>
      <c r="AE245" s="85">
        <v>44013</v>
      </c>
      <c r="AF245" s="85">
        <v>44013</v>
      </c>
      <c r="AG245" s="85" t="s">
        <v>164</v>
      </c>
      <c r="AH245" s="86">
        <v>1</v>
      </c>
      <c r="AI245" s="86">
        <v>1</v>
      </c>
      <c r="AJ245" s="86">
        <v>1</v>
      </c>
      <c r="AK245" s="96" t="s">
        <v>144</v>
      </c>
      <c r="AL245" s="93"/>
      <c r="AM245" s="15"/>
      <c r="AN245" s="15"/>
    </row>
    <row r="246" spans="2:40" x14ac:dyDescent="0.25">
      <c r="B246" s="92">
        <f t="shared" si="30"/>
        <v>187</v>
      </c>
      <c r="C246" s="16">
        <v>20200629</v>
      </c>
      <c r="D246" s="16" t="s">
        <v>2</v>
      </c>
      <c r="E246" s="95" t="s">
        <v>1251</v>
      </c>
      <c r="F246" s="84" t="s">
        <v>1084</v>
      </c>
      <c r="G246" s="48"/>
      <c r="H246" s="16" t="s">
        <v>1240</v>
      </c>
      <c r="I246" s="16" t="s">
        <v>1229</v>
      </c>
      <c r="J246" s="16" t="s">
        <v>1247</v>
      </c>
      <c r="K246" s="48"/>
      <c r="L246" s="84"/>
      <c r="M246" s="48"/>
      <c r="N246" s="16" t="s">
        <v>1258</v>
      </c>
      <c r="O246" s="84" t="s">
        <v>1245</v>
      </c>
      <c r="P246" s="84" t="s">
        <v>1087</v>
      </c>
      <c r="Q246" s="18"/>
      <c r="R246" s="16" t="s">
        <v>1253</v>
      </c>
      <c r="S246" s="16" t="s">
        <v>327</v>
      </c>
      <c r="T246" s="16"/>
      <c r="U246" s="16"/>
      <c r="V246" s="16"/>
      <c r="W246" s="16">
        <f>ROUND(IF(D246=Table!$C$3,Y246*Table!$C$4/8,Y246*Table!$D$4/8),3)</f>
        <v>32.5</v>
      </c>
      <c r="X246" s="16">
        <f t="shared" ref="X246:X262" si="36">W246</f>
        <v>32.5</v>
      </c>
      <c r="Y246" s="16">
        <v>2</v>
      </c>
      <c r="Z246" s="16">
        <f t="shared" si="35"/>
        <v>2</v>
      </c>
      <c r="AA246" s="15" t="s">
        <v>70</v>
      </c>
      <c r="AB246" s="85">
        <v>44015</v>
      </c>
      <c r="AC246" s="85">
        <v>44011</v>
      </c>
      <c r="AD246" s="85">
        <v>44015</v>
      </c>
      <c r="AE246" s="85">
        <v>44014</v>
      </c>
      <c r="AF246" s="85">
        <v>44014</v>
      </c>
      <c r="AG246" s="85" t="s">
        <v>164</v>
      </c>
      <c r="AH246" s="86">
        <v>1</v>
      </c>
      <c r="AI246" s="86">
        <v>1</v>
      </c>
      <c r="AJ246" s="86">
        <v>0.875</v>
      </c>
      <c r="AK246" s="96" t="s">
        <v>144</v>
      </c>
      <c r="AL246" s="93" t="s">
        <v>1419</v>
      </c>
      <c r="AM246" s="15"/>
      <c r="AN246" s="15"/>
    </row>
    <row r="247" spans="2:40" x14ac:dyDescent="0.25">
      <c r="B247" s="92">
        <f t="shared" si="30"/>
        <v>188</v>
      </c>
      <c r="C247" s="16">
        <v>20200629</v>
      </c>
      <c r="D247" s="16" t="s">
        <v>2</v>
      </c>
      <c r="E247" s="95" t="s">
        <v>1251</v>
      </c>
      <c r="F247" s="84" t="s">
        <v>1084</v>
      </c>
      <c r="G247" s="48"/>
      <c r="H247" s="16" t="s">
        <v>1241</v>
      </c>
      <c r="I247" s="16" t="s">
        <v>1230</v>
      </c>
      <c r="J247" s="16" t="s">
        <v>254</v>
      </c>
      <c r="K247" s="48"/>
      <c r="L247" s="84"/>
      <c r="M247" s="48"/>
      <c r="N247" s="16" t="s">
        <v>1258</v>
      </c>
      <c r="O247" s="84" t="s">
        <v>281</v>
      </c>
      <c r="P247" s="84" t="s">
        <v>1087</v>
      </c>
      <c r="Q247" s="18"/>
      <c r="R247" s="16" t="s">
        <v>1253</v>
      </c>
      <c r="S247" s="16" t="s">
        <v>327</v>
      </c>
      <c r="T247" s="16"/>
      <c r="U247" s="16"/>
      <c r="V247" s="16"/>
      <c r="W247" s="16">
        <f>ROUND(IF(D247=Table!$C$3,Y247*Table!$C$4/8,Y247*Table!$D$4/8),3)</f>
        <v>32.5</v>
      </c>
      <c r="X247" s="16">
        <f t="shared" si="36"/>
        <v>32.5</v>
      </c>
      <c r="Y247" s="16">
        <v>2</v>
      </c>
      <c r="Z247" s="16">
        <f t="shared" si="35"/>
        <v>2</v>
      </c>
      <c r="AA247" s="15" t="s">
        <v>70</v>
      </c>
      <c r="AB247" s="85">
        <v>44015</v>
      </c>
      <c r="AC247" s="85">
        <v>44011</v>
      </c>
      <c r="AD247" s="85">
        <v>44015</v>
      </c>
      <c r="AE247" s="85">
        <v>44014</v>
      </c>
      <c r="AF247" s="85">
        <v>44014</v>
      </c>
      <c r="AG247" s="85" t="s">
        <v>164</v>
      </c>
      <c r="AH247" s="86">
        <v>1</v>
      </c>
      <c r="AI247" s="86">
        <v>1</v>
      </c>
      <c r="AJ247" s="86">
        <v>1</v>
      </c>
      <c r="AK247" s="96" t="s">
        <v>144</v>
      </c>
      <c r="AL247" s="93"/>
      <c r="AM247" s="15"/>
      <c r="AN247" s="15"/>
    </row>
    <row r="248" spans="2:40" x14ac:dyDescent="0.25">
      <c r="B248" s="225">
        <f t="shared" si="30"/>
        <v>189</v>
      </c>
      <c r="C248" s="16">
        <v>20200706</v>
      </c>
      <c r="D248" s="16" t="s">
        <v>2</v>
      </c>
      <c r="E248" s="95" t="s">
        <v>1613</v>
      </c>
      <c r="F248" s="84" t="s">
        <v>58</v>
      </c>
      <c r="G248" s="48"/>
      <c r="H248" s="16" t="s">
        <v>247</v>
      </c>
      <c r="I248" s="16" t="s">
        <v>1504</v>
      </c>
      <c r="J248" s="16" t="s">
        <v>255</v>
      </c>
      <c r="K248" s="84"/>
      <c r="L248" s="84" t="s">
        <v>58</v>
      </c>
      <c r="M248" s="48"/>
      <c r="N248" s="75" t="s">
        <v>1624</v>
      </c>
      <c r="O248" s="84" t="s">
        <v>281</v>
      </c>
      <c r="P248" s="84" t="s">
        <v>1087</v>
      </c>
      <c r="Q248" s="18"/>
      <c r="R248" s="16" t="s">
        <v>1252</v>
      </c>
      <c r="S248" s="16" t="s">
        <v>61</v>
      </c>
      <c r="T248" s="16" t="s">
        <v>327</v>
      </c>
      <c r="U248" s="16"/>
      <c r="V248" s="16"/>
      <c r="W248" s="16">
        <f>ROUND(IF(D248=Table!$C$3,Y248*Table!$C$4/8,Y248*Table!$D$4/8),3)</f>
        <v>32.5</v>
      </c>
      <c r="X248" s="16">
        <f t="shared" si="36"/>
        <v>32.5</v>
      </c>
      <c r="Y248" s="16">
        <v>2</v>
      </c>
      <c r="Z248" s="16">
        <f t="shared" ref="Z248:Z262" si="37">Y248</f>
        <v>2</v>
      </c>
      <c r="AA248" s="16" t="s">
        <v>21</v>
      </c>
      <c r="AB248" s="85">
        <v>44025</v>
      </c>
      <c r="AC248" s="85">
        <v>44018</v>
      </c>
      <c r="AD248" s="85">
        <v>44022</v>
      </c>
      <c r="AE248" s="85">
        <v>44022</v>
      </c>
      <c r="AF248" s="85">
        <v>44022</v>
      </c>
      <c r="AG248" s="85" t="s">
        <v>164</v>
      </c>
      <c r="AH248" s="86">
        <v>0.96299999999999997</v>
      </c>
      <c r="AI248" s="86">
        <v>0.96699999999999997</v>
      </c>
      <c r="AJ248" s="86">
        <v>1</v>
      </c>
      <c r="AK248" s="96" t="s">
        <v>144</v>
      </c>
      <c r="AL248" s="140" t="s">
        <v>1626</v>
      </c>
      <c r="AM248" s="15"/>
      <c r="AN248" s="15"/>
    </row>
    <row r="249" spans="2:40" x14ac:dyDescent="0.25">
      <c r="B249" s="225">
        <f t="shared" si="30"/>
        <v>190</v>
      </c>
      <c r="C249" s="16">
        <v>20200706</v>
      </c>
      <c r="D249" s="16" t="s">
        <v>2</v>
      </c>
      <c r="E249" s="95" t="s">
        <v>1613</v>
      </c>
      <c r="F249" s="84" t="s">
        <v>58</v>
      </c>
      <c r="G249" s="48"/>
      <c r="H249" s="16" t="s">
        <v>248</v>
      </c>
      <c r="I249" s="16" t="s">
        <v>1505</v>
      </c>
      <c r="J249" s="16" t="s">
        <v>1247</v>
      </c>
      <c r="K249" s="227" t="s">
        <v>1627</v>
      </c>
      <c r="L249" s="84" t="s">
        <v>58</v>
      </c>
      <c r="M249" s="48"/>
      <c r="N249" s="16" t="s">
        <v>1624</v>
      </c>
      <c r="O249" s="84" t="s">
        <v>1583</v>
      </c>
      <c r="P249" s="84" t="s">
        <v>1087</v>
      </c>
      <c r="Q249" s="18"/>
      <c r="R249" s="16" t="s">
        <v>1252</v>
      </c>
      <c r="S249" s="16" t="s">
        <v>61</v>
      </c>
      <c r="T249" s="16" t="s">
        <v>327</v>
      </c>
      <c r="U249" s="16"/>
      <c r="V249" s="16"/>
      <c r="W249" s="16">
        <f>ROUND(IF(D249=Table!$C$3,Y249*Table!$C$4/8,Y249*Table!$D$4/8),3)</f>
        <v>39</v>
      </c>
      <c r="X249" s="16">
        <f t="shared" si="36"/>
        <v>39</v>
      </c>
      <c r="Y249" s="16">
        <v>2.4</v>
      </c>
      <c r="Z249" s="16">
        <f t="shared" si="37"/>
        <v>2.4</v>
      </c>
      <c r="AA249" s="16" t="s">
        <v>21</v>
      </c>
      <c r="AB249" s="85">
        <v>44025</v>
      </c>
      <c r="AC249" s="85">
        <v>44018</v>
      </c>
      <c r="AD249" s="85">
        <v>44022</v>
      </c>
      <c r="AE249" s="85">
        <v>44022</v>
      </c>
      <c r="AF249" s="85">
        <v>44022</v>
      </c>
      <c r="AG249" s="85" t="s">
        <v>164</v>
      </c>
      <c r="AH249" s="86">
        <v>1</v>
      </c>
      <c r="AI249" s="86">
        <v>1</v>
      </c>
      <c r="AJ249" s="86">
        <v>1</v>
      </c>
      <c r="AK249" s="96" t="s">
        <v>134</v>
      </c>
      <c r="AL249" s="93"/>
      <c r="AM249" s="15"/>
      <c r="AN249" s="15" t="s">
        <v>1708</v>
      </c>
    </row>
    <row r="250" spans="2:40" x14ac:dyDescent="0.25">
      <c r="B250" s="225">
        <f t="shared" si="30"/>
        <v>191</v>
      </c>
      <c r="C250" s="16">
        <v>20200706</v>
      </c>
      <c r="D250" s="16" t="s">
        <v>2</v>
      </c>
      <c r="E250" s="95" t="s">
        <v>1613</v>
      </c>
      <c r="F250" s="84" t="s">
        <v>58</v>
      </c>
      <c r="G250" s="48"/>
      <c r="H250" s="16" t="s">
        <v>269</v>
      </c>
      <c r="I250" s="16" t="s">
        <v>1506</v>
      </c>
      <c r="J250" s="16" t="s">
        <v>1247</v>
      </c>
      <c r="K250" s="84"/>
      <c r="L250" s="84" t="s">
        <v>58</v>
      </c>
      <c r="M250" s="48"/>
      <c r="N250" s="16" t="s">
        <v>1624</v>
      </c>
      <c r="O250" s="84" t="s">
        <v>1584</v>
      </c>
      <c r="P250" s="84" t="s">
        <v>1087</v>
      </c>
      <c r="Q250" s="18"/>
      <c r="R250" s="16" t="s">
        <v>1252</v>
      </c>
      <c r="S250" s="16" t="s">
        <v>61</v>
      </c>
      <c r="T250" s="16" t="s">
        <v>327</v>
      </c>
      <c r="U250" s="16"/>
      <c r="V250" s="16"/>
      <c r="W250" s="16">
        <f>ROUND(IF(D250=Table!$C$3,Y250*Table!$C$4/8,Y250*Table!$D$4/8),3)</f>
        <v>84.5</v>
      </c>
      <c r="X250" s="16">
        <f t="shared" si="36"/>
        <v>84.5</v>
      </c>
      <c r="Y250" s="16">
        <v>5.2</v>
      </c>
      <c r="Z250" s="16">
        <f t="shared" si="37"/>
        <v>5.2</v>
      </c>
      <c r="AA250" s="16" t="s">
        <v>21</v>
      </c>
      <c r="AB250" s="85">
        <v>44025</v>
      </c>
      <c r="AC250" s="85">
        <v>44018</v>
      </c>
      <c r="AD250" s="85">
        <v>44022</v>
      </c>
      <c r="AE250" s="85">
        <v>44022</v>
      </c>
      <c r="AF250" s="85">
        <v>44022</v>
      </c>
      <c r="AG250" s="85" t="s">
        <v>165</v>
      </c>
      <c r="AH250" s="86">
        <v>0.86399999999999999</v>
      </c>
      <c r="AI250" s="86">
        <v>0.86399999999999999</v>
      </c>
      <c r="AJ250" s="241" t="s">
        <v>326</v>
      </c>
      <c r="AK250" s="96" t="s">
        <v>144</v>
      </c>
      <c r="AL250" s="140" t="s">
        <v>1698</v>
      </c>
      <c r="AM250" s="15"/>
      <c r="AN250" s="15"/>
    </row>
    <row r="251" spans="2:40" x14ac:dyDescent="0.25">
      <c r="B251" s="225">
        <f t="shared" si="30"/>
        <v>192</v>
      </c>
      <c r="C251" s="16">
        <v>20200706</v>
      </c>
      <c r="D251" s="16" t="s">
        <v>2</v>
      </c>
      <c r="E251" s="95" t="s">
        <v>1613</v>
      </c>
      <c r="F251" s="84" t="s">
        <v>58</v>
      </c>
      <c r="G251" s="48"/>
      <c r="H251" s="16" t="s">
        <v>270</v>
      </c>
      <c r="I251" s="16" t="s">
        <v>1109</v>
      </c>
      <c r="J251" s="16" t="s">
        <v>254</v>
      </c>
      <c r="K251" s="84"/>
      <c r="L251" s="84" t="s">
        <v>58</v>
      </c>
      <c r="M251" s="48"/>
      <c r="N251" s="16" t="s">
        <v>1624</v>
      </c>
      <c r="O251" s="84" t="s">
        <v>620</v>
      </c>
      <c r="P251" s="84" t="s">
        <v>1087</v>
      </c>
      <c r="Q251" s="18"/>
      <c r="R251" s="16" t="s">
        <v>1252</v>
      </c>
      <c r="S251" s="16" t="s">
        <v>61</v>
      </c>
      <c r="T251" s="16" t="s">
        <v>327</v>
      </c>
      <c r="U251" s="16"/>
      <c r="V251" s="16"/>
      <c r="W251" s="16">
        <f>ROUND(IF(D251=Table!$C$3,Y251*Table!$C$4/8,Y251*Table!$D$4/8),3)</f>
        <v>39</v>
      </c>
      <c r="X251" s="16">
        <f t="shared" si="36"/>
        <v>39</v>
      </c>
      <c r="Y251" s="16">
        <v>2.4</v>
      </c>
      <c r="Z251" s="16">
        <f t="shared" si="37"/>
        <v>2.4</v>
      </c>
      <c r="AA251" s="16" t="s">
        <v>21</v>
      </c>
      <c r="AB251" s="85">
        <v>44025</v>
      </c>
      <c r="AC251" s="85">
        <v>44018</v>
      </c>
      <c r="AD251" s="85">
        <v>44022</v>
      </c>
      <c r="AE251" s="85">
        <v>44022</v>
      </c>
      <c r="AF251" s="85">
        <v>44022</v>
      </c>
      <c r="AG251" s="85" t="s">
        <v>165</v>
      </c>
      <c r="AH251" s="86">
        <v>0.88900000000000001</v>
      </c>
      <c r="AI251" s="86">
        <v>0.88900000000000001</v>
      </c>
      <c r="AJ251" s="86">
        <v>1</v>
      </c>
      <c r="AK251" s="96" t="s">
        <v>144</v>
      </c>
      <c r="AL251" s="140" t="s">
        <v>1637</v>
      </c>
      <c r="AM251" s="15"/>
      <c r="AN251" s="15"/>
    </row>
    <row r="252" spans="2:40" x14ac:dyDescent="0.25">
      <c r="B252" s="225">
        <f t="shared" si="30"/>
        <v>193</v>
      </c>
      <c r="C252" s="16">
        <v>20200706</v>
      </c>
      <c r="D252" s="16" t="s">
        <v>2</v>
      </c>
      <c r="E252" s="95" t="s">
        <v>1613</v>
      </c>
      <c r="F252" s="84" t="s">
        <v>58</v>
      </c>
      <c r="G252" s="48"/>
      <c r="H252" s="16" t="s">
        <v>271</v>
      </c>
      <c r="I252" s="16" t="s">
        <v>1507</v>
      </c>
      <c r="J252" s="16" t="s">
        <v>254</v>
      </c>
      <c r="K252" s="84"/>
      <c r="L252" s="84" t="s">
        <v>58</v>
      </c>
      <c r="M252" s="48"/>
      <c r="N252" s="16" t="s">
        <v>1624</v>
      </c>
      <c r="O252" s="84" t="s">
        <v>620</v>
      </c>
      <c r="P252" s="84" t="s">
        <v>1087</v>
      </c>
      <c r="Q252" s="18"/>
      <c r="R252" s="16" t="s">
        <v>1252</v>
      </c>
      <c r="S252" s="16" t="s">
        <v>61</v>
      </c>
      <c r="T252" s="16" t="s">
        <v>327</v>
      </c>
      <c r="U252" s="16"/>
      <c r="V252" s="16"/>
      <c r="W252" s="16">
        <f>ROUND(IF(D252=Table!$C$3,Y252*Table!$C$4/8,Y252*Table!$D$4/8),3)</f>
        <v>32.5</v>
      </c>
      <c r="X252" s="16">
        <f t="shared" si="36"/>
        <v>32.5</v>
      </c>
      <c r="Y252" s="16">
        <v>2</v>
      </c>
      <c r="Z252" s="16">
        <f t="shared" si="37"/>
        <v>2</v>
      </c>
      <c r="AA252" s="16" t="s">
        <v>21</v>
      </c>
      <c r="AB252" s="85">
        <v>44025</v>
      </c>
      <c r="AC252" s="85">
        <v>44018</v>
      </c>
      <c r="AD252" s="85">
        <v>44022</v>
      </c>
      <c r="AE252" s="85">
        <v>44021</v>
      </c>
      <c r="AF252" s="85">
        <v>44021</v>
      </c>
      <c r="AG252" s="85" t="s">
        <v>164</v>
      </c>
      <c r="AH252" s="86">
        <v>0.8</v>
      </c>
      <c r="AI252" s="86">
        <v>0.8</v>
      </c>
      <c r="AJ252" s="86" t="s">
        <v>326</v>
      </c>
      <c r="AK252" s="96" t="s">
        <v>144</v>
      </c>
      <c r="AL252" s="140" t="s">
        <v>1626</v>
      </c>
      <c r="AM252" s="15"/>
      <c r="AN252" s="15"/>
    </row>
    <row r="253" spans="2:40" x14ac:dyDescent="0.25">
      <c r="B253" s="225">
        <f t="shared" ref="B253:B316" si="38">B252+1</f>
        <v>194</v>
      </c>
      <c r="C253" s="16">
        <v>20200706</v>
      </c>
      <c r="D253" s="16" t="s">
        <v>2</v>
      </c>
      <c r="E253" s="95" t="s">
        <v>1613</v>
      </c>
      <c r="F253" s="84" t="s">
        <v>58</v>
      </c>
      <c r="G253" s="48"/>
      <c r="H253" s="16" t="s">
        <v>225</v>
      </c>
      <c r="I253" s="137" t="s">
        <v>1508</v>
      </c>
      <c r="J253" s="16" t="s">
        <v>254</v>
      </c>
      <c r="K253" s="84"/>
      <c r="L253" s="84" t="s">
        <v>58</v>
      </c>
      <c r="M253" s="48"/>
      <c r="N253" s="16" t="s">
        <v>1624</v>
      </c>
      <c r="O253" s="84" t="s">
        <v>1585</v>
      </c>
      <c r="P253" s="84" t="s">
        <v>1087</v>
      </c>
      <c r="Q253" s="18"/>
      <c r="R253" s="16" t="s">
        <v>1252</v>
      </c>
      <c r="S253" s="16" t="s">
        <v>61</v>
      </c>
      <c r="T253" s="16" t="s">
        <v>327</v>
      </c>
      <c r="U253" s="16"/>
      <c r="V253" s="16"/>
      <c r="W253" s="16">
        <f>ROUND(IF(D253=Table!$C$3,Y253*Table!$C$4/8,Y253*Table!$D$4/8),3)</f>
        <v>39</v>
      </c>
      <c r="X253" s="16">
        <f t="shared" si="36"/>
        <v>39</v>
      </c>
      <c r="Y253" s="16">
        <v>2.4</v>
      </c>
      <c r="Z253" s="16">
        <f t="shared" si="37"/>
        <v>2.4</v>
      </c>
      <c r="AA253" s="16" t="s">
        <v>21</v>
      </c>
      <c r="AB253" s="85">
        <v>44025</v>
      </c>
      <c r="AC253" s="85">
        <v>44018</v>
      </c>
      <c r="AD253" s="85">
        <v>44022</v>
      </c>
      <c r="AE253" s="85">
        <v>44021</v>
      </c>
      <c r="AF253" s="85">
        <v>44021</v>
      </c>
      <c r="AG253" s="85" t="s">
        <v>165</v>
      </c>
      <c r="AH253" s="86">
        <v>0.88900000000000001</v>
      </c>
      <c r="AI253" s="86">
        <v>0.88900000000000001</v>
      </c>
      <c r="AJ253" s="86" t="s">
        <v>326</v>
      </c>
      <c r="AK253" s="96" t="s">
        <v>144</v>
      </c>
      <c r="AL253" s="140" t="s">
        <v>1652</v>
      </c>
      <c r="AM253" s="15"/>
      <c r="AN253" s="15"/>
    </row>
    <row r="254" spans="2:40" x14ac:dyDescent="0.25">
      <c r="B254" s="225">
        <f t="shared" si="38"/>
        <v>195</v>
      </c>
      <c r="C254" s="16">
        <v>20200706</v>
      </c>
      <c r="D254" s="16" t="s">
        <v>2</v>
      </c>
      <c r="E254" s="95" t="s">
        <v>1613</v>
      </c>
      <c r="F254" s="84" t="s">
        <v>58</v>
      </c>
      <c r="G254" s="48"/>
      <c r="H254" s="16" t="s">
        <v>249</v>
      </c>
      <c r="I254" s="16" t="s">
        <v>1108</v>
      </c>
      <c r="J254" s="16" t="s">
        <v>254</v>
      </c>
      <c r="K254" s="84" t="s">
        <v>1628</v>
      </c>
      <c r="L254" s="84" t="s">
        <v>58</v>
      </c>
      <c r="M254" s="48"/>
      <c r="N254" s="16" t="s">
        <v>1624</v>
      </c>
      <c r="O254" s="84" t="s">
        <v>774</v>
      </c>
      <c r="P254" s="84" t="s">
        <v>1087</v>
      </c>
      <c r="Q254" s="18"/>
      <c r="R254" s="16" t="s">
        <v>1252</v>
      </c>
      <c r="S254" s="16" t="s">
        <v>61</v>
      </c>
      <c r="T254" s="16" t="s">
        <v>327</v>
      </c>
      <c r="U254" s="16"/>
      <c r="V254" s="16"/>
      <c r="W254" s="16">
        <f>ROUND(IF(D254=Table!$C$3,Y254*Table!$C$4/8,Y254*Table!$D$4/8),3)</f>
        <v>32.5</v>
      </c>
      <c r="X254" s="16">
        <f t="shared" si="36"/>
        <v>32.5</v>
      </c>
      <c r="Y254" s="16">
        <v>2</v>
      </c>
      <c r="Z254" s="16">
        <f t="shared" si="37"/>
        <v>2</v>
      </c>
      <c r="AA254" s="16" t="s">
        <v>21</v>
      </c>
      <c r="AB254" s="85">
        <v>44025</v>
      </c>
      <c r="AC254" s="85">
        <v>44018</v>
      </c>
      <c r="AD254" s="85">
        <v>44022</v>
      </c>
      <c r="AE254" s="85">
        <v>44021</v>
      </c>
      <c r="AF254" s="85">
        <v>44021</v>
      </c>
      <c r="AG254" s="85" t="s">
        <v>164</v>
      </c>
      <c r="AH254" s="86">
        <v>1</v>
      </c>
      <c r="AI254" s="86">
        <v>1</v>
      </c>
      <c r="AJ254" s="86" t="s">
        <v>326</v>
      </c>
      <c r="AK254" s="96" t="s">
        <v>144</v>
      </c>
      <c r="AL254" s="93"/>
      <c r="AM254" s="15"/>
      <c r="AN254" s="15"/>
    </row>
    <row r="255" spans="2:40" x14ac:dyDescent="0.25">
      <c r="B255" s="225">
        <f t="shared" si="38"/>
        <v>196</v>
      </c>
      <c r="C255" s="16">
        <v>20200706</v>
      </c>
      <c r="D255" s="16" t="s">
        <v>2</v>
      </c>
      <c r="E255" s="95" t="s">
        <v>1613</v>
      </c>
      <c r="F255" s="84" t="s">
        <v>58</v>
      </c>
      <c r="G255" s="48"/>
      <c r="H255" s="16" t="s">
        <v>272</v>
      </c>
      <c r="I255" s="16" t="s">
        <v>1509</v>
      </c>
      <c r="J255" s="16" t="s">
        <v>254</v>
      </c>
      <c r="K255" s="84"/>
      <c r="L255" s="84" t="s">
        <v>58</v>
      </c>
      <c r="M255" s="48"/>
      <c r="N255" s="16" t="s">
        <v>1624</v>
      </c>
      <c r="O255" s="84" t="s">
        <v>1586</v>
      </c>
      <c r="P255" s="84" t="s">
        <v>1087</v>
      </c>
      <c r="Q255" s="18"/>
      <c r="R255" s="16" t="s">
        <v>1252</v>
      </c>
      <c r="S255" s="16" t="s">
        <v>61</v>
      </c>
      <c r="T255" s="16" t="s">
        <v>327</v>
      </c>
      <c r="U255" s="16"/>
      <c r="V255" s="16"/>
      <c r="W255" s="16">
        <f>ROUND(IF(D255=Table!$C$3,Y255*Table!$C$4/8,Y255*Table!$D$4/8),3)</f>
        <v>104</v>
      </c>
      <c r="X255" s="16">
        <f t="shared" si="36"/>
        <v>104</v>
      </c>
      <c r="Y255" s="16">
        <v>6.4</v>
      </c>
      <c r="Z255" s="16">
        <f t="shared" si="37"/>
        <v>6.4</v>
      </c>
      <c r="AA255" s="16" t="s">
        <v>21</v>
      </c>
      <c r="AB255" s="85">
        <v>44025</v>
      </c>
      <c r="AC255" s="85">
        <v>44018</v>
      </c>
      <c r="AD255" s="85">
        <v>44022</v>
      </c>
      <c r="AE255" s="85">
        <v>44021</v>
      </c>
      <c r="AF255" s="85">
        <v>44021</v>
      </c>
      <c r="AG255" s="85" t="s">
        <v>164</v>
      </c>
      <c r="AH255" s="86">
        <v>0.86699999999999999</v>
      </c>
      <c r="AI255" s="86">
        <v>0.87</v>
      </c>
      <c r="AJ255" s="86">
        <v>1</v>
      </c>
      <c r="AK255" s="96" t="s">
        <v>144</v>
      </c>
      <c r="AL255" s="140" t="s">
        <v>1697</v>
      </c>
      <c r="AM255" s="15"/>
      <c r="AN255" s="15"/>
    </row>
    <row r="256" spans="2:40" x14ac:dyDescent="0.25">
      <c r="B256" s="225">
        <f t="shared" si="38"/>
        <v>197</v>
      </c>
      <c r="C256" s="16">
        <v>20200706</v>
      </c>
      <c r="D256" s="16" t="s">
        <v>2</v>
      </c>
      <c r="E256" s="95" t="s">
        <v>1613</v>
      </c>
      <c r="F256" s="84" t="s">
        <v>58</v>
      </c>
      <c r="G256" s="48"/>
      <c r="H256" s="16" t="s">
        <v>273</v>
      </c>
      <c r="I256" s="16" t="s">
        <v>1510</v>
      </c>
      <c r="J256" s="16" t="s">
        <v>1247</v>
      </c>
      <c r="K256" s="84"/>
      <c r="L256" s="84" t="s">
        <v>58</v>
      </c>
      <c r="M256" s="48"/>
      <c r="N256" s="16" t="s">
        <v>1624</v>
      </c>
      <c r="O256" s="84" t="s">
        <v>1587</v>
      </c>
      <c r="P256" s="84" t="s">
        <v>1087</v>
      </c>
      <c r="Q256" s="18"/>
      <c r="R256" s="16" t="s">
        <v>1252</v>
      </c>
      <c r="S256" s="16" t="s">
        <v>61</v>
      </c>
      <c r="T256" s="16" t="s">
        <v>327</v>
      </c>
      <c r="U256" s="16"/>
      <c r="V256" s="16"/>
      <c r="W256" s="16">
        <f>ROUND(IF(D256=Table!$C$3,Y256*Table!$C$4/8,Y256*Table!$D$4/8),3)</f>
        <v>35.1</v>
      </c>
      <c r="X256" s="16">
        <f t="shared" si="36"/>
        <v>35.1</v>
      </c>
      <c r="Y256" s="16">
        <v>2.16</v>
      </c>
      <c r="Z256" s="16">
        <f t="shared" si="37"/>
        <v>2.16</v>
      </c>
      <c r="AA256" s="16" t="s">
        <v>21</v>
      </c>
      <c r="AB256" s="85">
        <v>44025</v>
      </c>
      <c r="AC256" s="85">
        <v>44018</v>
      </c>
      <c r="AD256" s="85">
        <v>44022</v>
      </c>
      <c r="AE256" s="85">
        <v>44021</v>
      </c>
      <c r="AF256" s="85">
        <v>44021</v>
      </c>
      <c r="AG256" s="85" t="s">
        <v>164</v>
      </c>
      <c r="AH256" s="86">
        <v>0.92300000000000004</v>
      </c>
      <c r="AI256" s="86">
        <v>0.93799999999999994</v>
      </c>
      <c r="AJ256" s="86">
        <v>1</v>
      </c>
      <c r="AK256" s="96" t="s">
        <v>144</v>
      </c>
      <c r="AL256" s="140" t="s">
        <v>1667</v>
      </c>
      <c r="AM256" s="15"/>
      <c r="AN256" s="15"/>
    </row>
    <row r="257" spans="2:40" x14ac:dyDescent="0.25">
      <c r="B257" s="225">
        <f t="shared" si="38"/>
        <v>198</v>
      </c>
      <c r="C257" s="16">
        <v>20200706</v>
      </c>
      <c r="D257" s="16" t="s">
        <v>2</v>
      </c>
      <c r="E257" s="95" t="s">
        <v>1613</v>
      </c>
      <c r="F257" s="84" t="s">
        <v>58</v>
      </c>
      <c r="G257" s="48"/>
      <c r="H257" s="16" t="s">
        <v>274</v>
      </c>
      <c r="I257" s="16" t="s">
        <v>1107</v>
      </c>
      <c r="J257" s="16" t="s">
        <v>1247</v>
      </c>
      <c r="K257" s="84"/>
      <c r="L257" s="84" t="s">
        <v>58</v>
      </c>
      <c r="M257" s="48"/>
      <c r="N257" s="16" t="s">
        <v>1624</v>
      </c>
      <c r="O257" s="84" t="s">
        <v>1588</v>
      </c>
      <c r="P257" s="84" t="s">
        <v>1087</v>
      </c>
      <c r="Q257" s="18"/>
      <c r="R257" s="16" t="s">
        <v>1252</v>
      </c>
      <c r="S257" s="16" t="s">
        <v>61</v>
      </c>
      <c r="T257" s="16" t="s">
        <v>327</v>
      </c>
      <c r="U257" s="16"/>
      <c r="V257" s="16"/>
      <c r="W257" s="16">
        <f>ROUND(IF(D257=Table!$C$3,Y257*Table!$C$4/8,Y257*Table!$D$4/8),3)</f>
        <v>45.5</v>
      </c>
      <c r="X257" s="16">
        <f t="shared" si="36"/>
        <v>45.5</v>
      </c>
      <c r="Y257" s="16">
        <v>2.8</v>
      </c>
      <c r="Z257" s="16">
        <f t="shared" si="37"/>
        <v>2.8</v>
      </c>
      <c r="AA257" s="16" t="s">
        <v>21</v>
      </c>
      <c r="AB257" s="85">
        <v>44025</v>
      </c>
      <c r="AC257" s="85">
        <v>44018</v>
      </c>
      <c r="AD257" s="85">
        <v>44022</v>
      </c>
      <c r="AE257" s="85">
        <v>44020</v>
      </c>
      <c r="AF257" s="85">
        <v>44020</v>
      </c>
      <c r="AG257" s="85" t="s">
        <v>165</v>
      </c>
      <c r="AH257" s="86">
        <v>0.94099999999999995</v>
      </c>
      <c r="AI257" s="86">
        <v>0.94699999999999995</v>
      </c>
      <c r="AJ257" s="86">
        <v>1</v>
      </c>
      <c r="AK257" s="96" t="s">
        <v>144</v>
      </c>
      <c r="AL257" s="140" t="s">
        <v>1669</v>
      </c>
      <c r="AM257" s="15"/>
      <c r="AN257" s="15"/>
    </row>
    <row r="258" spans="2:40" x14ac:dyDescent="0.25">
      <c r="B258" s="225">
        <f t="shared" si="38"/>
        <v>199</v>
      </c>
      <c r="C258" s="16">
        <v>20200706</v>
      </c>
      <c r="D258" s="16" t="s">
        <v>2</v>
      </c>
      <c r="E258" s="95" t="s">
        <v>1613</v>
      </c>
      <c r="F258" s="84" t="s">
        <v>58</v>
      </c>
      <c r="G258" s="48"/>
      <c r="H258" s="16" t="s">
        <v>275</v>
      </c>
      <c r="I258" s="16" t="s">
        <v>1511</v>
      </c>
      <c r="J258" s="16" t="s">
        <v>1247</v>
      </c>
      <c r="K258" s="84"/>
      <c r="L258" s="84" t="s">
        <v>58</v>
      </c>
      <c r="M258" s="48"/>
      <c r="N258" s="16" t="s">
        <v>1624</v>
      </c>
      <c r="O258" s="84" t="s">
        <v>1589</v>
      </c>
      <c r="P258" s="84" t="s">
        <v>1087</v>
      </c>
      <c r="Q258" s="18"/>
      <c r="R258" s="16" t="s">
        <v>1252</v>
      </c>
      <c r="S258" s="16" t="s">
        <v>61</v>
      </c>
      <c r="T258" s="16" t="s">
        <v>327</v>
      </c>
      <c r="U258" s="16"/>
      <c r="V258" s="16"/>
      <c r="W258" s="16">
        <f>ROUND(IF(D258=Table!$C$3,Y258*Table!$C$4/8,Y258*Table!$D$4/8),3)</f>
        <v>32.5</v>
      </c>
      <c r="X258" s="16">
        <f t="shared" si="36"/>
        <v>32.5</v>
      </c>
      <c r="Y258" s="16">
        <v>2</v>
      </c>
      <c r="Z258" s="16">
        <f t="shared" si="37"/>
        <v>2</v>
      </c>
      <c r="AA258" s="16" t="s">
        <v>21</v>
      </c>
      <c r="AB258" s="85">
        <v>44025</v>
      </c>
      <c r="AC258" s="85">
        <v>44018</v>
      </c>
      <c r="AD258" s="85">
        <v>44022</v>
      </c>
      <c r="AE258" s="85">
        <v>44020</v>
      </c>
      <c r="AF258" s="85">
        <v>44020</v>
      </c>
      <c r="AG258" s="85" t="s">
        <v>164</v>
      </c>
      <c r="AH258" s="86">
        <v>0.8</v>
      </c>
      <c r="AI258" s="86">
        <v>0.8</v>
      </c>
      <c r="AJ258" s="86" t="s">
        <v>326</v>
      </c>
      <c r="AK258" s="96" t="s">
        <v>144</v>
      </c>
      <c r="AL258" s="140" t="s">
        <v>1626</v>
      </c>
      <c r="AM258" s="15"/>
      <c r="AN258" s="15"/>
    </row>
    <row r="259" spans="2:40" x14ac:dyDescent="0.25">
      <c r="B259" s="225">
        <f t="shared" si="38"/>
        <v>200</v>
      </c>
      <c r="C259" s="16">
        <v>20200706</v>
      </c>
      <c r="D259" s="16" t="s">
        <v>2</v>
      </c>
      <c r="E259" s="95" t="s">
        <v>1613</v>
      </c>
      <c r="F259" s="84" t="s">
        <v>58</v>
      </c>
      <c r="G259" s="48"/>
      <c r="H259" s="16" t="s">
        <v>226</v>
      </c>
      <c r="I259" s="16" t="s">
        <v>1512</v>
      </c>
      <c r="J259" s="16" t="s">
        <v>1247</v>
      </c>
      <c r="K259" s="84" t="s">
        <v>1628</v>
      </c>
      <c r="L259" s="84" t="s">
        <v>58</v>
      </c>
      <c r="M259" s="48"/>
      <c r="N259" s="16" t="s">
        <v>1624</v>
      </c>
      <c r="O259" s="84" t="s">
        <v>1589</v>
      </c>
      <c r="P259" s="84" t="s">
        <v>1087</v>
      </c>
      <c r="Q259" s="18"/>
      <c r="R259" s="16" t="s">
        <v>1252</v>
      </c>
      <c r="S259" s="16" t="s">
        <v>61</v>
      </c>
      <c r="T259" s="16" t="s">
        <v>327</v>
      </c>
      <c r="U259" s="16"/>
      <c r="V259" s="16"/>
      <c r="W259" s="16">
        <f>ROUND(IF(D259=Table!$C$3,Y259*Table!$C$4/8,Y259*Table!$D$4/8),3)</f>
        <v>26</v>
      </c>
      <c r="X259" s="16">
        <f t="shared" si="36"/>
        <v>26</v>
      </c>
      <c r="Y259" s="16">
        <v>1.6</v>
      </c>
      <c r="Z259" s="16">
        <f t="shared" si="37"/>
        <v>1.6</v>
      </c>
      <c r="AA259" s="16" t="s">
        <v>21</v>
      </c>
      <c r="AB259" s="85">
        <v>44025</v>
      </c>
      <c r="AC259" s="85">
        <v>44018</v>
      </c>
      <c r="AD259" s="85">
        <v>44022</v>
      </c>
      <c r="AE259" s="85">
        <v>44020</v>
      </c>
      <c r="AF259" s="85">
        <v>44020</v>
      </c>
      <c r="AG259" s="85" t="s">
        <v>164</v>
      </c>
      <c r="AH259" s="86">
        <v>0.8</v>
      </c>
      <c r="AI259" s="86">
        <v>0.8</v>
      </c>
      <c r="AJ259" s="86" t="s">
        <v>326</v>
      </c>
      <c r="AK259" s="96" t="s">
        <v>144</v>
      </c>
      <c r="AL259" s="140" t="s">
        <v>1626</v>
      </c>
      <c r="AM259" s="15"/>
      <c r="AN259" s="15"/>
    </row>
    <row r="260" spans="2:40" x14ac:dyDescent="0.25">
      <c r="B260" s="225">
        <f t="shared" si="38"/>
        <v>201</v>
      </c>
      <c r="C260" s="16">
        <v>20200706</v>
      </c>
      <c r="D260" s="16" t="s">
        <v>2</v>
      </c>
      <c r="E260" s="95" t="s">
        <v>1613</v>
      </c>
      <c r="F260" s="84" t="s">
        <v>58</v>
      </c>
      <c r="G260" s="48"/>
      <c r="H260" s="16" t="s">
        <v>250</v>
      </c>
      <c r="I260" s="16" t="s">
        <v>1513</v>
      </c>
      <c r="J260" s="16" t="s">
        <v>1247</v>
      </c>
      <c r="K260" s="84" t="s">
        <v>1628</v>
      </c>
      <c r="L260" s="84" t="s">
        <v>58</v>
      </c>
      <c r="M260" s="48"/>
      <c r="N260" s="16" t="s">
        <v>1624</v>
      </c>
      <c r="O260" s="84" t="s">
        <v>621</v>
      </c>
      <c r="P260" s="84" t="s">
        <v>1087</v>
      </c>
      <c r="Q260" s="18"/>
      <c r="R260" s="16" t="s">
        <v>1252</v>
      </c>
      <c r="S260" s="16" t="s">
        <v>61</v>
      </c>
      <c r="T260" s="16" t="s">
        <v>327</v>
      </c>
      <c r="U260" s="16"/>
      <c r="V260" s="16"/>
      <c r="W260" s="16">
        <f>ROUND(IF(D260=Table!$C$3,Y260*Table!$C$4/8,Y260*Table!$D$4/8),3)</f>
        <v>39</v>
      </c>
      <c r="X260" s="16">
        <f t="shared" si="36"/>
        <v>39</v>
      </c>
      <c r="Y260" s="16">
        <v>2.4</v>
      </c>
      <c r="Z260" s="16">
        <f t="shared" si="37"/>
        <v>2.4</v>
      </c>
      <c r="AA260" s="16" t="s">
        <v>21</v>
      </c>
      <c r="AB260" s="85">
        <v>44025</v>
      </c>
      <c r="AC260" s="85">
        <v>44018</v>
      </c>
      <c r="AD260" s="85">
        <v>44022</v>
      </c>
      <c r="AE260" s="85">
        <v>44020</v>
      </c>
      <c r="AF260" s="85">
        <v>44020</v>
      </c>
      <c r="AG260" s="85" t="s">
        <v>164</v>
      </c>
      <c r="AH260" s="86">
        <v>0.875</v>
      </c>
      <c r="AI260" s="86">
        <v>0.875</v>
      </c>
      <c r="AJ260" s="86">
        <v>1</v>
      </c>
      <c r="AK260" s="96" t="s">
        <v>144</v>
      </c>
      <c r="AL260" s="140" t="s">
        <v>1678</v>
      </c>
      <c r="AM260" s="15"/>
      <c r="AN260" s="15"/>
    </row>
    <row r="261" spans="2:40" x14ac:dyDescent="0.25">
      <c r="B261" s="225">
        <f t="shared" si="38"/>
        <v>202</v>
      </c>
      <c r="C261" s="16">
        <v>20200706</v>
      </c>
      <c r="D261" s="16" t="s">
        <v>2</v>
      </c>
      <c r="E261" s="95" t="s">
        <v>1613</v>
      </c>
      <c r="F261" s="84" t="s">
        <v>58</v>
      </c>
      <c r="G261" s="48"/>
      <c r="H261" s="16" t="s">
        <v>1216</v>
      </c>
      <c r="I261" s="16" t="s">
        <v>1514</v>
      </c>
      <c r="J261" s="16" t="s">
        <v>1247</v>
      </c>
      <c r="K261" s="84"/>
      <c r="L261" s="84" t="s">
        <v>58</v>
      </c>
      <c r="M261" s="48"/>
      <c r="N261" s="16" t="s">
        <v>1624</v>
      </c>
      <c r="O261" s="84" t="s">
        <v>618</v>
      </c>
      <c r="P261" s="84" t="s">
        <v>1087</v>
      </c>
      <c r="Q261" s="18"/>
      <c r="R261" s="16" t="s">
        <v>1252</v>
      </c>
      <c r="S261" s="16" t="s">
        <v>61</v>
      </c>
      <c r="T261" s="16" t="s">
        <v>327</v>
      </c>
      <c r="U261" s="16"/>
      <c r="V261" s="16"/>
      <c r="W261" s="16">
        <f>ROUND(IF(D261=Table!$C$3,Y261*Table!$C$4/8,Y261*Table!$D$4/8),3)</f>
        <v>45.5</v>
      </c>
      <c r="X261" s="16">
        <f t="shared" si="36"/>
        <v>45.5</v>
      </c>
      <c r="Y261" s="16">
        <v>2.8</v>
      </c>
      <c r="Z261" s="16">
        <f t="shared" si="37"/>
        <v>2.8</v>
      </c>
      <c r="AA261" s="16" t="s">
        <v>21</v>
      </c>
      <c r="AB261" s="85">
        <v>44025</v>
      </c>
      <c r="AC261" s="85">
        <v>44018</v>
      </c>
      <c r="AD261" s="85">
        <v>44022</v>
      </c>
      <c r="AE261" s="85">
        <v>44020</v>
      </c>
      <c r="AF261" s="85">
        <v>44020</v>
      </c>
      <c r="AG261" s="85" t="s">
        <v>164</v>
      </c>
      <c r="AH261" s="86">
        <v>0.94099999999999995</v>
      </c>
      <c r="AI261" s="86">
        <v>0.94699999999999995</v>
      </c>
      <c r="AJ261" s="86" t="s">
        <v>326</v>
      </c>
      <c r="AK261" s="96" t="s">
        <v>144</v>
      </c>
      <c r="AL261" s="140" t="s">
        <v>1626</v>
      </c>
      <c r="AM261" s="15"/>
      <c r="AN261" s="15"/>
    </row>
    <row r="262" spans="2:40" x14ac:dyDescent="0.25">
      <c r="B262" s="225">
        <f t="shared" si="38"/>
        <v>203</v>
      </c>
      <c r="C262" s="16">
        <v>20200706</v>
      </c>
      <c r="D262" s="16" t="s">
        <v>2</v>
      </c>
      <c r="E262" s="95" t="s">
        <v>1613</v>
      </c>
      <c r="F262" s="84" t="s">
        <v>58</v>
      </c>
      <c r="G262" s="48"/>
      <c r="H262" s="16" t="s">
        <v>810</v>
      </c>
      <c r="I262" s="16" t="s">
        <v>1515</v>
      </c>
      <c r="J262" s="16" t="s">
        <v>1247</v>
      </c>
      <c r="K262" s="84"/>
      <c r="L262" s="84" t="s">
        <v>58</v>
      </c>
      <c r="M262" s="48"/>
      <c r="N262" s="16" t="s">
        <v>1624</v>
      </c>
      <c r="O262" s="84" t="s">
        <v>318</v>
      </c>
      <c r="P262" s="84" t="s">
        <v>1087</v>
      </c>
      <c r="Q262" s="18"/>
      <c r="R262" s="16" t="s">
        <v>1252</v>
      </c>
      <c r="S262" s="16" t="s">
        <v>61</v>
      </c>
      <c r="T262" s="16" t="s">
        <v>327</v>
      </c>
      <c r="U262" s="16"/>
      <c r="V262" s="16"/>
      <c r="W262" s="16">
        <f>ROUND(IF(D262=Table!$C$3,Y262*Table!$C$4/8,Y262*Table!$D$4/8),3)</f>
        <v>35.1</v>
      </c>
      <c r="X262" s="16">
        <f t="shared" si="36"/>
        <v>35.1</v>
      </c>
      <c r="Y262" s="16">
        <v>2.16</v>
      </c>
      <c r="Z262" s="16">
        <f t="shared" si="37"/>
        <v>2.16</v>
      </c>
      <c r="AA262" s="16" t="s">
        <v>21</v>
      </c>
      <c r="AB262" s="85">
        <v>44025</v>
      </c>
      <c r="AC262" s="85">
        <v>44018</v>
      </c>
      <c r="AD262" s="85">
        <v>44022</v>
      </c>
      <c r="AE262" s="85">
        <v>44020</v>
      </c>
      <c r="AF262" s="85">
        <v>44020</v>
      </c>
      <c r="AG262" s="85" t="s">
        <v>164</v>
      </c>
      <c r="AH262" s="86">
        <v>1</v>
      </c>
      <c r="AI262" s="86">
        <v>1</v>
      </c>
      <c r="AJ262" s="86" t="s">
        <v>326</v>
      </c>
      <c r="AK262" s="96" t="s">
        <v>144</v>
      </c>
      <c r="AL262" s="93"/>
      <c r="AM262" s="15"/>
      <c r="AN262" s="15"/>
    </row>
    <row r="263" spans="2:40" x14ac:dyDescent="0.25">
      <c r="B263" s="225">
        <f t="shared" si="38"/>
        <v>204</v>
      </c>
      <c r="C263" s="16">
        <v>20200706</v>
      </c>
      <c r="D263" s="16" t="s">
        <v>2</v>
      </c>
      <c r="E263" s="95" t="s">
        <v>1613</v>
      </c>
      <c r="F263" s="84" t="s">
        <v>58</v>
      </c>
      <c r="G263" s="48"/>
      <c r="H263" s="16" t="s">
        <v>276</v>
      </c>
      <c r="I263" s="228" t="s">
        <v>1516</v>
      </c>
      <c r="J263" s="16" t="s">
        <v>1247</v>
      </c>
      <c r="K263" s="84" t="s">
        <v>1628</v>
      </c>
      <c r="L263" s="84" t="s">
        <v>58</v>
      </c>
      <c r="M263" s="48"/>
      <c r="N263" s="16" t="s">
        <v>1624</v>
      </c>
      <c r="O263" s="84" t="s">
        <v>281</v>
      </c>
      <c r="P263" s="84" t="s">
        <v>1087</v>
      </c>
      <c r="Q263" s="18"/>
      <c r="R263" s="16" t="s">
        <v>1253</v>
      </c>
      <c r="S263" s="16" t="s">
        <v>62</v>
      </c>
      <c r="T263" s="16" t="s">
        <v>61</v>
      </c>
      <c r="U263" s="16"/>
      <c r="V263" s="16"/>
      <c r="W263" s="16">
        <f>ROUND(IF(D263=Table!$C$3,Y263*Table!$C$4/8,Y263*Table!$D$4/8),3)</f>
        <v>32.5</v>
      </c>
      <c r="X263" s="16">
        <f t="shared" ref="X263:X271" si="39">W263</f>
        <v>32.5</v>
      </c>
      <c r="Y263" s="16">
        <v>2</v>
      </c>
      <c r="Z263" s="16">
        <v>1</v>
      </c>
      <c r="AA263" s="16" t="s">
        <v>21</v>
      </c>
      <c r="AB263" s="85">
        <v>44025</v>
      </c>
      <c r="AC263" s="85">
        <v>44018</v>
      </c>
      <c r="AD263" s="85">
        <v>44022</v>
      </c>
      <c r="AE263" s="85">
        <v>44022</v>
      </c>
      <c r="AF263" s="85">
        <v>44022</v>
      </c>
      <c r="AG263" s="85" t="s">
        <v>164</v>
      </c>
      <c r="AH263" s="237">
        <v>0.88200000000000001</v>
      </c>
      <c r="AI263" s="237">
        <v>0.88600000000000001</v>
      </c>
      <c r="AJ263" s="237" t="s">
        <v>326</v>
      </c>
      <c r="AK263" s="236"/>
      <c r="AL263" s="242" t="s">
        <v>1709</v>
      </c>
      <c r="AM263" s="15"/>
      <c r="AN263" s="15"/>
    </row>
    <row r="264" spans="2:40" x14ac:dyDescent="0.25">
      <c r="B264" s="225">
        <f t="shared" si="38"/>
        <v>205</v>
      </c>
      <c r="C264" s="16">
        <v>20200706</v>
      </c>
      <c r="D264" s="16" t="s">
        <v>2</v>
      </c>
      <c r="E264" s="95" t="s">
        <v>1613</v>
      </c>
      <c r="F264" s="84" t="s">
        <v>58</v>
      </c>
      <c r="G264" s="48"/>
      <c r="H264" s="16" t="s">
        <v>811</v>
      </c>
      <c r="I264" s="228" t="s">
        <v>1517</v>
      </c>
      <c r="J264" s="16" t="s">
        <v>1247</v>
      </c>
      <c r="K264" s="84"/>
      <c r="L264" s="84" t="s">
        <v>58</v>
      </c>
      <c r="M264" s="48"/>
      <c r="N264" s="16" t="s">
        <v>1624</v>
      </c>
      <c r="O264" s="84" t="s">
        <v>1590</v>
      </c>
      <c r="P264" s="84" t="s">
        <v>1087</v>
      </c>
      <c r="Q264" s="18"/>
      <c r="R264" s="16" t="s">
        <v>1253</v>
      </c>
      <c r="S264" s="16" t="s">
        <v>62</v>
      </c>
      <c r="T264" s="16" t="s">
        <v>61</v>
      </c>
      <c r="U264" s="16"/>
      <c r="V264" s="16"/>
      <c r="W264" s="16">
        <f>ROUND(IF(D264=Table!$C$3,Y264*Table!$C$4/8,Y264*Table!$D$4/8),3)</f>
        <v>162.5</v>
      </c>
      <c r="X264" s="16">
        <f t="shared" si="39"/>
        <v>162.5</v>
      </c>
      <c r="Y264" s="16">
        <v>10</v>
      </c>
      <c r="Z264" s="16">
        <v>1</v>
      </c>
      <c r="AA264" s="16" t="s">
        <v>21</v>
      </c>
      <c r="AB264" s="85">
        <v>44025</v>
      </c>
      <c r="AC264" s="85">
        <v>44018</v>
      </c>
      <c r="AD264" s="85">
        <v>44022</v>
      </c>
      <c r="AE264" s="85">
        <v>44022</v>
      </c>
      <c r="AF264" s="85">
        <v>44022</v>
      </c>
      <c r="AG264" s="85" t="s">
        <v>164</v>
      </c>
      <c r="AH264" s="237">
        <v>0.95099999999999996</v>
      </c>
      <c r="AI264" s="237">
        <v>0.95599999999999996</v>
      </c>
      <c r="AJ264" s="237">
        <v>0.8</v>
      </c>
      <c r="AK264" s="236"/>
      <c r="AL264" s="236" t="s">
        <v>1710</v>
      </c>
      <c r="AM264" s="15"/>
      <c r="AN264" s="15"/>
    </row>
    <row r="265" spans="2:40" x14ac:dyDescent="0.25">
      <c r="B265" s="225">
        <f t="shared" si="38"/>
        <v>206</v>
      </c>
      <c r="C265" s="16">
        <v>20200706</v>
      </c>
      <c r="D265" s="16" t="s">
        <v>2</v>
      </c>
      <c r="E265" s="95" t="s">
        <v>1613</v>
      </c>
      <c r="F265" s="84" t="s">
        <v>58</v>
      </c>
      <c r="G265" s="48"/>
      <c r="H265" s="16" t="s">
        <v>812</v>
      </c>
      <c r="I265" s="228" t="s">
        <v>1518</v>
      </c>
      <c r="J265" s="16" t="s">
        <v>1247</v>
      </c>
      <c r="K265" s="84"/>
      <c r="L265" s="84" t="s">
        <v>58</v>
      </c>
      <c r="M265" s="48"/>
      <c r="N265" s="16" t="s">
        <v>1624</v>
      </c>
      <c r="O265" s="84" t="s">
        <v>778</v>
      </c>
      <c r="P265" s="84" t="s">
        <v>1087</v>
      </c>
      <c r="Q265" s="18"/>
      <c r="R265" s="16" t="s">
        <v>1253</v>
      </c>
      <c r="S265" s="16" t="s">
        <v>62</v>
      </c>
      <c r="T265" s="16" t="s">
        <v>61</v>
      </c>
      <c r="U265" s="16"/>
      <c r="V265" s="16"/>
      <c r="W265" s="16">
        <f>ROUND(IF(D265=Table!$C$3,Y265*Table!$C$4/8,Y265*Table!$D$4/8),3)</f>
        <v>45.5</v>
      </c>
      <c r="X265" s="16">
        <f t="shared" si="39"/>
        <v>45.5</v>
      </c>
      <c r="Y265" s="16">
        <v>2.8</v>
      </c>
      <c r="Z265" s="16">
        <v>1</v>
      </c>
      <c r="AA265" s="16" t="s">
        <v>21</v>
      </c>
      <c r="AB265" s="85">
        <v>44025</v>
      </c>
      <c r="AC265" s="85">
        <v>44018</v>
      </c>
      <c r="AD265" s="85">
        <v>44022</v>
      </c>
      <c r="AE265" s="85">
        <v>44022</v>
      </c>
      <c r="AF265" s="85">
        <v>44022</v>
      </c>
      <c r="AG265" s="85" t="s">
        <v>164</v>
      </c>
      <c r="AH265" s="86">
        <v>1</v>
      </c>
      <c r="AI265" s="86">
        <v>1</v>
      </c>
      <c r="AJ265" s="86">
        <v>1</v>
      </c>
      <c r="AK265" s="96"/>
      <c r="AL265" s="93"/>
      <c r="AM265" s="15"/>
      <c r="AN265" s="15"/>
    </row>
    <row r="266" spans="2:40" x14ac:dyDescent="0.25">
      <c r="B266" s="225">
        <f t="shared" si="38"/>
        <v>207</v>
      </c>
      <c r="C266" s="16">
        <v>20200706</v>
      </c>
      <c r="D266" s="16" t="s">
        <v>2</v>
      </c>
      <c r="E266" s="95" t="s">
        <v>1613</v>
      </c>
      <c r="F266" s="84" t="s">
        <v>58</v>
      </c>
      <c r="G266" s="48"/>
      <c r="H266" s="16" t="s">
        <v>813</v>
      </c>
      <c r="I266" s="229" t="s">
        <v>1519</v>
      </c>
      <c r="J266" s="16" t="s">
        <v>254</v>
      </c>
      <c r="K266" s="84"/>
      <c r="L266" s="84" t="s">
        <v>58</v>
      </c>
      <c r="M266" s="48"/>
      <c r="N266" s="16" t="s">
        <v>1624</v>
      </c>
      <c r="O266" s="84" t="s">
        <v>1591</v>
      </c>
      <c r="P266" s="84" t="s">
        <v>1087</v>
      </c>
      <c r="Q266" s="18"/>
      <c r="R266" s="16" t="s">
        <v>1253</v>
      </c>
      <c r="S266" s="16" t="s">
        <v>62</v>
      </c>
      <c r="T266" s="16" t="s">
        <v>61</v>
      </c>
      <c r="U266" s="16"/>
      <c r="V266" s="16"/>
      <c r="W266" s="16">
        <f>ROUND(IF(D266=Table!$C$3,Y266*Table!$C$4/8,Y266*Table!$D$4/8),3)</f>
        <v>45.5</v>
      </c>
      <c r="X266" s="16">
        <f t="shared" si="39"/>
        <v>45.5</v>
      </c>
      <c r="Y266" s="16">
        <v>2.8</v>
      </c>
      <c r="Z266" s="16">
        <v>1</v>
      </c>
      <c r="AA266" s="79" t="s">
        <v>89</v>
      </c>
      <c r="AB266" s="85">
        <v>44025</v>
      </c>
      <c r="AC266" s="85">
        <v>44018</v>
      </c>
      <c r="AD266" s="85">
        <v>44022</v>
      </c>
      <c r="AE266" s="238" t="s">
        <v>58</v>
      </c>
      <c r="AF266" s="238" t="s">
        <v>58</v>
      </c>
      <c r="AG266" s="238" t="s">
        <v>58</v>
      </c>
      <c r="AH266" s="238" t="s">
        <v>58</v>
      </c>
      <c r="AI266" s="238" t="s">
        <v>58</v>
      </c>
      <c r="AJ266" s="238" t="s">
        <v>58</v>
      </c>
      <c r="AK266" s="239" t="s">
        <v>134</v>
      </c>
      <c r="AL266" s="239" t="s">
        <v>1706</v>
      </c>
      <c r="AM266" s="240"/>
      <c r="AN266" s="15" t="s">
        <v>1736</v>
      </c>
    </row>
    <row r="267" spans="2:40" x14ac:dyDescent="0.25">
      <c r="B267" s="225">
        <f t="shared" si="38"/>
        <v>208</v>
      </c>
      <c r="C267" s="16">
        <v>20200706</v>
      </c>
      <c r="D267" s="16" t="s">
        <v>2</v>
      </c>
      <c r="E267" s="95" t="s">
        <v>1613</v>
      </c>
      <c r="F267" s="84" t="s">
        <v>58</v>
      </c>
      <c r="G267" s="48"/>
      <c r="H267" s="16" t="s">
        <v>814</v>
      </c>
      <c r="I267" s="228" t="s">
        <v>1520</v>
      </c>
      <c r="J267" s="16" t="s">
        <v>1247</v>
      </c>
      <c r="K267" s="84"/>
      <c r="L267" s="84" t="s">
        <v>58</v>
      </c>
      <c r="M267" s="48"/>
      <c r="N267" s="16" t="s">
        <v>1624</v>
      </c>
      <c r="O267" s="84" t="s">
        <v>1592</v>
      </c>
      <c r="P267" s="84" t="s">
        <v>1087</v>
      </c>
      <c r="Q267" s="18"/>
      <c r="R267" s="16" t="s">
        <v>1253</v>
      </c>
      <c r="S267" s="16" t="s">
        <v>62</v>
      </c>
      <c r="T267" s="16" t="s">
        <v>61</v>
      </c>
      <c r="U267" s="16"/>
      <c r="V267" s="16"/>
      <c r="W267" s="16">
        <f>ROUND(IF(D267=Table!$C$3,Y267*Table!$C$4/8,Y267*Table!$D$4/8),3)</f>
        <v>35.1</v>
      </c>
      <c r="X267" s="16">
        <f t="shared" si="39"/>
        <v>35.1</v>
      </c>
      <c r="Y267" s="16">
        <v>2.16</v>
      </c>
      <c r="Z267" s="16">
        <v>1</v>
      </c>
      <c r="AA267" s="16" t="s">
        <v>21</v>
      </c>
      <c r="AB267" s="85">
        <v>44025</v>
      </c>
      <c r="AC267" s="85">
        <v>44018</v>
      </c>
      <c r="AD267" s="85">
        <v>44022</v>
      </c>
      <c r="AE267" s="85">
        <v>44022</v>
      </c>
      <c r="AF267" s="85">
        <v>44022</v>
      </c>
      <c r="AG267" s="85" t="s">
        <v>164</v>
      </c>
      <c r="AH267" s="86">
        <v>1</v>
      </c>
      <c r="AI267" s="86">
        <v>1</v>
      </c>
      <c r="AJ267" s="86">
        <v>1</v>
      </c>
      <c r="AK267" s="96"/>
      <c r="AL267" s="93"/>
      <c r="AM267" s="15"/>
      <c r="AN267" s="15"/>
    </row>
    <row r="268" spans="2:40" x14ac:dyDescent="0.25">
      <c r="B268" s="225">
        <f t="shared" si="38"/>
        <v>209</v>
      </c>
      <c r="C268" s="16">
        <v>20200706</v>
      </c>
      <c r="D268" s="16" t="s">
        <v>2</v>
      </c>
      <c r="E268" s="95" t="s">
        <v>1613</v>
      </c>
      <c r="F268" s="84" t="s">
        <v>58</v>
      </c>
      <c r="G268" s="48"/>
      <c r="H268" s="16" t="s">
        <v>1614</v>
      </c>
      <c r="I268" s="18" t="s">
        <v>1521</v>
      </c>
      <c r="J268" s="16" t="s">
        <v>1247</v>
      </c>
      <c r="K268" s="84"/>
      <c r="L268" s="84" t="s">
        <v>58</v>
      </c>
      <c r="M268" s="48"/>
      <c r="N268" s="16" t="s">
        <v>1624</v>
      </c>
      <c r="O268" s="84" t="s">
        <v>1593</v>
      </c>
      <c r="P268" s="84" t="s">
        <v>1087</v>
      </c>
      <c r="Q268" s="18"/>
      <c r="R268" s="16" t="s">
        <v>1253</v>
      </c>
      <c r="S268" s="16" t="s">
        <v>62</v>
      </c>
      <c r="T268" s="16" t="s">
        <v>61</v>
      </c>
      <c r="U268" s="16"/>
      <c r="V268" s="16"/>
      <c r="W268" s="16">
        <f>ROUND(IF(D268=Table!$C$3,Y268*Table!$C$4/8,Y268*Table!$D$4/8),3)</f>
        <v>143</v>
      </c>
      <c r="X268" s="16">
        <f t="shared" si="39"/>
        <v>143</v>
      </c>
      <c r="Y268" s="16">
        <v>8.8000000000000007</v>
      </c>
      <c r="Z268" s="16">
        <v>1</v>
      </c>
      <c r="AA268" s="16" t="s">
        <v>21</v>
      </c>
      <c r="AB268" s="85">
        <v>44025</v>
      </c>
      <c r="AC268" s="85">
        <v>44018</v>
      </c>
      <c r="AD268" s="85">
        <v>44022</v>
      </c>
      <c r="AE268" s="85">
        <v>44022</v>
      </c>
      <c r="AF268" s="85">
        <v>44022</v>
      </c>
      <c r="AG268" s="85" t="s">
        <v>164</v>
      </c>
      <c r="AH268" s="237">
        <v>0.93500000000000005</v>
      </c>
      <c r="AI268" s="237">
        <v>0.94199999999999995</v>
      </c>
      <c r="AJ268" s="237">
        <v>1</v>
      </c>
      <c r="AK268" s="236"/>
      <c r="AL268" s="236" t="s">
        <v>1711</v>
      </c>
      <c r="AM268" s="15"/>
      <c r="AN268" s="15"/>
    </row>
    <row r="269" spans="2:40" x14ac:dyDescent="0.25">
      <c r="B269" s="225">
        <f t="shared" si="38"/>
        <v>210</v>
      </c>
      <c r="C269" s="16">
        <v>20200706</v>
      </c>
      <c r="D269" s="16" t="s">
        <v>2</v>
      </c>
      <c r="E269" s="95" t="s">
        <v>1613</v>
      </c>
      <c r="F269" s="84" t="s">
        <v>58</v>
      </c>
      <c r="G269" s="48"/>
      <c r="H269" s="16" t="s">
        <v>1615</v>
      </c>
      <c r="I269" s="228" t="s">
        <v>1522</v>
      </c>
      <c r="J269" s="16" t="s">
        <v>254</v>
      </c>
      <c r="K269" s="84"/>
      <c r="L269" s="84" t="s">
        <v>58</v>
      </c>
      <c r="M269" s="48"/>
      <c r="N269" s="16" t="s">
        <v>1624</v>
      </c>
      <c r="O269" s="84" t="s">
        <v>1594</v>
      </c>
      <c r="P269" s="84" t="s">
        <v>1087</v>
      </c>
      <c r="Q269" s="18"/>
      <c r="R269" s="16" t="s">
        <v>1253</v>
      </c>
      <c r="S269" s="16" t="s">
        <v>62</v>
      </c>
      <c r="T269" s="16" t="s">
        <v>61</v>
      </c>
      <c r="U269" s="16"/>
      <c r="V269" s="16"/>
      <c r="W269" s="16">
        <f>ROUND(IF(D269=Table!$C$3,Y269*Table!$C$4/8,Y269*Table!$D$4/8),3)</f>
        <v>78</v>
      </c>
      <c r="X269" s="16">
        <f t="shared" si="39"/>
        <v>78</v>
      </c>
      <c r="Y269" s="16">
        <v>4.8</v>
      </c>
      <c r="Z269" s="16">
        <v>1</v>
      </c>
      <c r="AA269" s="16" t="s">
        <v>21</v>
      </c>
      <c r="AB269" s="85">
        <v>44025</v>
      </c>
      <c r="AC269" s="85">
        <v>44018</v>
      </c>
      <c r="AD269" s="85">
        <v>44022</v>
      </c>
      <c r="AE269" s="85">
        <v>44022</v>
      </c>
      <c r="AF269" s="85">
        <v>44022</v>
      </c>
      <c r="AG269" s="85" t="s">
        <v>164</v>
      </c>
      <c r="AH269" s="237">
        <v>0.98499999999999999</v>
      </c>
      <c r="AI269" s="237">
        <v>0.98499999999999999</v>
      </c>
      <c r="AJ269" s="237">
        <v>1</v>
      </c>
      <c r="AK269" s="236"/>
      <c r="AL269" s="236" t="s">
        <v>1712</v>
      </c>
      <c r="AM269" s="15"/>
      <c r="AN269" s="15"/>
    </row>
    <row r="270" spans="2:40" x14ac:dyDescent="0.25">
      <c r="B270" s="225">
        <f t="shared" si="38"/>
        <v>211</v>
      </c>
      <c r="C270" s="16">
        <v>20200706</v>
      </c>
      <c r="D270" s="16" t="s">
        <v>2</v>
      </c>
      <c r="E270" s="95" t="s">
        <v>1613</v>
      </c>
      <c r="F270" s="84" t="s">
        <v>58</v>
      </c>
      <c r="G270" s="48"/>
      <c r="H270" s="16" t="s">
        <v>815</v>
      </c>
      <c r="I270" s="228" t="s">
        <v>1523</v>
      </c>
      <c r="J270" s="16" t="s">
        <v>254</v>
      </c>
      <c r="K270" s="84"/>
      <c r="L270" s="84" t="s">
        <v>58</v>
      </c>
      <c r="M270" s="48"/>
      <c r="N270" s="16" t="s">
        <v>1624</v>
      </c>
      <c r="O270" s="84" t="s">
        <v>619</v>
      </c>
      <c r="P270" s="84" t="s">
        <v>1087</v>
      </c>
      <c r="Q270" s="18"/>
      <c r="R270" s="16" t="s">
        <v>1253</v>
      </c>
      <c r="S270" s="16" t="s">
        <v>62</v>
      </c>
      <c r="T270" s="16" t="s">
        <v>61</v>
      </c>
      <c r="U270" s="16"/>
      <c r="V270" s="16"/>
      <c r="W270" s="16">
        <f>ROUND(IF(D270=Table!$C$3,Y270*Table!$C$4/8,Y270*Table!$D$4/8),3)</f>
        <v>32.5</v>
      </c>
      <c r="X270" s="16">
        <f t="shared" si="39"/>
        <v>32.5</v>
      </c>
      <c r="Y270" s="16">
        <v>2</v>
      </c>
      <c r="Z270" s="16">
        <v>1</v>
      </c>
      <c r="AA270" s="16" t="s">
        <v>21</v>
      </c>
      <c r="AB270" s="85">
        <v>44025</v>
      </c>
      <c r="AC270" s="85">
        <v>44018</v>
      </c>
      <c r="AD270" s="85">
        <v>44022</v>
      </c>
      <c r="AE270" s="85">
        <v>44022</v>
      </c>
      <c r="AF270" s="85">
        <v>44022</v>
      </c>
      <c r="AG270" s="85" t="s">
        <v>164</v>
      </c>
      <c r="AH270" s="237">
        <v>0.88200000000000001</v>
      </c>
      <c r="AI270" s="237">
        <v>0.88900000000000001</v>
      </c>
      <c r="AJ270" s="237" t="s">
        <v>326</v>
      </c>
      <c r="AK270" s="236"/>
      <c r="AL270" s="236" t="s">
        <v>1713</v>
      </c>
      <c r="AM270" s="15"/>
      <c r="AN270" s="15"/>
    </row>
    <row r="271" spans="2:40" x14ac:dyDescent="0.25">
      <c r="B271" s="225">
        <f t="shared" si="38"/>
        <v>212</v>
      </c>
      <c r="C271" s="16">
        <v>20200706</v>
      </c>
      <c r="D271" s="16" t="s">
        <v>2</v>
      </c>
      <c r="E271" s="95" t="s">
        <v>1613</v>
      </c>
      <c r="F271" s="84" t="s">
        <v>58</v>
      </c>
      <c r="G271" s="48"/>
      <c r="H271" s="16" t="s">
        <v>1616</v>
      </c>
      <c r="I271" s="18" t="s">
        <v>1524</v>
      </c>
      <c r="J271" s="16" t="s">
        <v>1247</v>
      </c>
      <c r="K271" s="84"/>
      <c r="L271" s="84" t="s">
        <v>58</v>
      </c>
      <c r="M271" s="48"/>
      <c r="N271" s="16" t="s">
        <v>1624</v>
      </c>
      <c r="O271" s="84" t="s">
        <v>1587</v>
      </c>
      <c r="P271" s="84" t="s">
        <v>1087</v>
      </c>
      <c r="Q271" s="18"/>
      <c r="R271" s="16" t="s">
        <v>1253</v>
      </c>
      <c r="S271" s="16" t="s">
        <v>62</v>
      </c>
      <c r="T271" s="16" t="s">
        <v>61</v>
      </c>
      <c r="U271" s="16"/>
      <c r="V271" s="16"/>
      <c r="W271" s="16">
        <f>ROUND(IF(D271=Table!$C$3,Y271*Table!$C$4/8,Y271*Table!$D$4/8),3)</f>
        <v>104</v>
      </c>
      <c r="X271" s="16">
        <f t="shared" si="39"/>
        <v>104</v>
      </c>
      <c r="Y271" s="16">
        <v>6.4</v>
      </c>
      <c r="Z271" s="16">
        <v>1</v>
      </c>
      <c r="AA271" s="16" t="s">
        <v>21</v>
      </c>
      <c r="AB271" s="85">
        <v>44025</v>
      </c>
      <c r="AC271" s="85">
        <v>44018</v>
      </c>
      <c r="AD271" s="85">
        <v>44022</v>
      </c>
      <c r="AE271" s="85">
        <v>44022</v>
      </c>
      <c r="AF271" s="85">
        <v>44022</v>
      </c>
      <c r="AG271" s="85" t="s">
        <v>164</v>
      </c>
      <c r="AH271" s="86">
        <v>1</v>
      </c>
      <c r="AI271" s="86">
        <v>1</v>
      </c>
      <c r="AJ271" s="86">
        <v>1</v>
      </c>
      <c r="AK271" s="96"/>
      <c r="AL271" s="93"/>
      <c r="AM271" s="15"/>
      <c r="AN271" s="15"/>
    </row>
    <row r="272" spans="2:40" x14ac:dyDescent="0.25">
      <c r="B272" s="225">
        <f t="shared" si="38"/>
        <v>213</v>
      </c>
      <c r="C272" s="16">
        <v>20200706</v>
      </c>
      <c r="D272" s="16" t="s">
        <v>2</v>
      </c>
      <c r="E272" s="95" t="s">
        <v>1613</v>
      </c>
      <c r="F272" s="84" t="s">
        <v>58</v>
      </c>
      <c r="G272" s="48"/>
      <c r="H272" s="16" t="s">
        <v>816</v>
      </c>
      <c r="I272" s="16" t="s">
        <v>1525</v>
      </c>
      <c r="J272" s="16" t="s">
        <v>254</v>
      </c>
      <c r="K272" s="84"/>
      <c r="L272" s="84" t="s">
        <v>58</v>
      </c>
      <c r="M272" s="48"/>
      <c r="N272" s="16" t="s">
        <v>1624</v>
      </c>
      <c r="O272" s="84" t="s">
        <v>1595</v>
      </c>
      <c r="P272" s="84" t="s">
        <v>1087</v>
      </c>
      <c r="Q272" s="18"/>
      <c r="R272" s="16" t="s">
        <v>1254</v>
      </c>
      <c r="S272" s="16" t="s">
        <v>136</v>
      </c>
      <c r="T272" s="16" t="s">
        <v>137</v>
      </c>
      <c r="U272" s="16"/>
      <c r="V272" s="16"/>
      <c r="W272" s="16">
        <f>ROUND(IF(D272=Table!$C$3,Y272*Table!$C$4/8,Y272*Table!$D$4/8),3)</f>
        <v>78</v>
      </c>
      <c r="X272" s="16">
        <v>78</v>
      </c>
      <c r="Y272" s="16">
        <v>4.8</v>
      </c>
      <c r="Z272" s="16">
        <v>3</v>
      </c>
      <c r="AA272" s="16" t="s">
        <v>21</v>
      </c>
      <c r="AB272" s="85">
        <v>44025</v>
      </c>
      <c r="AC272" s="85">
        <v>44018</v>
      </c>
      <c r="AD272" s="85">
        <v>44022</v>
      </c>
      <c r="AE272" s="85">
        <v>44019</v>
      </c>
      <c r="AF272" s="85">
        <v>44019</v>
      </c>
      <c r="AG272" s="85" t="s">
        <v>164</v>
      </c>
      <c r="AH272" s="86">
        <v>0.96699999999999997</v>
      </c>
      <c r="AI272" s="86">
        <v>0.96799999999999997</v>
      </c>
      <c r="AJ272" s="86">
        <v>1</v>
      </c>
      <c r="AK272" s="96" t="s">
        <v>144</v>
      </c>
      <c r="AL272" s="140" t="s">
        <v>1643</v>
      </c>
      <c r="AM272" s="15"/>
      <c r="AN272" s="15" t="s">
        <v>1644</v>
      </c>
    </row>
    <row r="273" spans="2:40" x14ac:dyDescent="0.25">
      <c r="B273" s="225">
        <f t="shared" si="38"/>
        <v>214</v>
      </c>
      <c r="C273" s="16">
        <v>20200706</v>
      </c>
      <c r="D273" s="16" t="s">
        <v>2</v>
      </c>
      <c r="E273" s="95" t="s">
        <v>1613</v>
      </c>
      <c r="F273" s="84" t="s">
        <v>58</v>
      </c>
      <c r="G273" s="48"/>
      <c r="H273" s="16" t="s">
        <v>817</v>
      </c>
      <c r="I273" s="16" t="s">
        <v>1526</v>
      </c>
      <c r="J273" s="16" t="s">
        <v>254</v>
      </c>
      <c r="K273" s="84"/>
      <c r="L273" s="84" t="s">
        <v>58</v>
      </c>
      <c r="M273" s="48"/>
      <c r="N273" s="16" t="s">
        <v>1624</v>
      </c>
      <c r="O273" s="84" t="s">
        <v>1596</v>
      </c>
      <c r="P273" s="84" t="s">
        <v>1087</v>
      </c>
      <c r="Q273" s="18"/>
      <c r="R273" s="16" t="s">
        <v>1254</v>
      </c>
      <c r="S273" s="16" t="s">
        <v>136</v>
      </c>
      <c r="T273" s="16" t="s">
        <v>137</v>
      </c>
      <c r="U273" s="16"/>
      <c r="V273" s="16"/>
      <c r="W273" s="16">
        <f>ROUND(IF(D273=Table!$C$3,Y273*Table!$C$4/8,Y273*Table!$D$4/8),3)</f>
        <v>45.5</v>
      </c>
      <c r="X273" s="16">
        <v>45.5</v>
      </c>
      <c r="Y273" s="16">
        <v>2.8</v>
      </c>
      <c r="Z273" s="16">
        <v>1.5</v>
      </c>
      <c r="AA273" s="16" t="s">
        <v>21</v>
      </c>
      <c r="AB273" s="85">
        <v>44025</v>
      </c>
      <c r="AC273" s="85">
        <v>44018</v>
      </c>
      <c r="AD273" s="85">
        <v>44022</v>
      </c>
      <c r="AE273" s="85">
        <v>44018</v>
      </c>
      <c r="AF273" s="85">
        <v>44018</v>
      </c>
      <c r="AG273" s="85" t="s">
        <v>164</v>
      </c>
      <c r="AH273" s="86">
        <v>0.94599999999999995</v>
      </c>
      <c r="AI273" s="86">
        <v>0.94599999999999995</v>
      </c>
      <c r="AJ273" s="86">
        <v>1</v>
      </c>
      <c r="AK273" s="96" t="s">
        <v>144</v>
      </c>
      <c r="AL273" s="93" t="s">
        <v>1636</v>
      </c>
      <c r="AM273" s="15"/>
      <c r="AN273" s="15"/>
    </row>
    <row r="274" spans="2:40" x14ac:dyDescent="0.25">
      <c r="B274" s="225">
        <f t="shared" si="38"/>
        <v>215</v>
      </c>
      <c r="C274" s="16">
        <v>20200706</v>
      </c>
      <c r="D274" s="16" t="s">
        <v>2</v>
      </c>
      <c r="E274" s="95" t="s">
        <v>1613</v>
      </c>
      <c r="F274" s="84" t="s">
        <v>58</v>
      </c>
      <c r="G274" s="48"/>
      <c r="H274" s="16" t="s">
        <v>818</v>
      </c>
      <c r="I274" s="16" t="s">
        <v>1527</v>
      </c>
      <c r="J274" s="16" t="s">
        <v>254</v>
      </c>
      <c r="K274" s="84"/>
      <c r="L274" s="84" t="s">
        <v>58</v>
      </c>
      <c r="M274" s="48"/>
      <c r="N274" s="16" t="s">
        <v>1624</v>
      </c>
      <c r="O274" s="84" t="s">
        <v>1597</v>
      </c>
      <c r="P274" s="84" t="s">
        <v>1087</v>
      </c>
      <c r="Q274" s="18"/>
      <c r="R274" s="16" t="s">
        <v>1254</v>
      </c>
      <c r="S274" s="16" t="s">
        <v>136</v>
      </c>
      <c r="T274" s="16" t="s">
        <v>137</v>
      </c>
      <c r="U274" s="16"/>
      <c r="V274" s="16"/>
      <c r="W274" s="16">
        <f>ROUND(IF(D274=Table!$C$3,Y274*Table!$C$4/8,Y274*Table!$D$4/8),3)</f>
        <v>162.5</v>
      </c>
      <c r="X274" s="16">
        <v>162.5</v>
      </c>
      <c r="Y274" s="16">
        <v>10</v>
      </c>
      <c r="Z274" s="16">
        <v>9</v>
      </c>
      <c r="AA274" s="16" t="s">
        <v>21</v>
      </c>
      <c r="AB274" s="85">
        <v>44025</v>
      </c>
      <c r="AC274" s="85">
        <v>44018</v>
      </c>
      <c r="AD274" s="85">
        <v>44022</v>
      </c>
      <c r="AE274" s="85">
        <v>44022</v>
      </c>
      <c r="AF274" s="85">
        <v>44023</v>
      </c>
      <c r="AG274" s="85" t="s">
        <v>164</v>
      </c>
      <c r="AH274" s="86">
        <v>0.91300000000000003</v>
      </c>
      <c r="AI274" s="86">
        <v>0.91300000000000003</v>
      </c>
      <c r="AJ274" s="86">
        <v>1</v>
      </c>
      <c r="AK274" s="96" t="s">
        <v>144</v>
      </c>
      <c r="AL274" s="140" t="s">
        <v>1704</v>
      </c>
      <c r="AM274" s="15"/>
      <c r="AN274" s="15"/>
    </row>
    <row r="275" spans="2:40" x14ac:dyDescent="0.25">
      <c r="B275" s="225">
        <f t="shared" si="38"/>
        <v>216</v>
      </c>
      <c r="C275" s="16">
        <v>20200706</v>
      </c>
      <c r="D275" s="16" t="s">
        <v>2</v>
      </c>
      <c r="E275" s="95" t="s">
        <v>1613</v>
      </c>
      <c r="F275" s="84" t="s">
        <v>58</v>
      </c>
      <c r="G275" s="48"/>
      <c r="H275" s="16" t="s">
        <v>819</v>
      </c>
      <c r="I275" s="16" t="s">
        <v>1528</v>
      </c>
      <c r="J275" s="16" t="s">
        <v>254</v>
      </c>
      <c r="K275" s="84"/>
      <c r="L275" s="84" t="s">
        <v>58</v>
      </c>
      <c r="M275" s="48"/>
      <c r="N275" s="16" t="s">
        <v>1624</v>
      </c>
      <c r="O275" s="84" t="s">
        <v>281</v>
      </c>
      <c r="P275" s="84" t="s">
        <v>1087</v>
      </c>
      <c r="Q275" s="18"/>
      <c r="R275" s="16" t="s">
        <v>1255</v>
      </c>
      <c r="S275" s="16" t="s">
        <v>137</v>
      </c>
      <c r="T275" s="16" t="s">
        <v>63</v>
      </c>
      <c r="U275" s="16"/>
      <c r="V275" s="16"/>
      <c r="W275" s="16">
        <f>ROUND(IF(D275=Table!$C$3,Y275*Table!$C$4/8,Y275*Table!$D$4/8),3)</f>
        <v>162.5</v>
      </c>
      <c r="X275" s="16">
        <v>162.5</v>
      </c>
      <c r="Y275" s="16">
        <v>10</v>
      </c>
      <c r="Z275" s="16">
        <v>12</v>
      </c>
      <c r="AA275" s="16" t="s">
        <v>21</v>
      </c>
      <c r="AB275" s="85">
        <v>44025</v>
      </c>
      <c r="AC275" s="85">
        <v>44018</v>
      </c>
      <c r="AD275" s="85">
        <v>44022</v>
      </c>
      <c r="AE275" s="85">
        <v>44022</v>
      </c>
      <c r="AF275" s="85">
        <v>44025</v>
      </c>
      <c r="AG275" s="85" t="s">
        <v>164</v>
      </c>
      <c r="AH275" s="86">
        <v>0.91600000000000004</v>
      </c>
      <c r="AI275" s="86">
        <v>0.91900000000000004</v>
      </c>
      <c r="AJ275" s="86">
        <v>1</v>
      </c>
      <c r="AK275" s="96" t="s">
        <v>144</v>
      </c>
      <c r="AL275" s="93"/>
      <c r="AM275" s="15"/>
      <c r="AN275" s="15"/>
    </row>
    <row r="276" spans="2:40" x14ac:dyDescent="0.25">
      <c r="B276" s="225">
        <f t="shared" si="38"/>
        <v>217</v>
      </c>
      <c r="C276" s="16">
        <v>20200706</v>
      </c>
      <c r="D276" s="16" t="s">
        <v>2</v>
      </c>
      <c r="E276" s="95" t="s">
        <v>1613</v>
      </c>
      <c r="F276" s="84" t="s">
        <v>58</v>
      </c>
      <c r="G276" s="48"/>
      <c r="H276" s="16" t="s">
        <v>820</v>
      </c>
      <c r="I276" s="16" t="s">
        <v>1529</v>
      </c>
      <c r="J276" s="16" t="s">
        <v>1247</v>
      </c>
      <c r="K276" s="221" t="s">
        <v>1629</v>
      </c>
      <c r="L276" s="84" t="s">
        <v>58</v>
      </c>
      <c r="M276" s="48"/>
      <c r="N276" s="16" t="s">
        <v>1624</v>
      </c>
      <c r="O276" s="84" t="s">
        <v>1598</v>
      </c>
      <c r="P276" s="84" t="s">
        <v>1087</v>
      </c>
      <c r="Q276" s="18"/>
      <c r="R276" s="16" t="s">
        <v>1256</v>
      </c>
      <c r="S276" s="16" t="s">
        <v>327</v>
      </c>
      <c r="T276" s="16" t="s">
        <v>62</v>
      </c>
      <c r="U276" s="16"/>
      <c r="V276" s="16"/>
      <c r="W276" s="16">
        <f>ROUND(IF(D276=Table!$C$3,Y276*Table!$C$4/8,Y276*Table!$D$4/8),3)</f>
        <v>52</v>
      </c>
      <c r="X276" s="16">
        <f>W276</f>
        <v>52</v>
      </c>
      <c r="Y276" s="16">
        <v>3.2</v>
      </c>
      <c r="Z276" s="16">
        <f>Y276</f>
        <v>3.2</v>
      </c>
      <c r="AA276" s="16" t="s">
        <v>21</v>
      </c>
      <c r="AB276" s="85">
        <v>44025</v>
      </c>
      <c r="AC276" s="85">
        <v>44018</v>
      </c>
      <c r="AD276" s="85">
        <v>44022</v>
      </c>
      <c r="AE276" s="85">
        <v>44021</v>
      </c>
      <c r="AF276" s="85">
        <v>44021</v>
      </c>
      <c r="AG276" s="85" t="s">
        <v>164</v>
      </c>
      <c r="AH276" s="86">
        <v>0.85299999999999998</v>
      </c>
      <c r="AI276" s="86">
        <v>0.85299999999999998</v>
      </c>
      <c r="AJ276" s="86" t="s">
        <v>326</v>
      </c>
      <c r="AK276" s="96" t="s">
        <v>144</v>
      </c>
      <c r="AL276" s="93" t="s">
        <v>1674</v>
      </c>
      <c r="AM276" s="15"/>
      <c r="AN276" s="15"/>
    </row>
    <row r="277" spans="2:40" x14ac:dyDescent="0.25">
      <c r="B277" s="225">
        <f t="shared" si="38"/>
        <v>218</v>
      </c>
      <c r="C277" s="16">
        <v>20200706</v>
      </c>
      <c r="D277" s="16" t="s">
        <v>2</v>
      </c>
      <c r="E277" s="95" t="s">
        <v>1613</v>
      </c>
      <c r="F277" s="84" t="s">
        <v>58</v>
      </c>
      <c r="G277" s="48"/>
      <c r="H277" s="16" t="s">
        <v>821</v>
      </c>
      <c r="I277" s="16" t="s">
        <v>1530</v>
      </c>
      <c r="J277" s="16" t="s">
        <v>254</v>
      </c>
      <c r="K277" s="84"/>
      <c r="L277" s="84" t="s">
        <v>58</v>
      </c>
      <c r="M277" s="48"/>
      <c r="N277" s="16" t="s">
        <v>1624</v>
      </c>
      <c r="O277" s="84" t="s">
        <v>1599</v>
      </c>
      <c r="P277" s="84" t="s">
        <v>1087</v>
      </c>
      <c r="Q277" s="18"/>
      <c r="R277" s="16" t="s">
        <v>1256</v>
      </c>
      <c r="S277" s="16" t="s">
        <v>327</v>
      </c>
      <c r="T277" s="16" t="s">
        <v>62</v>
      </c>
      <c r="U277" s="16"/>
      <c r="V277" s="16"/>
      <c r="W277" s="16">
        <f>ROUND(IF(D277=Table!$C$3,Y277*Table!$C$4/8,Y277*Table!$D$4/8),3)</f>
        <v>175.5</v>
      </c>
      <c r="X277" s="16">
        <f>W277</f>
        <v>175.5</v>
      </c>
      <c r="Y277" s="16">
        <v>10.8</v>
      </c>
      <c r="Z277" s="16">
        <f>Y277</f>
        <v>10.8</v>
      </c>
      <c r="AA277" s="16" t="s">
        <v>21</v>
      </c>
      <c r="AB277" s="85">
        <v>44025</v>
      </c>
      <c r="AC277" s="85">
        <v>44018</v>
      </c>
      <c r="AD277" s="85">
        <v>44022</v>
      </c>
      <c r="AE277" s="85">
        <v>44025</v>
      </c>
      <c r="AF277" s="85">
        <v>44025</v>
      </c>
      <c r="AG277" s="85" t="s">
        <v>164</v>
      </c>
      <c r="AH277" s="86">
        <v>0.98799999999999999</v>
      </c>
      <c r="AI277" s="86">
        <v>0.98899999999999999</v>
      </c>
      <c r="AJ277" s="86">
        <v>1</v>
      </c>
      <c r="AK277" s="96" t="s">
        <v>144</v>
      </c>
      <c r="AL277" s="14" t="s">
        <v>1725</v>
      </c>
      <c r="AM277" s="15"/>
      <c r="AN277" s="15"/>
    </row>
    <row r="278" spans="2:40" x14ac:dyDescent="0.25">
      <c r="B278" s="225">
        <f t="shared" si="38"/>
        <v>219</v>
      </c>
      <c r="C278" s="16">
        <v>20200706</v>
      </c>
      <c r="D278" s="16" t="s">
        <v>2</v>
      </c>
      <c r="E278" s="95" t="s">
        <v>1613</v>
      </c>
      <c r="F278" s="84" t="s">
        <v>58</v>
      </c>
      <c r="G278" s="48"/>
      <c r="H278" s="16" t="s">
        <v>464</v>
      </c>
      <c r="I278" s="16" t="s">
        <v>1531</v>
      </c>
      <c r="J278" s="16" t="s">
        <v>1247</v>
      </c>
      <c r="K278" s="84"/>
      <c r="L278" s="84" t="s">
        <v>58</v>
      </c>
      <c r="M278" s="48"/>
      <c r="N278" s="16" t="s">
        <v>1624</v>
      </c>
      <c r="O278" s="84" t="s">
        <v>1600</v>
      </c>
      <c r="P278" s="84" t="s">
        <v>1087</v>
      </c>
      <c r="Q278" s="18"/>
      <c r="R278" s="16" t="s">
        <v>1256</v>
      </c>
      <c r="S278" s="16" t="s">
        <v>327</v>
      </c>
      <c r="T278" s="16" t="s">
        <v>62</v>
      </c>
      <c r="U278" s="16"/>
      <c r="V278" s="16"/>
      <c r="W278" s="16">
        <f>ROUND(IF(D278=Table!$C$3,Y278*Table!$C$4/8,Y278*Table!$D$4/8),3)</f>
        <v>45.5</v>
      </c>
      <c r="X278" s="16">
        <f>W278</f>
        <v>45.5</v>
      </c>
      <c r="Y278" s="16">
        <v>2.8</v>
      </c>
      <c r="Z278" s="16">
        <f>Y278</f>
        <v>2.8</v>
      </c>
      <c r="AA278" s="16" t="s">
        <v>21</v>
      </c>
      <c r="AB278" s="85">
        <v>44025</v>
      </c>
      <c r="AC278" s="85">
        <v>44018</v>
      </c>
      <c r="AD278" s="85">
        <v>44022</v>
      </c>
      <c r="AE278" s="85">
        <v>44020</v>
      </c>
      <c r="AF278" s="85">
        <v>44020</v>
      </c>
      <c r="AG278" s="85" t="s">
        <v>164</v>
      </c>
      <c r="AH278" s="86">
        <v>0.92600000000000005</v>
      </c>
      <c r="AI278" s="86">
        <v>0.92900000000000005</v>
      </c>
      <c r="AJ278" s="86">
        <v>1</v>
      </c>
      <c r="AK278" s="96" t="s">
        <v>144</v>
      </c>
      <c r="AL278" s="93" t="s">
        <v>1687</v>
      </c>
      <c r="AM278" s="15"/>
      <c r="AN278" s="15"/>
    </row>
    <row r="279" spans="2:40" x14ac:dyDescent="0.25">
      <c r="B279" s="225">
        <f t="shared" si="38"/>
        <v>220</v>
      </c>
      <c r="C279" s="16">
        <v>20200706</v>
      </c>
      <c r="D279" s="16" t="s">
        <v>2</v>
      </c>
      <c r="E279" s="95" t="s">
        <v>1613</v>
      </c>
      <c r="F279" s="84" t="s">
        <v>58</v>
      </c>
      <c r="G279" s="48"/>
      <c r="H279" s="16" t="s">
        <v>310</v>
      </c>
      <c r="I279" s="16" t="s">
        <v>1532</v>
      </c>
      <c r="J279" s="16" t="s">
        <v>254</v>
      </c>
      <c r="K279" s="84"/>
      <c r="L279" s="84" t="s">
        <v>58</v>
      </c>
      <c r="M279" s="48"/>
      <c r="N279" s="16" t="s">
        <v>1624</v>
      </c>
      <c r="O279" s="84" t="s">
        <v>619</v>
      </c>
      <c r="P279" s="84" t="s">
        <v>1087</v>
      </c>
      <c r="Q279" s="18"/>
      <c r="R279" s="16" t="s">
        <v>1256</v>
      </c>
      <c r="S279" s="16" t="s">
        <v>327</v>
      </c>
      <c r="T279" s="16" t="s">
        <v>62</v>
      </c>
      <c r="U279" s="16"/>
      <c r="V279" s="16"/>
      <c r="W279" s="16">
        <f>ROUND(IF(D279=Table!$C$3,Y279*Table!$C$4/8,Y279*Table!$D$4/8),3)</f>
        <v>39</v>
      </c>
      <c r="X279" s="16">
        <f>W279</f>
        <v>39</v>
      </c>
      <c r="Y279" s="16">
        <v>2.4</v>
      </c>
      <c r="Z279" s="16">
        <f>Y279</f>
        <v>2.4</v>
      </c>
      <c r="AA279" s="16" t="s">
        <v>21</v>
      </c>
      <c r="AB279" s="85">
        <v>44025</v>
      </c>
      <c r="AC279" s="85">
        <v>44018</v>
      </c>
      <c r="AD279" s="85">
        <v>44022</v>
      </c>
      <c r="AE279" s="85">
        <v>44019</v>
      </c>
      <c r="AF279" s="85">
        <v>44019</v>
      </c>
      <c r="AG279" s="85" t="s">
        <v>164</v>
      </c>
      <c r="AH279" s="86">
        <v>1</v>
      </c>
      <c r="AI279" s="86">
        <v>1</v>
      </c>
      <c r="AJ279" s="86">
        <v>1</v>
      </c>
      <c r="AK279" s="96" t="s">
        <v>144</v>
      </c>
      <c r="AL279" s="93"/>
      <c r="AM279" s="15"/>
      <c r="AN279" s="15"/>
    </row>
    <row r="280" spans="2:40" x14ac:dyDescent="0.25">
      <c r="B280" s="225">
        <f t="shared" si="38"/>
        <v>221</v>
      </c>
      <c r="C280" s="16">
        <v>20200706</v>
      </c>
      <c r="D280" s="16" t="s">
        <v>2</v>
      </c>
      <c r="E280" s="95" t="s">
        <v>1613</v>
      </c>
      <c r="F280" s="84" t="s">
        <v>58</v>
      </c>
      <c r="G280" s="48"/>
      <c r="H280" s="16" t="s">
        <v>311</v>
      </c>
      <c r="I280" s="16" t="s">
        <v>1533</v>
      </c>
      <c r="J280" s="16" t="s">
        <v>254</v>
      </c>
      <c r="K280" s="84" t="s">
        <v>1630</v>
      </c>
      <c r="L280" s="84" t="s">
        <v>58</v>
      </c>
      <c r="M280" s="48"/>
      <c r="N280" s="16" t="s">
        <v>1624</v>
      </c>
      <c r="O280" s="84" t="s">
        <v>1177</v>
      </c>
      <c r="P280" s="84" t="s">
        <v>1087</v>
      </c>
      <c r="Q280" s="18"/>
      <c r="R280" s="16" t="s">
        <v>1256</v>
      </c>
      <c r="S280" s="16" t="s">
        <v>327</v>
      </c>
      <c r="T280" s="16" t="s">
        <v>62</v>
      </c>
      <c r="U280" s="16"/>
      <c r="V280" s="16"/>
      <c r="W280" s="16">
        <f>ROUND(IF(D280=Table!$C$3,Y280*Table!$C$4/8,Y280*Table!$D$4/8),3)</f>
        <v>117</v>
      </c>
      <c r="X280" s="16">
        <f>W280</f>
        <v>117</v>
      </c>
      <c r="Y280" s="16">
        <v>7.2</v>
      </c>
      <c r="Z280" s="16">
        <f>Y280</f>
        <v>7.2</v>
      </c>
      <c r="AA280" s="16" t="s">
        <v>21</v>
      </c>
      <c r="AB280" s="85">
        <v>44025</v>
      </c>
      <c r="AC280" s="85">
        <v>44018</v>
      </c>
      <c r="AD280" s="85">
        <v>44022</v>
      </c>
      <c r="AE280" s="85">
        <v>44023</v>
      </c>
      <c r="AF280" s="85">
        <v>44023</v>
      </c>
      <c r="AG280" s="85" t="s">
        <v>164</v>
      </c>
      <c r="AH280" s="86">
        <v>0.68799999999999994</v>
      </c>
      <c r="AI280" s="86">
        <v>0.70599999999999996</v>
      </c>
      <c r="AJ280" s="86">
        <v>1</v>
      </c>
      <c r="AK280" s="96" t="s">
        <v>144</v>
      </c>
      <c r="AL280" s="93" t="s">
        <v>1721</v>
      </c>
      <c r="AM280" s="15"/>
      <c r="AN280" s="15"/>
    </row>
    <row r="281" spans="2:40" x14ac:dyDescent="0.25">
      <c r="B281" s="225">
        <f t="shared" si="38"/>
        <v>222</v>
      </c>
      <c r="C281" s="16">
        <v>20200706</v>
      </c>
      <c r="D281" s="16" t="s">
        <v>2</v>
      </c>
      <c r="E281" s="95" t="s">
        <v>1613</v>
      </c>
      <c r="F281" s="84" t="s">
        <v>58</v>
      </c>
      <c r="G281" s="48"/>
      <c r="H281" s="16" t="s">
        <v>277</v>
      </c>
      <c r="I281" s="16" t="s">
        <v>1534</v>
      </c>
      <c r="J281" s="16" t="s">
        <v>254</v>
      </c>
      <c r="K281" s="84" t="s">
        <v>1628</v>
      </c>
      <c r="L281" s="84" t="s">
        <v>58</v>
      </c>
      <c r="M281" s="48"/>
      <c r="N281" s="16" t="s">
        <v>1624</v>
      </c>
      <c r="O281" s="84" t="s">
        <v>1177</v>
      </c>
      <c r="P281" s="84" t="s">
        <v>1087</v>
      </c>
      <c r="Q281" s="18"/>
      <c r="R281" s="16" t="s">
        <v>1256</v>
      </c>
      <c r="S281" s="16" t="s">
        <v>327</v>
      </c>
      <c r="T281" s="16" t="s">
        <v>62</v>
      </c>
      <c r="U281" s="16"/>
      <c r="V281" s="16"/>
      <c r="W281" s="16">
        <f>ROUND(IF(D281=Table!$C$3,Y281*Table!$C$4/8,Y281*Table!$D$4/8),3)</f>
        <v>26</v>
      </c>
      <c r="X281" s="16">
        <f t="shared" ref="X281:X286" si="40">W281</f>
        <v>26</v>
      </c>
      <c r="Y281" s="16">
        <v>1.6</v>
      </c>
      <c r="Z281" s="16">
        <f t="shared" ref="Z281:Z286" si="41">Y281</f>
        <v>1.6</v>
      </c>
      <c r="AA281" s="16" t="s">
        <v>21</v>
      </c>
      <c r="AB281" s="85">
        <v>44025</v>
      </c>
      <c r="AC281" s="85">
        <v>44018</v>
      </c>
      <c r="AD281" s="85">
        <v>44022</v>
      </c>
      <c r="AE281" s="85">
        <v>44019</v>
      </c>
      <c r="AF281" s="85">
        <v>44019</v>
      </c>
      <c r="AG281" s="85" t="s">
        <v>164</v>
      </c>
      <c r="AH281" s="86">
        <v>0.8</v>
      </c>
      <c r="AI281" s="86">
        <v>0.83299999999999996</v>
      </c>
      <c r="AJ281" s="86">
        <v>1</v>
      </c>
      <c r="AK281" s="96" t="s">
        <v>144</v>
      </c>
      <c r="AL281" s="93" t="s">
        <v>1645</v>
      </c>
      <c r="AM281" s="15"/>
      <c r="AN281" s="15"/>
    </row>
    <row r="282" spans="2:40" x14ac:dyDescent="0.25">
      <c r="B282" s="225">
        <f t="shared" si="38"/>
        <v>223</v>
      </c>
      <c r="C282" s="16">
        <v>20200706</v>
      </c>
      <c r="D282" s="16" t="s">
        <v>2</v>
      </c>
      <c r="E282" s="95" t="s">
        <v>1613</v>
      </c>
      <c r="F282" s="84" t="s">
        <v>58</v>
      </c>
      <c r="G282" s="48"/>
      <c r="H282" s="16" t="s">
        <v>278</v>
      </c>
      <c r="I282" s="16" t="s">
        <v>1535</v>
      </c>
      <c r="J282" s="16" t="s">
        <v>254</v>
      </c>
      <c r="K282" s="84"/>
      <c r="L282" s="84" t="s">
        <v>58</v>
      </c>
      <c r="M282" s="48"/>
      <c r="N282" s="16" t="s">
        <v>1624</v>
      </c>
      <c r="O282" s="84" t="s">
        <v>1601</v>
      </c>
      <c r="P282" s="84" t="s">
        <v>1087</v>
      </c>
      <c r="Q282" s="18"/>
      <c r="R282" s="16" t="s">
        <v>1256</v>
      </c>
      <c r="S282" s="16" t="s">
        <v>327</v>
      </c>
      <c r="T282" s="16" t="s">
        <v>62</v>
      </c>
      <c r="U282" s="16"/>
      <c r="V282" s="16"/>
      <c r="W282" s="16">
        <f>ROUND(IF(D282=Table!$C$3,Y282*Table!$C$4/8,Y282*Table!$D$4/8),3)</f>
        <v>35.1</v>
      </c>
      <c r="X282" s="16">
        <f t="shared" si="40"/>
        <v>35.1</v>
      </c>
      <c r="Y282" s="16">
        <v>2.16</v>
      </c>
      <c r="Z282" s="16">
        <f t="shared" si="41"/>
        <v>2.16</v>
      </c>
      <c r="AA282" s="16" t="s">
        <v>21</v>
      </c>
      <c r="AB282" s="85">
        <v>44025</v>
      </c>
      <c r="AC282" s="85">
        <v>44018</v>
      </c>
      <c r="AD282" s="85">
        <v>44022</v>
      </c>
      <c r="AE282" s="85">
        <v>44019</v>
      </c>
      <c r="AF282" s="85">
        <v>44019</v>
      </c>
      <c r="AG282" s="85" t="s">
        <v>164</v>
      </c>
      <c r="AH282" s="86">
        <v>0.61499999999999999</v>
      </c>
      <c r="AI282" s="86">
        <v>0.63</v>
      </c>
      <c r="AJ282" s="86">
        <v>0.5</v>
      </c>
      <c r="AK282" s="96" t="s">
        <v>144</v>
      </c>
      <c r="AL282" s="93" t="s">
        <v>1642</v>
      </c>
      <c r="AM282" s="15"/>
      <c r="AN282" s="15"/>
    </row>
    <row r="283" spans="2:40" x14ac:dyDescent="0.25">
      <c r="B283" s="225">
        <f t="shared" si="38"/>
        <v>224</v>
      </c>
      <c r="C283" s="16">
        <v>20200706</v>
      </c>
      <c r="D283" s="16" t="s">
        <v>2</v>
      </c>
      <c r="E283" s="95" t="s">
        <v>1613</v>
      </c>
      <c r="F283" s="84" t="s">
        <v>58</v>
      </c>
      <c r="G283" s="48"/>
      <c r="H283" s="16" t="s">
        <v>279</v>
      </c>
      <c r="I283" s="16" t="s">
        <v>1536</v>
      </c>
      <c r="J283" s="16" t="s">
        <v>254</v>
      </c>
      <c r="K283" s="84"/>
      <c r="L283" s="84" t="s">
        <v>58</v>
      </c>
      <c r="M283" s="48"/>
      <c r="N283" s="16" t="s">
        <v>1624</v>
      </c>
      <c r="O283" s="84" t="s">
        <v>620</v>
      </c>
      <c r="P283" s="84" t="s">
        <v>1087</v>
      </c>
      <c r="Q283" s="18"/>
      <c r="R283" s="16" t="s">
        <v>1256</v>
      </c>
      <c r="S283" s="16" t="s">
        <v>327</v>
      </c>
      <c r="T283" s="16" t="s">
        <v>62</v>
      </c>
      <c r="U283" s="16"/>
      <c r="V283" s="16"/>
      <c r="W283" s="16">
        <f>ROUND(IF(D283=Table!$C$3,Y283*Table!$C$4/8,Y283*Table!$D$4/8),3)</f>
        <v>65</v>
      </c>
      <c r="X283" s="16">
        <f t="shared" si="40"/>
        <v>65</v>
      </c>
      <c r="Y283" s="16">
        <v>4</v>
      </c>
      <c r="Z283" s="16">
        <f t="shared" si="41"/>
        <v>4</v>
      </c>
      <c r="AA283" s="16" t="s">
        <v>21</v>
      </c>
      <c r="AB283" s="85">
        <v>44025</v>
      </c>
      <c r="AC283" s="85">
        <v>44018</v>
      </c>
      <c r="AD283" s="85">
        <v>44022</v>
      </c>
      <c r="AE283" s="85">
        <v>44021</v>
      </c>
      <c r="AF283" s="85">
        <v>44021</v>
      </c>
      <c r="AG283" s="85" t="s">
        <v>164</v>
      </c>
      <c r="AH283" s="86">
        <v>0.96399999999999997</v>
      </c>
      <c r="AI283" s="86">
        <v>0.96399999999999997</v>
      </c>
      <c r="AJ283" s="86">
        <v>1</v>
      </c>
      <c r="AK283" s="96" t="s">
        <v>144</v>
      </c>
      <c r="AL283" s="93" t="s">
        <v>1687</v>
      </c>
      <c r="AM283" s="15"/>
      <c r="AN283" s="15"/>
    </row>
    <row r="284" spans="2:40" x14ac:dyDescent="0.25">
      <c r="B284" s="225">
        <f t="shared" si="38"/>
        <v>225</v>
      </c>
      <c r="C284" s="16">
        <v>20200706</v>
      </c>
      <c r="D284" s="16" t="s">
        <v>2</v>
      </c>
      <c r="E284" s="95" t="s">
        <v>1613</v>
      </c>
      <c r="F284" s="84" t="s">
        <v>58</v>
      </c>
      <c r="G284" s="48"/>
      <c r="H284" s="16" t="s">
        <v>312</v>
      </c>
      <c r="I284" s="16" t="s">
        <v>1537</v>
      </c>
      <c r="J284" s="16" t="s">
        <v>1247</v>
      </c>
      <c r="K284" s="84"/>
      <c r="L284" s="84" t="s">
        <v>58</v>
      </c>
      <c r="M284" s="48"/>
      <c r="N284" s="16" t="s">
        <v>1624</v>
      </c>
      <c r="O284" s="84" t="s">
        <v>1602</v>
      </c>
      <c r="P284" s="84" t="s">
        <v>1087</v>
      </c>
      <c r="Q284" s="18"/>
      <c r="R284" s="16" t="s">
        <v>1256</v>
      </c>
      <c r="S284" s="16" t="s">
        <v>327</v>
      </c>
      <c r="T284" s="16" t="s">
        <v>62</v>
      </c>
      <c r="U284" s="16"/>
      <c r="V284" s="16"/>
      <c r="W284" s="16">
        <f>ROUND(IF(D284=Table!$C$3,Y284*Table!$C$4/8,Y284*Table!$D$4/8),3)</f>
        <v>32.5</v>
      </c>
      <c r="X284" s="16">
        <f t="shared" si="40"/>
        <v>32.5</v>
      </c>
      <c r="Y284" s="16">
        <v>2</v>
      </c>
      <c r="Z284" s="16">
        <f t="shared" si="41"/>
        <v>2</v>
      </c>
      <c r="AA284" s="16" t="s">
        <v>21</v>
      </c>
      <c r="AB284" s="85">
        <v>44025</v>
      </c>
      <c r="AC284" s="85">
        <v>44018</v>
      </c>
      <c r="AD284" s="85">
        <v>44022</v>
      </c>
      <c r="AE284" s="85">
        <v>44018</v>
      </c>
      <c r="AF284" s="85">
        <v>44018</v>
      </c>
      <c r="AG284" s="85" t="s">
        <v>164</v>
      </c>
      <c r="AH284" s="86">
        <v>1</v>
      </c>
      <c r="AI284" s="86">
        <v>1</v>
      </c>
      <c r="AJ284" s="86">
        <v>1</v>
      </c>
      <c r="AK284" s="96" t="s">
        <v>144</v>
      </c>
      <c r="AL284" s="93"/>
      <c r="AM284" s="15"/>
      <c r="AN284" s="15"/>
    </row>
    <row r="285" spans="2:40" x14ac:dyDescent="0.25">
      <c r="B285" s="225">
        <f t="shared" si="38"/>
        <v>226</v>
      </c>
      <c r="C285" s="16">
        <v>20200706</v>
      </c>
      <c r="D285" s="16" t="s">
        <v>2</v>
      </c>
      <c r="E285" s="95" t="s">
        <v>1613</v>
      </c>
      <c r="F285" s="84" t="s">
        <v>58</v>
      </c>
      <c r="G285" s="48"/>
      <c r="H285" s="16" t="s">
        <v>313</v>
      </c>
      <c r="I285" s="16" t="s">
        <v>1538</v>
      </c>
      <c r="J285" s="16" t="s">
        <v>254</v>
      </c>
      <c r="K285" s="221" t="s">
        <v>1631</v>
      </c>
      <c r="L285" s="84" t="s">
        <v>58</v>
      </c>
      <c r="M285" s="48"/>
      <c r="N285" s="16" t="s">
        <v>1624</v>
      </c>
      <c r="O285" s="84" t="s">
        <v>780</v>
      </c>
      <c r="P285" s="84" t="s">
        <v>1087</v>
      </c>
      <c r="Q285" s="18"/>
      <c r="R285" s="16" t="s">
        <v>1256</v>
      </c>
      <c r="S285" s="16" t="s">
        <v>327</v>
      </c>
      <c r="T285" s="16" t="s">
        <v>62</v>
      </c>
      <c r="U285" s="16"/>
      <c r="V285" s="16"/>
      <c r="W285" s="16">
        <f>ROUND(IF(D285=Table!$C$3,Y285*Table!$C$4/8,Y285*Table!$D$4/8),3)</f>
        <v>26</v>
      </c>
      <c r="X285" s="16">
        <f t="shared" si="40"/>
        <v>26</v>
      </c>
      <c r="Y285" s="16">
        <v>1.6</v>
      </c>
      <c r="Z285" s="16">
        <f t="shared" si="41"/>
        <v>1.6</v>
      </c>
      <c r="AA285" s="16" t="s">
        <v>21</v>
      </c>
      <c r="AB285" s="85">
        <v>44025</v>
      </c>
      <c r="AC285" s="85">
        <v>44018</v>
      </c>
      <c r="AD285" s="85">
        <v>44022</v>
      </c>
      <c r="AE285" s="85">
        <v>44018</v>
      </c>
      <c r="AF285" s="85">
        <v>44018</v>
      </c>
      <c r="AG285" s="85" t="s">
        <v>164</v>
      </c>
      <c r="AH285" s="86">
        <v>1</v>
      </c>
      <c r="AI285" s="86">
        <v>1</v>
      </c>
      <c r="AJ285" s="86">
        <v>1</v>
      </c>
      <c r="AK285" s="96" t="s">
        <v>144</v>
      </c>
      <c r="AL285" s="93"/>
      <c r="AM285" s="15"/>
      <c r="AN285" s="15"/>
    </row>
    <row r="286" spans="2:40" x14ac:dyDescent="0.25">
      <c r="B286" s="225">
        <f t="shared" si="38"/>
        <v>227</v>
      </c>
      <c r="C286" s="16">
        <v>20200706</v>
      </c>
      <c r="D286" s="16" t="s">
        <v>2</v>
      </c>
      <c r="E286" s="95" t="s">
        <v>1613</v>
      </c>
      <c r="F286" s="84" t="s">
        <v>58</v>
      </c>
      <c r="G286" s="48"/>
      <c r="H286" s="16" t="s">
        <v>314</v>
      </c>
      <c r="I286" s="16" t="s">
        <v>1539</v>
      </c>
      <c r="J286" s="16" t="s">
        <v>254</v>
      </c>
      <c r="K286" s="84"/>
      <c r="L286" s="84" t="s">
        <v>58</v>
      </c>
      <c r="M286" s="48"/>
      <c r="N286" s="16" t="s">
        <v>1624</v>
      </c>
      <c r="O286" s="84" t="s">
        <v>620</v>
      </c>
      <c r="P286" s="84" t="s">
        <v>1087</v>
      </c>
      <c r="Q286" s="18"/>
      <c r="R286" s="16" t="s">
        <v>1256</v>
      </c>
      <c r="S286" s="16" t="s">
        <v>327</v>
      </c>
      <c r="T286" s="16" t="s">
        <v>62</v>
      </c>
      <c r="U286" s="16"/>
      <c r="V286" s="16"/>
      <c r="W286" s="16">
        <f>ROUND(IF(D286=Table!$C$3,Y286*Table!$C$4/8,Y286*Table!$D$4/8),3)</f>
        <v>35.1</v>
      </c>
      <c r="X286" s="16">
        <f t="shared" si="40"/>
        <v>35.1</v>
      </c>
      <c r="Y286" s="16">
        <v>2.16</v>
      </c>
      <c r="Z286" s="16">
        <f t="shared" si="41"/>
        <v>2.16</v>
      </c>
      <c r="AA286" s="16" t="s">
        <v>21</v>
      </c>
      <c r="AB286" s="85">
        <v>44025</v>
      </c>
      <c r="AC286" s="85">
        <v>44018</v>
      </c>
      <c r="AD286" s="85">
        <v>44022</v>
      </c>
      <c r="AE286" s="85">
        <v>44018</v>
      </c>
      <c r="AF286" s="85">
        <v>44018</v>
      </c>
      <c r="AG286" s="85" t="s">
        <v>164</v>
      </c>
      <c r="AH286" s="86">
        <v>1</v>
      </c>
      <c r="AI286" s="86">
        <v>1</v>
      </c>
      <c r="AJ286" s="86">
        <v>1</v>
      </c>
      <c r="AK286" s="96" t="s">
        <v>144</v>
      </c>
      <c r="AL286" s="93"/>
      <c r="AM286" s="15"/>
      <c r="AN286" s="15"/>
    </row>
    <row r="287" spans="2:40" x14ac:dyDescent="0.25">
      <c r="B287" s="225">
        <f t="shared" si="38"/>
        <v>228</v>
      </c>
      <c r="C287" s="16">
        <v>20200706</v>
      </c>
      <c r="D287" s="16" t="s">
        <v>2</v>
      </c>
      <c r="E287" s="95" t="s">
        <v>1613</v>
      </c>
      <c r="F287" s="84" t="s">
        <v>58</v>
      </c>
      <c r="G287" s="48"/>
      <c r="H287" s="16" t="s">
        <v>315</v>
      </c>
      <c r="I287" s="16" t="s">
        <v>1540</v>
      </c>
      <c r="J287" s="16" t="s">
        <v>254</v>
      </c>
      <c r="K287" s="84"/>
      <c r="L287" s="84" t="s">
        <v>58</v>
      </c>
      <c r="M287" s="48"/>
      <c r="N287" s="16" t="s">
        <v>1624</v>
      </c>
      <c r="O287" s="84" t="s">
        <v>1603</v>
      </c>
      <c r="P287" s="84" t="s">
        <v>1087</v>
      </c>
      <c r="Q287" s="18"/>
      <c r="R287" s="16" t="s">
        <v>1254</v>
      </c>
      <c r="S287" s="16" t="s">
        <v>136</v>
      </c>
      <c r="T287" s="16" t="s">
        <v>137</v>
      </c>
      <c r="U287" s="16"/>
      <c r="V287" s="16"/>
      <c r="W287" s="16">
        <f>ROUND(IF(D287=Table!$C$3,Y287*Table!$C$4/8,Y287*Table!$D$4/8),3)</f>
        <v>45.5</v>
      </c>
      <c r="X287" s="16">
        <v>45.5</v>
      </c>
      <c r="Y287" s="16">
        <v>2.8</v>
      </c>
      <c r="Z287" s="16">
        <v>4</v>
      </c>
      <c r="AA287" s="16" t="s">
        <v>21</v>
      </c>
      <c r="AB287" s="85">
        <v>44025</v>
      </c>
      <c r="AC287" s="85">
        <v>44018</v>
      </c>
      <c r="AD287" s="85">
        <v>44022</v>
      </c>
      <c r="AE287" s="85">
        <v>44025</v>
      </c>
      <c r="AF287" s="85">
        <v>44025</v>
      </c>
      <c r="AG287" s="85" t="s">
        <v>164</v>
      </c>
      <c r="AH287" s="86">
        <v>1</v>
      </c>
      <c r="AI287" s="86">
        <v>1</v>
      </c>
      <c r="AJ287" s="86" t="s">
        <v>326</v>
      </c>
      <c r="AK287" s="96" t="s">
        <v>144</v>
      </c>
      <c r="AL287" s="93"/>
      <c r="AM287" s="15"/>
      <c r="AN287" s="15"/>
    </row>
    <row r="288" spans="2:40" x14ac:dyDescent="0.25">
      <c r="B288" s="225">
        <f t="shared" si="38"/>
        <v>229</v>
      </c>
      <c r="C288" s="16">
        <v>20200706</v>
      </c>
      <c r="D288" s="16" t="s">
        <v>2</v>
      </c>
      <c r="E288" s="95" t="s">
        <v>1613</v>
      </c>
      <c r="F288" s="84" t="s">
        <v>58</v>
      </c>
      <c r="G288" s="48"/>
      <c r="H288" s="16" t="s">
        <v>822</v>
      </c>
      <c r="I288" s="16" t="s">
        <v>1541</v>
      </c>
      <c r="J288" s="16" t="s">
        <v>254</v>
      </c>
      <c r="K288" s="221" t="s">
        <v>1629</v>
      </c>
      <c r="L288" s="84" t="s">
        <v>58</v>
      </c>
      <c r="M288" s="48"/>
      <c r="N288" s="16" t="s">
        <v>1624</v>
      </c>
      <c r="O288" s="84" t="s">
        <v>1603</v>
      </c>
      <c r="P288" s="84" t="s">
        <v>1087</v>
      </c>
      <c r="Q288" s="18"/>
      <c r="R288" s="16" t="s">
        <v>1622</v>
      </c>
      <c r="S288" s="16" t="s">
        <v>925</v>
      </c>
      <c r="T288" s="16" t="s">
        <v>136</v>
      </c>
      <c r="U288" s="16" t="s">
        <v>0</v>
      </c>
      <c r="V288" s="16"/>
      <c r="W288" s="16">
        <f>ROUND(IF(D288=Table!$C$3,Y288*Table!$C$4/8,Y288*Table!$D$4/8),3)</f>
        <v>45.5</v>
      </c>
      <c r="X288" s="16">
        <f>W288</f>
        <v>45.5</v>
      </c>
      <c r="Y288" s="16">
        <v>2.8</v>
      </c>
      <c r="Z288" s="16">
        <v>2</v>
      </c>
      <c r="AA288" s="16" t="s">
        <v>21</v>
      </c>
      <c r="AB288" s="85">
        <v>44025</v>
      </c>
      <c r="AC288" s="85">
        <v>44018</v>
      </c>
      <c r="AD288" s="85">
        <v>44022</v>
      </c>
      <c r="AE288" s="85">
        <v>44025</v>
      </c>
      <c r="AF288" s="85">
        <v>44025</v>
      </c>
      <c r="AG288" s="85" t="s">
        <v>164</v>
      </c>
      <c r="AH288" s="86">
        <v>1</v>
      </c>
      <c r="AI288" s="86">
        <v>1</v>
      </c>
      <c r="AJ288" s="197" t="s">
        <v>326</v>
      </c>
      <c r="AK288" s="96" t="s">
        <v>144</v>
      </c>
      <c r="AL288" s="93" t="s">
        <v>1481</v>
      </c>
      <c r="AM288" s="198" t="s">
        <v>58</v>
      </c>
      <c r="AN288" s="198" t="s">
        <v>58</v>
      </c>
    </row>
    <row r="289" spans="2:40" x14ac:dyDescent="0.25">
      <c r="B289" s="225">
        <f t="shared" si="38"/>
        <v>230</v>
      </c>
      <c r="C289" s="16">
        <v>20200706</v>
      </c>
      <c r="D289" s="16" t="s">
        <v>2</v>
      </c>
      <c r="E289" s="95" t="s">
        <v>1613</v>
      </c>
      <c r="F289" s="84" t="s">
        <v>58</v>
      </c>
      <c r="G289" s="48"/>
      <c r="H289" s="16" t="s">
        <v>823</v>
      </c>
      <c r="I289" s="16" t="s">
        <v>1542</v>
      </c>
      <c r="J289" s="16" t="s">
        <v>254</v>
      </c>
      <c r="K289" s="84"/>
      <c r="L289" s="84" t="s">
        <v>58</v>
      </c>
      <c r="M289" s="48"/>
      <c r="N289" s="16" t="s">
        <v>1624</v>
      </c>
      <c r="O289" s="84" t="s">
        <v>281</v>
      </c>
      <c r="P289" s="84" t="s">
        <v>1087</v>
      </c>
      <c r="Q289" s="18"/>
      <c r="R289" s="16" t="s">
        <v>1255</v>
      </c>
      <c r="S289" s="16" t="s">
        <v>137</v>
      </c>
      <c r="T289" s="16" t="s">
        <v>63</v>
      </c>
      <c r="U289" s="16"/>
      <c r="V289" s="16"/>
      <c r="W289" s="16">
        <f>ROUND(IF(D289=Table!$C$3,Y289*Table!$C$4/8,Y289*Table!$D$4/8),3)</f>
        <v>32.5</v>
      </c>
      <c r="X289" s="16">
        <v>32.5</v>
      </c>
      <c r="Y289" s="16">
        <v>2</v>
      </c>
      <c r="Z289" s="16">
        <v>1.5</v>
      </c>
      <c r="AA289" s="16" t="s">
        <v>21</v>
      </c>
      <c r="AB289" s="85">
        <v>44025</v>
      </c>
      <c r="AC289" s="85">
        <v>44018</v>
      </c>
      <c r="AD289" s="85">
        <v>44022</v>
      </c>
      <c r="AE289" s="85">
        <v>44025</v>
      </c>
      <c r="AF289" s="85">
        <v>44025</v>
      </c>
      <c r="AG289" s="85" t="s">
        <v>164</v>
      </c>
      <c r="AH289" s="86">
        <v>0.85699999999999998</v>
      </c>
      <c r="AI289" s="86">
        <v>0.85699999999999998</v>
      </c>
      <c r="AJ289" s="86" t="s">
        <v>326</v>
      </c>
      <c r="AK289" s="96" t="s">
        <v>144</v>
      </c>
      <c r="AL289" s="140" t="s">
        <v>1730</v>
      </c>
      <c r="AM289" s="15"/>
      <c r="AN289" s="15"/>
    </row>
    <row r="290" spans="2:40" x14ac:dyDescent="0.25">
      <c r="B290" s="225">
        <f t="shared" si="38"/>
        <v>231</v>
      </c>
      <c r="C290" s="16">
        <v>20200706</v>
      </c>
      <c r="D290" s="16" t="s">
        <v>2</v>
      </c>
      <c r="E290" s="95" t="s">
        <v>1613</v>
      </c>
      <c r="F290" s="84" t="s">
        <v>58</v>
      </c>
      <c r="G290" s="48"/>
      <c r="H290" s="16" t="s">
        <v>280</v>
      </c>
      <c r="I290" s="16" t="s">
        <v>1543</v>
      </c>
      <c r="J290" s="16" t="s">
        <v>1247</v>
      </c>
      <c r="K290" s="84"/>
      <c r="L290" s="84" t="s">
        <v>58</v>
      </c>
      <c r="M290" s="48"/>
      <c r="N290" s="16" t="s">
        <v>1624</v>
      </c>
      <c r="O290" s="84" t="s">
        <v>281</v>
      </c>
      <c r="P290" s="84" t="s">
        <v>1087</v>
      </c>
      <c r="Q290" s="18"/>
      <c r="R290" s="16" t="s">
        <v>1254</v>
      </c>
      <c r="S290" s="16" t="s">
        <v>136</v>
      </c>
      <c r="T290" s="16" t="s">
        <v>137</v>
      </c>
      <c r="U290" s="16"/>
      <c r="V290" s="16"/>
      <c r="W290" s="16">
        <f>ROUND(IF(D290=Table!$C$3,Y290*Table!$C$4/8,Y290*Table!$D$4/8),3)</f>
        <v>32.5</v>
      </c>
      <c r="X290" s="16">
        <v>32.5</v>
      </c>
      <c r="Y290" s="16">
        <v>2</v>
      </c>
      <c r="Z290" s="16">
        <v>1.5</v>
      </c>
      <c r="AA290" s="16" t="s">
        <v>21</v>
      </c>
      <c r="AB290" s="85">
        <v>44025</v>
      </c>
      <c r="AC290" s="85">
        <v>44018</v>
      </c>
      <c r="AD290" s="85">
        <v>44022</v>
      </c>
      <c r="AE290" s="85">
        <v>44025</v>
      </c>
      <c r="AF290" s="85">
        <v>44025</v>
      </c>
      <c r="AG290" s="85" t="s">
        <v>164</v>
      </c>
      <c r="AH290" s="86">
        <v>0.77800000000000002</v>
      </c>
      <c r="AI290" s="86">
        <v>0.77800000000000002</v>
      </c>
      <c r="AJ290" s="86" t="s">
        <v>326</v>
      </c>
      <c r="AK290" s="96" t="s">
        <v>144</v>
      </c>
      <c r="AL290" s="140" t="s">
        <v>959</v>
      </c>
      <c r="AM290" s="15"/>
      <c r="AN290" s="15"/>
    </row>
    <row r="291" spans="2:40" x14ac:dyDescent="0.25">
      <c r="B291" s="225">
        <f t="shared" si="38"/>
        <v>232</v>
      </c>
      <c r="C291" s="16">
        <v>20200706</v>
      </c>
      <c r="D291" s="16" t="s">
        <v>2</v>
      </c>
      <c r="E291" s="95" t="s">
        <v>1613</v>
      </c>
      <c r="F291" s="84" t="s">
        <v>58</v>
      </c>
      <c r="G291" s="48"/>
      <c r="H291" s="16" t="s">
        <v>1617</v>
      </c>
      <c r="I291" s="18" t="s">
        <v>1544</v>
      </c>
      <c r="J291" s="16" t="s">
        <v>255</v>
      </c>
      <c r="K291" s="84" t="s">
        <v>1632</v>
      </c>
      <c r="L291" s="84" t="s">
        <v>58</v>
      </c>
      <c r="M291" s="48"/>
      <c r="N291" s="16" t="s">
        <v>1624</v>
      </c>
      <c r="O291" s="84" t="s">
        <v>1604</v>
      </c>
      <c r="P291" s="84" t="s">
        <v>1087</v>
      </c>
      <c r="Q291" s="18"/>
      <c r="R291" s="16" t="s">
        <v>1257</v>
      </c>
      <c r="S291" s="16" t="s">
        <v>63</v>
      </c>
      <c r="T291" s="16" t="s">
        <v>925</v>
      </c>
      <c r="U291" s="16"/>
      <c r="V291" s="16"/>
      <c r="W291" s="16">
        <f>ROUND(IF(D291=Table!$C$3,Y291*Table!$C$4/8,Y291*Table!$D$4/8),3)</f>
        <v>195</v>
      </c>
      <c r="X291" s="16">
        <f t="shared" ref="X291:X297" si="42">W291</f>
        <v>195</v>
      </c>
      <c r="Y291" s="16">
        <v>12</v>
      </c>
      <c r="Z291" s="16">
        <v>16</v>
      </c>
      <c r="AA291" s="16" t="s">
        <v>21</v>
      </c>
      <c r="AB291" s="85">
        <v>44025</v>
      </c>
      <c r="AC291" s="85">
        <v>44018</v>
      </c>
      <c r="AD291" s="85">
        <v>44022</v>
      </c>
      <c r="AE291" s="85">
        <v>44021</v>
      </c>
      <c r="AF291" s="85">
        <v>44021</v>
      </c>
      <c r="AG291" s="85" t="s">
        <v>164</v>
      </c>
      <c r="AH291" s="86">
        <v>0.86399999999999999</v>
      </c>
      <c r="AI291" s="86">
        <v>0.88</v>
      </c>
      <c r="AJ291" s="86">
        <v>0.52</v>
      </c>
      <c r="AK291" s="96" t="s">
        <v>144</v>
      </c>
      <c r="AL291" s="140" t="s">
        <v>1694</v>
      </c>
      <c r="AM291" s="15"/>
      <c r="AN291" s="15"/>
    </row>
    <row r="292" spans="2:40" x14ac:dyDescent="0.25">
      <c r="B292" s="225">
        <f t="shared" si="38"/>
        <v>233</v>
      </c>
      <c r="C292" s="16">
        <v>20200706</v>
      </c>
      <c r="D292" s="16" t="s">
        <v>2</v>
      </c>
      <c r="E292" s="95" t="s">
        <v>1613</v>
      </c>
      <c r="F292" s="84" t="s">
        <v>58</v>
      </c>
      <c r="G292" s="48"/>
      <c r="H292" s="16" t="s">
        <v>824</v>
      </c>
      <c r="I292" s="18" t="s">
        <v>1545</v>
      </c>
      <c r="J292" s="16" t="s">
        <v>254</v>
      </c>
      <c r="K292" s="84"/>
      <c r="L292" s="84" t="s">
        <v>58</v>
      </c>
      <c r="M292" s="48"/>
      <c r="N292" s="16" t="s">
        <v>1624</v>
      </c>
      <c r="O292" s="84" t="s">
        <v>620</v>
      </c>
      <c r="P292" s="84" t="s">
        <v>1087</v>
      </c>
      <c r="Q292" s="18"/>
      <c r="R292" s="16" t="s">
        <v>1257</v>
      </c>
      <c r="S292" s="16" t="s">
        <v>63</v>
      </c>
      <c r="T292" s="16" t="s">
        <v>925</v>
      </c>
      <c r="U292" s="16"/>
      <c r="V292" s="16"/>
      <c r="W292" s="16">
        <f>ROUND(IF(D292=Table!$C$3,Y292*Table!$C$4/8,Y292*Table!$D$4/8),3)</f>
        <v>65</v>
      </c>
      <c r="X292" s="16">
        <f t="shared" si="42"/>
        <v>65</v>
      </c>
      <c r="Y292" s="16">
        <v>4</v>
      </c>
      <c r="Z292" s="16">
        <v>4</v>
      </c>
      <c r="AA292" s="16" t="s">
        <v>21</v>
      </c>
      <c r="AB292" s="85">
        <v>44025</v>
      </c>
      <c r="AC292" s="85">
        <v>44018</v>
      </c>
      <c r="AD292" s="85">
        <v>44022</v>
      </c>
      <c r="AE292" s="85">
        <v>44019</v>
      </c>
      <c r="AF292" s="85">
        <v>44019</v>
      </c>
      <c r="AG292" s="85" t="s">
        <v>164</v>
      </c>
      <c r="AH292" s="86">
        <v>0.89700000000000002</v>
      </c>
      <c r="AI292" s="86">
        <v>0.90400000000000003</v>
      </c>
      <c r="AJ292" s="86">
        <v>1</v>
      </c>
      <c r="AK292" s="96" t="s">
        <v>144</v>
      </c>
      <c r="AL292" s="93" t="s">
        <v>1651</v>
      </c>
      <c r="AM292" s="15"/>
      <c r="AN292" s="15"/>
    </row>
    <row r="293" spans="2:40" x14ac:dyDescent="0.25">
      <c r="B293" s="225">
        <f t="shared" si="38"/>
        <v>234</v>
      </c>
      <c r="C293" s="16">
        <v>20200706</v>
      </c>
      <c r="D293" s="16" t="s">
        <v>2</v>
      </c>
      <c r="E293" s="95" t="s">
        <v>1613</v>
      </c>
      <c r="F293" s="84" t="s">
        <v>58</v>
      </c>
      <c r="G293" s="48"/>
      <c r="H293" s="16" t="s">
        <v>1618</v>
      </c>
      <c r="I293" s="18" t="s">
        <v>1546</v>
      </c>
      <c r="J293" s="16" t="s">
        <v>255</v>
      </c>
      <c r="K293" s="84" t="s">
        <v>1633</v>
      </c>
      <c r="L293" s="84" t="s">
        <v>58</v>
      </c>
      <c r="M293" s="48"/>
      <c r="N293" s="16" t="s">
        <v>1624</v>
      </c>
      <c r="O293" s="84" t="s">
        <v>1605</v>
      </c>
      <c r="P293" s="84" t="s">
        <v>1087</v>
      </c>
      <c r="Q293" s="18"/>
      <c r="R293" s="16" t="s">
        <v>1257</v>
      </c>
      <c r="S293" s="16" t="s">
        <v>63</v>
      </c>
      <c r="T293" s="16" t="s">
        <v>925</v>
      </c>
      <c r="U293" s="16"/>
      <c r="V293" s="16"/>
      <c r="W293" s="16">
        <f>ROUND(IF(D293=Table!$C$3,Y293*Table!$C$4/8,Y293*Table!$D$4/8),3)</f>
        <v>104</v>
      </c>
      <c r="X293" s="16">
        <f t="shared" si="42"/>
        <v>104</v>
      </c>
      <c r="Y293" s="16">
        <v>6.4</v>
      </c>
      <c r="Z293" s="16">
        <v>8</v>
      </c>
      <c r="AA293" s="16" t="s">
        <v>21</v>
      </c>
      <c r="AB293" s="85">
        <v>44025</v>
      </c>
      <c r="AC293" s="85">
        <v>44018</v>
      </c>
      <c r="AD293" s="85">
        <v>44022</v>
      </c>
      <c r="AE293" s="85">
        <v>44020</v>
      </c>
      <c r="AF293" s="85">
        <v>44020</v>
      </c>
      <c r="AG293" s="85" t="s">
        <v>164</v>
      </c>
      <c r="AH293" s="86">
        <v>0.90200000000000002</v>
      </c>
      <c r="AI293" s="86">
        <v>0.90700000000000003</v>
      </c>
      <c r="AJ293" s="86">
        <v>0.97399999999999998</v>
      </c>
      <c r="AK293" s="96" t="s">
        <v>144</v>
      </c>
      <c r="AL293" s="140" t="s">
        <v>1673</v>
      </c>
      <c r="AM293" s="15"/>
      <c r="AN293" s="15"/>
    </row>
    <row r="294" spans="2:40" x14ac:dyDescent="0.25">
      <c r="B294" s="225">
        <f t="shared" si="38"/>
        <v>235</v>
      </c>
      <c r="C294" s="16">
        <v>20200706</v>
      </c>
      <c r="D294" s="16" t="s">
        <v>2</v>
      </c>
      <c r="E294" s="95" t="s">
        <v>1613</v>
      </c>
      <c r="F294" s="84" t="s">
        <v>58</v>
      </c>
      <c r="G294" s="48"/>
      <c r="H294" s="16" t="s">
        <v>825</v>
      </c>
      <c r="I294" s="18" t="s">
        <v>1547</v>
      </c>
      <c r="J294" s="16" t="s">
        <v>254</v>
      </c>
      <c r="K294" s="84" t="s">
        <v>1628</v>
      </c>
      <c r="L294" s="84" t="s">
        <v>58</v>
      </c>
      <c r="M294" s="48"/>
      <c r="N294" s="16" t="s">
        <v>1624</v>
      </c>
      <c r="O294" s="84" t="s">
        <v>620</v>
      </c>
      <c r="P294" s="84" t="s">
        <v>1087</v>
      </c>
      <c r="Q294" s="18"/>
      <c r="R294" s="16" t="s">
        <v>1257</v>
      </c>
      <c r="S294" s="16" t="s">
        <v>63</v>
      </c>
      <c r="T294" s="16" t="s">
        <v>925</v>
      </c>
      <c r="U294" s="16"/>
      <c r="V294" s="16"/>
      <c r="W294" s="16">
        <f>ROUND(IF(D294=Table!$C$3,Y294*Table!$C$4/8,Y294*Table!$D$4/8),3)</f>
        <v>26</v>
      </c>
      <c r="X294" s="16">
        <f t="shared" si="42"/>
        <v>26</v>
      </c>
      <c r="Y294" s="16">
        <v>1.6</v>
      </c>
      <c r="Z294" s="16">
        <v>4</v>
      </c>
      <c r="AA294" s="16" t="s">
        <v>21</v>
      </c>
      <c r="AB294" s="85">
        <v>44025</v>
      </c>
      <c r="AC294" s="85">
        <v>44018</v>
      </c>
      <c r="AD294" s="85">
        <v>44022</v>
      </c>
      <c r="AE294" s="85">
        <v>44019</v>
      </c>
      <c r="AF294" s="85">
        <v>44019</v>
      </c>
      <c r="AG294" s="85" t="s">
        <v>164</v>
      </c>
      <c r="AH294" s="86">
        <v>1</v>
      </c>
      <c r="AI294" s="86">
        <v>1</v>
      </c>
      <c r="AJ294" s="86">
        <v>0.88900000000000001</v>
      </c>
      <c r="AK294" s="96" t="s">
        <v>144</v>
      </c>
      <c r="AL294" s="14" t="s">
        <v>1640</v>
      </c>
      <c r="AM294" s="15"/>
      <c r="AN294" s="15"/>
    </row>
    <row r="295" spans="2:40" x14ac:dyDescent="0.25">
      <c r="B295" s="225">
        <f t="shared" si="38"/>
        <v>236</v>
      </c>
      <c r="C295" s="16">
        <v>20200706</v>
      </c>
      <c r="D295" s="16" t="s">
        <v>2</v>
      </c>
      <c r="E295" s="95" t="s">
        <v>1613</v>
      </c>
      <c r="F295" s="84" t="s">
        <v>58</v>
      </c>
      <c r="G295" s="48"/>
      <c r="H295" s="16" t="s">
        <v>465</v>
      </c>
      <c r="I295" s="79" t="s">
        <v>1548</v>
      </c>
      <c r="J295" s="16" t="s">
        <v>1247</v>
      </c>
      <c r="K295" s="84" t="s">
        <v>1634</v>
      </c>
      <c r="L295" s="84" t="s">
        <v>58</v>
      </c>
      <c r="M295" s="48"/>
      <c r="N295" s="16" t="s">
        <v>1624</v>
      </c>
      <c r="O295" s="84" t="s">
        <v>1606</v>
      </c>
      <c r="P295" s="84" t="s">
        <v>1087</v>
      </c>
      <c r="Q295" s="18"/>
      <c r="R295" s="16" t="s">
        <v>1257</v>
      </c>
      <c r="S295" s="16" t="s">
        <v>63</v>
      </c>
      <c r="T295" s="16" t="s">
        <v>925</v>
      </c>
      <c r="U295" s="16"/>
      <c r="V295" s="16"/>
      <c r="W295" s="16">
        <f>ROUND(IF(D295=Table!$C$3,Y295*Table!$C$4/8,Y295*Table!$D$4/8),3)</f>
        <v>214.5</v>
      </c>
      <c r="X295" s="16">
        <f t="shared" si="42"/>
        <v>214.5</v>
      </c>
      <c r="Y295" s="16">
        <v>13.2</v>
      </c>
      <c r="Z295" s="16">
        <v>4</v>
      </c>
      <c r="AA295" s="16" t="s">
        <v>21</v>
      </c>
      <c r="AB295" s="85">
        <v>44025</v>
      </c>
      <c r="AC295" s="85">
        <v>44018</v>
      </c>
      <c r="AD295" s="85">
        <v>44022</v>
      </c>
      <c r="AE295" s="85">
        <v>44023</v>
      </c>
      <c r="AF295" s="85">
        <v>44023</v>
      </c>
      <c r="AG295" s="85" t="s">
        <v>164</v>
      </c>
      <c r="AH295" s="86">
        <v>0.91</v>
      </c>
      <c r="AI295" s="86">
        <v>0.91300000000000003</v>
      </c>
      <c r="AJ295" s="86">
        <v>1</v>
      </c>
      <c r="AK295" s="96" t="s">
        <v>144</v>
      </c>
      <c r="AL295" s="243" t="s">
        <v>1726</v>
      </c>
      <c r="AM295" s="15"/>
      <c r="AN295" s="15"/>
    </row>
    <row r="296" spans="2:40" x14ac:dyDescent="0.25">
      <c r="B296" s="225">
        <f t="shared" si="38"/>
        <v>237</v>
      </c>
      <c r="C296" s="16">
        <v>20200706</v>
      </c>
      <c r="D296" s="16" t="s">
        <v>2</v>
      </c>
      <c r="E296" s="95" t="s">
        <v>1613</v>
      </c>
      <c r="F296" s="84" t="s">
        <v>58</v>
      </c>
      <c r="G296" s="48"/>
      <c r="H296" s="16" t="s">
        <v>826</v>
      </c>
      <c r="I296" s="18" t="s">
        <v>1549</v>
      </c>
      <c r="J296" s="16" t="s">
        <v>1247</v>
      </c>
      <c r="K296" s="84"/>
      <c r="L296" s="84" t="s">
        <v>58</v>
      </c>
      <c r="M296" s="48"/>
      <c r="N296" s="16" t="s">
        <v>1624</v>
      </c>
      <c r="O296" s="84" t="s">
        <v>1177</v>
      </c>
      <c r="P296" s="84" t="s">
        <v>1087</v>
      </c>
      <c r="Q296" s="18"/>
      <c r="R296" s="16" t="s">
        <v>1257</v>
      </c>
      <c r="S296" s="16" t="s">
        <v>63</v>
      </c>
      <c r="T296" s="16" t="s">
        <v>925</v>
      </c>
      <c r="U296" s="16"/>
      <c r="V296" s="16"/>
      <c r="W296" s="16">
        <f>ROUND(IF(D296=Table!$C$3,Y296*Table!$C$4/8,Y296*Table!$D$4/8),3)</f>
        <v>45.5</v>
      </c>
      <c r="X296" s="16">
        <f t="shared" si="42"/>
        <v>45.5</v>
      </c>
      <c r="Y296" s="16">
        <v>2.8</v>
      </c>
      <c r="Z296" s="16">
        <v>4</v>
      </c>
      <c r="AA296" s="16" t="s">
        <v>21</v>
      </c>
      <c r="AB296" s="85">
        <v>44025</v>
      </c>
      <c r="AC296" s="85">
        <v>44018</v>
      </c>
      <c r="AD296" s="85">
        <v>44022</v>
      </c>
      <c r="AE296" s="85">
        <v>44019</v>
      </c>
      <c r="AF296" s="85">
        <v>44019</v>
      </c>
      <c r="AG296" s="85" t="s">
        <v>164</v>
      </c>
      <c r="AH296" s="86">
        <v>0.86699999999999999</v>
      </c>
      <c r="AI296" s="86">
        <v>0.89500000000000002</v>
      </c>
      <c r="AJ296" s="86">
        <v>1</v>
      </c>
      <c r="AK296" s="96" t="s">
        <v>144</v>
      </c>
      <c r="AL296" s="14" t="s">
        <v>1623</v>
      </c>
      <c r="AM296" s="15"/>
      <c r="AN296" s="15"/>
    </row>
    <row r="297" spans="2:40" x14ac:dyDescent="0.25">
      <c r="B297" s="225">
        <f t="shared" si="38"/>
        <v>238</v>
      </c>
      <c r="C297" s="16">
        <v>20200706</v>
      </c>
      <c r="D297" s="16" t="s">
        <v>2</v>
      </c>
      <c r="E297" s="95" t="s">
        <v>1613</v>
      </c>
      <c r="F297" s="84" t="s">
        <v>58</v>
      </c>
      <c r="G297" s="48"/>
      <c r="H297" s="16" t="s">
        <v>827</v>
      </c>
      <c r="I297" s="79" t="s">
        <v>1550</v>
      </c>
      <c r="J297" s="16" t="s">
        <v>254</v>
      </c>
      <c r="K297" s="84"/>
      <c r="L297" s="84" t="s">
        <v>58</v>
      </c>
      <c r="M297" s="48"/>
      <c r="N297" s="16" t="s">
        <v>1624</v>
      </c>
      <c r="O297" s="84" t="s">
        <v>780</v>
      </c>
      <c r="P297" s="84" t="s">
        <v>1087</v>
      </c>
      <c r="Q297" s="18"/>
      <c r="R297" s="16" t="s">
        <v>1257</v>
      </c>
      <c r="S297" s="16" t="s">
        <v>63</v>
      </c>
      <c r="T297" s="16" t="s">
        <v>925</v>
      </c>
      <c r="U297" s="16"/>
      <c r="V297" s="16"/>
      <c r="W297" s="16">
        <f>ROUND(IF(D297=Table!$C$3,Y297*Table!$C$4/8,Y297*Table!$D$4/8),3)</f>
        <v>35.1</v>
      </c>
      <c r="X297" s="16">
        <f t="shared" si="42"/>
        <v>35.1</v>
      </c>
      <c r="Y297" s="16">
        <v>2.16</v>
      </c>
      <c r="Z297" s="16">
        <v>4</v>
      </c>
      <c r="AA297" s="16" t="s">
        <v>21</v>
      </c>
      <c r="AB297" s="85">
        <v>44025</v>
      </c>
      <c r="AC297" s="85">
        <v>44018</v>
      </c>
      <c r="AD297" s="85">
        <v>44022</v>
      </c>
      <c r="AE297" s="85">
        <v>44023</v>
      </c>
      <c r="AF297" s="85">
        <v>44023</v>
      </c>
      <c r="AG297" s="85" t="s">
        <v>164</v>
      </c>
      <c r="AH297" s="86">
        <v>0.91800000000000004</v>
      </c>
      <c r="AI297" s="86">
        <v>0.92</v>
      </c>
      <c r="AJ297" s="86" t="s">
        <v>326</v>
      </c>
      <c r="AK297" s="96" t="s">
        <v>144</v>
      </c>
      <c r="AL297" s="112" t="s">
        <v>1724</v>
      </c>
      <c r="AM297" s="15"/>
      <c r="AN297" s="15"/>
    </row>
    <row r="298" spans="2:40" x14ac:dyDescent="0.25">
      <c r="B298" s="225">
        <f t="shared" si="38"/>
        <v>239</v>
      </c>
      <c r="C298" s="16">
        <v>20200706</v>
      </c>
      <c r="D298" s="16" t="s">
        <v>2</v>
      </c>
      <c r="E298" s="95" t="s">
        <v>1613</v>
      </c>
      <c r="F298" s="84" t="s">
        <v>58</v>
      </c>
      <c r="G298" s="48"/>
      <c r="H298" s="16" t="s">
        <v>828</v>
      </c>
      <c r="I298" s="16" t="s">
        <v>1551</v>
      </c>
      <c r="J298" s="16" t="s">
        <v>1247</v>
      </c>
      <c r="K298" s="221" t="s">
        <v>1635</v>
      </c>
      <c r="L298" s="84" t="s">
        <v>58</v>
      </c>
      <c r="M298" s="48"/>
      <c r="N298" s="16" t="s">
        <v>1624</v>
      </c>
      <c r="O298" s="84" t="s">
        <v>621</v>
      </c>
      <c r="P298" s="84" t="s">
        <v>1087</v>
      </c>
      <c r="Q298" s="18"/>
      <c r="R298" s="16" t="s">
        <v>1254</v>
      </c>
      <c r="S298" s="16" t="s">
        <v>136</v>
      </c>
      <c r="T298" s="16" t="s">
        <v>137</v>
      </c>
      <c r="U298" s="16"/>
      <c r="V298" s="16"/>
      <c r="W298" s="16">
        <f>ROUND(IF(D298=Table!$C$3,Y298*Table!$C$4/8,Y298*Table!$D$4/8),3)</f>
        <v>39</v>
      </c>
      <c r="X298" s="16">
        <v>39</v>
      </c>
      <c r="Y298" s="16">
        <v>2.4</v>
      </c>
      <c r="Z298" s="16">
        <v>1.5</v>
      </c>
      <c r="AA298" s="16" t="s">
        <v>21</v>
      </c>
      <c r="AB298" s="85">
        <v>44025</v>
      </c>
      <c r="AC298" s="85">
        <v>44018</v>
      </c>
      <c r="AD298" s="85">
        <v>44022</v>
      </c>
      <c r="AE298" s="85">
        <v>44019</v>
      </c>
      <c r="AF298" s="85">
        <v>44019</v>
      </c>
      <c r="AG298" s="85" t="s">
        <v>164</v>
      </c>
      <c r="AH298" s="86">
        <v>0.88900000000000001</v>
      </c>
      <c r="AI298" s="86">
        <v>0.89500000000000002</v>
      </c>
      <c r="AJ298" s="86">
        <v>1</v>
      </c>
      <c r="AK298" s="96" t="s">
        <v>144</v>
      </c>
      <c r="AL298" s="93" t="s">
        <v>1734</v>
      </c>
      <c r="AM298" s="15"/>
      <c r="AN298" s="15"/>
    </row>
    <row r="299" spans="2:40" x14ac:dyDescent="0.25">
      <c r="B299" s="225">
        <f t="shared" si="38"/>
        <v>240</v>
      </c>
      <c r="C299" s="16">
        <v>20200706</v>
      </c>
      <c r="D299" s="16" t="s">
        <v>2</v>
      </c>
      <c r="E299" s="95" t="s">
        <v>1613</v>
      </c>
      <c r="F299" s="84" t="s">
        <v>58</v>
      </c>
      <c r="G299" s="48"/>
      <c r="H299" s="16" t="s">
        <v>1619</v>
      </c>
      <c r="I299" s="16" t="s">
        <v>1552</v>
      </c>
      <c r="J299" s="16" t="s">
        <v>254</v>
      </c>
      <c r="K299" s="84" t="s">
        <v>1628</v>
      </c>
      <c r="L299" s="84" t="s">
        <v>58</v>
      </c>
      <c r="M299" s="48"/>
      <c r="N299" s="16" t="s">
        <v>1624</v>
      </c>
      <c r="O299" s="84" t="s">
        <v>618</v>
      </c>
      <c r="P299" s="84" t="s">
        <v>1087</v>
      </c>
      <c r="Q299" s="18"/>
      <c r="R299" s="16" t="s">
        <v>1254</v>
      </c>
      <c r="S299" s="16" t="s">
        <v>136</v>
      </c>
      <c r="T299" s="16" t="s">
        <v>137</v>
      </c>
      <c r="U299" s="16"/>
      <c r="V299" s="16"/>
      <c r="W299" s="16">
        <f>ROUND(IF(D299=Table!$C$3,Y299*Table!$C$4/8,Y299*Table!$D$4/8),3)</f>
        <v>26</v>
      </c>
      <c r="X299" s="16">
        <v>26</v>
      </c>
      <c r="Y299" s="16">
        <v>1.6</v>
      </c>
      <c r="Z299" s="16">
        <v>1</v>
      </c>
      <c r="AA299" s="16" t="s">
        <v>21</v>
      </c>
      <c r="AB299" s="85">
        <v>44025</v>
      </c>
      <c r="AC299" s="85">
        <v>44018</v>
      </c>
      <c r="AD299" s="85">
        <v>44022</v>
      </c>
      <c r="AE299" s="85">
        <v>44019</v>
      </c>
      <c r="AF299" s="85">
        <v>44019</v>
      </c>
      <c r="AG299" s="85" t="s">
        <v>164</v>
      </c>
      <c r="AH299" s="86">
        <v>0.82799999999999996</v>
      </c>
      <c r="AI299" s="86">
        <v>0.83299999999999996</v>
      </c>
      <c r="AJ299" s="86">
        <v>1</v>
      </c>
      <c r="AK299" s="96" t="s">
        <v>144</v>
      </c>
      <c r="AL299" s="93" t="s">
        <v>1653</v>
      </c>
      <c r="AM299" s="15"/>
      <c r="AN299" s="15"/>
    </row>
    <row r="300" spans="2:40" x14ac:dyDescent="0.25">
      <c r="B300" s="225">
        <f t="shared" si="38"/>
        <v>241</v>
      </c>
      <c r="C300" s="16">
        <v>20200706</v>
      </c>
      <c r="D300" s="16" t="s">
        <v>2</v>
      </c>
      <c r="E300" s="95" t="s">
        <v>1613</v>
      </c>
      <c r="F300" s="84" t="s">
        <v>58</v>
      </c>
      <c r="G300" s="48"/>
      <c r="H300" s="16" t="s">
        <v>829</v>
      </c>
      <c r="I300" s="16" t="s">
        <v>1553</v>
      </c>
      <c r="J300" s="16" t="s">
        <v>1247</v>
      </c>
      <c r="K300" s="84"/>
      <c r="L300" s="84" t="s">
        <v>58</v>
      </c>
      <c r="M300" s="48"/>
      <c r="N300" s="16" t="s">
        <v>1624</v>
      </c>
      <c r="O300" s="84" t="s">
        <v>318</v>
      </c>
      <c r="P300" s="84" t="s">
        <v>1087</v>
      </c>
      <c r="Q300" s="18"/>
      <c r="R300" s="16" t="s">
        <v>1254</v>
      </c>
      <c r="S300" s="16" t="s">
        <v>136</v>
      </c>
      <c r="T300" s="16" t="s">
        <v>137</v>
      </c>
      <c r="U300" s="16"/>
      <c r="V300" s="16"/>
      <c r="W300" s="16">
        <f>ROUND(IF(D300=Table!$C$3,Y300*Table!$C$4/8,Y300*Table!$D$4/8),3)</f>
        <v>39</v>
      </c>
      <c r="X300" s="16">
        <v>39</v>
      </c>
      <c r="Y300" s="16">
        <v>2.4</v>
      </c>
      <c r="Z300" s="16">
        <v>2</v>
      </c>
      <c r="AA300" s="16" t="s">
        <v>21</v>
      </c>
      <c r="AB300" s="85">
        <v>44025</v>
      </c>
      <c r="AC300" s="85">
        <v>44018</v>
      </c>
      <c r="AD300" s="85">
        <v>44022</v>
      </c>
      <c r="AE300" s="85">
        <v>44019</v>
      </c>
      <c r="AF300" s="85">
        <v>44019</v>
      </c>
      <c r="AG300" s="85" t="s">
        <v>164</v>
      </c>
      <c r="AH300" s="86">
        <v>0.96399999999999997</v>
      </c>
      <c r="AI300" s="86">
        <v>0.96399999999999997</v>
      </c>
      <c r="AJ300" s="86" t="s">
        <v>326</v>
      </c>
      <c r="AK300" s="96" t="s">
        <v>144</v>
      </c>
      <c r="AL300" s="93" t="s">
        <v>1668</v>
      </c>
      <c r="AM300" s="15"/>
      <c r="AN300" s="15"/>
    </row>
    <row r="301" spans="2:40" x14ac:dyDescent="0.25">
      <c r="B301" s="225">
        <f t="shared" si="38"/>
        <v>242</v>
      </c>
      <c r="C301" s="16">
        <v>20200706</v>
      </c>
      <c r="D301" s="16" t="s">
        <v>2</v>
      </c>
      <c r="E301" s="95" t="s">
        <v>1613</v>
      </c>
      <c r="F301" s="84" t="s">
        <v>58</v>
      </c>
      <c r="G301" s="48"/>
      <c r="H301" s="16" t="s">
        <v>830</v>
      </c>
      <c r="I301" s="16" t="s">
        <v>1554</v>
      </c>
      <c r="J301" s="16" t="s">
        <v>1247</v>
      </c>
      <c r="K301" s="84"/>
      <c r="L301" s="84" t="s">
        <v>58</v>
      </c>
      <c r="M301" s="48"/>
      <c r="N301" s="16" t="s">
        <v>1624</v>
      </c>
      <c r="O301" s="84" t="s">
        <v>780</v>
      </c>
      <c r="P301" s="84" t="s">
        <v>1087</v>
      </c>
      <c r="Q301" s="18"/>
      <c r="R301" s="16" t="s">
        <v>1254</v>
      </c>
      <c r="S301" s="16" t="s">
        <v>136</v>
      </c>
      <c r="T301" s="16" t="s">
        <v>137</v>
      </c>
      <c r="U301" s="16"/>
      <c r="V301" s="16"/>
      <c r="W301" s="16">
        <f>ROUND(IF(D301=Table!$C$3,Y301*Table!$C$4/8,Y301*Table!$D$4/8),3)</f>
        <v>45.5</v>
      </c>
      <c r="X301" s="16">
        <v>45.5</v>
      </c>
      <c r="Y301" s="16">
        <v>2.8</v>
      </c>
      <c r="Z301" s="16">
        <v>2</v>
      </c>
      <c r="AA301" s="16" t="s">
        <v>21</v>
      </c>
      <c r="AB301" s="85">
        <v>44025</v>
      </c>
      <c r="AC301" s="85">
        <v>44018</v>
      </c>
      <c r="AD301" s="85">
        <v>44022</v>
      </c>
      <c r="AE301" s="85">
        <v>44020</v>
      </c>
      <c r="AF301" s="85">
        <v>44020</v>
      </c>
      <c r="AG301" s="85" t="s">
        <v>164</v>
      </c>
      <c r="AH301" s="86">
        <v>0.96399999999999997</v>
      </c>
      <c r="AI301" s="86">
        <v>0.96599999999999997</v>
      </c>
      <c r="AJ301" s="86">
        <v>1</v>
      </c>
      <c r="AK301" s="96" t="s">
        <v>144</v>
      </c>
      <c r="AL301" s="93" t="s">
        <v>959</v>
      </c>
      <c r="AM301" s="15"/>
      <c r="AN301" s="15"/>
    </row>
    <row r="302" spans="2:40" x14ac:dyDescent="0.25">
      <c r="B302" s="225">
        <f t="shared" si="38"/>
        <v>243</v>
      </c>
      <c r="C302" s="16">
        <v>20200706</v>
      </c>
      <c r="D302" s="16" t="s">
        <v>2</v>
      </c>
      <c r="E302" s="95" t="s">
        <v>1613</v>
      </c>
      <c r="F302" s="84" t="s">
        <v>58</v>
      </c>
      <c r="G302" s="48"/>
      <c r="H302" s="16" t="s">
        <v>831</v>
      </c>
      <c r="I302" s="16" t="s">
        <v>1555</v>
      </c>
      <c r="J302" s="16" t="s">
        <v>254</v>
      </c>
      <c r="K302" s="84"/>
      <c r="L302" s="84" t="s">
        <v>58</v>
      </c>
      <c r="M302" s="48"/>
      <c r="N302" s="16" t="s">
        <v>1624</v>
      </c>
      <c r="O302" s="84" t="s">
        <v>620</v>
      </c>
      <c r="P302" s="84" t="s">
        <v>1087</v>
      </c>
      <c r="Q302" s="18"/>
      <c r="R302" s="16" t="s">
        <v>1254</v>
      </c>
      <c r="S302" s="16" t="s">
        <v>136</v>
      </c>
      <c r="T302" s="16" t="s">
        <v>137</v>
      </c>
      <c r="U302" s="16"/>
      <c r="V302" s="16"/>
      <c r="W302" s="16">
        <f>ROUND(IF(D302=Table!$C$3,Y302*Table!$C$4/8,Y302*Table!$D$4/8),3)</f>
        <v>39</v>
      </c>
      <c r="X302" s="16">
        <v>39</v>
      </c>
      <c r="Y302" s="16">
        <v>2.4</v>
      </c>
      <c r="Z302" s="16">
        <v>2</v>
      </c>
      <c r="AA302" s="16" t="s">
        <v>21</v>
      </c>
      <c r="AB302" s="85">
        <v>44025</v>
      </c>
      <c r="AC302" s="85">
        <v>44018</v>
      </c>
      <c r="AD302" s="85">
        <v>44022</v>
      </c>
      <c r="AE302" s="85">
        <v>44020</v>
      </c>
      <c r="AF302" s="85">
        <v>44020</v>
      </c>
      <c r="AG302" s="85" t="s">
        <v>164</v>
      </c>
      <c r="AH302" s="86">
        <v>0.91700000000000004</v>
      </c>
      <c r="AI302" s="86">
        <v>0.92300000000000004</v>
      </c>
      <c r="AJ302" s="86">
        <v>1</v>
      </c>
      <c r="AK302" s="96" t="s">
        <v>144</v>
      </c>
      <c r="AL302" s="140" t="s">
        <v>1672</v>
      </c>
      <c r="AM302" s="15"/>
      <c r="AN302" s="15"/>
    </row>
    <row r="303" spans="2:40" x14ac:dyDescent="0.25">
      <c r="B303" s="225">
        <f t="shared" si="38"/>
        <v>244</v>
      </c>
      <c r="C303" s="16">
        <v>20200706</v>
      </c>
      <c r="D303" s="16" t="s">
        <v>2</v>
      </c>
      <c r="E303" s="95" t="s">
        <v>1613</v>
      </c>
      <c r="F303" s="84" t="s">
        <v>58</v>
      </c>
      <c r="G303" s="48"/>
      <c r="H303" s="16" t="s">
        <v>466</v>
      </c>
      <c r="I303" s="16" t="s">
        <v>1556</v>
      </c>
      <c r="J303" s="16" t="s">
        <v>1247</v>
      </c>
      <c r="K303" s="84"/>
      <c r="L303" s="84" t="s">
        <v>58</v>
      </c>
      <c r="M303" s="48"/>
      <c r="N303" s="16" t="s">
        <v>1624</v>
      </c>
      <c r="O303" s="84" t="s">
        <v>1244</v>
      </c>
      <c r="P303" s="84" t="s">
        <v>1087</v>
      </c>
      <c r="Q303" s="18"/>
      <c r="R303" s="16" t="s">
        <v>1254</v>
      </c>
      <c r="S303" s="16" t="s">
        <v>136</v>
      </c>
      <c r="T303" s="16" t="s">
        <v>137</v>
      </c>
      <c r="U303" s="16"/>
      <c r="V303" s="16"/>
      <c r="W303" s="16">
        <f>ROUND(IF(D303=Table!$C$3,Y303*Table!$C$4/8,Y303*Table!$D$4/8),3)</f>
        <v>35.1</v>
      </c>
      <c r="X303" s="16">
        <v>35.1</v>
      </c>
      <c r="Y303" s="16">
        <v>2.16</v>
      </c>
      <c r="Z303" s="16">
        <v>1.5</v>
      </c>
      <c r="AA303" s="16" t="s">
        <v>21</v>
      </c>
      <c r="AB303" s="85">
        <v>44025</v>
      </c>
      <c r="AC303" s="85">
        <v>44018</v>
      </c>
      <c r="AD303" s="85">
        <v>44022</v>
      </c>
      <c r="AE303" s="85">
        <v>44021</v>
      </c>
      <c r="AF303" s="85">
        <v>44021</v>
      </c>
      <c r="AG303" s="85" t="s">
        <v>164</v>
      </c>
      <c r="AH303" s="86">
        <v>0.90200000000000002</v>
      </c>
      <c r="AI303" s="86">
        <v>0.90200000000000002</v>
      </c>
      <c r="AJ303" s="86">
        <v>0.66700000000000004</v>
      </c>
      <c r="AK303" s="96" t="s">
        <v>144</v>
      </c>
      <c r="AL303" s="140" t="s">
        <v>1686</v>
      </c>
      <c r="AM303" s="15"/>
      <c r="AN303" s="15"/>
    </row>
    <row r="304" spans="2:40" x14ac:dyDescent="0.25">
      <c r="B304" s="225">
        <f t="shared" si="38"/>
        <v>245</v>
      </c>
      <c r="C304" s="16">
        <v>20200706</v>
      </c>
      <c r="D304" s="16" t="s">
        <v>2</v>
      </c>
      <c r="E304" s="95" t="s">
        <v>1613</v>
      </c>
      <c r="F304" s="84" t="s">
        <v>58</v>
      </c>
      <c r="G304" s="48"/>
      <c r="H304" s="16" t="s">
        <v>832</v>
      </c>
      <c r="I304" s="16" t="s">
        <v>1557</v>
      </c>
      <c r="J304" s="16" t="s">
        <v>254</v>
      </c>
      <c r="K304" s="84" t="s">
        <v>1628</v>
      </c>
      <c r="L304" s="84" t="s">
        <v>58</v>
      </c>
      <c r="M304" s="48"/>
      <c r="N304" s="16" t="s">
        <v>1624</v>
      </c>
      <c r="O304" s="84" t="s">
        <v>778</v>
      </c>
      <c r="P304" s="84" t="s">
        <v>1087</v>
      </c>
      <c r="Q304" s="18"/>
      <c r="R304" s="16" t="s">
        <v>1254</v>
      </c>
      <c r="S304" s="16" t="s">
        <v>136</v>
      </c>
      <c r="T304" s="16" t="s">
        <v>137</v>
      </c>
      <c r="U304" s="16"/>
      <c r="V304" s="16"/>
      <c r="W304" s="16">
        <f>ROUND(IF(D304=Table!$C$3,Y304*Table!$C$4/8,Y304*Table!$D$4/8),3)</f>
        <v>26</v>
      </c>
      <c r="X304" s="16">
        <v>26</v>
      </c>
      <c r="Y304" s="16">
        <v>1.6</v>
      </c>
      <c r="Z304" s="16">
        <v>1</v>
      </c>
      <c r="AA304" s="16" t="s">
        <v>21</v>
      </c>
      <c r="AB304" s="85">
        <v>44025</v>
      </c>
      <c r="AC304" s="85">
        <v>44018</v>
      </c>
      <c r="AD304" s="85">
        <v>44022</v>
      </c>
      <c r="AE304" s="85">
        <v>44021</v>
      </c>
      <c r="AF304" s="85">
        <v>44021</v>
      </c>
      <c r="AG304" s="85" t="s">
        <v>164</v>
      </c>
      <c r="AH304" s="86">
        <v>0.8</v>
      </c>
      <c r="AI304" s="86">
        <v>0.8</v>
      </c>
      <c r="AJ304" s="86" t="s">
        <v>326</v>
      </c>
      <c r="AK304" s="96" t="s">
        <v>144</v>
      </c>
      <c r="AL304" s="93" t="s">
        <v>959</v>
      </c>
      <c r="AM304" s="15"/>
      <c r="AN304" s="15"/>
    </row>
    <row r="305" spans="2:40" x14ac:dyDescent="0.25">
      <c r="B305" s="225">
        <f t="shared" si="38"/>
        <v>246</v>
      </c>
      <c r="C305" s="16">
        <v>20200706</v>
      </c>
      <c r="D305" s="16" t="s">
        <v>2</v>
      </c>
      <c r="E305" s="95" t="s">
        <v>1613</v>
      </c>
      <c r="F305" s="84" t="s">
        <v>58</v>
      </c>
      <c r="G305" s="48"/>
      <c r="H305" s="16" t="s">
        <v>833</v>
      </c>
      <c r="I305" s="16" t="s">
        <v>1558</v>
      </c>
      <c r="J305" s="16" t="s">
        <v>254</v>
      </c>
      <c r="K305" s="84" t="s">
        <v>1628</v>
      </c>
      <c r="L305" s="84" t="s">
        <v>58</v>
      </c>
      <c r="M305" s="48"/>
      <c r="N305" s="16" t="s">
        <v>1624</v>
      </c>
      <c r="O305" s="84" t="s">
        <v>318</v>
      </c>
      <c r="P305" s="84" t="s">
        <v>1087</v>
      </c>
      <c r="Q305" s="18"/>
      <c r="R305" s="16" t="s">
        <v>1254</v>
      </c>
      <c r="S305" s="16" t="s">
        <v>136</v>
      </c>
      <c r="T305" s="16" t="s">
        <v>137</v>
      </c>
      <c r="U305" s="16"/>
      <c r="V305" s="16"/>
      <c r="W305" s="16">
        <f>ROUND(IF(D305=Table!$C$3,Y305*Table!$C$4/8,Y305*Table!$D$4/8),3)</f>
        <v>26</v>
      </c>
      <c r="X305" s="16">
        <v>26</v>
      </c>
      <c r="Y305" s="16">
        <v>1.6</v>
      </c>
      <c r="Z305" s="16">
        <v>1</v>
      </c>
      <c r="AA305" s="16" t="s">
        <v>21</v>
      </c>
      <c r="AB305" s="85">
        <v>44025</v>
      </c>
      <c r="AC305" s="85">
        <v>44018</v>
      </c>
      <c r="AD305" s="85">
        <v>44022</v>
      </c>
      <c r="AE305" s="85">
        <v>44021</v>
      </c>
      <c r="AF305" s="85">
        <v>44021</v>
      </c>
      <c r="AG305" s="85" t="s">
        <v>164</v>
      </c>
      <c r="AH305" s="86">
        <v>0.83299999999999996</v>
      </c>
      <c r="AI305" s="86">
        <v>0.83299999999999996</v>
      </c>
      <c r="AJ305" s="86" t="s">
        <v>326</v>
      </c>
      <c r="AK305" s="96" t="s">
        <v>144</v>
      </c>
      <c r="AL305" s="93" t="s">
        <v>959</v>
      </c>
      <c r="AM305" s="15"/>
      <c r="AN305" s="15"/>
    </row>
    <row r="306" spans="2:40" x14ac:dyDescent="0.25">
      <c r="B306" s="225">
        <f t="shared" si="38"/>
        <v>247</v>
      </c>
      <c r="C306" s="16">
        <v>20200706</v>
      </c>
      <c r="D306" s="16" t="s">
        <v>2</v>
      </c>
      <c r="E306" s="95" t="s">
        <v>1613</v>
      </c>
      <c r="F306" s="84" t="s">
        <v>58</v>
      </c>
      <c r="G306" s="48"/>
      <c r="H306" s="16" t="s">
        <v>834</v>
      </c>
      <c r="I306" s="16" t="s">
        <v>1559</v>
      </c>
      <c r="J306" s="16" t="s">
        <v>254</v>
      </c>
      <c r="K306" s="84"/>
      <c r="L306" s="84" t="s">
        <v>58</v>
      </c>
      <c r="M306" s="48"/>
      <c r="N306" s="16" t="s">
        <v>1624</v>
      </c>
      <c r="O306" s="84" t="s">
        <v>1596</v>
      </c>
      <c r="P306" s="84" t="s">
        <v>1087</v>
      </c>
      <c r="Q306" s="18"/>
      <c r="R306" s="16" t="s">
        <v>1254</v>
      </c>
      <c r="S306" s="16" t="s">
        <v>136</v>
      </c>
      <c r="T306" s="16" t="s">
        <v>137</v>
      </c>
      <c r="U306" s="16"/>
      <c r="V306" s="16"/>
      <c r="W306" s="16">
        <f>ROUND(IF(D306=Table!$C$3,Y306*Table!$C$4/8,Y306*Table!$D$4/8),3)</f>
        <v>35.1</v>
      </c>
      <c r="X306" s="16">
        <v>35.1</v>
      </c>
      <c r="Y306" s="16">
        <v>2.16</v>
      </c>
      <c r="Z306" s="16">
        <v>1.5</v>
      </c>
      <c r="AA306" s="16" t="s">
        <v>21</v>
      </c>
      <c r="AB306" s="85">
        <v>44025</v>
      </c>
      <c r="AC306" s="85">
        <v>44018</v>
      </c>
      <c r="AD306" s="85">
        <v>44022</v>
      </c>
      <c r="AE306" s="85">
        <v>44021</v>
      </c>
      <c r="AF306" s="85">
        <v>44021</v>
      </c>
      <c r="AG306" s="85" t="s">
        <v>164</v>
      </c>
      <c r="AH306" s="86">
        <v>0.82699999999999996</v>
      </c>
      <c r="AI306" s="86">
        <v>0.82699999999999996</v>
      </c>
      <c r="AJ306" s="86" t="s">
        <v>326</v>
      </c>
      <c r="AK306" s="96" t="s">
        <v>144</v>
      </c>
      <c r="AL306" s="140" t="s">
        <v>1689</v>
      </c>
      <c r="AM306" s="15"/>
      <c r="AN306" s="15"/>
    </row>
    <row r="307" spans="2:40" x14ac:dyDescent="0.25">
      <c r="B307" s="225">
        <f t="shared" si="38"/>
        <v>248</v>
      </c>
      <c r="C307" s="16">
        <v>20200706</v>
      </c>
      <c r="D307" s="16" t="s">
        <v>2</v>
      </c>
      <c r="E307" s="95" t="s">
        <v>1613</v>
      </c>
      <c r="F307" s="84" t="s">
        <v>58</v>
      </c>
      <c r="G307" s="48"/>
      <c r="H307" s="16" t="s">
        <v>835</v>
      </c>
      <c r="I307" s="16" t="s">
        <v>1560</v>
      </c>
      <c r="J307" s="16" t="s">
        <v>254</v>
      </c>
      <c r="K307" s="84"/>
      <c r="L307" s="84" t="s">
        <v>58</v>
      </c>
      <c r="M307" s="48"/>
      <c r="N307" s="16" t="s">
        <v>1624</v>
      </c>
      <c r="O307" s="84" t="s">
        <v>1591</v>
      </c>
      <c r="P307" s="84" t="s">
        <v>1087</v>
      </c>
      <c r="Q307" s="18"/>
      <c r="R307" s="16" t="s">
        <v>1254</v>
      </c>
      <c r="S307" s="16" t="s">
        <v>136</v>
      </c>
      <c r="T307" s="16" t="s">
        <v>137</v>
      </c>
      <c r="U307" s="16"/>
      <c r="V307" s="16"/>
      <c r="W307" s="16">
        <f>ROUND(IF(D307=Table!$C$3,Y307*Table!$C$4/8,Y307*Table!$D$4/8),3)</f>
        <v>32.5</v>
      </c>
      <c r="X307" s="16">
        <v>32.5</v>
      </c>
      <c r="Y307" s="16">
        <v>2</v>
      </c>
      <c r="Z307" s="16">
        <v>1.5</v>
      </c>
      <c r="AA307" s="16" t="s">
        <v>21</v>
      </c>
      <c r="AB307" s="85">
        <v>44025</v>
      </c>
      <c r="AC307" s="85">
        <v>44018</v>
      </c>
      <c r="AD307" s="85">
        <v>44022</v>
      </c>
      <c r="AE307" s="85">
        <v>44021</v>
      </c>
      <c r="AF307" s="85">
        <v>44021</v>
      </c>
      <c r="AG307" s="85" t="s">
        <v>164</v>
      </c>
      <c r="AH307" s="86">
        <v>0.94699999999999995</v>
      </c>
      <c r="AI307" s="86">
        <v>0.95</v>
      </c>
      <c r="AJ307" s="86" t="s">
        <v>326</v>
      </c>
      <c r="AK307" s="96" t="s">
        <v>144</v>
      </c>
      <c r="AL307" s="140" t="s">
        <v>1690</v>
      </c>
      <c r="AM307" s="15"/>
      <c r="AN307" s="15"/>
    </row>
    <row r="308" spans="2:40" x14ac:dyDescent="0.25">
      <c r="B308" s="225">
        <f t="shared" si="38"/>
        <v>249</v>
      </c>
      <c r="C308" s="16">
        <v>20200706</v>
      </c>
      <c r="D308" s="16" t="s">
        <v>2</v>
      </c>
      <c r="E308" s="95" t="s">
        <v>1613</v>
      </c>
      <c r="F308" s="84" t="s">
        <v>58</v>
      </c>
      <c r="G308" s="48"/>
      <c r="H308" s="16" t="s">
        <v>836</v>
      </c>
      <c r="I308" s="16" t="s">
        <v>1561</v>
      </c>
      <c r="J308" s="16" t="s">
        <v>254</v>
      </c>
      <c r="K308" s="84"/>
      <c r="L308" s="84" t="s">
        <v>58</v>
      </c>
      <c r="M308" s="48"/>
      <c r="N308" s="16" t="s">
        <v>1624</v>
      </c>
      <c r="O308" s="84" t="s">
        <v>620</v>
      </c>
      <c r="P308" s="84" t="s">
        <v>1087</v>
      </c>
      <c r="Q308" s="18"/>
      <c r="R308" s="16" t="s">
        <v>1254</v>
      </c>
      <c r="S308" s="16" t="s">
        <v>136</v>
      </c>
      <c r="T308" s="16" t="s">
        <v>137</v>
      </c>
      <c r="U308" s="16"/>
      <c r="V308" s="16"/>
      <c r="W308" s="16">
        <f>ROUND(IF(D308=Table!$C$3,Y308*Table!$C$4/8,Y308*Table!$D$4/8),3)</f>
        <v>32.5</v>
      </c>
      <c r="X308" s="16">
        <v>32.5</v>
      </c>
      <c r="Y308" s="16">
        <v>2</v>
      </c>
      <c r="Z308" s="16">
        <v>1.5</v>
      </c>
      <c r="AA308" s="16" t="s">
        <v>21</v>
      </c>
      <c r="AB308" s="85">
        <v>44025</v>
      </c>
      <c r="AC308" s="85">
        <v>44018</v>
      </c>
      <c r="AD308" s="85">
        <v>44022</v>
      </c>
      <c r="AE308" s="85">
        <v>44021</v>
      </c>
      <c r="AF308" s="85">
        <v>44021</v>
      </c>
      <c r="AG308" s="85" t="s">
        <v>164</v>
      </c>
      <c r="AH308" s="86">
        <v>0.91700000000000004</v>
      </c>
      <c r="AI308" s="86">
        <v>0.91700000000000004</v>
      </c>
      <c r="AJ308" s="86" t="s">
        <v>326</v>
      </c>
      <c r="AK308" s="96" t="s">
        <v>144</v>
      </c>
      <c r="AL308" s="93" t="s">
        <v>959</v>
      </c>
      <c r="AM308" s="15"/>
      <c r="AN308" s="15"/>
    </row>
    <row r="309" spans="2:40" x14ac:dyDescent="0.25">
      <c r="B309" s="225">
        <f t="shared" si="38"/>
        <v>250</v>
      </c>
      <c r="C309" s="16">
        <v>20200706</v>
      </c>
      <c r="D309" s="16" t="s">
        <v>2</v>
      </c>
      <c r="E309" s="95" t="s">
        <v>1613</v>
      </c>
      <c r="F309" s="84" t="s">
        <v>58</v>
      </c>
      <c r="G309" s="48"/>
      <c r="H309" s="16" t="s">
        <v>1620</v>
      </c>
      <c r="I309" s="16" t="s">
        <v>1562</v>
      </c>
      <c r="J309" s="16" t="s">
        <v>254</v>
      </c>
      <c r="K309" s="84"/>
      <c r="L309" s="84" t="s">
        <v>58</v>
      </c>
      <c r="M309" s="48"/>
      <c r="N309" s="16" t="s">
        <v>1624</v>
      </c>
      <c r="O309" s="84" t="s">
        <v>1244</v>
      </c>
      <c r="P309" s="84" t="s">
        <v>1087</v>
      </c>
      <c r="Q309" s="18"/>
      <c r="R309" s="16" t="s">
        <v>1255</v>
      </c>
      <c r="S309" s="16" t="s">
        <v>137</v>
      </c>
      <c r="T309" s="16" t="s">
        <v>63</v>
      </c>
      <c r="U309" s="16"/>
      <c r="V309" s="16"/>
      <c r="W309" s="16">
        <f>ROUND(IF(D309=Table!$C$3,Y309*Table!$C$4/8,Y309*Table!$D$4/8),3)</f>
        <v>35.1</v>
      </c>
      <c r="X309" s="16">
        <v>35.1</v>
      </c>
      <c r="Y309" s="16">
        <v>2.16</v>
      </c>
      <c r="Z309" s="16">
        <v>1.5</v>
      </c>
      <c r="AA309" s="16" t="s">
        <v>21</v>
      </c>
      <c r="AB309" s="85">
        <v>44025</v>
      </c>
      <c r="AC309" s="85">
        <v>44018</v>
      </c>
      <c r="AD309" s="85">
        <v>44022</v>
      </c>
      <c r="AE309" s="85">
        <v>44019</v>
      </c>
      <c r="AF309" s="85">
        <v>44019</v>
      </c>
      <c r="AG309" s="85" t="s">
        <v>164</v>
      </c>
      <c r="AH309" s="86">
        <v>1</v>
      </c>
      <c r="AI309" s="86">
        <v>1</v>
      </c>
      <c r="AJ309" s="86">
        <v>1</v>
      </c>
      <c r="AK309" s="96" t="s">
        <v>144</v>
      </c>
      <c r="AL309" s="93" t="s">
        <v>58</v>
      </c>
      <c r="AM309" s="198" t="s">
        <v>58</v>
      </c>
      <c r="AN309" s="232" t="s">
        <v>58</v>
      </c>
    </row>
    <row r="310" spans="2:40" x14ac:dyDescent="0.25">
      <c r="B310" s="225">
        <f t="shared" si="38"/>
        <v>251</v>
      </c>
      <c r="C310" s="16">
        <v>20200706</v>
      </c>
      <c r="D310" s="16" t="s">
        <v>2</v>
      </c>
      <c r="E310" s="95" t="s">
        <v>1613</v>
      </c>
      <c r="F310" s="84" t="s">
        <v>58</v>
      </c>
      <c r="G310" s="48"/>
      <c r="H310" s="16" t="s">
        <v>837</v>
      </c>
      <c r="I310" s="16" t="s">
        <v>1563</v>
      </c>
      <c r="J310" s="16" t="s">
        <v>254</v>
      </c>
      <c r="K310" s="84"/>
      <c r="L310" s="84" t="s">
        <v>58</v>
      </c>
      <c r="M310" s="48"/>
      <c r="N310" s="16" t="s">
        <v>1624</v>
      </c>
      <c r="O310" s="84" t="s">
        <v>1596</v>
      </c>
      <c r="P310" s="84" t="s">
        <v>1087</v>
      </c>
      <c r="Q310" s="18"/>
      <c r="R310" s="16" t="s">
        <v>1255</v>
      </c>
      <c r="S310" s="16" t="s">
        <v>137</v>
      </c>
      <c r="T310" s="16" t="s">
        <v>63</v>
      </c>
      <c r="U310" s="16"/>
      <c r="V310" s="16"/>
      <c r="W310" s="16">
        <f>ROUND(IF(D310=Table!$C$3,Y310*Table!$C$4/8,Y310*Table!$D$4/8),3)</f>
        <v>35.1</v>
      </c>
      <c r="X310" s="16">
        <v>35.1</v>
      </c>
      <c r="Y310" s="16">
        <v>2.16</v>
      </c>
      <c r="Z310" s="16">
        <v>2.1</v>
      </c>
      <c r="AA310" s="16" t="s">
        <v>21</v>
      </c>
      <c r="AB310" s="85">
        <v>44025</v>
      </c>
      <c r="AC310" s="85">
        <v>44018</v>
      </c>
      <c r="AD310" s="85">
        <v>44022</v>
      </c>
      <c r="AE310" s="85">
        <v>44019</v>
      </c>
      <c r="AF310" s="85">
        <v>44019</v>
      </c>
      <c r="AG310" s="85" t="s">
        <v>164</v>
      </c>
      <c r="AH310" s="86">
        <v>0.90600000000000003</v>
      </c>
      <c r="AI310" s="86">
        <v>0.90600000000000003</v>
      </c>
      <c r="AJ310" s="86">
        <v>1</v>
      </c>
      <c r="AK310" s="96" t="s">
        <v>144</v>
      </c>
      <c r="AL310" s="140" t="s">
        <v>1646</v>
      </c>
      <c r="AM310" s="198" t="s">
        <v>58</v>
      </c>
      <c r="AN310" s="208" t="s">
        <v>58</v>
      </c>
    </row>
    <row r="311" spans="2:40" x14ac:dyDescent="0.25">
      <c r="B311" s="225">
        <f t="shared" si="38"/>
        <v>252</v>
      </c>
      <c r="C311" s="16">
        <v>20200706</v>
      </c>
      <c r="D311" s="16" t="s">
        <v>2</v>
      </c>
      <c r="E311" s="95" t="s">
        <v>1613</v>
      </c>
      <c r="F311" s="84" t="s">
        <v>58</v>
      </c>
      <c r="G311" s="48"/>
      <c r="H311" s="16" t="s">
        <v>838</v>
      </c>
      <c r="I311" s="16" t="s">
        <v>1564</v>
      </c>
      <c r="J311" s="16" t="s">
        <v>254</v>
      </c>
      <c r="K311" s="84"/>
      <c r="L311" s="84" t="s">
        <v>58</v>
      </c>
      <c r="M311" s="48"/>
      <c r="N311" s="16" t="s">
        <v>1624</v>
      </c>
      <c r="O311" s="84" t="s">
        <v>620</v>
      </c>
      <c r="P311" s="84" t="s">
        <v>1087</v>
      </c>
      <c r="Q311" s="18"/>
      <c r="R311" s="16" t="s">
        <v>1255</v>
      </c>
      <c r="S311" s="16" t="s">
        <v>137</v>
      </c>
      <c r="T311" s="16" t="s">
        <v>63</v>
      </c>
      <c r="U311" s="16"/>
      <c r="V311" s="16"/>
      <c r="W311" s="16">
        <f>ROUND(IF(D311=Table!$C$3,Y311*Table!$C$4/8,Y311*Table!$D$4/8),3)</f>
        <v>35.1</v>
      </c>
      <c r="X311" s="16">
        <v>35.1</v>
      </c>
      <c r="Y311" s="16">
        <v>2.16</v>
      </c>
      <c r="Z311" s="16">
        <v>2</v>
      </c>
      <c r="AA311" s="16" t="s">
        <v>21</v>
      </c>
      <c r="AB311" s="85">
        <v>44025</v>
      </c>
      <c r="AC311" s="85">
        <v>44018</v>
      </c>
      <c r="AD311" s="85">
        <v>44022</v>
      </c>
      <c r="AE311" s="85">
        <v>44020</v>
      </c>
      <c r="AF311" s="85">
        <v>44020</v>
      </c>
      <c r="AG311" s="85" t="s">
        <v>164</v>
      </c>
      <c r="AH311" s="86">
        <v>0.86099999999999999</v>
      </c>
      <c r="AI311" s="86">
        <v>0.86099999999999999</v>
      </c>
      <c r="AJ311" s="86" t="s">
        <v>326</v>
      </c>
      <c r="AK311" s="96" t="s">
        <v>144</v>
      </c>
      <c r="AL311" s="230" t="s">
        <v>1670</v>
      </c>
      <c r="AM311" s="198" t="s">
        <v>58</v>
      </c>
      <c r="AN311" s="208" t="s">
        <v>58</v>
      </c>
    </row>
    <row r="312" spans="2:40" x14ac:dyDescent="0.25">
      <c r="B312" s="225">
        <f t="shared" si="38"/>
        <v>253</v>
      </c>
      <c r="C312" s="16">
        <v>20200706</v>
      </c>
      <c r="D312" s="16" t="s">
        <v>2</v>
      </c>
      <c r="E312" s="95" t="s">
        <v>1613</v>
      </c>
      <c r="F312" s="84" t="s">
        <v>58</v>
      </c>
      <c r="G312" s="48"/>
      <c r="H312" s="16" t="s">
        <v>839</v>
      </c>
      <c r="I312" s="16" t="s">
        <v>1565</v>
      </c>
      <c r="J312" s="16" t="s">
        <v>254</v>
      </c>
      <c r="K312" s="84"/>
      <c r="L312" s="84" t="s">
        <v>58</v>
      </c>
      <c r="M312" s="48"/>
      <c r="N312" s="16" t="s">
        <v>1624</v>
      </c>
      <c r="O312" s="84" t="s">
        <v>618</v>
      </c>
      <c r="P312" s="84" t="s">
        <v>1087</v>
      </c>
      <c r="Q312" s="18"/>
      <c r="R312" s="16" t="s">
        <v>1255</v>
      </c>
      <c r="S312" s="16" t="s">
        <v>137</v>
      </c>
      <c r="T312" s="16" t="s">
        <v>63</v>
      </c>
      <c r="U312" s="16"/>
      <c r="V312" s="16"/>
      <c r="W312" s="16">
        <f>ROUND(IF(D312=Table!$C$3,Y312*Table!$C$4/8,Y312*Table!$D$4/8),3)</f>
        <v>35.1</v>
      </c>
      <c r="X312" s="16">
        <v>35.1</v>
      </c>
      <c r="Y312" s="16">
        <v>2.16</v>
      </c>
      <c r="Z312" s="16">
        <v>2.2000000000000002</v>
      </c>
      <c r="AA312" s="16" t="s">
        <v>21</v>
      </c>
      <c r="AB312" s="85">
        <v>44025</v>
      </c>
      <c r="AC312" s="85">
        <v>44018</v>
      </c>
      <c r="AD312" s="85">
        <v>44022</v>
      </c>
      <c r="AE312" s="85">
        <v>44020</v>
      </c>
      <c r="AF312" s="85">
        <v>44020</v>
      </c>
      <c r="AG312" s="85" t="s">
        <v>164</v>
      </c>
      <c r="AH312" s="86">
        <v>0.92500000000000004</v>
      </c>
      <c r="AI312" s="86">
        <v>0.92500000000000004</v>
      </c>
      <c r="AJ312" s="244" t="s">
        <v>326</v>
      </c>
      <c r="AK312" s="96" t="s">
        <v>144</v>
      </c>
      <c r="AL312" s="140" t="s">
        <v>1671</v>
      </c>
      <c r="AM312" s="198" t="s">
        <v>58</v>
      </c>
      <c r="AN312" s="208" t="s">
        <v>58</v>
      </c>
    </row>
    <row r="313" spans="2:40" x14ac:dyDescent="0.25">
      <c r="B313" s="225">
        <f t="shared" si="38"/>
        <v>254</v>
      </c>
      <c r="C313" s="16">
        <v>20200706</v>
      </c>
      <c r="D313" s="16" t="s">
        <v>2</v>
      </c>
      <c r="E313" s="95" t="s">
        <v>1613</v>
      </c>
      <c r="F313" s="84" t="s">
        <v>58</v>
      </c>
      <c r="G313" s="48"/>
      <c r="H313" s="16" t="s">
        <v>840</v>
      </c>
      <c r="I313" s="16" t="s">
        <v>1566</v>
      </c>
      <c r="J313" s="16" t="s">
        <v>254</v>
      </c>
      <c r="K313" s="84" t="s">
        <v>1628</v>
      </c>
      <c r="L313" s="84" t="s">
        <v>58</v>
      </c>
      <c r="M313" s="48"/>
      <c r="N313" s="16" t="s">
        <v>1624</v>
      </c>
      <c r="O313" s="84" t="s">
        <v>775</v>
      </c>
      <c r="P313" s="84" t="s">
        <v>1087</v>
      </c>
      <c r="Q313" s="18"/>
      <c r="R313" s="16" t="s">
        <v>1255</v>
      </c>
      <c r="S313" s="16" t="s">
        <v>137</v>
      </c>
      <c r="T313" s="16" t="s">
        <v>63</v>
      </c>
      <c r="U313" s="16"/>
      <c r="V313" s="16"/>
      <c r="W313" s="16">
        <f>ROUND(IF(D313=Table!$C$3,Y313*Table!$C$4/8,Y313*Table!$D$4/8),3)</f>
        <v>26</v>
      </c>
      <c r="X313" s="16">
        <v>26</v>
      </c>
      <c r="Y313" s="16">
        <v>1.6</v>
      </c>
      <c r="Z313" s="16">
        <v>1.6</v>
      </c>
      <c r="AA313" s="16" t="s">
        <v>21</v>
      </c>
      <c r="AB313" s="85">
        <v>44025</v>
      </c>
      <c r="AC313" s="85">
        <v>44018</v>
      </c>
      <c r="AD313" s="85">
        <v>44022</v>
      </c>
      <c r="AE313" s="85">
        <v>44018</v>
      </c>
      <c r="AF313" s="85">
        <v>44018</v>
      </c>
      <c r="AG313" s="85" t="s">
        <v>164</v>
      </c>
      <c r="AH313" s="86">
        <v>1</v>
      </c>
      <c r="AI313" s="86">
        <v>1</v>
      </c>
      <c r="AJ313" s="86" t="s">
        <v>326</v>
      </c>
      <c r="AK313" s="96" t="s">
        <v>144</v>
      </c>
      <c r="AL313" s="198" t="s">
        <v>58</v>
      </c>
      <c r="AM313" s="198" t="s">
        <v>58</v>
      </c>
      <c r="AN313" s="208" t="s">
        <v>58</v>
      </c>
    </row>
    <row r="314" spans="2:40" x14ac:dyDescent="0.25">
      <c r="B314" s="225">
        <f t="shared" si="38"/>
        <v>255</v>
      </c>
      <c r="C314" s="16">
        <v>20200706</v>
      </c>
      <c r="D314" s="16" t="s">
        <v>2</v>
      </c>
      <c r="E314" s="95" t="s">
        <v>1613</v>
      </c>
      <c r="F314" s="84" t="s">
        <v>58</v>
      </c>
      <c r="G314" s="48"/>
      <c r="H314" s="16" t="s">
        <v>841</v>
      </c>
      <c r="I314" s="16" t="s">
        <v>1567</v>
      </c>
      <c r="J314" s="16" t="s">
        <v>1247</v>
      </c>
      <c r="K314" s="84"/>
      <c r="L314" s="84" t="s">
        <v>58</v>
      </c>
      <c r="M314" s="48"/>
      <c r="N314" s="16" t="s">
        <v>1624</v>
      </c>
      <c r="O314" s="84" t="s">
        <v>618</v>
      </c>
      <c r="P314" s="84" t="s">
        <v>1087</v>
      </c>
      <c r="Q314" s="18"/>
      <c r="R314" s="16" t="s">
        <v>1255</v>
      </c>
      <c r="S314" s="16" t="s">
        <v>137</v>
      </c>
      <c r="T314" s="16" t="s">
        <v>63</v>
      </c>
      <c r="U314" s="16"/>
      <c r="V314" s="16"/>
      <c r="W314" s="16">
        <f>ROUND(IF(D314=Table!$C$3,Y314*Table!$C$4/8,Y314*Table!$D$4/8),3)</f>
        <v>42.9</v>
      </c>
      <c r="X314" s="16">
        <v>42.9</v>
      </c>
      <c r="Y314" s="16">
        <v>2.64</v>
      </c>
      <c r="Z314" s="16">
        <v>3</v>
      </c>
      <c r="AA314" s="16" t="s">
        <v>21</v>
      </c>
      <c r="AB314" s="85">
        <v>44025</v>
      </c>
      <c r="AC314" s="85">
        <v>44018</v>
      </c>
      <c r="AD314" s="85">
        <v>44022</v>
      </c>
      <c r="AE314" s="85">
        <v>44021</v>
      </c>
      <c r="AF314" s="85">
        <v>44021</v>
      </c>
      <c r="AG314" s="85" t="s">
        <v>164</v>
      </c>
      <c r="AH314" s="86">
        <v>1</v>
      </c>
      <c r="AI314" s="86">
        <v>1</v>
      </c>
      <c r="AJ314" s="86">
        <v>1</v>
      </c>
      <c r="AK314" s="96" t="s">
        <v>144</v>
      </c>
      <c r="AL314" s="93" t="s">
        <v>58</v>
      </c>
      <c r="AM314" s="198" t="s">
        <v>58</v>
      </c>
      <c r="AN314" s="198" t="s">
        <v>58</v>
      </c>
    </row>
    <row r="315" spans="2:40" x14ac:dyDescent="0.25">
      <c r="B315" s="225">
        <f t="shared" si="38"/>
        <v>256</v>
      </c>
      <c r="C315" s="16">
        <v>20200706</v>
      </c>
      <c r="D315" s="16" t="s">
        <v>2</v>
      </c>
      <c r="E315" s="95" t="s">
        <v>1613</v>
      </c>
      <c r="F315" s="84" t="s">
        <v>58</v>
      </c>
      <c r="G315" s="48"/>
      <c r="H315" s="16" t="s">
        <v>842</v>
      </c>
      <c r="I315" s="16" t="s">
        <v>1568</v>
      </c>
      <c r="J315" s="16" t="s">
        <v>254</v>
      </c>
      <c r="K315" s="84"/>
      <c r="L315" s="84" t="s">
        <v>58</v>
      </c>
      <c r="M315" s="48"/>
      <c r="N315" s="16" t="s">
        <v>1624</v>
      </c>
      <c r="O315" s="84" t="s">
        <v>1596</v>
      </c>
      <c r="P315" s="84" t="s">
        <v>1087</v>
      </c>
      <c r="Q315" s="18"/>
      <c r="R315" s="16" t="s">
        <v>1255</v>
      </c>
      <c r="S315" s="16" t="s">
        <v>137</v>
      </c>
      <c r="T315" s="16" t="s">
        <v>63</v>
      </c>
      <c r="U315" s="16"/>
      <c r="V315" s="16"/>
      <c r="W315" s="16">
        <f>ROUND(IF(D315=Table!$C$3,Y315*Table!$C$4/8,Y315*Table!$D$4/8),3)</f>
        <v>45.5</v>
      </c>
      <c r="X315" s="16">
        <v>45.5</v>
      </c>
      <c r="Y315" s="16">
        <v>2.8</v>
      </c>
      <c r="Z315" s="16">
        <v>2</v>
      </c>
      <c r="AA315" s="16" t="s">
        <v>21</v>
      </c>
      <c r="AB315" s="85">
        <v>44025</v>
      </c>
      <c r="AC315" s="85">
        <v>44018</v>
      </c>
      <c r="AD315" s="85">
        <v>44022</v>
      </c>
      <c r="AE315" s="85">
        <v>44025</v>
      </c>
      <c r="AF315" s="85">
        <v>44025</v>
      </c>
      <c r="AG315" s="85" t="s">
        <v>164</v>
      </c>
      <c r="AH315" s="86">
        <v>0.95199999999999996</v>
      </c>
      <c r="AI315" s="86">
        <v>0.95599999999999996</v>
      </c>
      <c r="AJ315" s="86">
        <v>1</v>
      </c>
      <c r="AK315" s="96" t="s">
        <v>144</v>
      </c>
      <c r="AL315" s="140" t="s">
        <v>1735</v>
      </c>
      <c r="AM315" s="198" t="s">
        <v>58</v>
      </c>
      <c r="AN315" s="198" t="s">
        <v>58</v>
      </c>
    </row>
    <row r="316" spans="2:40" x14ac:dyDescent="0.25">
      <c r="B316" s="225">
        <f t="shared" si="38"/>
        <v>257</v>
      </c>
      <c r="C316" s="16">
        <v>20200706</v>
      </c>
      <c r="D316" s="16" t="s">
        <v>2</v>
      </c>
      <c r="E316" s="95" t="s">
        <v>1613</v>
      </c>
      <c r="F316" s="84" t="s">
        <v>58</v>
      </c>
      <c r="G316" s="48"/>
      <c r="H316" s="16" t="s">
        <v>843</v>
      </c>
      <c r="I316" s="16" t="s">
        <v>1569</v>
      </c>
      <c r="J316" s="16" t="s">
        <v>254</v>
      </c>
      <c r="K316" s="84" t="s">
        <v>1628</v>
      </c>
      <c r="L316" s="84" t="s">
        <v>58</v>
      </c>
      <c r="M316" s="48"/>
      <c r="N316" s="16" t="s">
        <v>1624</v>
      </c>
      <c r="O316" s="84" t="s">
        <v>620</v>
      </c>
      <c r="P316" s="84" t="s">
        <v>1087</v>
      </c>
      <c r="Q316" s="18"/>
      <c r="R316" s="16" t="s">
        <v>1622</v>
      </c>
      <c r="S316" s="16" t="s">
        <v>925</v>
      </c>
      <c r="T316" s="16" t="s">
        <v>136</v>
      </c>
      <c r="U316" s="16" t="s">
        <v>0</v>
      </c>
      <c r="V316" s="16"/>
      <c r="W316" s="16">
        <f>ROUND(IF(D316=Table!$C$3,Y316*Table!$C$4/8,Y316*Table!$D$4/8),3)</f>
        <v>26</v>
      </c>
      <c r="X316" s="16">
        <f t="shared" ref="X316:X321" si="43">W316</f>
        <v>26</v>
      </c>
      <c r="Y316" s="16">
        <v>1.6</v>
      </c>
      <c r="Z316" s="16">
        <v>2</v>
      </c>
      <c r="AA316" s="16" t="s">
        <v>21</v>
      </c>
      <c r="AB316" s="85">
        <v>44025</v>
      </c>
      <c r="AC316" s="85">
        <v>44018</v>
      </c>
      <c r="AD316" s="85">
        <v>44022</v>
      </c>
      <c r="AE316" s="85">
        <v>44019</v>
      </c>
      <c r="AF316" s="85">
        <v>44019</v>
      </c>
      <c r="AG316" s="85" t="s">
        <v>164</v>
      </c>
      <c r="AH316" s="86">
        <v>0.83299999999999996</v>
      </c>
      <c r="AI316" s="86">
        <v>0.83299999999999996</v>
      </c>
      <c r="AJ316" s="197" t="s">
        <v>326</v>
      </c>
      <c r="AK316" s="96" t="s">
        <v>144</v>
      </c>
      <c r="AL316" s="93" t="s">
        <v>1316</v>
      </c>
      <c r="AM316" s="198" t="s">
        <v>58</v>
      </c>
      <c r="AN316" s="198" t="s">
        <v>58</v>
      </c>
    </row>
    <row r="317" spans="2:40" x14ac:dyDescent="0.25">
      <c r="B317" s="225">
        <f t="shared" ref="B317:B329" si="44">B316+1</f>
        <v>258</v>
      </c>
      <c r="C317" s="16">
        <v>20200706</v>
      </c>
      <c r="D317" s="16" t="s">
        <v>2</v>
      </c>
      <c r="E317" s="95" t="s">
        <v>1613</v>
      </c>
      <c r="F317" s="84" t="s">
        <v>58</v>
      </c>
      <c r="G317" s="48"/>
      <c r="H317" s="16" t="s">
        <v>844</v>
      </c>
      <c r="I317" s="16" t="s">
        <v>1570</v>
      </c>
      <c r="J317" s="16" t="s">
        <v>1247</v>
      </c>
      <c r="K317" s="84"/>
      <c r="L317" s="84" t="s">
        <v>58</v>
      </c>
      <c r="M317" s="48"/>
      <c r="N317" s="16" t="s">
        <v>1624</v>
      </c>
      <c r="O317" s="84" t="s">
        <v>1244</v>
      </c>
      <c r="P317" s="84" t="s">
        <v>1087</v>
      </c>
      <c r="Q317" s="18"/>
      <c r="R317" s="16" t="s">
        <v>1622</v>
      </c>
      <c r="S317" s="16" t="s">
        <v>925</v>
      </c>
      <c r="T317" s="16" t="s">
        <v>136</v>
      </c>
      <c r="U317" s="16" t="s">
        <v>0</v>
      </c>
      <c r="V317" s="16"/>
      <c r="W317" s="16">
        <f>ROUND(IF(D317=Table!$C$3,Y317*Table!$C$4/8,Y317*Table!$D$4/8),3)</f>
        <v>58.5</v>
      </c>
      <c r="X317" s="16">
        <f t="shared" si="43"/>
        <v>58.5</v>
      </c>
      <c r="Y317" s="16">
        <v>3.6</v>
      </c>
      <c r="Z317" s="16">
        <v>6</v>
      </c>
      <c r="AA317" s="16" t="s">
        <v>21</v>
      </c>
      <c r="AB317" s="85">
        <v>44025</v>
      </c>
      <c r="AC317" s="85">
        <v>44018</v>
      </c>
      <c r="AD317" s="85">
        <v>44022</v>
      </c>
      <c r="AE317" s="85">
        <v>44020</v>
      </c>
      <c r="AF317" s="85">
        <v>44020</v>
      </c>
      <c r="AG317" s="85" t="s">
        <v>164</v>
      </c>
      <c r="AH317" s="86">
        <v>0.96</v>
      </c>
      <c r="AI317" s="86">
        <v>0.96099999999999997</v>
      </c>
      <c r="AJ317" s="86">
        <v>1</v>
      </c>
      <c r="AK317" s="96" t="s">
        <v>144</v>
      </c>
      <c r="AL317" s="93" t="s">
        <v>1341</v>
      </c>
      <c r="AM317" s="198" t="s">
        <v>58</v>
      </c>
      <c r="AN317" s="198" t="s">
        <v>58</v>
      </c>
    </row>
    <row r="318" spans="2:40" x14ac:dyDescent="0.25">
      <c r="B318" s="225">
        <f t="shared" si="44"/>
        <v>259</v>
      </c>
      <c r="C318" s="16">
        <v>20200706</v>
      </c>
      <c r="D318" s="16" t="s">
        <v>2</v>
      </c>
      <c r="E318" s="95" t="s">
        <v>1613</v>
      </c>
      <c r="F318" s="84" t="s">
        <v>58</v>
      </c>
      <c r="G318" s="48"/>
      <c r="H318" s="16" t="s">
        <v>467</v>
      </c>
      <c r="I318" s="16" t="s">
        <v>1571</v>
      </c>
      <c r="J318" s="16" t="s">
        <v>254</v>
      </c>
      <c r="K318" s="84"/>
      <c r="L318" s="84" t="s">
        <v>58</v>
      </c>
      <c r="M318" s="48"/>
      <c r="N318" s="16" t="s">
        <v>1624</v>
      </c>
      <c r="O318" s="84" t="s">
        <v>1607</v>
      </c>
      <c r="P318" s="84" t="s">
        <v>1087</v>
      </c>
      <c r="Q318" s="18"/>
      <c r="R318" s="16" t="s">
        <v>1622</v>
      </c>
      <c r="S318" s="16" t="s">
        <v>925</v>
      </c>
      <c r="T318" s="16" t="s">
        <v>136</v>
      </c>
      <c r="U318" s="16" t="s">
        <v>0</v>
      </c>
      <c r="V318" s="16"/>
      <c r="W318" s="16">
        <f>ROUND(IF(D318=Table!$C$3,Y318*Table!$C$4/8,Y318*Table!$D$4/8),3)</f>
        <v>65</v>
      </c>
      <c r="X318" s="16">
        <f t="shared" si="43"/>
        <v>65</v>
      </c>
      <c r="Y318" s="16">
        <v>4</v>
      </c>
      <c r="Z318" s="16">
        <v>3</v>
      </c>
      <c r="AA318" s="16" t="s">
        <v>21</v>
      </c>
      <c r="AB318" s="85">
        <v>44025</v>
      </c>
      <c r="AC318" s="85">
        <v>44018</v>
      </c>
      <c r="AD318" s="85">
        <v>44022</v>
      </c>
      <c r="AE318" s="85">
        <v>44022</v>
      </c>
      <c r="AF318" s="85">
        <v>44022</v>
      </c>
      <c r="AG318" s="85" t="s">
        <v>164</v>
      </c>
      <c r="AH318" s="86">
        <v>0.875</v>
      </c>
      <c r="AI318" s="86">
        <v>0.88</v>
      </c>
      <c r="AJ318" s="86">
        <v>1</v>
      </c>
      <c r="AK318" s="96" t="s">
        <v>144</v>
      </c>
      <c r="AL318" s="93" t="s">
        <v>1341</v>
      </c>
      <c r="AM318" s="198" t="s">
        <v>58</v>
      </c>
      <c r="AN318" s="198" t="s">
        <v>58</v>
      </c>
    </row>
    <row r="319" spans="2:40" x14ac:dyDescent="0.25">
      <c r="B319" s="225">
        <f t="shared" si="44"/>
        <v>260</v>
      </c>
      <c r="C319" s="16">
        <v>20200706</v>
      </c>
      <c r="D319" s="16" t="s">
        <v>2</v>
      </c>
      <c r="E319" s="95" t="s">
        <v>1613</v>
      </c>
      <c r="F319" s="84" t="s">
        <v>58</v>
      </c>
      <c r="G319" s="48"/>
      <c r="H319" s="16" t="s">
        <v>845</v>
      </c>
      <c r="I319" s="16" t="s">
        <v>1572</v>
      </c>
      <c r="J319" s="16" t="s">
        <v>254</v>
      </c>
      <c r="K319" s="84" t="s">
        <v>1628</v>
      </c>
      <c r="L319" s="84" t="s">
        <v>58</v>
      </c>
      <c r="M319" s="48"/>
      <c r="N319" s="16" t="s">
        <v>1624</v>
      </c>
      <c r="O319" s="84" t="s">
        <v>1595</v>
      </c>
      <c r="P319" s="84" t="s">
        <v>1087</v>
      </c>
      <c r="Q319" s="18"/>
      <c r="R319" s="16" t="s">
        <v>1622</v>
      </c>
      <c r="S319" s="16" t="s">
        <v>925</v>
      </c>
      <c r="T319" s="16" t="s">
        <v>136</v>
      </c>
      <c r="U319" s="16" t="s">
        <v>0</v>
      </c>
      <c r="V319" s="16"/>
      <c r="W319" s="16">
        <f>ROUND(IF(D319=Table!$C$3,Y319*Table!$C$4/8,Y319*Table!$D$4/8),3)</f>
        <v>26</v>
      </c>
      <c r="X319" s="16">
        <f t="shared" si="43"/>
        <v>26</v>
      </c>
      <c r="Y319" s="16">
        <v>1.6</v>
      </c>
      <c r="Z319" s="16">
        <v>2</v>
      </c>
      <c r="AA319" s="16" t="s">
        <v>21</v>
      </c>
      <c r="AB319" s="85">
        <v>44025</v>
      </c>
      <c r="AC319" s="85">
        <v>44018</v>
      </c>
      <c r="AD319" s="85">
        <v>44022</v>
      </c>
      <c r="AE319" s="85">
        <v>44022</v>
      </c>
      <c r="AF319" s="85">
        <v>44022</v>
      </c>
      <c r="AG319" s="85" t="s">
        <v>164</v>
      </c>
      <c r="AH319" s="86">
        <v>0.83299999999999996</v>
      </c>
      <c r="AI319" s="86">
        <v>0.83299999999999996</v>
      </c>
      <c r="AJ319" s="197" t="s">
        <v>326</v>
      </c>
      <c r="AK319" s="96" t="s">
        <v>144</v>
      </c>
      <c r="AL319" s="93" t="s">
        <v>1715</v>
      </c>
      <c r="AM319" s="17" t="s">
        <v>58</v>
      </c>
      <c r="AN319" s="17" t="s">
        <v>58</v>
      </c>
    </row>
    <row r="320" spans="2:40" x14ac:dyDescent="0.25">
      <c r="B320" s="225">
        <f t="shared" si="44"/>
        <v>261</v>
      </c>
      <c r="C320" s="16">
        <v>20200706</v>
      </c>
      <c r="D320" s="16" t="s">
        <v>2</v>
      </c>
      <c r="E320" s="95" t="s">
        <v>1613</v>
      </c>
      <c r="F320" s="84" t="s">
        <v>58</v>
      </c>
      <c r="G320" s="48"/>
      <c r="H320" s="16" t="s">
        <v>846</v>
      </c>
      <c r="I320" s="16" t="s">
        <v>1573</v>
      </c>
      <c r="J320" s="16" t="s">
        <v>1247</v>
      </c>
      <c r="K320" s="84"/>
      <c r="L320" s="84" t="s">
        <v>58</v>
      </c>
      <c r="M320" s="48"/>
      <c r="N320" s="16" t="s">
        <v>1624</v>
      </c>
      <c r="O320" s="84" t="s">
        <v>778</v>
      </c>
      <c r="P320" s="84" t="s">
        <v>1087</v>
      </c>
      <c r="Q320" s="18"/>
      <c r="R320" s="16" t="s">
        <v>1622</v>
      </c>
      <c r="S320" s="16" t="s">
        <v>925</v>
      </c>
      <c r="T320" s="16" t="s">
        <v>136</v>
      </c>
      <c r="U320" s="16" t="s">
        <v>0</v>
      </c>
      <c r="V320" s="16"/>
      <c r="W320" s="16">
        <f>ROUND(IF(D320=Table!$C$3,Y320*Table!$C$4/8,Y320*Table!$D$4/8),3)</f>
        <v>32.5</v>
      </c>
      <c r="X320" s="16">
        <f t="shared" si="43"/>
        <v>32.5</v>
      </c>
      <c r="Y320" s="16">
        <v>2</v>
      </c>
      <c r="Z320" s="16">
        <v>2</v>
      </c>
      <c r="AA320" s="16" t="s">
        <v>21</v>
      </c>
      <c r="AB320" s="85">
        <v>44025</v>
      </c>
      <c r="AC320" s="85">
        <v>44018</v>
      </c>
      <c r="AD320" s="85">
        <v>44022</v>
      </c>
      <c r="AE320" s="85">
        <v>44022</v>
      </c>
      <c r="AF320" s="85">
        <v>44022</v>
      </c>
      <c r="AG320" s="85" t="s">
        <v>164</v>
      </c>
      <c r="AH320" s="86">
        <v>0.81100000000000005</v>
      </c>
      <c r="AI320" s="86">
        <v>0.82499999999999996</v>
      </c>
      <c r="AJ320" s="86">
        <v>1</v>
      </c>
      <c r="AK320" s="96" t="s">
        <v>144</v>
      </c>
      <c r="AL320" s="93" t="s">
        <v>1707</v>
      </c>
      <c r="AM320" s="198" t="s">
        <v>58</v>
      </c>
      <c r="AN320" s="198" t="s">
        <v>58</v>
      </c>
    </row>
    <row r="321" spans="2:40" x14ac:dyDescent="0.25">
      <c r="B321" s="225">
        <f t="shared" si="44"/>
        <v>262</v>
      </c>
      <c r="C321" s="16">
        <v>20200706</v>
      </c>
      <c r="D321" s="16" t="s">
        <v>2</v>
      </c>
      <c r="E321" s="95" t="s">
        <v>1613</v>
      </c>
      <c r="F321" s="84" t="s">
        <v>58</v>
      </c>
      <c r="G321" s="48"/>
      <c r="H321" s="16" t="s">
        <v>847</v>
      </c>
      <c r="I321" s="16" t="s">
        <v>1574</v>
      </c>
      <c r="J321" s="16" t="s">
        <v>1247</v>
      </c>
      <c r="K321" s="84" t="s">
        <v>1628</v>
      </c>
      <c r="L321" s="84" t="s">
        <v>58</v>
      </c>
      <c r="M321" s="48"/>
      <c r="N321" s="16" t="s">
        <v>1624</v>
      </c>
      <c r="O321" s="84" t="s">
        <v>618</v>
      </c>
      <c r="P321" s="84" t="s">
        <v>1087</v>
      </c>
      <c r="Q321" s="18"/>
      <c r="R321" s="16" t="s">
        <v>1622</v>
      </c>
      <c r="S321" s="16" t="s">
        <v>925</v>
      </c>
      <c r="T321" s="16" t="s">
        <v>136</v>
      </c>
      <c r="U321" s="16" t="s">
        <v>0</v>
      </c>
      <c r="V321" s="16"/>
      <c r="W321" s="16">
        <f>ROUND(IF(D321=Table!$C$3,Y321*Table!$C$4/8,Y321*Table!$D$4/8),3)</f>
        <v>26</v>
      </c>
      <c r="X321" s="16">
        <f t="shared" si="43"/>
        <v>26</v>
      </c>
      <c r="Y321" s="16">
        <v>1.6</v>
      </c>
      <c r="Z321" s="16">
        <v>1</v>
      </c>
      <c r="AA321" s="16" t="s">
        <v>21</v>
      </c>
      <c r="AB321" s="85">
        <v>44025</v>
      </c>
      <c r="AC321" s="85">
        <v>44018</v>
      </c>
      <c r="AD321" s="85">
        <v>44022</v>
      </c>
      <c r="AE321" s="85">
        <v>44023</v>
      </c>
      <c r="AF321" s="85">
        <v>44023</v>
      </c>
      <c r="AG321" s="85" t="s">
        <v>164</v>
      </c>
      <c r="AH321" s="86">
        <v>0.66700000000000004</v>
      </c>
      <c r="AI321" s="86">
        <v>0.66700000000000004</v>
      </c>
      <c r="AJ321" s="197" t="s">
        <v>326</v>
      </c>
      <c r="AK321" s="96" t="s">
        <v>144</v>
      </c>
      <c r="AL321" s="93" t="s">
        <v>1731</v>
      </c>
      <c r="AM321" s="198" t="s">
        <v>58</v>
      </c>
      <c r="AN321" s="198" t="s">
        <v>58</v>
      </c>
    </row>
    <row r="322" spans="2:40" x14ac:dyDescent="0.25">
      <c r="B322" s="225">
        <f t="shared" si="44"/>
        <v>263</v>
      </c>
      <c r="C322" s="16">
        <v>20200706</v>
      </c>
      <c r="D322" s="16" t="s">
        <v>2</v>
      </c>
      <c r="E322" s="95" t="s">
        <v>1613</v>
      </c>
      <c r="F322" s="84" t="s">
        <v>58</v>
      </c>
      <c r="G322" s="48"/>
      <c r="H322" s="16" t="s">
        <v>468</v>
      </c>
      <c r="I322" s="16" t="s">
        <v>1575</v>
      </c>
      <c r="J322" s="16" t="s">
        <v>254</v>
      </c>
      <c r="K322" s="84" t="s">
        <v>1628</v>
      </c>
      <c r="L322" s="84" t="s">
        <v>58</v>
      </c>
      <c r="M322" s="48"/>
      <c r="N322" s="16" t="s">
        <v>1624</v>
      </c>
      <c r="O322" s="84" t="s">
        <v>1244</v>
      </c>
      <c r="P322" s="84" t="s">
        <v>1087</v>
      </c>
      <c r="Q322" s="18"/>
      <c r="R322" s="16" t="s">
        <v>1622</v>
      </c>
      <c r="S322" s="16" t="s">
        <v>925</v>
      </c>
      <c r="T322" s="16" t="s">
        <v>136</v>
      </c>
      <c r="U322" s="16" t="s">
        <v>0</v>
      </c>
      <c r="V322" s="16"/>
      <c r="W322" s="16">
        <f>ROUND(IF(D322=Table!$C$3,Y322*Table!$C$4/8,Y322*Table!$D$4/8),3)</f>
        <v>26</v>
      </c>
      <c r="X322" s="16">
        <f t="shared" ref="X322:X329" si="45">W322</f>
        <v>26</v>
      </c>
      <c r="Y322" s="16">
        <v>1.6</v>
      </c>
      <c r="Z322" s="16">
        <v>1</v>
      </c>
      <c r="AA322" s="16" t="s">
        <v>21</v>
      </c>
      <c r="AB322" s="85">
        <v>44025</v>
      </c>
      <c r="AC322" s="85">
        <v>44018</v>
      </c>
      <c r="AD322" s="85">
        <v>44022</v>
      </c>
      <c r="AE322" s="85">
        <v>44023</v>
      </c>
      <c r="AF322" s="85">
        <v>44023</v>
      </c>
      <c r="AG322" s="85" t="s">
        <v>164</v>
      </c>
      <c r="AH322" s="86">
        <v>0.88200000000000001</v>
      </c>
      <c r="AI322" s="86">
        <v>0.88200000000000001</v>
      </c>
      <c r="AJ322" s="86">
        <v>1</v>
      </c>
      <c r="AK322" s="96" t="s">
        <v>144</v>
      </c>
      <c r="AL322" s="93" t="s">
        <v>1716</v>
      </c>
      <c r="AM322" s="17" t="s">
        <v>58</v>
      </c>
      <c r="AN322" s="17" t="s">
        <v>1717</v>
      </c>
    </row>
    <row r="323" spans="2:40" x14ac:dyDescent="0.25">
      <c r="B323" s="225">
        <f t="shared" si="44"/>
        <v>264</v>
      </c>
      <c r="C323" s="16">
        <v>20200706</v>
      </c>
      <c r="D323" s="16" t="s">
        <v>2</v>
      </c>
      <c r="E323" s="95" t="s">
        <v>1613</v>
      </c>
      <c r="F323" s="84" t="s">
        <v>58</v>
      </c>
      <c r="G323" s="48"/>
      <c r="H323" s="16" t="s">
        <v>848</v>
      </c>
      <c r="I323" s="16" t="s">
        <v>1576</v>
      </c>
      <c r="J323" s="16" t="s">
        <v>254</v>
      </c>
      <c r="K323" s="84"/>
      <c r="L323" s="84" t="s">
        <v>58</v>
      </c>
      <c r="M323" s="48"/>
      <c r="N323" s="16" t="s">
        <v>1624</v>
      </c>
      <c r="O323" s="84" t="s">
        <v>1608</v>
      </c>
      <c r="P323" s="84" t="s">
        <v>1087</v>
      </c>
      <c r="Q323" s="18"/>
      <c r="R323" s="16" t="s">
        <v>1622</v>
      </c>
      <c r="S323" s="16" t="s">
        <v>925</v>
      </c>
      <c r="T323" s="16" t="s">
        <v>136</v>
      </c>
      <c r="U323" s="16" t="s">
        <v>0</v>
      </c>
      <c r="V323" s="16"/>
      <c r="W323" s="16">
        <f>ROUND(IF(D323=Table!$C$3,Y323*Table!$C$4/8,Y323*Table!$D$4/8),3)</f>
        <v>65</v>
      </c>
      <c r="X323" s="16">
        <f t="shared" si="45"/>
        <v>65</v>
      </c>
      <c r="Y323" s="16">
        <v>4</v>
      </c>
      <c r="Z323" s="16">
        <f>Y323</f>
        <v>4</v>
      </c>
      <c r="AA323" s="16" t="s">
        <v>21</v>
      </c>
      <c r="AB323" s="85">
        <v>44025</v>
      </c>
      <c r="AC323" s="85">
        <v>44018</v>
      </c>
      <c r="AD323" s="85">
        <v>44022</v>
      </c>
      <c r="AE323" s="85">
        <v>44022</v>
      </c>
      <c r="AF323" s="85">
        <v>44022</v>
      </c>
      <c r="AG323" s="85" t="s">
        <v>164</v>
      </c>
      <c r="AH323" s="86">
        <v>0.85399999999999998</v>
      </c>
      <c r="AI323" s="86">
        <v>0.85699999999999998</v>
      </c>
      <c r="AJ323" s="86">
        <v>1</v>
      </c>
      <c r="AK323" s="96" t="s">
        <v>144</v>
      </c>
      <c r="AL323" s="93" t="s">
        <v>1714</v>
      </c>
      <c r="AM323" s="198" t="s">
        <v>58</v>
      </c>
      <c r="AN323" s="198" t="s">
        <v>58</v>
      </c>
    </row>
    <row r="324" spans="2:40" x14ac:dyDescent="0.25">
      <c r="B324" s="225">
        <f t="shared" si="44"/>
        <v>265</v>
      </c>
      <c r="C324" s="16">
        <v>20200706</v>
      </c>
      <c r="D324" s="16" t="s">
        <v>2</v>
      </c>
      <c r="E324" s="95" t="s">
        <v>1613</v>
      </c>
      <c r="F324" s="84" t="s">
        <v>58</v>
      </c>
      <c r="G324" s="48"/>
      <c r="H324" s="16" t="s">
        <v>469</v>
      </c>
      <c r="I324" s="16" t="s">
        <v>1577</v>
      </c>
      <c r="J324" s="16" t="s">
        <v>254</v>
      </c>
      <c r="K324" s="84" t="s">
        <v>1628</v>
      </c>
      <c r="L324" s="84" t="s">
        <v>58</v>
      </c>
      <c r="M324" s="48"/>
      <c r="N324" s="16" t="s">
        <v>1624</v>
      </c>
      <c r="O324" s="84" t="s">
        <v>618</v>
      </c>
      <c r="P324" s="84" t="s">
        <v>1087</v>
      </c>
      <c r="Q324" s="18"/>
      <c r="R324" s="16" t="s">
        <v>1622</v>
      </c>
      <c r="S324" s="16" t="s">
        <v>925</v>
      </c>
      <c r="T324" s="16" t="s">
        <v>136</v>
      </c>
      <c r="U324" s="16" t="s">
        <v>0</v>
      </c>
      <c r="V324" s="16"/>
      <c r="W324" s="16">
        <f>ROUND(IF(D324=Table!$C$3,Y324*Table!$C$4/8,Y324*Table!$D$4/8),3)</f>
        <v>26</v>
      </c>
      <c r="X324" s="16">
        <f t="shared" si="45"/>
        <v>26</v>
      </c>
      <c r="Y324" s="16">
        <v>1.6</v>
      </c>
      <c r="Z324" s="16">
        <v>1</v>
      </c>
      <c r="AA324" s="16" t="s">
        <v>21</v>
      </c>
      <c r="AB324" s="85">
        <v>44025</v>
      </c>
      <c r="AC324" s="85">
        <v>44018</v>
      </c>
      <c r="AD324" s="85">
        <v>44022</v>
      </c>
      <c r="AE324" s="85">
        <v>44023</v>
      </c>
      <c r="AF324" s="85">
        <v>44023</v>
      </c>
      <c r="AG324" s="85" t="s">
        <v>164</v>
      </c>
      <c r="AH324" s="86">
        <v>0.875</v>
      </c>
      <c r="AI324" s="86">
        <v>0.875</v>
      </c>
      <c r="AJ324" s="197" t="s">
        <v>326</v>
      </c>
      <c r="AK324" s="96" t="s">
        <v>144</v>
      </c>
      <c r="AL324" s="93" t="s">
        <v>1718</v>
      </c>
      <c r="AM324" s="17" t="s">
        <v>58</v>
      </c>
      <c r="AN324" s="17" t="s">
        <v>58</v>
      </c>
    </row>
    <row r="325" spans="2:40" x14ac:dyDescent="0.25">
      <c r="B325" s="225">
        <f t="shared" si="44"/>
        <v>266</v>
      </c>
      <c r="C325" s="16">
        <v>20200706</v>
      </c>
      <c r="D325" s="16" t="s">
        <v>2</v>
      </c>
      <c r="E325" s="95" t="s">
        <v>1613</v>
      </c>
      <c r="F325" s="84" t="s">
        <v>58</v>
      </c>
      <c r="G325" s="48"/>
      <c r="H325" s="16" t="s">
        <v>849</v>
      </c>
      <c r="I325" s="16" t="s">
        <v>1578</v>
      </c>
      <c r="J325" s="16" t="s">
        <v>254</v>
      </c>
      <c r="K325" s="84" t="s">
        <v>1628</v>
      </c>
      <c r="L325" s="84" t="s">
        <v>58</v>
      </c>
      <c r="M325" s="48"/>
      <c r="N325" s="16" t="s">
        <v>1624</v>
      </c>
      <c r="O325" s="84" t="s">
        <v>1609</v>
      </c>
      <c r="P325" s="84" t="s">
        <v>1087</v>
      </c>
      <c r="Q325" s="18"/>
      <c r="R325" s="16" t="s">
        <v>1622</v>
      </c>
      <c r="S325" s="16" t="s">
        <v>925</v>
      </c>
      <c r="T325" s="16" t="s">
        <v>136</v>
      </c>
      <c r="U325" s="16" t="s">
        <v>0</v>
      </c>
      <c r="V325" s="16"/>
      <c r="W325" s="16">
        <f>ROUND(IF(D325=Table!$C$3,Y325*Table!$C$4/8,Y325*Table!$D$4/8),3)</f>
        <v>26</v>
      </c>
      <c r="X325" s="16">
        <f t="shared" si="45"/>
        <v>26</v>
      </c>
      <c r="Y325" s="16">
        <v>1.6</v>
      </c>
      <c r="Z325" s="16">
        <v>1</v>
      </c>
      <c r="AA325" s="16" t="s">
        <v>21</v>
      </c>
      <c r="AB325" s="85">
        <v>44025</v>
      </c>
      <c r="AC325" s="85">
        <v>44018</v>
      </c>
      <c r="AD325" s="85">
        <v>44022</v>
      </c>
      <c r="AE325" s="85">
        <v>44023</v>
      </c>
      <c r="AF325" s="85">
        <v>44023</v>
      </c>
      <c r="AG325" s="85" t="s">
        <v>164</v>
      </c>
      <c r="AH325" s="86">
        <v>0.94699999999999995</v>
      </c>
      <c r="AI325" s="86">
        <v>0.95</v>
      </c>
      <c r="AJ325" s="86">
        <v>1</v>
      </c>
      <c r="AK325" s="96" t="s">
        <v>144</v>
      </c>
      <c r="AL325" s="93" t="s">
        <v>1719</v>
      </c>
      <c r="AM325" s="17" t="s">
        <v>58</v>
      </c>
      <c r="AN325" s="17" t="s">
        <v>58</v>
      </c>
    </row>
    <row r="326" spans="2:40" x14ac:dyDescent="0.25">
      <c r="B326" s="225">
        <f t="shared" si="44"/>
        <v>267</v>
      </c>
      <c r="C326" s="16">
        <v>20200706</v>
      </c>
      <c r="D326" s="16" t="s">
        <v>2</v>
      </c>
      <c r="E326" s="95" t="s">
        <v>1613</v>
      </c>
      <c r="F326" s="84" t="s">
        <v>58</v>
      </c>
      <c r="G326" s="48"/>
      <c r="H326" s="16" t="s">
        <v>850</v>
      </c>
      <c r="I326" s="16" t="s">
        <v>1579</v>
      </c>
      <c r="J326" s="16" t="s">
        <v>254</v>
      </c>
      <c r="K326" s="84" t="s">
        <v>1628</v>
      </c>
      <c r="L326" s="84" t="s">
        <v>58</v>
      </c>
      <c r="M326" s="48"/>
      <c r="N326" s="16" t="s">
        <v>1624</v>
      </c>
      <c r="O326" s="84" t="s">
        <v>780</v>
      </c>
      <c r="P326" s="84" t="s">
        <v>1087</v>
      </c>
      <c r="Q326" s="18"/>
      <c r="R326" s="16" t="s">
        <v>1622</v>
      </c>
      <c r="S326" s="16" t="s">
        <v>925</v>
      </c>
      <c r="T326" s="16" t="s">
        <v>136</v>
      </c>
      <c r="U326" s="16" t="s">
        <v>0</v>
      </c>
      <c r="V326" s="16"/>
      <c r="W326" s="16">
        <f>ROUND(IF(D326=Table!$C$3,Y326*Table!$C$4/8,Y326*Table!$D$4/8),3)</f>
        <v>26</v>
      </c>
      <c r="X326" s="16">
        <f t="shared" si="45"/>
        <v>26</v>
      </c>
      <c r="Y326" s="16">
        <v>1.6</v>
      </c>
      <c r="Z326" s="16">
        <v>1</v>
      </c>
      <c r="AA326" s="16" t="s">
        <v>21</v>
      </c>
      <c r="AB326" s="85">
        <v>44025</v>
      </c>
      <c r="AC326" s="85">
        <v>44018</v>
      </c>
      <c r="AD326" s="85">
        <v>44022</v>
      </c>
      <c r="AE326" s="85">
        <v>44023</v>
      </c>
      <c r="AF326" s="85">
        <v>44023</v>
      </c>
      <c r="AG326" s="85" t="s">
        <v>164</v>
      </c>
      <c r="AH326" s="86">
        <v>0.8</v>
      </c>
      <c r="AI326" s="86">
        <v>0.8</v>
      </c>
      <c r="AJ326" s="197" t="s">
        <v>326</v>
      </c>
      <c r="AK326" s="96" t="s">
        <v>144</v>
      </c>
      <c r="AL326" s="93" t="s">
        <v>1723</v>
      </c>
      <c r="AM326" s="17" t="s">
        <v>58</v>
      </c>
      <c r="AN326" s="17" t="s">
        <v>58</v>
      </c>
    </row>
    <row r="327" spans="2:40" x14ac:dyDescent="0.25">
      <c r="B327" s="225">
        <f t="shared" si="44"/>
        <v>268</v>
      </c>
      <c r="C327" s="16">
        <v>20200706</v>
      </c>
      <c r="D327" s="16" t="s">
        <v>2</v>
      </c>
      <c r="E327" s="95" t="s">
        <v>1613</v>
      </c>
      <c r="F327" s="84" t="s">
        <v>58</v>
      </c>
      <c r="G327" s="48"/>
      <c r="H327" s="16" t="s">
        <v>1621</v>
      </c>
      <c r="I327" s="16" t="s">
        <v>1580</v>
      </c>
      <c r="J327" s="16" t="s">
        <v>254</v>
      </c>
      <c r="K327" s="84" t="s">
        <v>1628</v>
      </c>
      <c r="L327" s="84" t="s">
        <v>58</v>
      </c>
      <c r="M327" s="48"/>
      <c r="N327" s="16" t="s">
        <v>1624</v>
      </c>
      <c r="O327" s="84" t="s">
        <v>1585</v>
      </c>
      <c r="P327" s="84" t="s">
        <v>1087</v>
      </c>
      <c r="Q327" s="18"/>
      <c r="R327" s="16" t="s">
        <v>1622</v>
      </c>
      <c r="S327" s="16" t="s">
        <v>925</v>
      </c>
      <c r="T327" s="16" t="s">
        <v>136</v>
      </c>
      <c r="U327" s="16" t="s">
        <v>0</v>
      </c>
      <c r="V327" s="16"/>
      <c r="W327" s="16">
        <f>ROUND(IF(D327=Table!$C$3,Y327*Table!$C$4/8,Y327*Table!$D$4/8),3)</f>
        <v>26</v>
      </c>
      <c r="X327" s="16">
        <f t="shared" si="45"/>
        <v>26</v>
      </c>
      <c r="Y327" s="16">
        <v>1.6</v>
      </c>
      <c r="Z327" s="16">
        <v>1</v>
      </c>
      <c r="AA327" s="16" t="s">
        <v>21</v>
      </c>
      <c r="AB327" s="85">
        <v>44025</v>
      </c>
      <c r="AC327" s="85">
        <v>44018</v>
      </c>
      <c r="AD327" s="85">
        <v>44022</v>
      </c>
      <c r="AE327" s="85">
        <v>44023</v>
      </c>
      <c r="AF327" s="85">
        <v>44023</v>
      </c>
      <c r="AG327" s="85" t="s">
        <v>164</v>
      </c>
      <c r="AH327" s="86">
        <v>0.875</v>
      </c>
      <c r="AI327" s="86">
        <v>0.875</v>
      </c>
      <c r="AJ327" s="197" t="s">
        <v>326</v>
      </c>
      <c r="AK327" s="96" t="s">
        <v>144</v>
      </c>
      <c r="AL327" s="93" t="s">
        <v>1720</v>
      </c>
      <c r="AM327" s="17" t="s">
        <v>58</v>
      </c>
      <c r="AN327" s="17" t="s">
        <v>58</v>
      </c>
    </row>
    <row r="328" spans="2:40" x14ac:dyDescent="0.25">
      <c r="B328" s="225">
        <f t="shared" si="44"/>
        <v>269</v>
      </c>
      <c r="C328" s="16">
        <v>20200706</v>
      </c>
      <c r="D328" s="16" t="s">
        <v>2</v>
      </c>
      <c r="E328" s="95" t="s">
        <v>1613</v>
      </c>
      <c r="F328" s="84" t="s">
        <v>58</v>
      </c>
      <c r="G328" s="48"/>
      <c r="H328" s="16" t="s">
        <v>470</v>
      </c>
      <c r="I328" s="16" t="s">
        <v>1581</v>
      </c>
      <c r="J328" s="16" t="s">
        <v>1247</v>
      </c>
      <c r="K328" s="84"/>
      <c r="L328" s="84" t="s">
        <v>58</v>
      </c>
      <c r="M328" s="48"/>
      <c r="N328" s="16" t="s">
        <v>1624</v>
      </c>
      <c r="O328" s="84" t="s">
        <v>1610</v>
      </c>
      <c r="P328" s="84" t="s">
        <v>1087</v>
      </c>
      <c r="Q328" s="18"/>
      <c r="R328" s="16" t="s">
        <v>1622</v>
      </c>
      <c r="S328" s="16" t="s">
        <v>925</v>
      </c>
      <c r="T328" s="16" t="s">
        <v>136</v>
      </c>
      <c r="U328" s="16" t="s">
        <v>0</v>
      </c>
      <c r="V328" s="16"/>
      <c r="W328" s="16">
        <f>ROUND(IF(D328=Table!$C$3,Y328*Table!$C$4/8,Y328*Table!$D$4/8),3)</f>
        <v>104</v>
      </c>
      <c r="X328" s="16">
        <f t="shared" si="45"/>
        <v>104</v>
      </c>
      <c r="Y328" s="16">
        <v>6.4</v>
      </c>
      <c r="Z328" s="16">
        <v>10</v>
      </c>
      <c r="AA328" s="16" t="s">
        <v>21</v>
      </c>
      <c r="AB328" s="85">
        <v>44025</v>
      </c>
      <c r="AC328" s="85">
        <v>44018</v>
      </c>
      <c r="AD328" s="85">
        <v>44022</v>
      </c>
      <c r="AE328" s="85">
        <v>44022</v>
      </c>
      <c r="AF328" s="85">
        <v>44022</v>
      </c>
      <c r="AG328" s="85" t="s">
        <v>164</v>
      </c>
      <c r="AH328" s="86">
        <v>0.94699999999999995</v>
      </c>
      <c r="AI328" s="86">
        <v>0.97899999999999998</v>
      </c>
      <c r="AJ328" s="86">
        <v>1</v>
      </c>
      <c r="AK328" s="96" t="s">
        <v>144</v>
      </c>
      <c r="AL328" s="93" t="s">
        <v>1733</v>
      </c>
      <c r="AM328" s="198" t="s">
        <v>58</v>
      </c>
      <c r="AN328" s="198" t="s">
        <v>58</v>
      </c>
    </row>
    <row r="329" spans="2:40" x14ac:dyDescent="0.25">
      <c r="B329" s="225">
        <f t="shared" si="44"/>
        <v>270</v>
      </c>
      <c r="C329" s="16">
        <v>20200706</v>
      </c>
      <c r="D329" s="16" t="s">
        <v>2</v>
      </c>
      <c r="E329" s="95" t="s">
        <v>1613</v>
      </c>
      <c r="F329" s="84" t="s">
        <v>58</v>
      </c>
      <c r="G329" s="48"/>
      <c r="H329" s="16" t="s">
        <v>471</v>
      </c>
      <c r="I329" s="16" t="s">
        <v>1582</v>
      </c>
      <c r="J329" s="16" t="s">
        <v>1612</v>
      </c>
      <c r="K329" s="84" t="s">
        <v>1611</v>
      </c>
      <c r="L329" s="84" t="s">
        <v>58</v>
      </c>
      <c r="M329" s="48"/>
      <c r="N329" s="16" t="s">
        <v>1624</v>
      </c>
      <c r="O329" s="84" t="s">
        <v>1611</v>
      </c>
      <c r="P329" s="84" t="s">
        <v>1087</v>
      </c>
      <c r="Q329" s="18"/>
      <c r="R329" s="16" t="s">
        <v>1622</v>
      </c>
      <c r="S329" s="16" t="s">
        <v>925</v>
      </c>
      <c r="T329" s="16" t="s">
        <v>136</v>
      </c>
      <c r="U329" s="16" t="s">
        <v>0</v>
      </c>
      <c r="V329" s="16"/>
      <c r="W329" s="16">
        <f>ROUND(IF(D329=Table!$C$3,Y329*Table!$C$4/8,Y329*Table!$D$4/8),3)</f>
        <v>13</v>
      </c>
      <c r="X329" s="16">
        <f t="shared" si="45"/>
        <v>13</v>
      </c>
      <c r="Y329" s="16">
        <v>0.8</v>
      </c>
      <c r="Z329" s="16">
        <f>1</f>
        <v>1</v>
      </c>
      <c r="AA329" s="16" t="s">
        <v>21</v>
      </c>
      <c r="AB329" s="85">
        <v>44025</v>
      </c>
      <c r="AC329" s="85">
        <v>44018</v>
      </c>
      <c r="AD329" s="85">
        <v>44022</v>
      </c>
      <c r="AE329" s="85">
        <v>44023</v>
      </c>
      <c r="AF329" s="85">
        <v>44023</v>
      </c>
      <c r="AG329" s="85" t="s">
        <v>164</v>
      </c>
      <c r="AH329" s="86">
        <v>0.77800000000000002</v>
      </c>
      <c r="AI329" s="86">
        <v>0.78900000000000003</v>
      </c>
      <c r="AJ329" s="86">
        <v>1</v>
      </c>
      <c r="AK329" s="96" t="s">
        <v>144</v>
      </c>
      <c r="AL329" s="93" t="s">
        <v>1722</v>
      </c>
      <c r="AM329" s="17" t="s">
        <v>58</v>
      </c>
      <c r="AN329" s="17" t="s">
        <v>58</v>
      </c>
    </row>
    <row r="330" spans="2:40" x14ac:dyDescent="0.25">
      <c r="B330" s="225"/>
      <c r="C330" s="16"/>
      <c r="D330" s="16"/>
      <c r="E330" s="95"/>
      <c r="F330" s="84"/>
      <c r="G330" s="48"/>
      <c r="H330" s="16"/>
      <c r="I330" s="16"/>
      <c r="J330" s="16"/>
      <c r="K330" s="48"/>
      <c r="L330" s="84"/>
      <c r="M330" s="48"/>
      <c r="N330" s="16"/>
      <c r="O330" s="84"/>
      <c r="P330" s="84"/>
      <c r="Q330" s="18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85"/>
      <c r="AC330" s="85"/>
      <c r="AD330" s="85"/>
      <c r="AE330" s="85"/>
      <c r="AF330" s="85"/>
      <c r="AG330" s="85"/>
      <c r="AH330" s="86"/>
      <c r="AI330" s="86"/>
      <c r="AJ330" s="86"/>
      <c r="AK330" s="96"/>
      <c r="AL330" s="93"/>
      <c r="AM330" s="15"/>
      <c r="AN330" s="15"/>
    </row>
    <row r="331" spans="2:40" x14ac:dyDescent="0.25">
      <c r="B331" s="225"/>
      <c r="C331" s="16"/>
      <c r="D331" s="16"/>
      <c r="E331" s="95"/>
      <c r="F331" s="84"/>
      <c r="G331" s="48"/>
      <c r="H331" s="16"/>
      <c r="I331" s="16"/>
      <c r="J331" s="16"/>
      <c r="K331" s="48"/>
      <c r="L331" s="84"/>
      <c r="M331" s="48"/>
      <c r="N331" s="16"/>
      <c r="O331" s="84"/>
      <c r="P331" s="84"/>
      <c r="Q331" s="18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85"/>
      <c r="AC331" s="85"/>
      <c r="AD331" s="85"/>
      <c r="AE331" s="85"/>
      <c r="AF331" s="85"/>
      <c r="AG331" s="85"/>
      <c r="AH331" s="86"/>
      <c r="AI331" s="86"/>
      <c r="AJ331" s="86"/>
      <c r="AK331" s="96"/>
      <c r="AL331" s="93"/>
      <c r="AM331" s="15"/>
      <c r="AN331" s="15"/>
    </row>
    <row r="332" spans="2:40" x14ac:dyDescent="0.25">
      <c r="B332" s="225"/>
      <c r="C332" s="16"/>
      <c r="D332" s="16"/>
      <c r="E332" s="95"/>
      <c r="F332" s="84"/>
      <c r="G332" s="48"/>
      <c r="H332" s="16"/>
      <c r="I332" s="16"/>
      <c r="J332" s="16"/>
      <c r="K332" s="48"/>
      <c r="L332" s="84"/>
      <c r="M332" s="48"/>
      <c r="N332" s="16"/>
      <c r="P332" s="84"/>
      <c r="Q332" s="18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85"/>
      <c r="AC332" s="85"/>
      <c r="AD332" s="85"/>
      <c r="AE332" s="85"/>
      <c r="AF332" s="85"/>
      <c r="AG332" s="85"/>
      <c r="AH332" s="86"/>
      <c r="AI332" s="86"/>
      <c r="AJ332" s="86"/>
      <c r="AK332" s="96"/>
      <c r="AL332" s="93"/>
      <c r="AM332" s="15"/>
      <c r="AN332" s="15"/>
    </row>
    <row r="333" spans="2:40" x14ac:dyDescent="0.25">
      <c r="B333" s="225"/>
      <c r="C333" s="16"/>
      <c r="D333" s="16"/>
      <c r="E333" s="95"/>
      <c r="F333" s="84"/>
      <c r="G333" s="48"/>
      <c r="H333" s="16"/>
      <c r="I333" s="16"/>
      <c r="J333" s="16"/>
      <c r="K333" s="48"/>
      <c r="L333" s="84"/>
      <c r="M333" s="48"/>
      <c r="N333" s="16"/>
      <c r="O333" s="84"/>
      <c r="P333" s="84"/>
      <c r="Q333" s="18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85"/>
      <c r="AC333" s="85"/>
      <c r="AD333" s="85"/>
      <c r="AE333" s="85"/>
      <c r="AF333" s="85"/>
      <c r="AG333" s="85"/>
      <c r="AH333" s="86"/>
      <c r="AI333" s="86"/>
      <c r="AJ333" s="86"/>
      <c r="AK333" s="96"/>
      <c r="AL333" s="93"/>
      <c r="AM333" s="15"/>
      <c r="AN333" s="15"/>
    </row>
    <row r="334" spans="2:40" x14ac:dyDescent="0.25">
      <c r="B334" s="225"/>
      <c r="C334" s="16"/>
      <c r="D334" s="16"/>
      <c r="E334" s="95"/>
      <c r="F334" s="84"/>
      <c r="G334" s="48"/>
      <c r="H334" s="16"/>
      <c r="I334" s="16"/>
      <c r="J334" s="16"/>
      <c r="K334" s="48"/>
      <c r="L334" s="84"/>
      <c r="M334" s="48"/>
      <c r="N334" s="16"/>
      <c r="O334" s="84"/>
      <c r="P334" s="84"/>
      <c r="Q334" s="18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85"/>
      <c r="AC334" s="85"/>
      <c r="AD334" s="85"/>
      <c r="AE334" s="85"/>
      <c r="AF334" s="85"/>
      <c r="AG334" s="85"/>
      <c r="AH334" s="86"/>
      <c r="AI334" s="86"/>
      <c r="AJ334" s="86"/>
      <c r="AK334" s="96"/>
      <c r="AL334" s="93"/>
      <c r="AM334" s="15"/>
      <c r="AN334" s="15"/>
    </row>
    <row r="335" spans="2:40" x14ac:dyDescent="0.25">
      <c r="B335" s="225"/>
      <c r="C335" s="16"/>
      <c r="D335" s="16"/>
      <c r="E335" s="95"/>
      <c r="F335" s="84"/>
      <c r="G335" s="48"/>
      <c r="H335" s="16"/>
      <c r="I335" s="16"/>
      <c r="J335" s="16"/>
      <c r="K335" s="48"/>
      <c r="L335" s="84"/>
      <c r="M335" s="48"/>
      <c r="N335" s="16"/>
      <c r="O335" s="84"/>
      <c r="P335" s="84"/>
      <c r="Q335" s="18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85"/>
      <c r="AC335" s="85"/>
      <c r="AD335" s="85"/>
      <c r="AE335" s="85"/>
      <c r="AF335" s="85"/>
      <c r="AG335" s="85"/>
      <c r="AH335" s="86"/>
      <c r="AI335" s="86"/>
      <c r="AJ335" s="86"/>
      <c r="AK335" s="96"/>
      <c r="AL335" s="93"/>
      <c r="AM335" s="15"/>
      <c r="AN335" s="15"/>
    </row>
    <row r="336" spans="2:40" x14ac:dyDescent="0.25">
      <c r="B336" s="225"/>
      <c r="C336" s="16"/>
      <c r="D336" s="16"/>
      <c r="E336" s="95"/>
      <c r="F336" s="84"/>
      <c r="G336" s="48"/>
      <c r="H336" s="16"/>
      <c r="I336" s="16"/>
      <c r="J336" s="16"/>
      <c r="K336" s="48"/>
      <c r="L336" s="84"/>
      <c r="M336" s="48"/>
      <c r="N336" s="16"/>
      <c r="O336" s="84"/>
      <c r="P336" s="84"/>
      <c r="Q336" s="18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85"/>
      <c r="AC336" s="85"/>
      <c r="AD336" s="85"/>
      <c r="AE336" s="85"/>
      <c r="AF336" s="85"/>
      <c r="AG336" s="85"/>
      <c r="AH336" s="86"/>
      <c r="AI336" s="86"/>
      <c r="AJ336" s="86"/>
      <c r="AK336" s="96"/>
      <c r="AL336" s="93"/>
      <c r="AM336" s="15"/>
      <c r="AN336" s="15"/>
    </row>
    <row r="337" spans="2:40" x14ac:dyDescent="0.25">
      <c r="B337" s="225"/>
      <c r="C337" s="16"/>
      <c r="D337" s="16"/>
      <c r="E337" s="95"/>
      <c r="F337" s="84"/>
      <c r="G337" s="48"/>
      <c r="H337" s="16"/>
      <c r="I337" s="16"/>
      <c r="J337" s="16"/>
      <c r="K337" s="48"/>
      <c r="L337" s="84"/>
      <c r="M337" s="48"/>
      <c r="N337" s="16"/>
      <c r="O337" s="84"/>
      <c r="P337" s="84"/>
      <c r="Q337" s="18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85"/>
      <c r="AC337" s="85"/>
      <c r="AD337" s="85"/>
      <c r="AE337" s="85"/>
      <c r="AF337" s="85"/>
      <c r="AG337" s="85"/>
      <c r="AH337" s="86"/>
      <c r="AI337" s="86"/>
      <c r="AJ337" s="86"/>
      <c r="AK337" s="96"/>
      <c r="AL337" s="93"/>
      <c r="AM337" s="15"/>
      <c r="AN337" s="15"/>
    </row>
    <row r="338" spans="2:40" x14ac:dyDescent="0.25">
      <c r="B338" s="225"/>
      <c r="C338" s="16"/>
      <c r="D338" s="16"/>
      <c r="E338" s="95"/>
      <c r="F338" s="84"/>
      <c r="G338" s="48"/>
      <c r="H338" s="16"/>
      <c r="I338" s="16"/>
      <c r="J338" s="16"/>
      <c r="K338" s="48"/>
      <c r="L338" s="84"/>
      <c r="M338" s="48"/>
      <c r="N338" s="16"/>
      <c r="O338" s="84"/>
      <c r="P338" s="84"/>
      <c r="Q338" s="18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85"/>
      <c r="AC338" s="85"/>
      <c r="AD338" s="85"/>
      <c r="AE338" s="85"/>
      <c r="AF338" s="85"/>
      <c r="AG338" s="85"/>
      <c r="AH338" s="86"/>
      <c r="AI338" s="86"/>
      <c r="AJ338" s="86"/>
      <c r="AK338" s="96"/>
      <c r="AL338" s="93"/>
      <c r="AM338" s="15"/>
      <c r="AN338" s="15"/>
    </row>
    <row r="339" spans="2:40" x14ac:dyDescent="0.25">
      <c r="B339" s="225"/>
      <c r="C339" s="16"/>
      <c r="D339" s="16"/>
      <c r="E339" s="95"/>
      <c r="F339" s="84"/>
      <c r="G339" s="48"/>
      <c r="H339" s="16"/>
      <c r="I339" s="16"/>
      <c r="J339" s="16"/>
      <c r="K339" s="48"/>
      <c r="L339" s="84"/>
      <c r="M339" s="48"/>
      <c r="N339" s="16"/>
      <c r="O339" s="84"/>
      <c r="P339" s="84"/>
      <c r="Q339" s="18"/>
      <c r="R339" s="16"/>
      <c r="S339" s="16"/>
      <c r="T339" s="16"/>
      <c r="U339" s="16"/>
      <c r="V339" s="16"/>
      <c r="W339" s="16"/>
      <c r="X339" s="16"/>
      <c r="Y339" s="16"/>
      <c r="Z339" s="16"/>
      <c r="AA339" s="85"/>
      <c r="AC339" s="85"/>
      <c r="AD339" s="85"/>
      <c r="AE339" s="85"/>
      <c r="AF339" s="85"/>
      <c r="AG339" s="85"/>
      <c r="AH339" s="86"/>
      <c r="AI339" s="86"/>
      <c r="AJ339" s="86"/>
      <c r="AK339" s="96"/>
      <c r="AL339" s="93"/>
      <c r="AM339" s="15"/>
      <c r="AN339" s="15"/>
    </row>
    <row r="340" spans="2:40" x14ac:dyDescent="0.25">
      <c r="B340" s="225"/>
      <c r="C340" s="16"/>
      <c r="D340" s="16"/>
      <c r="E340" s="95"/>
      <c r="F340" s="84"/>
      <c r="G340" s="48"/>
      <c r="H340" s="16"/>
      <c r="I340" s="16"/>
      <c r="J340" s="16"/>
      <c r="K340" s="48"/>
      <c r="L340" s="84"/>
      <c r="M340" s="48"/>
      <c r="N340" s="16"/>
      <c r="O340" s="84"/>
      <c r="P340" s="84"/>
      <c r="Q340" s="18"/>
      <c r="R340" s="16"/>
      <c r="S340" s="16"/>
      <c r="T340" s="16"/>
      <c r="U340" s="16"/>
      <c r="V340" s="16"/>
      <c r="W340" s="16"/>
      <c r="X340" s="16"/>
      <c r="Y340" s="16"/>
      <c r="Z340" s="16"/>
      <c r="AA340" s="85"/>
      <c r="AC340" s="85"/>
      <c r="AD340" s="85"/>
      <c r="AE340" s="85"/>
      <c r="AF340" s="85"/>
      <c r="AG340" s="85"/>
      <c r="AH340" s="86"/>
      <c r="AI340" s="86"/>
      <c r="AJ340" s="86"/>
      <c r="AK340" s="96"/>
      <c r="AL340" s="93"/>
      <c r="AM340" s="15"/>
      <c r="AN340" s="15"/>
    </row>
    <row r="341" spans="2:40" x14ac:dyDescent="0.25">
      <c r="B341" s="225"/>
      <c r="C341" s="16"/>
      <c r="D341" s="16"/>
      <c r="E341" s="95"/>
      <c r="F341" s="84"/>
      <c r="G341" s="48"/>
      <c r="H341" s="16"/>
      <c r="I341" s="16"/>
      <c r="J341" s="16"/>
      <c r="K341" s="48"/>
      <c r="L341" s="84"/>
      <c r="M341" s="48"/>
      <c r="N341" s="16"/>
      <c r="O341" s="84"/>
      <c r="P341" s="84"/>
      <c r="Q341" s="18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85"/>
      <c r="AC341" s="85"/>
      <c r="AD341" s="85"/>
      <c r="AE341" s="85"/>
      <c r="AF341" s="85"/>
      <c r="AG341" s="85"/>
      <c r="AH341" s="86"/>
      <c r="AI341" s="86"/>
      <c r="AJ341" s="86"/>
      <c r="AK341" s="96"/>
      <c r="AL341" s="93"/>
      <c r="AM341" s="15"/>
      <c r="AN341" s="15"/>
    </row>
    <row r="342" spans="2:40" x14ac:dyDescent="0.25">
      <c r="B342" s="225"/>
      <c r="C342" s="16"/>
      <c r="D342" s="16"/>
      <c r="E342" s="95"/>
      <c r="F342" s="84"/>
      <c r="G342" s="48"/>
      <c r="H342" s="16"/>
      <c r="I342" s="16"/>
      <c r="J342" s="16"/>
      <c r="K342" s="48"/>
      <c r="L342" s="84"/>
      <c r="M342" s="48"/>
      <c r="N342" s="16"/>
      <c r="O342" s="84"/>
      <c r="P342" s="84"/>
      <c r="Q342" s="18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85"/>
      <c r="AC342" s="85"/>
      <c r="AD342" s="85"/>
      <c r="AE342" s="85"/>
      <c r="AF342" s="85"/>
      <c r="AG342" s="85"/>
      <c r="AH342" s="86"/>
      <c r="AI342" s="86"/>
      <c r="AJ342" s="86"/>
      <c r="AK342" s="96"/>
      <c r="AL342" s="93"/>
      <c r="AM342" s="15"/>
      <c r="AN342" s="15"/>
    </row>
    <row r="343" spans="2:40" x14ac:dyDescent="0.25">
      <c r="B343" s="225"/>
      <c r="C343" s="16"/>
      <c r="D343" s="16"/>
      <c r="E343" s="95"/>
      <c r="F343" s="84"/>
      <c r="G343" s="48"/>
      <c r="H343" s="16"/>
      <c r="I343" s="16"/>
      <c r="J343" s="16"/>
      <c r="K343" s="48"/>
      <c r="L343" s="84"/>
      <c r="M343" s="48"/>
      <c r="N343" s="16"/>
      <c r="O343" s="84"/>
      <c r="P343" s="84"/>
      <c r="Q343" s="18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85"/>
      <c r="AC343" s="85"/>
      <c r="AD343" s="85"/>
      <c r="AE343" s="85"/>
      <c r="AF343" s="85"/>
      <c r="AG343" s="85"/>
      <c r="AH343" s="86"/>
      <c r="AI343" s="86"/>
      <c r="AJ343" s="86"/>
      <c r="AK343" s="96"/>
      <c r="AL343" s="93"/>
      <c r="AM343" s="15"/>
      <c r="AN343" s="15"/>
    </row>
    <row r="344" spans="2:40" x14ac:dyDescent="0.25">
      <c r="B344" s="225"/>
      <c r="C344" s="16"/>
      <c r="D344" s="16"/>
      <c r="E344" s="95"/>
      <c r="F344" s="84"/>
      <c r="G344" s="48"/>
      <c r="H344" s="16"/>
      <c r="I344" s="16"/>
      <c r="J344" s="16"/>
      <c r="K344" s="48"/>
      <c r="L344" s="84"/>
      <c r="M344" s="48"/>
      <c r="N344" s="16"/>
      <c r="O344" s="84"/>
      <c r="P344" s="84"/>
      <c r="Q344" s="18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85"/>
      <c r="AC344" s="85"/>
      <c r="AD344" s="85"/>
      <c r="AE344" s="85"/>
      <c r="AF344" s="85"/>
      <c r="AG344" s="85"/>
      <c r="AH344" s="86"/>
      <c r="AI344" s="86"/>
      <c r="AJ344" s="86"/>
      <c r="AK344" s="96"/>
      <c r="AL344" s="93"/>
      <c r="AM344" s="15"/>
      <c r="AN344" s="15"/>
    </row>
    <row r="345" spans="2:40" x14ac:dyDescent="0.25">
      <c r="B345" s="225"/>
      <c r="C345" s="16"/>
      <c r="D345" s="16"/>
      <c r="E345" s="95"/>
      <c r="F345" s="84"/>
      <c r="G345" s="48"/>
      <c r="H345" s="16"/>
      <c r="I345" s="16"/>
      <c r="J345" s="16"/>
      <c r="K345" s="48"/>
      <c r="L345" s="84"/>
      <c r="M345" s="48"/>
      <c r="N345" s="16"/>
      <c r="O345" s="84"/>
      <c r="P345" s="84"/>
      <c r="Q345" s="18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85"/>
      <c r="AC345" s="85"/>
      <c r="AD345" s="85"/>
      <c r="AE345" s="85"/>
      <c r="AF345" s="85"/>
      <c r="AG345" s="85"/>
      <c r="AH345" s="86"/>
      <c r="AI345" s="86"/>
      <c r="AJ345" s="86"/>
      <c r="AK345" s="96"/>
      <c r="AL345" s="93"/>
      <c r="AM345" s="15"/>
      <c r="AN345" s="15"/>
    </row>
    <row r="346" spans="2:40" x14ac:dyDescent="0.25">
      <c r="B346" s="225"/>
      <c r="C346" s="16"/>
      <c r="D346" s="16"/>
      <c r="E346" s="95"/>
      <c r="F346" s="84"/>
      <c r="G346" s="48"/>
      <c r="H346" s="16"/>
      <c r="I346" s="16"/>
      <c r="J346" s="16"/>
      <c r="K346" s="48"/>
      <c r="L346" s="84"/>
      <c r="M346" s="48"/>
      <c r="N346" s="16"/>
      <c r="O346" s="84"/>
      <c r="P346" s="84"/>
      <c r="Q346" s="18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85"/>
      <c r="AC346" s="85"/>
      <c r="AD346" s="85"/>
      <c r="AE346" s="85"/>
      <c r="AF346" s="85"/>
      <c r="AG346" s="85"/>
      <c r="AH346" s="86"/>
      <c r="AI346" s="86"/>
      <c r="AJ346" s="86"/>
      <c r="AK346" s="96"/>
      <c r="AL346" s="93"/>
      <c r="AM346" s="15"/>
      <c r="AN346" s="15"/>
    </row>
    <row r="347" spans="2:40" x14ac:dyDescent="0.25">
      <c r="B347" s="225"/>
      <c r="C347" s="16"/>
      <c r="D347" s="16"/>
      <c r="E347" s="95"/>
      <c r="F347" s="84"/>
      <c r="G347" s="48"/>
      <c r="H347" s="16"/>
      <c r="I347" s="16"/>
      <c r="J347" s="16"/>
      <c r="K347" s="48"/>
      <c r="L347" s="84"/>
      <c r="M347" s="48"/>
      <c r="N347" s="16"/>
      <c r="O347" s="84"/>
      <c r="P347" s="84"/>
      <c r="Q347" s="18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85"/>
      <c r="AC347" s="85"/>
      <c r="AD347" s="85"/>
      <c r="AE347" s="85"/>
      <c r="AF347" s="85"/>
      <c r="AG347" s="85"/>
      <c r="AH347" s="86"/>
      <c r="AI347" s="86"/>
      <c r="AJ347" s="86"/>
      <c r="AK347" s="96"/>
      <c r="AL347" s="93"/>
      <c r="AM347" s="15"/>
      <c r="AN347" s="15"/>
    </row>
    <row r="348" spans="2:40" x14ac:dyDescent="0.25">
      <c r="B348" s="225"/>
      <c r="C348" s="16"/>
      <c r="D348" s="16"/>
      <c r="E348" s="95"/>
      <c r="F348" s="84"/>
      <c r="G348" s="48"/>
      <c r="H348" s="16"/>
      <c r="I348" s="16"/>
      <c r="J348" s="16"/>
      <c r="K348" s="48"/>
      <c r="L348" s="84"/>
      <c r="M348" s="48"/>
      <c r="N348" s="16"/>
      <c r="O348" s="84"/>
      <c r="P348" s="84"/>
      <c r="Q348" s="18"/>
      <c r="R348" s="88"/>
      <c r="S348" s="16"/>
      <c r="T348" s="16"/>
      <c r="U348" s="16"/>
      <c r="V348" s="16"/>
      <c r="W348" s="16"/>
      <c r="X348" s="16"/>
      <c r="Y348" s="16"/>
      <c r="Z348" s="16"/>
      <c r="AA348" s="16"/>
      <c r="AB348" s="85"/>
      <c r="AC348" s="85"/>
      <c r="AD348" s="85"/>
      <c r="AE348" s="85"/>
      <c r="AF348" s="85"/>
      <c r="AG348" s="85"/>
      <c r="AH348" s="86"/>
      <c r="AI348" s="86"/>
      <c r="AJ348" s="86"/>
      <c r="AK348" s="96"/>
      <c r="AL348" s="93"/>
      <c r="AM348" s="15"/>
      <c r="AN348" s="15"/>
    </row>
    <row r="349" spans="2:40" x14ac:dyDescent="0.25">
      <c r="B349" s="225"/>
      <c r="C349" s="16"/>
      <c r="D349" s="16"/>
      <c r="E349" s="95"/>
      <c r="F349" s="84"/>
      <c r="G349" s="48"/>
      <c r="H349" s="16"/>
      <c r="I349" s="16"/>
      <c r="J349" s="16"/>
      <c r="K349" s="48"/>
      <c r="L349" s="84"/>
      <c r="M349" s="48"/>
      <c r="N349" s="16"/>
      <c r="O349" s="84"/>
      <c r="P349" s="84"/>
      <c r="Q349" s="18"/>
      <c r="R349" s="88"/>
      <c r="S349" s="16"/>
      <c r="T349" s="16"/>
      <c r="U349" s="16"/>
      <c r="V349" s="16"/>
      <c r="W349" s="16"/>
      <c r="X349" s="16"/>
      <c r="Y349" s="16"/>
      <c r="Z349" s="16"/>
      <c r="AA349" s="16"/>
      <c r="AB349" s="85"/>
      <c r="AC349" s="85"/>
      <c r="AD349" s="85"/>
      <c r="AE349" s="85"/>
      <c r="AF349" s="85"/>
      <c r="AG349" s="85"/>
      <c r="AH349" s="86"/>
      <c r="AI349" s="86"/>
      <c r="AJ349" s="86"/>
      <c r="AK349" s="96"/>
      <c r="AL349" s="93"/>
      <c r="AM349" s="15"/>
      <c r="AN349" s="15"/>
    </row>
    <row r="350" spans="2:40" x14ac:dyDescent="0.25">
      <c r="B350" s="225"/>
      <c r="C350" s="16"/>
      <c r="D350" s="16"/>
      <c r="E350" s="95"/>
      <c r="F350" s="84"/>
      <c r="G350" s="48"/>
      <c r="H350" s="16"/>
      <c r="I350" s="16"/>
      <c r="J350" s="16"/>
      <c r="K350" s="48"/>
      <c r="L350" s="84"/>
      <c r="M350" s="48"/>
      <c r="N350" s="16"/>
      <c r="O350" s="84"/>
      <c r="P350" s="84"/>
      <c r="Q350" s="18"/>
      <c r="R350" s="88"/>
      <c r="S350" s="16"/>
      <c r="T350" s="16"/>
      <c r="U350" s="16"/>
      <c r="V350" s="16"/>
      <c r="W350" s="16"/>
      <c r="X350" s="16"/>
      <c r="Y350" s="16"/>
      <c r="Z350" s="16"/>
      <c r="AA350" s="16"/>
      <c r="AB350" s="85"/>
      <c r="AC350" s="85"/>
      <c r="AD350" s="85"/>
      <c r="AE350" s="85"/>
      <c r="AF350" s="85"/>
      <c r="AG350" s="85"/>
      <c r="AH350" s="86"/>
      <c r="AI350" s="86"/>
      <c r="AJ350" s="86"/>
      <c r="AK350" s="96"/>
      <c r="AL350" s="93"/>
      <c r="AM350" s="15"/>
      <c r="AN350" s="15"/>
    </row>
    <row r="351" spans="2:40" x14ac:dyDescent="0.25">
      <c r="B351" s="225"/>
      <c r="C351" s="16"/>
      <c r="D351" s="16"/>
      <c r="E351" s="95"/>
      <c r="F351" s="84"/>
      <c r="G351" s="48"/>
      <c r="H351" s="16"/>
      <c r="I351" s="16"/>
      <c r="J351" s="16"/>
      <c r="K351" s="48"/>
      <c r="L351" s="84"/>
      <c r="M351" s="48"/>
      <c r="N351" s="16"/>
      <c r="O351" s="84"/>
      <c r="P351" s="84"/>
      <c r="Q351" s="18"/>
      <c r="R351" s="88"/>
      <c r="S351" s="16"/>
      <c r="T351" s="16"/>
      <c r="U351" s="16"/>
      <c r="V351" s="16"/>
      <c r="W351" s="16"/>
      <c r="X351" s="16"/>
      <c r="Y351" s="16"/>
      <c r="Z351" s="16"/>
      <c r="AA351" s="16"/>
      <c r="AB351" s="85"/>
      <c r="AC351" s="85"/>
      <c r="AD351" s="85"/>
      <c r="AE351" s="85"/>
      <c r="AF351" s="85"/>
      <c r="AG351" s="85"/>
      <c r="AH351" s="86"/>
      <c r="AI351" s="86"/>
      <c r="AJ351" s="86"/>
      <c r="AK351" s="96"/>
      <c r="AL351" s="93"/>
      <c r="AM351" s="15"/>
      <c r="AN351" s="15"/>
    </row>
    <row r="352" spans="2:40" x14ac:dyDescent="0.25">
      <c r="B352" s="225"/>
      <c r="C352" s="16"/>
      <c r="D352" s="16"/>
      <c r="E352" s="95"/>
      <c r="F352" s="84"/>
      <c r="G352" s="48"/>
      <c r="H352" s="16"/>
      <c r="I352" s="16"/>
      <c r="J352" s="16"/>
      <c r="K352" s="48"/>
      <c r="L352" s="84"/>
      <c r="M352" s="48"/>
      <c r="N352" s="16"/>
      <c r="O352" s="84"/>
      <c r="P352" s="84"/>
      <c r="Q352" s="18"/>
      <c r="R352" s="88"/>
      <c r="S352" s="16"/>
      <c r="T352" s="16"/>
      <c r="U352" s="16"/>
      <c r="V352" s="16"/>
      <c r="W352" s="16"/>
      <c r="X352" s="16"/>
      <c r="Y352" s="16"/>
      <c r="Z352" s="16"/>
      <c r="AA352" s="16"/>
      <c r="AB352" s="85"/>
      <c r="AC352" s="85"/>
      <c r="AD352" s="85"/>
      <c r="AE352" s="85"/>
      <c r="AF352" s="85"/>
      <c r="AG352" s="85"/>
      <c r="AH352" s="86"/>
      <c r="AI352" s="86"/>
      <c r="AJ352" s="86"/>
      <c r="AK352" s="96"/>
      <c r="AL352" s="93"/>
      <c r="AM352" s="15"/>
      <c r="AN352" s="15"/>
    </row>
    <row r="353" spans="2:40" x14ac:dyDescent="0.25">
      <c r="B353" s="226"/>
      <c r="C353" s="75"/>
      <c r="D353" s="75"/>
      <c r="E353" s="75"/>
      <c r="F353" s="75"/>
      <c r="G353" s="224"/>
      <c r="H353" s="75"/>
      <c r="I353" s="75"/>
      <c r="J353" s="75"/>
      <c r="K353" s="224"/>
      <c r="L353" s="75"/>
      <c r="M353" s="224"/>
      <c r="N353" s="75"/>
      <c r="O353" s="75"/>
      <c r="P353" s="75"/>
      <c r="Q353" s="147"/>
      <c r="R353" s="15"/>
      <c r="S353" s="75"/>
      <c r="T353" s="75"/>
      <c r="U353" s="75"/>
      <c r="V353" s="75"/>
      <c r="W353" s="75"/>
      <c r="X353" s="75"/>
      <c r="Y353" s="75"/>
      <c r="Z353" s="75"/>
      <c r="AA353" s="75"/>
      <c r="AB353" s="80"/>
      <c r="AC353" s="80"/>
      <c r="AD353" s="80"/>
      <c r="AE353" s="80"/>
      <c r="AF353" s="80"/>
      <c r="AG353" s="80"/>
      <c r="AH353" s="98"/>
      <c r="AI353" s="98"/>
      <c r="AJ353" s="98"/>
      <c r="AK353" s="3"/>
      <c r="AL353" s="3"/>
      <c r="AM353" s="75"/>
      <c r="AN353" s="75"/>
    </row>
    <row r="354" spans="2:40" x14ac:dyDescent="0.25">
      <c r="B354" s="226"/>
      <c r="C354" s="75"/>
      <c r="D354" s="75"/>
      <c r="E354" s="75"/>
      <c r="F354" s="75"/>
      <c r="G354" s="224"/>
      <c r="H354" s="75"/>
      <c r="I354" s="75"/>
      <c r="J354" s="75"/>
      <c r="K354" s="224"/>
      <c r="L354" s="75"/>
      <c r="M354" s="224"/>
      <c r="N354" s="75"/>
      <c r="O354" s="75"/>
      <c r="P354" s="75"/>
      <c r="Q354" s="147"/>
      <c r="R354" s="15"/>
      <c r="S354" s="75"/>
      <c r="T354" s="75"/>
      <c r="U354" s="75"/>
      <c r="V354" s="75"/>
      <c r="W354" s="75"/>
      <c r="X354" s="75"/>
      <c r="Y354" s="75"/>
      <c r="Z354" s="75"/>
      <c r="AA354" s="75"/>
      <c r="AB354" s="80"/>
      <c r="AC354" s="80"/>
      <c r="AD354" s="80"/>
      <c r="AE354" s="80"/>
      <c r="AF354" s="80"/>
      <c r="AG354" s="80"/>
      <c r="AH354" s="98"/>
      <c r="AI354" s="98"/>
      <c r="AJ354" s="98"/>
      <c r="AK354" s="3"/>
      <c r="AL354" s="3"/>
      <c r="AM354" s="75"/>
      <c r="AN354" s="75"/>
    </row>
    <row r="355" spans="2:40" x14ac:dyDescent="0.25">
      <c r="B355" s="226"/>
      <c r="C355" s="75"/>
      <c r="D355" s="75"/>
      <c r="E355" s="75"/>
      <c r="F355" s="75"/>
      <c r="G355" s="224"/>
      <c r="H355" s="75"/>
      <c r="I355" s="75"/>
      <c r="J355" s="75"/>
      <c r="K355" s="224"/>
      <c r="L355" s="75"/>
      <c r="M355" s="224"/>
      <c r="N355" s="75"/>
      <c r="O355" s="75"/>
      <c r="P355" s="75"/>
      <c r="Q355" s="147"/>
      <c r="R355" s="15"/>
      <c r="S355" s="75"/>
      <c r="T355" s="75"/>
      <c r="U355" s="75"/>
      <c r="V355" s="75"/>
      <c r="W355" s="75"/>
      <c r="X355" s="75"/>
      <c r="Y355" s="75"/>
      <c r="Z355" s="75"/>
      <c r="AA355" s="75"/>
      <c r="AB355" s="80"/>
      <c r="AC355" s="80"/>
      <c r="AD355" s="80"/>
      <c r="AE355" s="80"/>
      <c r="AF355" s="80"/>
      <c r="AG355" s="80"/>
      <c r="AH355" s="98"/>
      <c r="AI355" s="98"/>
      <c r="AJ355" s="98"/>
      <c r="AK355" s="3"/>
      <c r="AL355" s="3"/>
      <c r="AM355" s="75"/>
      <c r="AN355" s="75"/>
    </row>
  </sheetData>
  <autoFilter ref="B59:AN329"/>
  <customSheetViews>
    <customSheetView guid="{99BC1C51-34DC-4BF2-906C-1E31B6171D71}" topLeftCell="A79">
      <selection activeCell="A298" sqref="A298:XFD298"/>
      <pageMargins left="0.7" right="0.7" top="0.75" bottom="0.75" header="0.3" footer="0.3"/>
    </customSheetView>
    <customSheetView guid="{7ECC2B8E-6A82-42F5-8AB0-4A51C54EA5EC}" scale="85" topLeftCell="O123">
      <selection activeCell="AC155" sqref="AC155"/>
      <pageMargins left="0.7" right="0.7" top="0.75" bottom="0.75" header="0.3" footer="0.3"/>
      <pageSetup paperSize="9" orientation="portrait" r:id="rId1"/>
    </customSheetView>
    <customSheetView guid="{A2C66332-A809-458E-971B-FDB6D62C74C3}" filter="1" showAutoFilter="1" topLeftCell="S123">
      <selection activeCell="AH266" sqref="AH266"/>
      <pageMargins left="0.7" right="0.7" top="0.75" bottom="0.75" header="0.3" footer="0.3"/>
      <autoFilter ref="A59:AN329">
        <filterColumn colId="18">
          <filters>
            <filter val="bang.nguyen-duy"/>
          </filters>
        </filterColumn>
      </autoFilter>
    </customSheetView>
    <customSheetView guid="{60D2C030-4E31-4E07-8E1C-44D2EE84B177}" filter="1" showAutoFilter="1" topLeftCell="P49">
      <selection activeCell="V334" sqref="V334:V335"/>
      <pageMargins left="0.7" right="0.7" top="0.75" bottom="0.75" header="0.3" footer="0.3"/>
      <autoFilter ref="B59:AN329">
        <filterColumn colId="17">
          <filters>
            <filter val="phuong.nguyen-thanh"/>
          </filters>
        </filterColumn>
        <filterColumn colId="30">
          <filters blank="1">
            <dateGroupItem year="2020" month="7" day="3" dateTimeGrouping="day"/>
          </filters>
        </filterColumn>
      </autoFilter>
    </customSheetView>
    <customSheetView guid="{3B3E6719-EACB-4D2C-89C1-05FFAB6020FD}" scale="70" filter="1" showAutoFilter="1" topLeftCell="K33">
      <selection activeCell="AB341" sqref="AB341"/>
      <pageMargins left="0.7" right="0.7" top="0.75" bottom="0.75" header="0.3" footer="0.3"/>
      <pageSetup orientation="portrait" horizontalDpi="300" verticalDpi="0" r:id="rId2"/>
      <autoFilter ref="B59:AN329">
        <filterColumn colId="17">
          <filters>
            <filter val="phuong.nguyen-thanh"/>
          </filters>
        </filterColumn>
        <filterColumn colId="28">
          <filters>
            <dateGroupItem year="2020" month="7" day="10" dateTimeGrouping="day"/>
          </filters>
        </filterColumn>
      </autoFilter>
    </customSheetView>
    <customSheetView guid="{FECB4C41-27E8-4A22-AFB3-4F54CDD4960E}" scale="85" showAutoFilter="1" topLeftCell="J95">
      <selection activeCell="K115" sqref="K115"/>
      <pageMargins left="0.7" right="0.7" top="0.75" bottom="0.75" header="0.3" footer="0.3"/>
      <pageSetup orientation="portrait" horizontalDpi="300" verticalDpi="0" r:id="rId3"/>
      <autoFilter ref="B59:AN329"/>
    </customSheetView>
    <customSheetView guid="{D33AC7AF-C8AB-4CE9-94C7-9237011A5FC3}" scale="70" filter="1" showAutoFilter="1" topLeftCell="C34">
      <pane xSplit="1" topLeftCell="M1" activePane="topRight" state="frozen"/>
      <selection pane="topRight" activeCell="AL287" sqref="AL287"/>
      <pageMargins left="0.7" right="0.7" top="0.75" bottom="0.75" header="0.3" footer="0.3"/>
      <autoFilter ref="B59:AN329">
        <filterColumn colId="3">
          <filters>
            <filter val="REN_CDV"/>
          </filters>
        </filterColumn>
        <filterColumn colId="17">
          <filters>
            <filter val="huy.do-anh"/>
          </filters>
        </filterColumn>
      </autoFilter>
    </customSheetView>
    <customSheetView guid="{C94451EF-7A3E-4D72-B5A4-3D1B193192CC}" scale="70" showAutoFilter="1">
      <selection activeCell="A160" sqref="A160:XFD178"/>
      <pageMargins left="0.7" right="0.7" top="0.75" bottom="0.75" header="0.3" footer="0.3"/>
      <autoFilter ref="B59:AN329"/>
    </customSheetView>
    <customSheetView guid="{89C03E1E-B6A8-49A1-B29C-5DC4FAB2FBC6}" scale="85" filter="1" showAutoFilter="1" topLeftCell="A55">
      <selection activeCell="A353" sqref="A353:XFD353"/>
      <pageMargins left="0.7" right="0.7" top="0.75" bottom="0.75" header="0.3" footer="0.3"/>
      <pageSetup orientation="portrait" horizontalDpi="300" verticalDpi="0" r:id="rId4"/>
      <autoFilter ref="B59:AN329">
        <filterColumn colId="17">
          <filters>
            <filter val="dac.luu-cong"/>
          </filters>
        </filterColumn>
      </autoFilter>
    </customSheetView>
    <customSheetView guid="{336B6883-2145-4B58-921E-CEC7185A847E}" filter="1" showAutoFilter="1" topLeftCell="W47">
      <selection activeCell="AI55" sqref="AI55"/>
      <pageMargins left="0.7" right="0.7" top="0.75" bottom="0.75" header="0.3" footer="0.3"/>
      <pageSetup orientation="portrait" horizontalDpi="300" verticalDpi="0" r:id="rId5"/>
      <autoFilter ref="B59:AN329">
        <filterColumn colId="18">
          <filters>
            <filter val="dac.luu-cong"/>
          </filters>
        </filterColumn>
      </autoFilter>
    </customSheetView>
    <customSheetView guid="{4E06BDBF-2CED-473B-850B-2A6C7311FF41}" scale="70" topLeftCell="A49">
      <selection activeCell="A160" sqref="A160:XFD178"/>
      <pageMargins left="0.7" right="0.7" top="0.75" bottom="0.75" header="0.3" footer="0.3"/>
      <pageSetup paperSize="9" orientation="portrait" r:id="rId6"/>
    </customSheetView>
    <customSheetView guid="{A2E8CE38-D15E-4374-89B2-69D9421C4465}" scale="85" showPageBreaks="1" filter="1" showAutoFilter="1" topLeftCell="O142">
      <selection activeCell="AL284" sqref="AL284"/>
      <pageMargins left="0.7" right="0.7" top="0.75" bottom="0.75" header="0.3" footer="0.3"/>
      <pageSetup orientation="portrait" horizontalDpi="300" r:id="rId7"/>
      <autoFilter ref="B59:AN329">
        <filterColumn colId="17">
          <filters>
            <filter val="khang.duong-chi"/>
          </filters>
        </filterColumn>
      </autoFilter>
    </customSheetView>
    <customSheetView guid="{F96FC7D9-4F89-4FE0-8D00-C0083DEB0472}" scale="85" filter="1" showAutoFilter="1" topLeftCell="O50">
      <selection activeCell="Z78" sqref="Z78"/>
      <pageMargins left="0.7" right="0.7" top="0.75" bottom="0.75" header="0.3" footer="0.3"/>
      <pageSetup orientation="portrait" horizontalDpi="300" verticalDpi="0" r:id="rId8"/>
      <autoFilter ref="B59:AN326">
        <filterColumn colId="17">
          <filters>
            <filter val="phuc.le-hong"/>
          </filters>
        </filterColumn>
      </autoFilter>
    </customSheetView>
    <customSheetView guid="{970EE037-F5E5-47AF-896A-0F6222879EBC}" scale="85">
      <pageMargins left="0.7" right="0.7" top="0.75" bottom="0.75" header="0.3" footer="0.3"/>
      <pageSetup orientation="portrait" horizontalDpi="300" r:id="rId9"/>
    </customSheetView>
    <customSheetView guid="{7E0EA425-A420-4443-B9E0-CDF0AA9E5D09}" scale="85" topLeftCell="A255">
      <selection activeCell="AK266" sqref="AK266"/>
      <pageMargins left="0.7" right="0.7" top="0.75" bottom="0.75" header="0.3" footer="0.3"/>
      <pageSetup orientation="portrait" horizontalDpi="300" verticalDpi="0" r:id="rId10"/>
    </customSheetView>
  </customSheetViews>
  <conditionalFormatting sqref="H23:H37 H43:H55">
    <cfRule type="cellIs" dxfId="77" priority="67" operator="equal">
      <formula>1</formula>
    </cfRule>
    <cfRule type="cellIs" dxfId="76" priority="68" operator="lessThan">
      <formula>1</formula>
    </cfRule>
  </conditionalFormatting>
  <conditionalFormatting sqref="AG60:AG114 AK60:AK114 AG116:AG352 AK116:AK352">
    <cfRule type="cellIs" dxfId="75" priority="65" operator="equal">
      <formula>"OK"</formula>
    </cfRule>
    <cfRule type="cellIs" dxfId="74" priority="66" operator="equal">
      <formula>"NG"</formula>
    </cfRule>
  </conditionalFormatting>
  <conditionalFormatting sqref="O60:P329 O333:P352 P330:P332 O330:O331">
    <cfRule type="cellIs" dxfId="73" priority="64" operator="equal">
      <formula>"PUT_VERSION"</formula>
    </cfRule>
  </conditionalFormatting>
  <conditionalFormatting sqref="D18">
    <cfRule type="expression" dxfId="72" priority="63">
      <formula>$D$18=SUM($D$4:$D$17)</formula>
    </cfRule>
  </conditionalFormatting>
  <conditionalFormatting sqref="E18">
    <cfRule type="expression" dxfId="71" priority="62">
      <formula>$E$18=SUM($E$4:$E$17)</formula>
    </cfRule>
  </conditionalFormatting>
  <conditionalFormatting sqref="F18">
    <cfRule type="expression" dxfId="70" priority="61">
      <formula>$F$18=SUM($F$4:$F$17)</formula>
    </cfRule>
  </conditionalFormatting>
  <conditionalFormatting sqref="D37">
    <cfRule type="expression" dxfId="69" priority="60">
      <formula>$D$37=SUM($D$23:$D$36)</formula>
    </cfRule>
  </conditionalFormatting>
  <conditionalFormatting sqref="E37">
    <cfRule type="expression" dxfId="68" priority="59">
      <formula>$E$37=SUM($E$23:$E$36)</formula>
    </cfRule>
  </conditionalFormatting>
  <conditionalFormatting sqref="H42">
    <cfRule type="cellIs" dxfId="67" priority="49" operator="equal">
      <formula>1</formula>
    </cfRule>
    <cfRule type="cellIs" dxfId="66" priority="50" operator="lessThan">
      <formula>1</formula>
    </cfRule>
  </conditionalFormatting>
  <conditionalFormatting sqref="H56">
    <cfRule type="cellIs" dxfId="65" priority="45" operator="equal">
      <formula>1</formula>
    </cfRule>
    <cfRule type="cellIs" dxfId="64" priority="46" operator="lessThan">
      <formula>1</formula>
    </cfRule>
  </conditionalFormatting>
  <conditionalFormatting sqref="F37">
    <cfRule type="expression" dxfId="63" priority="73">
      <formula>$F$37=SUM($F$23:$F$36)</formula>
    </cfRule>
  </conditionalFormatting>
  <conditionalFormatting sqref="H4:H18">
    <cfRule type="cellIs" dxfId="62" priority="1" operator="equal">
      <formula>1</formula>
    </cfRule>
    <cfRule type="cellIs" dxfId="61" priority="2" operator="lessThan">
      <formula>1</formula>
    </cfRule>
  </conditionalFormatting>
  <dataValidations count="1">
    <dataValidation type="list" allowBlank="1" showInputMessage="1" showErrorMessage="1" sqref="U60:U338 U341:U352">
      <formula1>"Yes,No"</formula1>
    </dataValidation>
  </dataValidations>
  <pageMargins left="0.7" right="0.7" top="0.75" bottom="0.75" header="0.3" footer="0.3"/>
  <pageSetup orientation="portrait" horizontalDpi="300" verticalDpi="0" r:id="rId1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G23:G37</xm:sqref>
        </x14:conditionalFormatting>
        <x14:conditionalFormatting xmlns:xm="http://schemas.microsoft.com/office/excel/2006/main">
          <x14:cfRule type="cellIs" priority="7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G4:G17 G43:G55</xm:sqref>
        </x14:conditionalFormatting>
        <x14:conditionalFormatting xmlns:xm="http://schemas.microsoft.com/office/excel/2006/main">
          <x14:cfRule type="cellIs" priority="5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G18</xm:sqref>
        </x14:conditionalFormatting>
        <x14:conditionalFormatting xmlns:xm="http://schemas.microsoft.com/office/excel/2006/main">
          <x14:cfRule type="cellIs" priority="5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cellIs" priority="5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42" id="{8014DC86-9045-4B22-9DB2-C6E76B610B95}">
            <xm:f>OR(AK60=Table!$C$41,AK60=Table!$C$42)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AK60:AK114 AK116:AK352</xm:sqref>
        </x14:conditionalFormatting>
        <x14:conditionalFormatting xmlns:xm="http://schemas.microsoft.com/office/excel/2006/main">
          <x14:cfRule type="cellIs" priority="21" operator="equal" id="{ADDC4DDA-5440-4D4C-8617-D143AC21CCE0}">
            <xm:f>Table!$C$3</xm:f>
            <x14:dxf>
              <fill>
                <patternFill>
                  <bgColor rgb="FF0066FF"/>
                </patternFill>
              </fill>
            </x14:dxf>
          </x14:cfRule>
          <x14:cfRule type="cellIs" priority="22" operator="equal" id="{D4667330-B974-40CE-84A6-3B1F1298C5FC}">
            <xm:f>Table!$D$3</xm:f>
            <x14:dxf>
              <fill>
                <patternFill>
                  <bgColor rgb="FF92D050"/>
                </patternFill>
              </fill>
            </x14:dxf>
          </x14:cfRule>
          <xm:sqref>D60:D352</xm:sqref>
        </x14:conditionalFormatting>
        <x14:conditionalFormatting xmlns:xm="http://schemas.microsoft.com/office/excel/2006/main">
          <x14:cfRule type="cellIs" priority="9" operator="greaterThanOrEqual" id="{3E0B3D80-83A2-4F83-B5A4-9CBE80A4AEA0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E7EAFFCE-585B-4923-8BE2-264F784E61AB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K23:K37</xm:sqref>
        </x14:conditionalFormatting>
        <x14:conditionalFormatting xmlns:xm="http://schemas.microsoft.com/office/excel/2006/main">
          <x14:cfRule type="cellIs" priority="7" operator="greaterThanOrEqual" id="{5DEBD175-CF7F-404F-9B4C-E51898238746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CD79C4F9-E747-4F3C-A304-7CF547094D40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K42:K56</xm:sqref>
        </x14:conditionalFormatting>
        <x14:conditionalFormatting xmlns:xm="http://schemas.microsoft.com/office/excel/2006/main">
          <x14:cfRule type="cellIs" priority="5" operator="greaterThanOrEqual" id="{E1C25EFC-661F-4876-9EF7-613214DE6AE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lessThan" id="{3439B3E0-32AA-41ED-9607-F890CF95039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K4:K17</xm:sqref>
        </x14:conditionalFormatting>
        <x14:conditionalFormatting xmlns:xm="http://schemas.microsoft.com/office/excel/2006/main">
          <x14:cfRule type="cellIs" priority="3" operator="greaterThanOrEqual" id="{989B3CB8-72B6-498B-A368-450A439C2CA4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30BC877D-6DF7-4FE0-89A2-A4F9CC316C0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Table!$C$41:$C$43</xm:f>
          </x14:formula1>
          <xm:sqref>AK60:AK114 AK116:AK352</xm:sqref>
        </x14:dataValidation>
        <x14:dataValidation type="list" allowBlank="1" showInputMessage="1" showErrorMessage="1">
          <x14:formula1>
            <xm:f>Table!$C$31:$C$37</xm:f>
          </x14:formula1>
          <xm:sqref>AA60:AA114 Z339:Z340 AA116:AA338 AA341:AA352</xm:sqref>
        </x14:dataValidation>
        <x14:dataValidation type="list" allowBlank="1" showInputMessage="1" showErrorMessage="1">
          <x14:formula1>
            <xm:f>Table!$C$47:$C$48</xm:f>
          </x14:formula1>
          <xm:sqref>AG60:AG114 AG116:AG352</xm:sqref>
        </x14:dataValidation>
        <x14:dataValidation type="list" allowBlank="1" showInputMessage="1" showErrorMessage="1">
          <x14:formula1>
            <xm:f>Table!$C$8:$C$9</xm:f>
          </x14:formula1>
          <xm:sqref>D60:D352</xm:sqref>
        </x14:dataValidation>
        <x14:dataValidation type="list" allowBlank="1" showInputMessage="1" showErrorMessage="1">
          <x14:formula1>
            <xm:f>Table!$C$13:$C$27</xm:f>
          </x14:formula1>
          <xm:sqref>S60:T352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J31" sqref="J31"/>
    </sheetView>
  </sheetViews>
  <sheetFormatPr defaultRowHeight="15" x14ac:dyDescent="0.25"/>
  <sheetData/>
  <customSheetViews>
    <customSheetView guid="{99BC1C51-34DC-4BF2-906C-1E31B6171D71}">
      <selection activeCell="C39" sqref="C39"/>
      <pageMargins left="0.7" right="0.7" top="0.75" bottom="0.75" header="0.3" footer="0.3"/>
    </customSheetView>
    <customSheetView guid="{7ECC2B8E-6A82-42F5-8AB0-4A51C54EA5EC}">
      <selection activeCell="J38" sqref="J38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FECB4C41-27E8-4A22-AFB3-4F54CDD4960E}">
      <selection activeCell="J38" sqref="J38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C94451EF-7A3E-4D72-B5A4-3D1B193192CC}">
      <selection activeCell="J38" sqref="J38"/>
      <pageMargins left="0.7" right="0.7" top="0.75" bottom="0.75" header="0.3" footer="0.3"/>
    </customSheetView>
    <customSheetView guid="{89C03E1E-B6A8-49A1-B29C-5DC4FAB2FBC6}">
      <selection activeCell="J38" sqref="J38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4E06BDBF-2CED-473B-850B-2A6C7311FF41}">
      <selection activeCell="J38" sqref="J38"/>
      <pageMargins left="0.7" right="0.7" top="0.75" bottom="0.75" header="0.3" footer="0.3"/>
    </customSheetView>
    <customSheetView guid="{A2E8CE38-D15E-4374-89B2-69D9421C4465}" showPageBreaks="1">
      <selection activeCell="J38" sqref="J38"/>
      <pageMargins left="0.7" right="0.7" top="0.75" bottom="0.75" header="0.3" footer="0.3"/>
      <pageSetup orientation="portrait" horizontalDpi="300" r:id="rId1"/>
    </customSheetView>
    <customSheetView guid="{F96FC7D9-4F89-4FE0-8D00-C0083DEB0472}">
      <selection activeCell="J38" sqref="J38"/>
      <pageMargins left="0.7" right="0.7" top="0.75" bottom="0.75" header="0.3" footer="0.3"/>
    </customSheetView>
    <customSheetView guid="{970EE037-F5E5-47AF-896A-0F6222879EBC}">
      <selection activeCell="C39" sqref="C39"/>
      <pageMargins left="0.7" right="0.7" top="0.75" bottom="0.75" header="0.3" footer="0.3"/>
    </customSheetView>
    <customSheetView guid="{7E0EA425-A420-4443-B9E0-CDF0AA9E5D09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185"/>
  <sheetViews>
    <sheetView topLeftCell="A154" zoomScale="85" zoomScaleNormal="85" workbookViewId="0">
      <selection activeCell="J31" sqref="J31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14" x14ac:dyDescent="0.25">
      <c r="A2" s="1">
        <v>1</v>
      </c>
      <c r="B2" s="105" t="s">
        <v>53</v>
      </c>
      <c r="C2" s="105">
        <v>20200603</v>
      </c>
      <c r="N2" s="40"/>
    </row>
    <row r="3" spans="1:14" x14ac:dyDescent="0.25">
      <c r="B3" s="105" t="s">
        <v>115</v>
      </c>
      <c r="C3">
        <f>SUM(G9:G10)</f>
        <v>4.1349999999999998</v>
      </c>
      <c r="D3" t="s">
        <v>116</v>
      </c>
    </row>
    <row r="4" spans="1:14" x14ac:dyDescent="0.25">
      <c r="B4" s="105" t="s">
        <v>122</v>
      </c>
      <c r="C4">
        <f>SUM(INT((WEEKDAY(F4-{2,3,4,5,6})+H4-F4)/7))</f>
        <v>13</v>
      </c>
      <c r="D4" t="s">
        <v>116</v>
      </c>
      <c r="E4" t="s">
        <v>145</v>
      </c>
      <c r="F4" s="6">
        <v>43985</v>
      </c>
      <c r="G4" s="6" t="s">
        <v>114</v>
      </c>
      <c r="H4" s="6">
        <v>44002</v>
      </c>
    </row>
    <row r="5" spans="1:14" x14ac:dyDescent="0.25">
      <c r="B5" s="105" t="s">
        <v>123</v>
      </c>
      <c r="C5">
        <f>SUM(INT((WEEKDAY(F5-{2,3,4,5,6})+H5-F5)/7))</f>
        <v>13</v>
      </c>
      <c r="D5" t="s">
        <v>116</v>
      </c>
      <c r="E5" t="s">
        <v>145</v>
      </c>
      <c r="F5" s="6">
        <v>43985</v>
      </c>
      <c r="G5" s="6" t="s">
        <v>114</v>
      </c>
      <c r="H5" s="6">
        <v>44002</v>
      </c>
    </row>
    <row r="6" spans="1:14" x14ac:dyDescent="0.25">
      <c r="B6" s="105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4" ht="45" x14ac:dyDescent="0.25">
      <c r="C8" s="106" t="s">
        <v>25</v>
      </c>
      <c r="D8" s="106" t="s">
        <v>26</v>
      </c>
      <c r="E8" s="107" t="s">
        <v>117</v>
      </c>
      <c r="F8" s="107" t="s">
        <v>118</v>
      </c>
      <c r="G8" s="107" t="s">
        <v>119</v>
      </c>
      <c r="H8" s="107" t="s">
        <v>120</v>
      </c>
      <c r="I8" s="107" t="s">
        <v>29</v>
      </c>
      <c r="J8" s="107" t="str">
        <f>Table!$C$41</f>
        <v>OPL</v>
      </c>
      <c r="K8" s="107" t="str">
        <f>Table!$C$42</f>
        <v>Defect</v>
      </c>
    </row>
    <row r="9" spans="1:14" x14ac:dyDescent="0.25">
      <c r="C9" s="41">
        <v>1</v>
      </c>
      <c r="D9" s="37" t="str">
        <f>Table!$D$3</f>
        <v>PSW</v>
      </c>
      <c r="E9" s="37">
        <f>SUMIFS(Merged_COEM!$W$60:$W$412,Merged_COEM!$D$60:$D$412,D9, Merged_COEM!$C$60:$C$412,C2)</f>
        <v>0</v>
      </c>
      <c r="F9" s="37">
        <f>SUMIFS(Merged_COEM!$X$60:$X$412,Merged_COEM!$D$60:$D$412,D9, Merged_COEM!$C$60:$C$412,C2)-SUM(SUMIFS(Merged_COEM!$X$60:$X$412,Merged_COEM!$D$60:$D$412,Table!$D$3,Merged_COEM!$AA$60:$AA$412,{"Ongoing","N/A",""},Merged_COEM!$C$60:$C$412,C2))</f>
        <v>0</v>
      </c>
      <c r="G9" s="37">
        <f>1/8*(SUMIFS(Merged_COEM!$Y$60:$Y$412,Merged_COEM!$D$60:$D$412,D9, Merged_COEM!$C$60:$C$412,C2))</f>
        <v>0</v>
      </c>
      <c r="H9" s="37">
        <f>1/8*(SUMIFS(Merged_COEM!$Z$60:$Z$412,Merged_COEM!$D$60:$D$412,D9, Merged_COEM!$C$60:$C$412,C2)-SUM(SUMIFS(Merged_COEM!$Z$60:$Z$412,Merged_COEM!$D$60:$D$412,D9,Merged_COEM!$AA$60:$AA$412,{"Ongoing","N/A",""},Merged_COEM!$C$60:$C$412,C2)))</f>
        <v>0</v>
      </c>
      <c r="I9" s="62" t="str">
        <f>IFERROR(F9/E9,"N/A")</f>
        <v>N/A</v>
      </c>
      <c r="J9" s="3">
        <f>COUNTIFS(Merged_COEM!$AK$60:$AK$412,J8,Merged_COEM!$D$60:$D$412,D9,Merged_COEM!$C$60:$C$412,C2)</f>
        <v>0</v>
      </c>
      <c r="K9" s="3">
        <f>COUNTIFS(Merged_COEM!$AK$60:$AK$412,K8,Merged_COEM!$D$60:$D$412,D9,Merged_COEM!$C$60:$C$412,C2)</f>
        <v>0</v>
      </c>
    </row>
    <row r="10" spans="1:14" x14ac:dyDescent="0.25">
      <c r="C10" s="41">
        <v>2</v>
      </c>
      <c r="D10" s="37" t="str">
        <f>Table!$C$3</f>
        <v>ASW</v>
      </c>
      <c r="E10" s="37">
        <f>SUMIFS(Merged_COEM!$W$60:$W$412,Merged_COEM!$D$60:$D$412,D10, Merged_COEM!$C$60:$C$412,C2)</f>
        <v>538</v>
      </c>
      <c r="F10" s="37">
        <f>SUMIFS(Merged_COEM!$X$60:$X$412,Merged_COEM!$D$60:$D$412,D10, Merged_COEM!$C$60:$C$412,C2)-SUM(SUMIFS(Merged_COEM!$X$60:$X$412,Merged_COEM!$D$60:$D$412,D10,Merged_COEM!$AA$60:$AA$412,{"Ongoing","N/A",""},Merged_COEM!$C$60:$C$412,C2))</f>
        <v>538</v>
      </c>
      <c r="G10" s="37">
        <f>1/8*(SUMIFS(Merged_COEM!$Y$60:$Y$412,Merged_COEM!$D$60:$D$412,D10, Merged_COEM!$C$60:$C$412,C2))</f>
        <v>4.1349999999999998</v>
      </c>
      <c r="H10" s="37">
        <f>1/8*(SUMIFS(Merged_COEM!$Z$60:$Z$412,Merged_COEM!$D$60:$D$412,D10, Merged_COEM!$C$60:$C$412,C2)-SUM(SUMIFS(Merged_COEM!$Z$60:$Z$412,Merged_COEM!$D$60:$D$412,D10,Merged_COEM!$AA$60:$AA$412,{"Ongoing","N/A",""},Merged_COEM!$C$60:$C$412,C2)))</f>
        <v>3.6875</v>
      </c>
      <c r="I10" s="62">
        <f>IFERROR(F10/E10,"N/A")</f>
        <v>1</v>
      </c>
      <c r="J10" s="3">
        <f>COUNTIFS(Merged_COEM!$AK$60:$AK$412,J8,Merged_COEM!$D$60:$D$412,D10,Merged_COEM!$C$60:$C$412,C2)</f>
        <v>4</v>
      </c>
      <c r="K10" s="3">
        <f>COUNTIFS(Merged_COEM!$AK$60:$AK$412,K8,Merged_COEM!$D$60:$D$412,D10,Merged_COEM!$C$60:$C$412,C2)</f>
        <v>0</v>
      </c>
    </row>
    <row r="12" spans="1:14" x14ac:dyDescent="0.25">
      <c r="C12" t="s">
        <v>121</v>
      </c>
    </row>
    <row r="13" spans="1:14" x14ac:dyDescent="0.25">
      <c r="D13" s="108" t="s">
        <v>124</v>
      </c>
    </row>
    <row r="14" spans="1:14" x14ac:dyDescent="0.25">
      <c r="A14" s="87"/>
    </row>
    <row r="15" spans="1:14" x14ac:dyDescent="0.25">
      <c r="A15" s="90"/>
    </row>
    <row r="16" spans="1:14" x14ac:dyDescent="0.25">
      <c r="A16" s="1">
        <v>2</v>
      </c>
      <c r="B16" s="1" t="s">
        <v>53</v>
      </c>
      <c r="C16" s="1">
        <v>20200609</v>
      </c>
    </row>
    <row r="17" spans="1:11" x14ac:dyDescent="0.25">
      <c r="B17" s="1" t="s">
        <v>115</v>
      </c>
      <c r="C17">
        <f>SUM(G23:G24)</f>
        <v>22.502500000000001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10</v>
      </c>
      <c r="D18" t="s">
        <v>116</v>
      </c>
      <c r="E18" t="s">
        <v>145</v>
      </c>
      <c r="F18" s="6">
        <v>43991</v>
      </c>
      <c r="G18" s="6" t="s">
        <v>114</v>
      </c>
      <c r="H18" s="6">
        <v>44004</v>
      </c>
    </row>
    <row r="19" spans="1:11" x14ac:dyDescent="0.25">
      <c r="B19" s="1" t="s">
        <v>123</v>
      </c>
      <c r="C19">
        <f>SUM(INT((WEEKDAY(F19-{2,3,4,5,6})+H19-F19)/7))</f>
        <v>10</v>
      </c>
      <c r="D19" t="s">
        <v>116</v>
      </c>
      <c r="E19" t="s">
        <v>145</v>
      </c>
      <c r="F19" s="6">
        <v>43991</v>
      </c>
      <c r="G19" s="6" t="s">
        <v>114</v>
      </c>
      <c r="H19" s="6">
        <v>44004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45" x14ac:dyDescent="0.25">
      <c r="C22" s="50" t="s">
        <v>25</v>
      </c>
      <c r="D22" s="50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1">
        <v>1</v>
      </c>
      <c r="D23" s="37" t="str">
        <f>Table!$D$3</f>
        <v>PSW</v>
      </c>
      <c r="E23" s="37">
        <f>SUMIFS(Merged_COEM!$W$60:$W$412,Merged_COEM!$D$60:$D$412,D23, Merged_COEM!$C$60:$C$412,C16)</f>
        <v>8682</v>
      </c>
      <c r="F23" s="37">
        <f>SUMIFS(Merged_COEM!$X$60:$X$412,Merged_COEM!$D$60:$D$412,D23, Merged_COEM!$C$60:$C$412,C16)-SUM(SUMIFS(Merged_COEM!$X$60:$X$412,Merged_COEM!$D$60:$D$412,Table!$D$3,Merged_COEM!$AA$60:$AA$412,{"Ongoing","N/A",""},Merged_COEM!$C$60:$C$412,C16))</f>
        <v>8682</v>
      </c>
      <c r="G23" s="37">
        <f>1/8*(SUMIFS(Merged_COEM!$Y$60:$Y$412,Merged_COEM!$D$60:$D$412,D23, Merged_COEM!$C$60:$C$412,C16))</f>
        <v>19.272500000000001</v>
      </c>
      <c r="H23" s="37">
        <f>1/8*(SUMIFS(Merged_COEM!$Z$60:$Z$412,Merged_COEM!$D$60:$D$412,D23, Merged_COEM!$C$60:$C$412,C16)-SUM(SUMIFS(Merged_COEM!$Z$60:$Z$412,Merged_COEM!$D$60:$D$412,D23,Merged_COEM!$AA$60:$AA$412,{"Ongoing","N/A",""},Merged_COEM!$C$60:$C$412,C16)))</f>
        <v>10.553749999999999</v>
      </c>
      <c r="I23" s="62">
        <f>IFERROR(F23/E23,"N/A")</f>
        <v>1</v>
      </c>
      <c r="J23" s="3">
        <f>COUNTIFS(Merged_COEM!$AK$60:$AK$412,J22,Merged_COEM!$D$60:$D$412,D23,Merged_COEM!$C$60:$C$412,C16)</f>
        <v>10</v>
      </c>
      <c r="K23" s="3">
        <f>COUNTIFS(Merged_COEM!$AK$60:$AK$412,K22,Merged_COEM!$D$60:$D$412,D23,Merged_COEM!$C$60:$C$412,C16)</f>
        <v>0</v>
      </c>
    </row>
    <row r="24" spans="1:11" x14ac:dyDescent="0.25">
      <c r="C24" s="41">
        <v>2</v>
      </c>
      <c r="D24" s="37" t="str">
        <f>Table!$C$3</f>
        <v>ASW</v>
      </c>
      <c r="E24" s="37">
        <f>SUMIFS(Merged_COEM!$W$60:$W$412,Merged_COEM!$D$60:$D$412,D24, Merged_COEM!$C$60:$C$412,C16)</f>
        <v>420</v>
      </c>
      <c r="F24" s="37">
        <f>SUMIFS(Merged_COEM!$X$60:$X$412,Merged_COEM!$D$60:$D$412,D24, Merged_COEM!$C$60:$C$412,C16)-SUM(SUMIFS(Merged_COEM!$X$60:$X$412,Merged_COEM!$D$60:$D$412,D24,Merged_COEM!$AA$60:$AA$412,{"Ongoing","N/A",""},Merged_COEM!$C$60:$C$412,C16))</f>
        <v>420</v>
      </c>
      <c r="G24" s="37">
        <f>1/8*(SUMIFS(Merged_COEM!$Y$60:$Y$412,Merged_COEM!$D$60:$D$412,D24, Merged_COEM!$C$60:$C$412,C16))</f>
        <v>3.23</v>
      </c>
      <c r="H24" s="37">
        <f>1/8*(SUMIFS(Merged_COEM!$Z$60:$Z$412,Merged_COEM!$D$60:$D$412,D24, Merged_COEM!$C$60:$C$412,C16)-SUM(SUMIFS(Merged_COEM!$Z$60:$Z$412,Merged_COEM!$D$60:$D$412,D24,Merged_COEM!$AA$60:$AA$412,{"Ongoing","N/A",""},Merged_COEM!$C$60:$C$412,C16)))</f>
        <v>2.23</v>
      </c>
      <c r="I24" s="62">
        <f>IFERROR(F24/E24,"N/A")</f>
        <v>1</v>
      </c>
      <c r="J24" s="3">
        <f>COUNTIFS(Merged_COEM!$AK$60:$AK$412,J22,Merged_COEM!$D$60:$D$412,D24,Merged_COEM!$C$60:$C$412,C16)</f>
        <v>0</v>
      </c>
      <c r="K24" s="3">
        <f>COUNTIFS(Merged_COEM!$AK$60:$AK$412,K22,Merged_COEM!$D$60:$D$412,D24,Merged_COEM!$C$60:$C$412,C16)</f>
        <v>0</v>
      </c>
    </row>
    <row r="26" spans="1:11" x14ac:dyDescent="0.25">
      <c r="C26" t="s">
        <v>121</v>
      </c>
    </row>
    <row r="27" spans="1:11" x14ac:dyDescent="0.25">
      <c r="D27" s="118" t="s">
        <v>124</v>
      </c>
    </row>
    <row r="28" spans="1:11" x14ac:dyDescent="0.25">
      <c r="A28" s="94"/>
    </row>
    <row r="29" spans="1:11" x14ac:dyDescent="0.25">
      <c r="A29" s="1">
        <v>3</v>
      </c>
      <c r="B29" s="1" t="s">
        <v>53</v>
      </c>
      <c r="C29" s="1">
        <v>20200611</v>
      </c>
    </row>
    <row r="30" spans="1:11" x14ac:dyDescent="0.25">
      <c r="A30" s="1"/>
      <c r="B30" s="1" t="s">
        <v>115</v>
      </c>
      <c r="C30">
        <f>SUM(G36:G37)</f>
        <v>13.658750000000005</v>
      </c>
      <c r="D30" t="s">
        <v>116</v>
      </c>
    </row>
    <row r="31" spans="1:11" x14ac:dyDescent="0.25">
      <c r="A31" s="1"/>
      <c r="B31" s="1" t="s">
        <v>122</v>
      </c>
      <c r="C31">
        <f>SUM(INT((WEEKDAY(F31-{2,3,4,5,6})+H31-F31)/7))</f>
        <v>12</v>
      </c>
      <c r="D31" t="s">
        <v>116</v>
      </c>
      <c r="E31" t="s">
        <v>145</v>
      </c>
      <c r="F31" s="6">
        <v>43993</v>
      </c>
      <c r="G31" s="6" t="s">
        <v>114</v>
      </c>
      <c r="H31" s="6">
        <v>44008</v>
      </c>
    </row>
    <row r="32" spans="1:11" x14ac:dyDescent="0.25">
      <c r="A32" s="1"/>
      <c r="B32" s="1" t="s">
        <v>123</v>
      </c>
      <c r="C32">
        <f>SUM(INT((WEEKDAY(F32-{2,3,4,5,6})+H32-F32)/7))</f>
        <v>12</v>
      </c>
      <c r="D32" t="s">
        <v>116</v>
      </c>
      <c r="E32" t="s">
        <v>145</v>
      </c>
      <c r="F32" s="6">
        <v>43993</v>
      </c>
      <c r="G32" s="6" t="s">
        <v>114</v>
      </c>
      <c r="H32" s="6">
        <v>44008</v>
      </c>
    </row>
    <row r="33" spans="1:11" x14ac:dyDescent="0.25">
      <c r="A33" s="1"/>
      <c r="B33" s="1" t="s">
        <v>17</v>
      </c>
      <c r="C33" t="str">
        <f>IF(AND(F36=E36,F37=E37),IF(SUM(H36:H37)&gt;SUM(G36:G37),"Delayed",IF(SUM(H36:H37)&lt;SUM(G36:G37),"InAdvanced","Ontime")),"N/A")</f>
        <v>InAdvanced</v>
      </c>
      <c r="F33" s="6"/>
      <c r="G33" s="6"/>
      <c r="H33" s="6"/>
    </row>
    <row r="34" spans="1:11" x14ac:dyDescent="0.25">
      <c r="A34" s="1"/>
    </row>
    <row r="35" spans="1:11" ht="45" x14ac:dyDescent="0.25">
      <c r="A35" s="1"/>
      <c r="C35" s="50" t="s">
        <v>25</v>
      </c>
      <c r="D35" s="50" t="s">
        <v>26</v>
      </c>
      <c r="E35" s="8" t="s">
        <v>117</v>
      </c>
      <c r="F35" s="8" t="s">
        <v>118</v>
      </c>
      <c r="G35" s="8" t="s">
        <v>119</v>
      </c>
      <c r="H35" s="8" t="s">
        <v>120</v>
      </c>
      <c r="I35" s="8" t="s">
        <v>29</v>
      </c>
      <c r="J35" s="8" t="str">
        <f>Table!$C$41</f>
        <v>OPL</v>
      </c>
      <c r="K35" s="8" t="str">
        <f>Table!$C$42</f>
        <v>Defect</v>
      </c>
    </row>
    <row r="36" spans="1:11" x14ac:dyDescent="0.25">
      <c r="A36" s="1"/>
      <c r="C36" s="41">
        <v>1</v>
      </c>
      <c r="D36" s="37" t="str">
        <f>Table!$D$3</f>
        <v>PSW</v>
      </c>
      <c r="E36" s="37">
        <f>SUMIFS(Merged_COEM!$W$60:$W$412,Merged_COEM!$D$60:$D$412,D36, Merged_COEM!$C$60:$C$412,C29)</f>
        <v>6163</v>
      </c>
      <c r="F36" s="37">
        <f>SUMIFS(Merged_COEM!$X$60:$X$412,Merged_COEM!$D$60:$D$412,D36, Merged_COEM!$C$60:$C$412,C29)-SUM(SUMIFS(Merged_COEM!$X$60:$X$412,Merged_COEM!$D$60:$D$412,Table!$D$3,Merged_COEM!$AA$60:$AA$412,{"Ongoing","N/A",""},Merged_COEM!$C$60:$C$412,C29))</f>
        <v>6163</v>
      </c>
      <c r="G36" s="37">
        <f>1/8*(SUMIFS(Merged_COEM!$Y$60:$Y$412,Merged_COEM!$D$60:$D$412,D36, Merged_COEM!$C$60:$C$412,C29))</f>
        <v>13.658750000000005</v>
      </c>
      <c r="H36" s="37">
        <f>1/8*(SUMIFS(Merged_COEM!$Z$60:$Z$412,Merged_COEM!$D$60:$D$412,D36, Merged_COEM!$C$60:$C$412,C29)-SUM(SUMIFS(Merged_COEM!$Z$60:$Z$412,Merged_COEM!$D$60:$D$412,D36,Merged_COEM!$AA$60:$AA$412,{"Ongoing","N/A",""},Merged_COEM!$C$60:$C$412,C29)))</f>
        <v>9.6312500000000068</v>
      </c>
      <c r="I36" s="62">
        <f>IFERROR(F36/E36,"N/A")</f>
        <v>1</v>
      </c>
      <c r="J36" s="3">
        <f>COUNTIFS(Merged_COEM!$AK$60:$AK$412,J35,Merged_COEM!$D$60:$D$412,D36,Merged_COEM!$C$60:$C$412,C29)</f>
        <v>2</v>
      </c>
      <c r="K36" s="3">
        <f>COUNTIFS(Merged_COEM!$AK$60:$AK$412,K35,Merged_COEM!$D$60:$D$412,D36,Merged_COEM!$C$60:$C$412,C29)</f>
        <v>0</v>
      </c>
    </row>
    <row r="37" spans="1:11" x14ac:dyDescent="0.25">
      <c r="A37" s="1"/>
      <c r="C37" s="41">
        <v>2</v>
      </c>
      <c r="D37" s="37" t="str">
        <f>Table!$C$3</f>
        <v>ASW</v>
      </c>
      <c r="E37" s="37">
        <f>SUMIFS(Merged_COEM!$W$60:$W$412,Merged_COEM!$D$60:$D$412,D37, Merged_COEM!$C$60:$C$412,C29)</f>
        <v>0</v>
      </c>
      <c r="F37" s="37">
        <f>SUMIFS(Merged_COEM!$X$60:$X$412,Merged_COEM!$D$60:$D$412,D37, Merged_COEM!$C$60:$C$412,C29)-SUM(SUMIFS(Merged_COEM!$X$60:$X$412,Merged_COEM!$D$60:$D$412,D37,Merged_COEM!$AA$60:$AA$412,{"Ongoing","N/A",""},Merged_COEM!$C$60:$C$412,C29))</f>
        <v>0</v>
      </c>
      <c r="G37" s="37">
        <f>1/8*(SUMIFS(Merged_COEM!$Y$60:$Y$412,Merged_COEM!$D$60:$D$412,D37, Merged_COEM!$C$60:$C$412,C29))</f>
        <v>0</v>
      </c>
      <c r="H37" s="37">
        <f>1/8*(SUMIFS(Merged_COEM!$Z$60:$Z$412,Merged_COEM!$D$60:$D$412,D37, Merged_COEM!$C$60:$C$412,C29)-SUM(SUMIFS(Merged_COEM!$Z$60:$Z$412,Merged_COEM!$D$60:$D$412,D37,Merged_COEM!$AA$60:$AA$412,{"Ongoing","N/A",""},Merged_COEM!$C$60:$C$412,C29)))</f>
        <v>0</v>
      </c>
      <c r="I37" s="62" t="str">
        <f>IFERROR(F37/E37,"N/A")</f>
        <v>N/A</v>
      </c>
      <c r="J37" s="3">
        <f>COUNTIFS(Merged_COEM!$AK$60:$AK$412,J35,Merged_COEM!$D$60:$D$412,D37,Merged_COEM!$C$60:$C$412,C29)</f>
        <v>0</v>
      </c>
      <c r="K37" s="3">
        <f>COUNTIFS(Merged_COEM!$AK$60:$AK$412,K35,Merged_COEM!$D$60:$D$412,D37,Merged_COEM!$C$60:$C$412,C29)</f>
        <v>0</v>
      </c>
    </row>
    <row r="38" spans="1:11" x14ac:dyDescent="0.25">
      <c r="A38" s="1"/>
    </row>
    <row r="39" spans="1:11" x14ac:dyDescent="0.25">
      <c r="A39" s="1"/>
      <c r="C39" t="s">
        <v>121</v>
      </c>
    </row>
    <row r="40" spans="1:11" x14ac:dyDescent="0.25">
      <c r="A40" s="1"/>
      <c r="D40" s="118" t="s">
        <v>124</v>
      </c>
    </row>
    <row r="41" spans="1:11" x14ac:dyDescent="0.25">
      <c r="A41" s="1"/>
    </row>
    <row r="42" spans="1:11" x14ac:dyDescent="0.25">
      <c r="A42" s="1">
        <v>4</v>
      </c>
      <c r="B42" s="1" t="s">
        <v>53</v>
      </c>
      <c r="C42" s="1">
        <v>20200615</v>
      </c>
    </row>
    <row r="43" spans="1:11" x14ac:dyDescent="0.25">
      <c r="A43" s="1"/>
      <c r="B43" s="1" t="s">
        <v>115</v>
      </c>
      <c r="C43">
        <f>SUM(G49:G50)</f>
        <v>13.544999999999998</v>
      </c>
      <c r="D43" t="s">
        <v>116</v>
      </c>
      <c r="J43" s="127"/>
      <c r="K43" s="127"/>
    </row>
    <row r="44" spans="1:11" x14ac:dyDescent="0.25">
      <c r="A44" s="1"/>
      <c r="B44" s="1" t="s">
        <v>122</v>
      </c>
      <c r="C44">
        <f>SUM(INT((WEEKDAY(F44-{2,3,4,5,6})+H44-F44)/7))</f>
        <v>9</v>
      </c>
      <c r="D44" t="s">
        <v>116</v>
      </c>
      <c r="E44" t="s">
        <v>145</v>
      </c>
      <c r="F44" s="6">
        <v>43997</v>
      </c>
      <c r="G44" s="6" t="s">
        <v>114</v>
      </c>
      <c r="H44" s="6">
        <v>44007</v>
      </c>
    </row>
    <row r="45" spans="1:11" x14ac:dyDescent="0.25">
      <c r="A45" s="1"/>
      <c r="B45" s="1" t="s">
        <v>123</v>
      </c>
      <c r="C45">
        <f>SUM(INT((WEEKDAY(F45-{2,3,4,5,6})+H45-F45)/7))</f>
        <v>9</v>
      </c>
      <c r="D45" t="s">
        <v>116</v>
      </c>
      <c r="E45" t="s">
        <v>145</v>
      </c>
      <c r="F45" s="6">
        <v>43997</v>
      </c>
      <c r="G45" s="6" t="s">
        <v>114</v>
      </c>
      <c r="H45" s="6">
        <v>44007</v>
      </c>
    </row>
    <row r="46" spans="1:11" x14ac:dyDescent="0.25">
      <c r="A46" s="1"/>
      <c r="B46" s="1" t="s">
        <v>17</v>
      </c>
      <c r="C46" t="str">
        <f>IF(AND(F49=E49,F50=E50),IF(SUM(H49:H50)&gt;SUM(G49:G50),"Delayed",IF(SUM(H49:H50)&lt;SUM(G49:G50),"InAdvanced","Ontime")),"N/A")</f>
        <v>InAdvanced</v>
      </c>
      <c r="F46" s="6"/>
      <c r="G46" s="6"/>
      <c r="H46" s="6"/>
    </row>
    <row r="47" spans="1:11" x14ac:dyDescent="0.25">
      <c r="A47" s="1"/>
    </row>
    <row r="48" spans="1:11" ht="45" x14ac:dyDescent="0.25">
      <c r="A48" s="1"/>
      <c r="C48" s="50" t="s">
        <v>25</v>
      </c>
      <c r="D48" s="50" t="s">
        <v>26</v>
      </c>
      <c r="E48" s="8" t="s">
        <v>117</v>
      </c>
      <c r="F48" s="8" t="s">
        <v>118</v>
      </c>
      <c r="G48" s="8" t="s">
        <v>119</v>
      </c>
      <c r="H48" s="8" t="s">
        <v>120</v>
      </c>
      <c r="I48" s="8" t="s">
        <v>29</v>
      </c>
      <c r="J48" s="8" t="str">
        <f>Table!$C$41</f>
        <v>OPL</v>
      </c>
      <c r="K48" s="8" t="str">
        <f>Table!$C$42</f>
        <v>Defect</v>
      </c>
    </row>
    <row r="49" spans="1:11" x14ac:dyDescent="0.25">
      <c r="A49" s="1"/>
      <c r="C49" s="41">
        <v>1</v>
      </c>
      <c r="D49" s="37" t="str">
        <f>Table!$D$3</f>
        <v>PSW</v>
      </c>
      <c r="E49" s="37">
        <f>SUMIFS(Merged_COEM!$W$60:$W$412,Merged_COEM!$D$60:$D$412,D49, Merged_COEM!$C$60:$C$412,C42)</f>
        <v>6105</v>
      </c>
      <c r="F49" s="37">
        <f>SUMIFS(Merged_COEM!$X$60:$X$412,Merged_COEM!$D$60:$D$412,D49, Merged_COEM!$C$60:$C$412,C42)-SUM(SUMIFS(Merged_COEM!$X$60:$X$412,Merged_COEM!$D$60:$D$412,Table!$D$3,Merged_COEM!$AA$60:$AA$412,{"Ongoing","N/A",""},Merged_COEM!$C$60:$C$412,C42))</f>
        <v>6105</v>
      </c>
      <c r="G49" s="37">
        <f>1/8*(SUMIFS(Merged_COEM!$Y$60:$Y$412,Merged_COEM!$D$60:$D$412,D49, Merged_COEM!$C$60:$C$412,C42))</f>
        <v>13.544999999999998</v>
      </c>
      <c r="H49" s="37">
        <f>1/8*(SUMIFS(Merged_COEM!$Z$60:$Z$412,Merged_COEM!$D$60:$D$412,D49, Merged_COEM!$C$60:$C$412,C42)-SUM(SUMIFS(Merged_COEM!$Z$60:$Z$412,Merged_COEM!$D$60:$D$412,D49,Merged_COEM!$AA$60:$AA$412,{"Ongoing","N/A",""},Merged_COEM!$C$60:$C$412,C42)))</f>
        <v>7.7687500000000007</v>
      </c>
      <c r="I49" s="62">
        <f>IFERROR(F49/E49,"N/A")</f>
        <v>1</v>
      </c>
      <c r="J49" s="3">
        <f>COUNTIFS(Merged_COEM!$AK$60:$AK$412,J48,Merged_COEM!$D$60:$D$412,D49,Merged_COEM!$C$60:$C$412,C42)</f>
        <v>2</v>
      </c>
      <c r="K49" s="3">
        <f>COUNTIFS(Merged_COEM!$AK$60:$AK$412,K48,Merged_COEM!$D$60:$D$412,D49,Merged_COEM!$C$60:$C$412,C42)</f>
        <v>0</v>
      </c>
    </row>
    <row r="50" spans="1:11" x14ac:dyDescent="0.25">
      <c r="A50" s="1"/>
      <c r="C50" s="41">
        <v>2</v>
      </c>
      <c r="D50" s="37" t="str">
        <f>Table!$C$3</f>
        <v>ASW</v>
      </c>
      <c r="E50" s="37">
        <f>SUMIFS(Merged_COEM!$W$60:$W$412,Merged_COEM!$D$60:$D$412,D50, Merged_COEM!$C$60:$C$412,C42)</f>
        <v>0</v>
      </c>
      <c r="F50" s="37">
        <f>SUMIFS(Merged_COEM!$X$60:$X$412,Merged_COEM!$D$60:$D$412,D50, Merged_COEM!$C$60:$C$412,C42)-SUM(SUMIFS(Merged_COEM!$X$60:$X$412,Merged_COEM!$D$60:$D$412,D50,Merged_COEM!$AA$60:$AA$412,{"Ongoing","N/A",""},Merged_COEM!$C$60:$C$412,C42))</f>
        <v>0</v>
      </c>
      <c r="G50" s="37">
        <f>1/8*(SUMIFS(Merged_COEM!$Y$60:$Y$412,Merged_COEM!$D$60:$D$412,D50, Merged_COEM!$C$60:$C$412,C42))</f>
        <v>0</v>
      </c>
      <c r="H50" s="37">
        <f>1/8*(SUMIFS(Merged_COEM!$Z$60:$Z$412,Merged_COEM!$D$60:$D$412,D50, Merged_COEM!$C$60:$C$412,C42)-SUM(SUMIFS(Merged_COEM!$Z$60:$Z$412,Merged_COEM!$D$60:$D$412,D50,Merged_COEM!$AA$60:$AA$412,{"Ongoing","N/A",""},Merged_COEM!$C$60:$C$412,C42)))</f>
        <v>0</v>
      </c>
      <c r="I50" s="62" t="str">
        <f>IFERROR(F50/E50,"N/A")</f>
        <v>N/A</v>
      </c>
      <c r="J50" s="3">
        <f>COUNTIFS(Merged_COEM!$AK$60:$AK$412,J48,Merged_COEM!$D$60:$D$412,D50,Merged_COEM!$C$60:$C$412,C42)</f>
        <v>0</v>
      </c>
      <c r="K50" s="3">
        <f>COUNTIFS(Merged_COEM!$AK$60:$AK$412,K48,Merged_COEM!$D$60:$D$412,D50,Merged_COEM!$C$60:$C$412,C42)</f>
        <v>0</v>
      </c>
    </row>
    <row r="51" spans="1:11" x14ac:dyDescent="0.25">
      <c r="A51" s="1"/>
    </row>
    <row r="52" spans="1:11" x14ac:dyDescent="0.25">
      <c r="A52" s="1"/>
      <c r="C52" t="s">
        <v>121</v>
      </c>
    </row>
    <row r="53" spans="1:11" x14ac:dyDescent="0.25">
      <c r="A53" s="1"/>
      <c r="D53" s="118" t="s">
        <v>124</v>
      </c>
    </row>
    <row r="54" spans="1:11" x14ac:dyDescent="0.25">
      <c r="A54" s="1"/>
    </row>
    <row r="55" spans="1:11" x14ac:dyDescent="0.25">
      <c r="A55" s="1">
        <v>5</v>
      </c>
      <c r="B55" s="1" t="s">
        <v>53</v>
      </c>
      <c r="C55" s="1">
        <v>20200619</v>
      </c>
    </row>
    <row r="56" spans="1:11" x14ac:dyDescent="0.25">
      <c r="A56" s="1"/>
      <c r="B56" s="1" t="s">
        <v>115</v>
      </c>
      <c r="C56">
        <f>SUM(G62:G63)</f>
        <v>9.16</v>
      </c>
      <c r="D56" t="s">
        <v>116</v>
      </c>
      <c r="J56" s="127"/>
      <c r="K56" s="127"/>
    </row>
    <row r="57" spans="1:11" x14ac:dyDescent="0.25">
      <c r="A57" s="1"/>
      <c r="B57" s="1" t="s">
        <v>122</v>
      </c>
      <c r="C57">
        <f>SUM(INT((WEEKDAY(F57-{2,3,4,5,6})+H57-F57)/7))</f>
        <v>5</v>
      </c>
      <c r="D57" t="s">
        <v>116</v>
      </c>
      <c r="E57" t="s">
        <v>145</v>
      </c>
      <c r="F57" s="6">
        <v>44001</v>
      </c>
      <c r="G57" s="6" t="s">
        <v>114</v>
      </c>
      <c r="H57" s="6">
        <v>44007</v>
      </c>
    </row>
    <row r="58" spans="1:11" x14ac:dyDescent="0.25">
      <c r="A58" s="1"/>
      <c r="B58" s="1" t="s">
        <v>123</v>
      </c>
      <c r="C58">
        <f>SUM(INT((WEEKDAY(F58-{2,3,4,5,6})+H58-F58)/7))</f>
        <v>5</v>
      </c>
      <c r="D58" t="s">
        <v>116</v>
      </c>
      <c r="E58" t="s">
        <v>145</v>
      </c>
      <c r="F58" s="6">
        <v>44001</v>
      </c>
      <c r="G58" s="6" t="s">
        <v>114</v>
      </c>
      <c r="H58" s="6">
        <v>44007</v>
      </c>
    </row>
    <row r="59" spans="1:11" x14ac:dyDescent="0.25">
      <c r="A59" s="1"/>
      <c r="B59" s="1" t="s">
        <v>17</v>
      </c>
      <c r="C59" t="str">
        <f>IF(AND(F62=E62,F63=E63),IF(SUM(H62:H63)&gt;SUM(G62:G63),"Delayed",IF(SUM(H62:H63)&lt;SUM(G62:G63),"InAdvanced","Ontime")),"N/A")</f>
        <v>InAdvanced</v>
      </c>
      <c r="F59" s="6"/>
      <c r="G59" s="6"/>
      <c r="H59" s="6"/>
    </row>
    <row r="60" spans="1:11" x14ac:dyDescent="0.25">
      <c r="A60" s="1"/>
    </row>
    <row r="61" spans="1:11" ht="45" x14ac:dyDescent="0.25">
      <c r="A61" s="1"/>
      <c r="C61" s="50" t="s">
        <v>25</v>
      </c>
      <c r="D61" s="50" t="s">
        <v>26</v>
      </c>
      <c r="E61" s="8" t="s">
        <v>117</v>
      </c>
      <c r="F61" s="8" t="s">
        <v>118</v>
      </c>
      <c r="G61" s="8" t="s">
        <v>119</v>
      </c>
      <c r="H61" s="8" t="s">
        <v>120</v>
      </c>
      <c r="I61" s="8" t="s">
        <v>29</v>
      </c>
      <c r="J61" s="8" t="str">
        <f>Table!$C$41</f>
        <v>OPL</v>
      </c>
      <c r="K61" s="8" t="str">
        <f>Table!$C$42</f>
        <v>Defect</v>
      </c>
    </row>
    <row r="62" spans="1:11" x14ac:dyDescent="0.25">
      <c r="A62" s="1"/>
      <c r="C62" s="41">
        <v>1</v>
      </c>
      <c r="D62" s="37" t="str">
        <f>Table!$D$3</f>
        <v>PSW</v>
      </c>
      <c r="E62" s="37">
        <f>SUMIFS(Merged_COEM!$W$60:$W$412,Merged_COEM!$D$60:$D$412,D62, Merged_COEM!$C$60:$C$412,C55)</f>
        <v>3918</v>
      </c>
      <c r="F62" s="37">
        <f>SUMIFS(Merged_COEM!$X$60:$X$412,Merged_COEM!$D$60:$D$412,D62, Merged_COEM!$C$60:$C$412,C55)-SUM(SUMIFS(Merged_COEM!$X$60:$X$412,Merged_COEM!$D$60:$D$412,Table!$D$3,Merged_COEM!$AA$60:$AA$412,{"Ongoing","N/A",""},Merged_COEM!$C$60:$C$412,C55))</f>
        <v>3918</v>
      </c>
      <c r="G62" s="37">
        <f>1/8*(SUMIFS(Merged_COEM!$Y$60:$Y$412,Merged_COEM!$D$60:$D$412,D62, Merged_COEM!$C$60:$C$412,C55))</f>
        <v>8.6987500000000004</v>
      </c>
      <c r="H62" s="37">
        <f>1/8*(SUMIFS(Merged_COEM!$Z$60:$Z$412,Merged_COEM!$D$60:$D$412,D62, Merged_COEM!$C$60:$C$412,C55)-SUM(SUMIFS(Merged_COEM!$Z$60:$Z$412,Merged_COEM!$D$60:$D$412,D62,Merged_COEM!$AA$60:$AA$412,{"Ongoing","N/A",""},Merged_COEM!$C$60:$C$412,C55)))</f>
        <v>5.375</v>
      </c>
      <c r="I62" s="62">
        <f>IFERROR(F62/E62,"N/A")</f>
        <v>1</v>
      </c>
      <c r="J62" s="3">
        <f>COUNTIFS(Merged_COEM!$AK$60:$AK$412,J61,Merged_COEM!$D$60:$D$412,D62,Merged_COEM!$C$60:$C$412,C55)</f>
        <v>0</v>
      </c>
      <c r="K62" s="3">
        <f>COUNTIFS(Merged_COEM!$AK$60:$AK$412,K61,Merged_COEM!$D$60:$D$412,D62,Merged_COEM!$C$60:$C$412,C55)</f>
        <v>0</v>
      </c>
    </row>
    <row r="63" spans="1:11" x14ac:dyDescent="0.25">
      <c r="A63" s="1"/>
      <c r="C63" s="41">
        <v>2</v>
      </c>
      <c r="D63" s="37" t="str">
        <f>Table!$C$3</f>
        <v>ASW</v>
      </c>
      <c r="E63" s="37">
        <f>SUMIFS(Merged_COEM!$W$60:$W$412,Merged_COEM!$D$60:$D$412,D63, Merged_COEM!$C$60:$C$412,C55)</f>
        <v>60</v>
      </c>
      <c r="F63" s="37">
        <f>SUMIFS(Merged_COEM!$X$60:$X$412,Merged_COEM!$D$60:$D$412,D63, Merged_COEM!$C$60:$C$412,C55)-SUM(SUMIFS(Merged_COEM!$X$60:$X$412,Merged_COEM!$D$60:$D$412,D63,Merged_COEM!$AA$60:$AA$412,{"Ongoing","N/A",""},Merged_COEM!$C$60:$C$412,C55))</f>
        <v>60</v>
      </c>
      <c r="G63" s="37">
        <f>1/8*(SUMIFS(Merged_COEM!$Y$60:$Y$412,Merged_COEM!$D$60:$D$412,D63, Merged_COEM!$C$60:$C$412,C55))</f>
        <v>0.46124999999999999</v>
      </c>
      <c r="H63" s="37">
        <f>1/8*(SUMIFS(Merged_COEM!$Z$60:$Z$412,Merged_COEM!$D$60:$D$412,D63, Merged_COEM!$C$60:$C$412,C55)-SUM(SUMIFS(Merged_COEM!$Z$60:$Z$412,Merged_COEM!$D$60:$D$412,D63,Merged_COEM!$AA$60:$AA$412,{"Ongoing","N/A",""},Merged_COEM!$C$60:$C$412,C55)))</f>
        <v>0.375</v>
      </c>
      <c r="I63" s="62">
        <f>IFERROR(F63/E63,"N/A")</f>
        <v>1</v>
      </c>
      <c r="J63" s="3">
        <f>COUNTIFS(Merged_COEM!$AK$60:$AK$412,J61,Merged_COEM!$D$60:$D$412,D63,Merged_COEM!$C$60:$C$412,C55)</f>
        <v>0</v>
      </c>
      <c r="K63" s="3">
        <f>COUNTIFS(Merged_COEM!$AK$60:$AK$412,K61,Merged_COEM!$D$60:$D$412,D63,Merged_COEM!$C$60:$C$412,C55)</f>
        <v>0</v>
      </c>
    </row>
    <row r="64" spans="1:11" x14ac:dyDescent="0.25">
      <c r="A64" s="1"/>
    </row>
    <row r="65" spans="1:11" x14ac:dyDescent="0.25">
      <c r="A65" s="1"/>
      <c r="C65" t="s">
        <v>121</v>
      </c>
    </row>
    <row r="66" spans="1:11" x14ac:dyDescent="0.25">
      <c r="A66" s="1"/>
      <c r="D66" s="118" t="s">
        <v>124</v>
      </c>
    </row>
    <row r="67" spans="1:11" x14ac:dyDescent="0.25">
      <c r="A67" s="1"/>
    </row>
    <row r="68" spans="1:11" x14ac:dyDescent="0.25">
      <c r="A68" s="1">
        <v>6</v>
      </c>
      <c r="B68" s="1" t="s">
        <v>53</v>
      </c>
      <c r="C68" s="1">
        <v>20200624</v>
      </c>
    </row>
    <row r="69" spans="1:11" x14ac:dyDescent="0.25">
      <c r="A69" s="1"/>
      <c r="B69" s="1" t="s">
        <v>115</v>
      </c>
      <c r="C69">
        <f>SUM(G75:G76)</f>
        <v>17.799999999999997</v>
      </c>
      <c r="D69" t="s">
        <v>116</v>
      </c>
      <c r="J69" s="127"/>
      <c r="K69" s="127"/>
    </row>
    <row r="70" spans="1:11" x14ac:dyDescent="0.25">
      <c r="A70" s="1"/>
      <c r="B70" s="1" t="s">
        <v>122</v>
      </c>
      <c r="C70">
        <f>SUM(INT((WEEKDAY(F70-{2,3,4,5,6})+H70-F70)/7))</f>
        <v>6</v>
      </c>
      <c r="D70" t="s">
        <v>116</v>
      </c>
      <c r="E70" t="s">
        <v>145</v>
      </c>
      <c r="F70" s="6">
        <v>44006</v>
      </c>
      <c r="G70" s="6" t="s">
        <v>114</v>
      </c>
      <c r="H70" s="6">
        <v>44013</v>
      </c>
    </row>
    <row r="71" spans="1:11" x14ac:dyDescent="0.25">
      <c r="A71" s="1"/>
      <c r="B71" s="1" t="s">
        <v>123</v>
      </c>
      <c r="C71">
        <f>SUM(INT((WEEKDAY(F71-{2,3,4,5,6})+H71-F71)/7))</f>
        <v>6</v>
      </c>
      <c r="D71" t="s">
        <v>116</v>
      </c>
      <c r="E71" t="s">
        <v>145</v>
      </c>
      <c r="F71" s="6">
        <v>44006</v>
      </c>
      <c r="G71" s="6" t="s">
        <v>114</v>
      </c>
      <c r="H71" s="6">
        <v>44013</v>
      </c>
    </row>
    <row r="72" spans="1:11" x14ac:dyDescent="0.25">
      <c r="A72" s="1"/>
      <c r="B72" s="1" t="s">
        <v>17</v>
      </c>
      <c r="C72" t="str">
        <f>IF(AND(F75=E75,F76=E76),IF(SUM(H75:H76)&gt;SUM(G75:G76),"Delayed",IF(SUM(H75:H76)&lt;SUM(G75:G76),"InAdvanced","Ontime")),"N/A")</f>
        <v>InAdvanced</v>
      </c>
      <c r="F72" s="6"/>
      <c r="G72" s="6"/>
      <c r="H72" s="6"/>
    </row>
    <row r="73" spans="1:11" x14ac:dyDescent="0.25">
      <c r="A73" s="1"/>
    </row>
    <row r="74" spans="1:11" ht="45" x14ac:dyDescent="0.25">
      <c r="A74" s="1"/>
      <c r="C74" s="50" t="s">
        <v>25</v>
      </c>
      <c r="D74" s="50" t="s">
        <v>26</v>
      </c>
      <c r="E74" s="8" t="s">
        <v>117</v>
      </c>
      <c r="F74" s="8" t="s">
        <v>118</v>
      </c>
      <c r="G74" s="8" t="s">
        <v>119</v>
      </c>
      <c r="H74" s="8" t="s">
        <v>120</v>
      </c>
      <c r="I74" s="8" t="s">
        <v>29</v>
      </c>
      <c r="J74" s="8" t="str">
        <f>Table!$C$41</f>
        <v>OPL</v>
      </c>
      <c r="K74" s="8" t="str">
        <f>Table!$C$42</f>
        <v>Defect</v>
      </c>
    </row>
    <row r="75" spans="1:11" x14ac:dyDescent="0.25">
      <c r="A75" s="1"/>
      <c r="C75" s="41">
        <v>1</v>
      </c>
      <c r="D75" s="37" t="str">
        <f>Table!$D$3</f>
        <v>PSW</v>
      </c>
      <c r="E75" s="37">
        <f>SUMIFS(Merged_COEM!$W$60:$W$412,Merged_COEM!$D$60:$D$412,D75, Merged_COEM!$C$60:$C$412,C68)</f>
        <v>6347</v>
      </c>
      <c r="F75" s="37">
        <f>SUMIFS(Merged_COEM!$X$60:$X$412,Merged_COEM!$D$60:$D$412,D75, Merged_COEM!$C$60:$C$412,C68)-SUM(SUMIFS(Merged_COEM!$X$60:$X$412,Merged_COEM!$D$60:$D$412,Table!$D$3,Merged_COEM!$AA$60:$AA$412,{"Ongoing","N/A",""},Merged_COEM!$C$60:$C$412,C68))</f>
        <v>6347</v>
      </c>
      <c r="G75" s="37">
        <f>1/8*(SUMIFS(Merged_COEM!$Y$60:$Y$412,Merged_COEM!$D$60:$D$412,D75, Merged_COEM!$C$60:$C$412,C68))</f>
        <v>17.216249999999999</v>
      </c>
      <c r="H75" s="37">
        <f>1/8*(SUMIFS(Merged_COEM!$Z$60:$Z$412,Merged_COEM!$D$60:$D$412,D75, Merged_COEM!$C$60:$C$412,C68)-SUM(SUMIFS(Merged_COEM!$Z$60:$Z$412,Merged_COEM!$D$60:$D$412,D75,Merged_COEM!$AA$60:$AA$412,{"Ongoing","N/A",""},Merged_COEM!$C$60:$C$412,C68)))</f>
        <v>14.518749999999999</v>
      </c>
      <c r="I75" s="62">
        <f>IFERROR(F75/E75,"N/A")</f>
        <v>1</v>
      </c>
      <c r="J75" s="3">
        <f>COUNTIFS(Merged_COEM!$AK$60:$AK$412,J74,Merged_COEM!$D$60:$D$412,D75,Merged_COEM!$C$60:$C$412,C68)</f>
        <v>5</v>
      </c>
      <c r="K75" s="3">
        <f>COUNTIFS(Merged_COEM!$AK$60:$AK$412,K74,Merged_COEM!$D$60:$D$412,D75,Merged_COEM!$C$60:$C$412,C68)</f>
        <v>0</v>
      </c>
    </row>
    <row r="76" spans="1:11" x14ac:dyDescent="0.25">
      <c r="A76" s="1"/>
      <c r="C76" s="41">
        <v>2</v>
      </c>
      <c r="D76" s="37" t="str">
        <f>Table!$C$3</f>
        <v>ASW</v>
      </c>
      <c r="E76" s="37">
        <f>SUMIFS(Merged_COEM!$W$60:$W$412,Merged_COEM!$D$60:$D$412,D76, Merged_COEM!$C$60:$C$412,C68)</f>
        <v>76</v>
      </c>
      <c r="F76" s="37">
        <f>SUMIFS(Merged_COEM!$X$60:$X$412,Merged_COEM!$D$60:$D$412,D76, Merged_COEM!$C$60:$C$412,C68)-SUM(SUMIFS(Merged_COEM!$X$60:$X$412,Merged_COEM!$D$60:$D$412,D76,Merged_COEM!$AA$60:$AA$412,{"Ongoing","N/A",""},Merged_COEM!$C$60:$C$412,C68))</f>
        <v>76</v>
      </c>
      <c r="G76" s="37">
        <f>1/8*(SUMIFS(Merged_COEM!$Y$60:$Y$412,Merged_COEM!$D$60:$D$412,D76, Merged_COEM!$C$60:$C$412,C68))</f>
        <v>0.58374999999999999</v>
      </c>
      <c r="H76" s="37">
        <f>1/8*(SUMIFS(Merged_COEM!$Z$60:$Z$412,Merged_COEM!$D$60:$D$412,D76, Merged_COEM!$C$60:$C$412,C68)-SUM(SUMIFS(Merged_COEM!$Z$60:$Z$412,Merged_COEM!$D$60:$D$412,D76,Merged_COEM!$AA$60:$AA$412,{"Ongoing","N/A",""},Merged_COEM!$C$60:$C$412,C68)))</f>
        <v>0.6875</v>
      </c>
      <c r="I76" s="62">
        <f>IFERROR(F76/E76,"N/A")</f>
        <v>1</v>
      </c>
      <c r="J76" s="3">
        <f>COUNTIFS(Merged_COEM!$AK$60:$AK$412,J74,Merged_COEM!$D$60:$D$412,D76,Merged_COEM!$C$60:$C$412,C68)</f>
        <v>0</v>
      </c>
      <c r="K76" s="3">
        <f>COUNTIFS(Merged_COEM!$AK$60:$AK$412,K74,Merged_COEM!$D$60:$D$412,D76,Merged_COEM!$C$60:$C$412,C68)</f>
        <v>0</v>
      </c>
    </row>
    <row r="77" spans="1:11" x14ac:dyDescent="0.25">
      <c r="A77" s="1"/>
    </row>
    <row r="78" spans="1:11" x14ac:dyDescent="0.25">
      <c r="A78" s="1"/>
      <c r="C78" t="s">
        <v>121</v>
      </c>
    </row>
    <row r="79" spans="1:11" x14ac:dyDescent="0.25">
      <c r="A79" s="1"/>
      <c r="D79" s="118" t="s">
        <v>124</v>
      </c>
    </row>
    <row r="80" spans="1:11" x14ac:dyDescent="0.25">
      <c r="A80" s="1"/>
    </row>
    <row r="81" spans="1:11" x14ac:dyDescent="0.25">
      <c r="A81" s="1">
        <v>7</v>
      </c>
      <c r="B81" s="1" t="s">
        <v>53</v>
      </c>
      <c r="C81" s="1">
        <v>20200625</v>
      </c>
    </row>
    <row r="82" spans="1:11" x14ac:dyDescent="0.25">
      <c r="A82" s="1"/>
      <c r="B82" s="1" t="s">
        <v>115</v>
      </c>
      <c r="C82">
        <f>SUM(G88:G89)</f>
        <v>12.188749999999999</v>
      </c>
      <c r="D82" t="s">
        <v>116</v>
      </c>
      <c r="J82" s="127"/>
      <c r="K82" s="127"/>
    </row>
    <row r="83" spans="1:11" x14ac:dyDescent="0.25">
      <c r="A83" s="1"/>
      <c r="B83" s="1" t="s">
        <v>122</v>
      </c>
      <c r="C83">
        <f>SUM(INT((WEEKDAY(F83-{2,3,4,5,6})+H83-F83)/7))</f>
        <v>5</v>
      </c>
      <c r="D83" t="s">
        <v>116</v>
      </c>
      <c r="E83" t="s">
        <v>145</v>
      </c>
      <c r="F83" s="6">
        <v>44007</v>
      </c>
      <c r="G83" s="6" t="s">
        <v>114</v>
      </c>
      <c r="H83" s="6">
        <v>44013</v>
      </c>
    </row>
    <row r="84" spans="1:11" x14ac:dyDescent="0.25">
      <c r="A84" s="1"/>
      <c r="B84" s="1" t="s">
        <v>123</v>
      </c>
      <c r="C84">
        <f>SUM(INT((WEEKDAY(F84-{2,3,4,5,6})+H84-F84)/7))</f>
        <v>5</v>
      </c>
      <c r="D84" t="s">
        <v>116</v>
      </c>
      <c r="E84" t="s">
        <v>145</v>
      </c>
      <c r="F84" s="6">
        <v>44007</v>
      </c>
      <c r="G84" s="6" t="s">
        <v>114</v>
      </c>
      <c r="H84" s="6">
        <v>44013</v>
      </c>
    </row>
    <row r="85" spans="1:11" x14ac:dyDescent="0.25">
      <c r="A85" s="1"/>
      <c r="B85" s="1" t="s">
        <v>17</v>
      </c>
      <c r="C85" t="str">
        <f>IF(AND(F88=E88,F89=E89),IF(SUM(H88:H89)&gt;SUM(G88:G89),"Delayed",IF(SUM(H88:H89)&lt;SUM(G88:G89),"InAdvanced","Ontime")),"N/A")</f>
        <v>InAdvanced</v>
      </c>
      <c r="F85" s="6"/>
      <c r="G85" s="6"/>
      <c r="H85" s="6"/>
    </row>
    <row r="86" spans="1:11" x14ac:dyDescent="0.25">
      <c r="A86" s="1"/>
    </row>
    <row r="87" spans="1:11" ht="45" x14ac:dyDescent="0.25">
      <c r="A87" s="1"/>
      <c r="C87" s="50" t="s">
        <v>25</v>
      </c>
      <c r="D87" s="50" t="s">
        <v>26</v>
      </c>
      <c r="E87" s="8" t="s">
        <v>117</v>
      </c>
      <c r="F87" s="8" t="s">
        <v>118</v>
      </c>
      <c r="G87" s="8" t="s">
        <v>119</v>
      </c>
      <c r="H87" s="8" t="s">
        <v>120</v>
      </c>
      <c r="I87" s="8" t="s">
        <v>29</v>
      </c>
      <c r="J87" s="8" t="str">
        <f>Table!$C$41</f>
        <v>OPL</v>
      </c>
      <c r="K87" s="8" t="str">
        <f>Table!$C$42</f>
        <v>Defect</v>
      </c>
    </row>
    <row r="88" spans="1:11" x14ac:dyDescent="0.25">
      <c r="A88" s="1"/>
      <c r="C88" s="41">
        <v>1</v>
      </c>
      <c r="D88" s="37" t="str">
        <f>Table!$D$3</f>
        <v>PSW</v>
      </c>
      <c r="E88" s="37">
        <f>SUMIFS(Merged_COEM!$W$60:$W$412,Merged_COEM!$D$60:$D$412,D88, Merged_COEM!$C$60:$C$412,C81)</f>
        <v>5493</v>
      </c>
      <c r="F88" s="37">
        <f>SUMIFS(Merged_COEM!$X$60:$X$412,Merged_COEM!$D$60:$D$412,D88, Merged_COEM!$C$60:$C$412,C81)-SUM(SUMIFS(Merged_COEM!$X$60:$X$412,Merged_COEM!$D$60:$D$412,Table!$D$3,Merged_COEM!$AA$60:$AA$412,{"Ongoing","N/A",""},Merged_COEM!$C$60:$C$412,C81))</f>
        <v>5493</v>
      </c>
      <c r="G88" s="37">
        <f>1/8*(SUMIFS(Merged_COEM!$Y$60:$Y$412,Merged_COEM!$D$60:$D$412,D88, Merged_COEM!$C$60:$C$412,C81))</f>
        <v>12.188749999999999</v>
      </c>
      <c r="H88" s="37">
        <f>1/8*(SUMIFS(Merged_COEM!$Z$60:$Z$412,Merged_COEM!$D$60:$D$412,D88, Merged_COEM!$C$60:$C$412,C81)-SUM(SUMIFS(Merged_COEM!$Z$60:$Z$412,Merged_COEM!$D$60:$D$412,D88,Merged_COEM!$AA$60:$AA$412,{"Ongoing","N/A",""},Merged_COEM!$C$60:$C$412,C81)))</f>
        <v>10.79</v>
      </c>
      <c r="I88" s="62">
        <f>IFERROR(F88/E88,"N/A")</f>
        <v>1</v>
      </c>
      <c r="J88" s="3">
        <f>COUNTIFS(Merged_COEM!$AK$60:$AK$412,J87,Merged_COEM!$D$60:$D$412,D88,Merged_COEM!$C$60:$C$412,C81)</f>
        <v>12</v>
      </c>
      <c r="K88" s="3">
        <f>COUNTIFS(Merged_COEM!$AK$60:$AK$412,K87,Merged_COEM!$D$60:$D$412,D88,Merged_COEM!$C$60:$C$412,C81)</f>
        <v>0</v>
      </c>
    </row>
    <row r="89" spans="1:11" x14ac:dyDescent="0.25">
      <c r="A89" s="1"/>
      <c r="C89" s="41">
        <v>2</v>
      </c>
      <c r="D89" s="37" t="str">
        <f>Table!$C$3</f>
        <v>ASW</v>
      </c>
      <c r="E89" s="37">
        <f>SUMIFS(Merged_COEM!$W$60:$W$412,Merged_COEM!$D$60:$D$412,D89, Merged_COEM!$C$60:$C$412,C81)</f>
        <v>0</v>
      </c>
      <c r="F89" s="37">
        <f>SUMIFS(Merged_COEM!$X$60:$X$412,Merged_COEM!$D$60:$D$412,D89, Merged_COEM!$C$60:$C$412,C81)-SUM(SUMIFS(Merged_COEM!$X$60:$X$412,Merged_COEM!$D$60:$D$412,D89,Merged_COEM!$AA$60:$AA$412,{"Ongoing","N/A",""},Merged_COEM!$C$60:$C$412,C81))</f>
        <v>0</v>
      </c>
      <c r="G89" s="37">
        <f>1/8*(SUMIFS(Merged_COEM!$Y$60:$Y$412,Merged_COEM!$D$60:$D$412,D89, Merged_COEM!$C$60:$C$412,C81))</f>
        <v>0</v>
      </c>
      <c r="H89" s="37">
        <f>1/8*(SUMIFS(Merged_COEM!$Z$60:$Z$412,Merged_COEM!$D$60:$D$412,D89, Merged_COEM!$C$60:$C$412,C81)-SUM(SUMIFS(Merged_COEM!$Z$60:$Z$412,Merged_COEM!$D$60:$D$412,D89,Merged_COEM!$AA$60:$AA$412,{"Ongoing","N/A",""},Merged_COEM!$C$60:$C$412,C81)))</f>
        <v>0</v>
      </c>
      <c r="I89" s="62" t="str">
        <f>IFERROR(F89/E89,"N/A")</f>
        <v>N/A</v>
      </c>
      <c r="J89" s="3">
        <f>COUNTIFS(Merged_COEM!$AK$60:$AK$412,J87,Merged_COEM!$D$60:$D$412,D89,Merged_COEM!$C$60:$C$412,C81)</f>
        <v>0</v>
      </c>
      <c r="K89" s="3">
        <f>COUNTIFS(Merged_COEM!$AK$60:$AK$412,K87,Merged_COEM!$D$60:$D$412,D89,Merged_COEM!$C$60:$C$412,C81)</f>
        <v>0</v>
      </c>
    </row>
    <row r="90" spans="1:11" x14ac:dyDescent="0.25">
      <c r="A90" s="1"/>
    </row>
    <row r="91" spans="1:11" x14ac:dyDescent="0.25">
      <c r="A91" s="1"/>
      <c r="C91" t="s">
        <v>121</v>
      </c>
    </row>
    <row r="92" spans="1:11" x14ac:dyDescent="0.25">
      <c r="A92" s="1"/>
      <c r="D92" s="118" t="s">
        <v>124</v>
      </c>
    </row>
    <row r="93" spans="1:11" x14ac:dyDescent="0.25">
      <c r="A93" s="1"/>
    </row>
    <row r="94" spans="1:11" x14ac:dyDescent="0.25">
      <c r="A94" s="1">
        <v>8</v>
      </c>
      <c r="B94" s="209" t="s">
        <v>53</v>
      </c>
      <c r="C94" s="209">
        <v>20200626</v>
      </c>
    </row>
    <row r="95" spans="1:11" x14ac:dyDescent="0.25">
      <c r="A95" s="1"/>
      <c r="B95" s="209" t="s">
        <v>115</v>
      </c>
      <c r="C95">
        <f>SUM(G101:G102)</f>
        <v>5.7025000000000006</v>
      </c>
      <c r="D95" t="s">
        <v>116</v>
      </c>
    </row>
    <row r="96" spans="1:11" x14ac:dyDescent="0.25">
      <c r="A96" s="1"/>
      <c r="B96" s="209" t="s">
        <v>122</v>
      </c>
      <c r="C96" t="e">
        <f>SUM(INT((WEEKDAY(F96-{2,3,4,5,6})+H96-F96)/7))</f>
        <v>#NUM!</v>
      </c>
      <c r="D96" t="s">
        <v>116</v>
      </c>
      <c r="E96" t="s">
        <v>145</v>
      </c>
      <c r="F96" s="6"/>
      <c r="G96" s="6" t="s">
        <v>114</v>
      </c>
      <c r="H96" s="6"/>
    </row>
    <row r="97" spans="1:11" x14ac:dyDescent="0.25">
      <c r="A97" s="1"/>
      <c r="B97" s="209" t="s">
        <v>123</v>
      </c>
      <c r="C97" t="e">
        <f>SUM(INT((WEEKDAY(F97-{2,3,4,5,6})+H97-F97)/7))</f>
        <v>#NUM!</v>
      </c>
      <c r="D97" t="s">
        <v>116</v>
      </c>
      <c r="E97" t="s">
        <v>145</v>
      </c>
      <c r="F97" s="6"/>
      <c r="G97" s="6" t="s">
        <v>114</v>
      </c>
      <c r="H97" s="6"/>
    </row>
    <row r="98" spans="1:11" x14ac:dyDescent="0.25">
      <c r="A98" s="1"/>
      <c r="B98" s="209" t="s">
        <v>17</v>
      </c>
      <c r="C98" t="str">
        <f>IF(AND(F101=E101,F102=E102),IF(SUM(H101:H102)&gt;SUM(G101:G102),"Delayed",IF(SUM(H101:H102)&lt;SUM(G101:G102),"InAdvanced","Ontime")),"N/A")</f>
        <v>InAdvanced</v>
      </c>
      <c r="F98" s="6"/>
      <c r="G98" s="6"/>
      <c r="H98" s="6"/>
    </row>
    <row r="99" spans="1:11" x14ac:dyDescent="0.25">
      <c r="A99" s="1"/>
    </row>
    <row r="100" spans="1:11" ht="45" x14ac:dyDescent="0.25">
      <c r="A100" s="1"/>
      <c r="C100" s="210" t="s">
        <v>25</v>
      </c>
      <c r="D100" s="210" t="s">
        <v>26</v>
      </c>
      <c r="E100" s="211" t="s">
        <v>117</v>
      </c>
      <c r="F100" s="211" t="s">
        <v>118</v>
      </c>
      <c r="G100" s="211" t="s">
        <v>119</v>
      </c>
      <c r="H100" s="211" t="s">
        <v>120</v>
      </c>
      <c r="I100" s="211" t="s">
        <v>29</v>
      </c>
      <c r="J100" s="211" t="str">
        <f>Table!$C$41</f>
        <v>OPL</v>
      </c>
      <c r="K100" s="211" t="str">
        <f>Table!$C$42</f>
        <v>Defect</v>
      </c>
    </row>
    <row r="101" spans="1:11" x14ac:dyDescent="0.25">
      <c r="A101" s="1"/>
      <c r="C101" s="41">
        <v>1</v>
      </c>
      <c r="D101" s="37" t="str">
        <f>Table!$D$3</f>
        <v>PSW</v>
      </c>
      <c r="E101" s="37">
        <f>SUMIFS(Merged_COEM!$W$60:$W$412,Merged_COEM!$D$60:$D$412,D101, Merged_COEM!$C$60:$C$412,C94)</f>
        <v>2571</v>
      </c>
      <c r="F101" s="37">
        <f>SUMIFS(Merged_COEM!$X$60:$X$412,Merged_COEM!$D$60:$D$412,D101, Merged_COEM!$C$60:$C$412,C94)-SUM(SUMIFS(Merged_COEM!$X$60:$X$412,Merged_COEM!$D$60:$D$412,Table!$D$3,Merged_COEM!$AA$60:$AA$412,{"Ongoing","N/A",""},Merged_COEM!$C$60:$C$412,C94))</f>
        <v>2571</v>
      </c>
      <c r="G101" s="37">
        <f>1/8*(SUMIFS(Merged_COEM!$Y$60:$Y$412,Merged_COEM!$D$60:$D$412,D101, Merged_COEM!$C$60:$C$412,C94))</f>
        <v>5.7025000000000006</v>
      </c>
      <c r="H101" s="37">
        <f>1/8*(SUMIFS(Merged_COEM!$Z$60:$Z$412,Merged_COEM!$D$60:$D$412,D101, Merged_COEM!$C$60:$C$412,C94)-SUM(SUMIFS(Merged_COEM!$Z$60:$Z$412,Merged_COEM!$D$60:$D$412,D101,Merged_COEM!$AA$60:$AA$412,{"Ongoing","N/A",""},Merged_COEM!$C$60:$C$412,C94)))</f>
        <v>4.01</v>
      </c>
      <c r="I101" s="62">
        <f>IFERROR(F101/E101,"N/A")</f>
        <v>1</v>
      </c>
      <c r="J101" s="3">
        <f>COUNTIFS(Merged_COEM!$AK$60:$AK$412,J100,Merged_COEM!$D$60:$D$412,D101,Merged_COEM!$C$60:$C$412,C94)</f>
        <v>0</v>
      </c>
      <c r="K101" s="3">
        <f>COUNTIFS(Merged_COEM!$AK$60:$AK$412,K100,Merged_COEM!$D$60:$D$412,D101,Merged_COEM!$C$60:$C$412,C94)</f>
        <v>0</v>
      </c>
    </row>
    <row r="102" spans="1:11" x14ac:dyDescent="0.25">
      <c r="A102" s="1"/>
      <c r="C102" s="41">
        <v>2</v>
      </c>
      <c r="D102" s="37" t="str">
        <f>Table!$C$3</f>
        <v>ASW</v>
      </c>
      <c r="E102" s="37">
        <f>SUMIFS(Merged_COEM!$W$60:$W$412,Merged_COEM!$D$60:$D$412,D102, Merged_COEM!$C$60:$C$412,C94)</f>
        <v>0</v>
      </c>
      <c r="F102" s="37">
        <f>SUMIFS(Merged_COEM!$X$60:$X$412,Merged_COEM!$D$60:$D$412,D102, Merged_COEM!$C$60:$C$412,C94)-SUM(SUMIFS(Merged_COEM!$X$60:$X$412,Merged_COEM!$D$60:$D$412,D102,Merged_COEM!$AA$60:$AA$412,{"Ongoing","N/A",""},Merged_COEM!$C$60:$C$412,C94))</f>
        <v>0</v>
      </c>
      <c r="G102" s="37">
        <f>1/8*(SUMIFS(Merged_COEM!$Y$60:$Y$412,Merged_COEM!$D$60:$D$412,D102, Merged_COEM!$C$60:$C$412,C94))</f>
        <v>0</v>
      </c>
      <c r="H102" s="37">
        <f>1/8*(SUMIFS(Merged_COEM!$Z$60:$Z$412,Merged_COEM!$D$60:$D$412,D102, Merged_COEM!$C$60:$C$412,C94)-SUM(SUMIFS(Merged_COEM!$Z$60:$Z$412,Merged_COEM!$D$60:$D$412,D102,Merged_COEM!$AA$60:$AA$412,{"Ongoing","N/A",""},Merged_COEM!$C$60:$C$412,C94)))</f>
        <v>0</v>
      </c>
      <c r="I102" s="62" t="str">
        <f>IFERROR(F102/E102,"N/A")</f>
        <v>N/A</v>
      </c>
      <c r="J102" s="3">
        <f>COUNTIFS(Merged_COEM!$AK$60:$AK$412,J100,Merged_COEM!$D$60:$D$412,D102,Merged_COEM!$C$60:$C$412,C94)</f>
        <v>0</v>
      </c>
      <c r="K102" s="3">
        <f>COUNTIFS(Merged_COEM!$AK$60:$AK$412,K100,Merged_COEM!$D$60:$D$412,D102,Merged_COEM!$C$60:$C$412,C94)</f>
        <v>0</v>
      </c>
    </row>
    <row r="103" spans="1:11" x14ac:dyDescent="0.25">
      <c r="A103" s="1"/>
    </row>
    <row r="104" spans="1:11" x14ac:dyDescent="0.25">
      <c r="A104" s="1"/>
      <c r="C104" t="s">
        <v>121</v>
      </c>
    </row>
    <row r="105" spans="1:11" x14ac:dyDescent="0.25">
      <c r="A105" s="1"/>
      <c r="D105" s="212" t="s">
        <v>124</v>
      </c>
    </row>
    <row r="106" spans="1:11" x14ac:dyDescent="0.25">
      <c r="A106" s="1"/>
    </row>
    <row r="107" spans="1:11" x14ac:dyDescent="0.25">
      <c r="A107" s="1">
        <v>9</v>
      </c>
      <c r="B107" s="209" t="s">
        <v>53</v>
      </c>
      <c r="C107" s="209">
        <v>20200629</v>
      </c>
    </row>
    <row r="108" spans="1:11" x14ac:dyDescent="0.25">
      <c r="A108" s="1"/>
      <c r="B108" s="209" t="s">
        <v>115</v>
      </c>
      <c r="C108">
        <f>SUM(G114:G115)</f>
        <v>3.4924999999999997</v>
      </c>
      <c r="D108" t="s">
        <v>116</v>
      </c>
    </row>
    <row r="109" spans="1:11" x14ac:dyDescent="0.25">
      <c r="A109" s="1"/>
      <c r="B109" s="209" t="s">
        <v>122</v>
      </c>
      <c r="C109" t="e">
        <f>SUM(INT((WEEKDAY(F109-{2,3,4,5,6})+H109-F109)/7))</f>
        <v>#NUM!</v>
      </c>
      <c r="D109" t="s">
        <v>116</v>
      </c>
      <c r="E109" t="s">
        <v>145</v>
      </c>
      <c r="F109" s="6"/>
      <c r="G109" s="6" t="s">
        <v>114</v>
      </c>
      <c r="H109" s="6"/>
    </row>
    <row r="110" spans="1:11" x14ac:dyDescent="0.25">
      <c r="A110" s="1"/>
      <c r="B110" s="209" t="s">
        <v>123</v>
      </c>
      <c r="C110" t="e">
        <f>SUM(INT((WEEKDAY(F110-{2,3,4,5,6})+H110-F110)/7))</f>
        <v>#NUM!</v>
      </c>
      <c r="D110" t="s">
        <v>116</v>
      </c>
      <c r="E110" t="s">
        <v>145</v>
      </c>
      <c r="F110" s="6"/>
      <c r="G110" s="6" t="s">
        <v>114</v>
      </c>
      <c r="H110" s="6"/>
    </row>
    <row r="111" spans="1:11" x14ac:dyDescent="0.25">
      <c r="A111" s="1"/>
      <c r="B111" s="209" t="s">
        <v>17</v>
      </c>
      <c r="C111" t="str">
        <f>IF(AND(F114=E114,F115=E115),IF(SUM(H114:H115)&gt;SUM(G114:G115),"Delayed",IF(SUM(H114:H115)&lt;SUM(G114:G115),"InAdvanced","Ontime")),"N/A")</f>
        <v>InAdvanced</v>
      </c>
      <c r="F111" s="6"/>
      <c r="G111" s="6"/>
      <c r="H111" s="6"/>
    </row>
    <row r="112" spans="1:11" x14ac:dyDescent="0.25">
      <c r="A112" s="1"/>
    </row>
    <row r="113" spans="1:11" ht="45" x14ac:dyDescent="0.25">
      <c r="A113" s="1"/>
      <c r="C113" s="210" t="s">
        <v>25</v>
      </c>
      <c r="D113" s="210" t="s">
        <v>26</v>
      </c>
      <c r="E113" s="211" t="s">
        <v>117</v>
      </c>
      <c r="F113" s="211" t="s">
        <v>118</v>
      </c>
      <c r="G113" s="211" t="s">
        <v>119</v>
      </c>
      <c r="H113" s="211" t="s">
        <v>120</v>
      </c>
      <c r="I113" s="211" t="s">
        <v>29</v>
      </c>
      <c r="J113" s="211" t="str">
        <f>Table!$C$41</f>
        <v>OPL</v>
      </c>
      <c r="K113" s="211" t="str">
        <f>Table!$C$42</f>
        <v>Defect</v>
      </c>
    </row>
    <row r="114" spans="1:11" x14ac:dyDescent="0.25">
      <c r="A114" s="1"/>
      <c r="C114" s="41">
        <v>1</v>
      </c>
      <c r="D114" s="37" t="str">
        <f>Table!$D$3</f>
        <v>PSW</v>
      </c>
      <c r="E114" s="37">
        <f>SUMIFS(Merged_COEM!$W$60:$W$412,Merged_COEM!$D$60:$D$412,D114, Merged_COEM!$C$60:$C$412,C107)</f>
        <v>490</v>
      </c>
      <c r="F114" s="37">
        <f>SUMIFS(Merged_COEM!$X$60:$X$412,Merged_COEM!$D$60:$D$412,D114, Merged_COEM!$C$60:$C$412,C107)-SUM(SUMIFS(Merged_COEM!$X$60:$X$412,Merged_COEM!$D$60:$D$412,Table!$D$3,Merged_COEM!$AA$60:$AA$412,{"Ongoing","N/A",""},Merged_COEM!$C$60:$C$412,C107))</f>
        <v>490</v>
      </c>
      <c r="G114" s="37">
        <f>1/8*(SUMIFS(Merged_COEM!$Y$60:$Y$412,Merged_COEM!$D$60:$D$412,D114, Merged_COEM!$C$60:$C$412,C107))</f>
        <v>1.0874999999999999</v>
      </c>
      <c r="H114" s="37">
        <f>1/8*(SUMIFS(Merged_COEM!$Z$60:$Z$412,Merged_COEM!$D$60:$D$412,D114, Merged_COEM!$C$60:$C$412,C107)-SUM(SUMIFS(Merged_COEM!$Z$60:$Z$412,Merged_COEM!$D$60:$D$412,D114,Merged_COEM!$AA$60:$AA$412,{"Ongoing","N/A",""},Merged_COEM!$C$60:$C$412,C107)))</f>
        <v>0.4375</v>
      </c>
      <c r="I114" s="62">
        <f>IFERROR(F114/E114,"N/A")</f>
        <v>1</v>
      </c>
      <c r="J114" s="3">
        <f>COUNTIFS(Merged_COEM!$AK$60:$AK$412,J113,Merged_COEM!$D$60:$D$412,D114,Merged_COEM!$C$60:$C$412,C107)</f>
        <v>0</v>
      </c>
      <c r="K114" s="3">
        <f>COUNTIFS(Merged_COEM!$AK$60:$AK$412,K113,Merged_COEM!$D$60:$D$412,D114,Merged_COEM!$C$60:$C$412,C107)</f>
        <v>0</v>
      </c>
    </row>
    <row r="115" spans="1:11" x14ac:dyDescent="0.25">
      <c r="A115" s="1"/>
      <c r="C115" s="41">
        <v>2</v>
      </c>
      <c r="D115" s="37" t="str">
        <f>Table!$C$3</f>
        <v>ASW</v>
      </c>
      <c r="E115" s="37">
        <f>SUMIFS(Merged_COEM!$W$60:$W$412,Merged_COEM!$D$60:$D$412,D115, Merged_COEM!$C$60:$C$412,C107)</f>
        <v>313</v>
      </c>
      <c r="F115" s="37">
        <f>SUMIFS(Merged_COEM!$X$60:$X$412,Merged_COEM!$D$60:$D$412,D115, Merged_COEM!$C$60:$C$412,C107)-SUM(SUMIFS(Merged_COEM!$X$60:$X$412,Merged_COEM!$D$60:$D$412,D115,Merged_COEM!$AA$60:$AA$412,{"Ongoing","N/A",""},Merged_COEM!$C$60:$C$412,C107))</f>
        <v>313</v>
      </c>
      <c r="G115" s="37">
        <f>1/8*(SUMIFS(Merged_COEM!$Y$60:$Y$412,Merged_COEM!$D$60:$D$412,D115, Merged_COEM!$C$60:$C$412,C107))</f>
        <v>2.4049999999999998</v>
      </c>
      <c r="H115" s="37">
        <f>1/8*(SUMIFS(Merged_COEM!$Z$60:$Z$412,Merged_COEM!$D$60:$D$412,D115, Merged_COEM!$C$60:$C$412,C107)-SUM(SUMIFS(Merged_COEM!$Z$60:$Z$412,Merged_COEM!$D$60:$D$412,D115,Merged_COEM!$AA$60:$AA$412,{"Ongoing","N/A",""},Merged_COEM!$C$60:$C$412,C107)))</f>
        <v>2.4375</v>
      </c>
      <c r="I115" s="62">
        <f>IFERROR(F115/E115,"N/A")</f>
        <v>1</v>
      </c>
      <c r="J115" s="3">
        <f>COUNTIFS(Merged_COEM!$AK$60:$AK$412,J113,Merged_COEM!$D$60:$D$412,D115,Merged_COEM!$C$60:$C$412,C107)</f>
        <v>1</v>
      </c>
      <c r="K115" s="3">
        <f>COUNTIFS(Merged_COEM!$AK$60:$AK$412,K113,Merged_COEM!$D$60:$D$412,D115,Merged_COEM!$C$60:$C$412,C107)</f>
        <v>0</v>
      </c>
    </row>
    <row r="116" spans="1:11" x14ac:dyDescent="0.25">
      <c r="A116" s="1"/>
    </row>
    <row r="117" spans="1:11" x14ac:dyDescent="0.25">
      <c r="A117" s="1"/>
      <c r="C117" t="s">
        <v>121</v>
      </c>
    </row>
    <row r="118" spans="1:11" x14ac:dyDescent="0.25">
      <c r="A118" s="1"/>
      <c r="D118" s="212" t="s">
        <v>124</v>
      </c>
    </row>
    <row r="119" spans="1:11" x14ac:dyDescent="0.25">
      <c r="A119" s="1"/>
    </row>
    <row r="120" spans="1:11" x14ac:dyDescent="0.25">
      <c r="A120" s="1">
        <v>10</v>
      </c>
      <c r="B120" s="209" t="s">
        <v>53</v>
      </c>
      <c r="C120" s="209">
        <v>20200630</v>
      </c>
    </row>
    <row r="121" spans="1:11" x14ac:dyDescent="0.25">
      <c r="A121" s="1"/>
      <c r="B121" s="209" t="s">
        <v>115</v>
      </c>
      <c r="C121">
        <f>SUM(G127:G128)</f>
        <v>6.6449999999999996</v>
      </c>
      <c r="D121" t="s">
        <v>116</v>
      </c>
    </row>
    <row r="122" spans="1:11" x14ac:dyDescent="0.25">
      <c r="A122" s="1"/>
      <c r="B122" s="209" t="s">
        <v>122</v>
      </c>
      <c r="C122" t="e">
        <f>SUM(INT((WEEKDAY(F122-{2,3,4,5,6})+H122-F122)/7))</f>
        <v>#NUM!</v>
      </c>
      <c r="D122" t="s">
        <v>116</v>
      </c>
      <c r="E122" t="s">
        <v>145</v>
      </c>
      <c r="F122" s="6"/>
      <c r="G122" s="6" t="s">
        <v>114</v>
      </c>
      <c r="H122" s="6"/>
    </row>
    <row r="123" spans="1:11" x14ac:dyDescent="0.25">
      <c r="A123" s="1"/>
      <c r="B123" s="209" t="s">
        <v>123</v>
      </c>
      <c r="C123" t="e">
        <f>SUM(INT((WEEKDAY(F123-{2,3,4,5,6})+H123-F123)/7))</f>
        <v>#NUM!</v>
      </c>
      <c r="D123" t="s">
        <v>116</v>
      </c>
      <c r="E123" t="s">
        <v>145</v>
      </c>
      <c r="F123" s="6"/>
      <c r="G123" s="6" t="s">
        <v>114</v>
      </c>
      <c r="H123" s="6"/>
    </row>
    <row r="124" spans="1:11" x14ac:dyDescent="0.25">
      <c r="A124" s="1"/>
      <c r="B124" s="209" t="s">
        <v>17</v>
      </c>
      <c r="C124" t="str">
        <f>IF(AND(F127=E127,F128=E128),IF(SUM(H127:H128)&gt;SUM(G127:G128),"Delayed",IF(SUM(H127:H128)&lt;SUM(G127:G128),"InAdvanced","Ontime")),"N/A")</f>
        <v>InAdvanced</v>
      </c>
      <c r="F124" s="6"/>
      <c r="G124" s="6"/>
      <c r="H124" s="6"/>
    </row>
    <row r="125" spans="1:11" x14ac:dyDescent="0.25">
      <c r="A125" s="1"/>
    </row>
    <row r="126" spans="1:11" ht="45" x14ac:dyDescent="0.25">
      <c r="A126" s="1"/>
      <c r="C126" s="210" t="s">
        <v>25</v>
      </c>
      <c r="D126" s="210" t="s">
        <v>26</v>
      </c>
      <c r="E126" s="211" t="s">
        <v>117</v>
      </c>
      <c r="F126" s="211" t="s">
        <v>118</v>
      </c>
      <c r="G126" s="211" t="s">
        <v>119</v>
      </c>
      <c r="H126" s="211" t="s">
        <v>120</v>
      </c>
      <c r="I126" s="211" t="s">
        <v>29</v>
      </c>
      <c r="J126" s="211" t="str">
        <f>Table!$C$41</f>
        <v>OPL</v>
      </c>
      <c r="K126" s="211" t="str">
        <f>Table!$C$42</f>
        <v>Defect</v>
      </c>
    </row>
    <row r="127" spans="1:11" x14ac:dyDescent="0.25">
      <c r="A127" s="1"/>
      <c r="C127" s="41">
        <v>1</v>
      </c>
      <c r="D127" s="37" t="str">
        <f>Table!$D$3</f>
        <v>PSW</v>
      </c>
      <c r="E127" s="37">
        <f>SUMIFS(Merged_COEM!$W$60:$W$412,Merged_COEM!$D$60:$D$412,D127, Merged_COEM!$C$60:$C$412,C120)</f>
        <v>2995</v>
      </c>
      <c r="F127" s="37">
        <f>SUMIFS(Merged_COEM!$X$60:$X$412,Merged_COEM!$D$60:$D$412,D127, Merged_COEM!$C$60:$C$412,C120)-SUM(SUMIFS(Merged_COEM!$X$60:$X$412,Merged_COEM!$D$60:$D$412,Table!$D$3,Merged_COEM!$AA$60:$AA$412,{"Ongoing","N/A",""},Merged_COEM!$C$60:$C$412,C120))</f>
        <v>2995</v>
      </c>
      <c r="G127" s="37">
        <f>1/8*(SUMIFS(Merged_COEM!$Y$60:$Y$412,Merged_COEM!$D$60:$D$412,D127, Merged_COEM!$C$60:$C$412,C120))</f>
        <v>6.6449999999999996</v>
      </c>
      <c r="H127" s="37">
        <f>1/8*(SUMIFS(Merged_COEM!$Z$60:$Z$412,Merged_COEM!$D$60:$D$412,D127, Merged_COEM!$C$60:$C$412,C120)-SUM(SUMIFS(Merged_COEM!$Z$60:$Z$412,Merged_COEM!$D$60:$D$412,D127,Merged_COEM!$AA$60:$AA$412,{"Ongoing","N/A",""},Merged_COEM!$C$60:$C$412,C120)))</f>
        <v>5.1825000000000001</v>
      </c>
      <c r="I127" s="62">
        <f>IFERROR(F127/E127,"N/A")</f>
        <v>1</v>
      </c>
      <c r="J127" s="3">
        <f>COUNTIFS(Merged_COEM!$AK$60:$AK$412,J126,Merged_COEM!$D$60:$D$412,D127,Merged_COEM!$C$60:$C$412,C120)</f>
        <v>5</v>
      </c>
      <c r="K127" s="3">
        <f>COUNTIFS(Merged_COEM!$AK$60:$AK$412,K126,Merged_COEM!$D$60:$D$412,D127,Merged_COEM!$C$60:$C$412,C120)</f>
        <v>0</v>
      </c>
    </row>
    <row r="128" spans="1:11" x14ac:dyDescent="0.25">
      <c r="A128" s="1"/>
      <c r="C128" s="41">
        <v>2</v>
      </c>
      <c r="D128" s="37" t="str">
        <f>Table!$C$3</f>
        <v>ASW</v>
      </c>
      <c r="E128" s="37">
        <f>SUMIFS(Merged_COEM!$W$60:$W$412,Merged_COEM!$D$60:$D$412,D128, Merged_COEM!$C$60:$C$412,C120)</f>
        <v>0</v>
      </c>
      <c r="F128" s="37">
        <f>SUMIFS(Merged_COEM!$X$60:$X$412,Merged_COEM!$D$60:$D$412,D128, Merged_COEM!$C$60:$C$412,C120)-SUM(SUMIFS(Merged_COEM!$X$60:$X$412,Merged_COEM!$D$60:$D$412,D128,Merged_COEM!$AA$60:$AA$412,{"Ongoing","N/A",""},Merged_COEM!$C$60:$C$412,C120))</f>
        <v>0</v>
      </c>
      <c r="G128" s="37">
        <f>1/8*(SUMIFS(Merged_COEM!$Y$60:$Y$412,Merged_COEM!$D$60:$D$412,D128, Merged_COEM!$C$60:$C$412,C120))</f>
        <v>0</v>
      </c>
      <c r="H128" s="37">
        <f>1/8*(SUMIFS(Merged_COEM!$Z$60:$Z$412,Merged_COEM!$D$60:$D$412,D128, Merged_COEM!$C$60:$C$412,C120)-SUM(SUMIFS(Merged_COEM!$Z$60:$Z$412,Merged_COEM!$D$60:$D$412,D128,Merged_COEM!$AA$60:$AA$412,{"Ongoing","N/A",""},Merged_COEM!$C$60:$C$412,C120)))</f>
        <v>0</v>
      </c>
      <c r="I128" s="62" t="str">
        <f>IFERROR(F128/E128,"N/A")</f>
        <v>N/A</v>
      </c>
      <c r="J128" s="3">
        <f>COUNTIFS(Merged_COEM!$AK$60:$AK$412,J126,Merged_COEM!$D$60:$D$412,D128,Merged_COEM!$C$60:$C$412,C120)</f>
        <v>0</v>
      </c>
      <c r="K128" s="3">
        <f>COUNTIFS(Merged_COEM!$AK$60:$AK$412,K126,Merged_COEM!$D$60:$D$412,D128,Merged_COEM!$C$60:$C$412,C120)</f>
        <v>0</v>
      </c>
    </row>
    <row r="129" spans="1:11" x14ac:dyDescent="0.25">
      <c r="A129" s="1"/>
    </row>
    <row r="130" spans="1:11" x14ac:dyDescent="0.25">
      <c r="A130" s="1"/>
      <c r="C130" t="s">
        <v>121</v>
      </c>
    </row>
    <row r="131" spans="1:11" x14ac:dyDescent="0.25">
      <c r="A131" s="1"/>
      <c r="D131" s="212" t="s">
        <v>124</v>
      </c>
    </row>
    <row r="132" spans="1:11" x14ac:dyDescent="0.25">
      <c r="A132" s="1"/>
    </row>
    <row r="133" spans="1:11" x14ac:dyDescent="0.25">
      <c r="A133" s="1">
        <v>11</v>
      </c>
      <c r="B133" s="209" t="s">
        <v>53</v>
      </c>
      <c r="C133" s="209">
        <v>20200701</v>
      </c>
    </row>
    <row r="134" spans="1:11" x14ac:dyDescent="0.25">
      <c r="A134" s="1"/>
      <c r="B134" s="209" t="s">
        <v>115</v>
      </c>
      <c r="C134">
        <f>SUM(G140:G141)</f>
        <v>12.955000000000002</v>
      </c>
      <c r="D134" t="s">
        <v>116</v>
      </c>
    </row>
    <row r="135" spans="1:11" x14ac:dyDescent="0.25">
      <c r="A135" s="1"/>
      <c r="B135" s="209" t="s">
        <v>122</v>
      </c>
      <c r="C135" t="e">
        <f>SUM(INT((WEEKDAY(F135-{2,3,4,5,6})+H135-F135)/7))</f>
        <v>#NUM!</v>
      </c>
      <c r="D135" t="s">
        <v>116</v>
      </c>
      <c r="E135" t="s">
        <v>145</v>
      </c>
      <c r="F135" s="6"/>
      <c r="G135" s="6" t="s">
        <v>114</v>
      </c>
      <c r="H135" s="6"/>
    </row>
    <row r="136" spans="1:11" x14ac:dyDescent="0.25">
      <c r="A136" s="1"/>
      <c r="B136" s="209" t="s">
        <v>123</v>
      </c>
      <c r="C136" t="e">
        <f>SUM(INT((WEEKDAY(F136-{2,3,4,5,6})+H136-F136)/7))</f>
        <v>#NUM!</v>
      </c>
      <c r="D136" t="s">
        <v>116</v>
      </c>
      <c r="E136" t="s">
        <v>145</v>
      </c>
      <c r="F136" s="6"/>
      <c r="G136" s="6" t="s">
        <v>114</v>
      </c>
      <c r="H136" s="6"/>
    </row>
    <row r="137" spans="1:11" x14ac:dyDescent="0.25">
      <c r="A137" s="1"/>
      <c r="B137" s="209" t="s">
        <v>17</v>
      </c>
      <c r="C137" t="str">
        <f>IF(AND(F140=E140,F141=E141),IF(SUM(H140:H141)&gt;SUM(G140:G141),"Delayed",IF(SUM(H140:H141)&lt;SUM(G140:G141),"InAdvanced","Ontime")),"N/A")</f>
        <v>InAdvanced</v>
      </c>
      <c r="F137" s="6"/>
      <c r="G137" s="6"/>
      <c r="H137" s="6"/>
    </row>
    <row r="138" spans="1:11" x14ac:dyDescent="0.25">
      <c r="A138" s="1"/>
    </row>
    <row r="139" spans="1:11" ht="45" x14ac:dyDescent="0.25">
      <c r="A139" s="1"/>
      <c r="C139" s="210" t="s">
        <v>25</v>
      </c>
      <c r="D139" s="210" t="s">
        <v>26</v>
      </c>
      <c r="E139" s="211" t="s">
        <v>117</v>
      </c>
      <c r="F139" s="211" t="s">
        <v>118</v>
      </c>
      <c r="G139" s="211" t="s">
        <v>119</v>
      </c>
      <c r="H139" s="211" t="s">
        <v>120</v>
      </c>
      <c r="I139" s="211" t="s">
        <v>29</v>
      </c>
      <c r="J139" s="211" t="str">
        <f>Table!$C$41</f>
        <v>OPL</v>
      </c>
      <c r="K139" s="211" t="str">
        <f>Table!$C$42</f>
        <v>Defect</v>
      </c>
    </row>
    <row r="140" spans="1:11" x14ac:dyDescent="0.25">
      <c r="A140" s="1"/>
      <c r="C140" s="41">
        <v>1</v>
      </c>
      <c r="D140" s="37" t="str">
        <f>Table!$D$3</f>
        <v>PSW</v>
      </c>
      <c r="E140" s="37">
        <f>SUMIFS(Merged_COEM!$W$60:$W$412,Merged_COEM!$D$60:$D$412,D140, Merged_COEM!$C$60:$C$412,C133)</f>
        <v>1922</v>
      </c>
      <c r="F140" s="37">
        <f>SUMIFS(Merged_COEM!$X$60:$X$412,Merged_COEM!$D$60:$D$412,D140, Merged_COEM!$C$60:$C$412,C133)-SUM(SUMIFS(Merged_COEM!$X$60:$X$412,Merged_COEM!$D$60:$D$412,Table!$D$3,Merged_COEM!$AA$60:$AA$412,{"Ongoing","N/A",""},Merged_COEM!$C$60:$C$412,C133))</f>
        <v>1922</v>
      </c>
      <c r="G140" s="37">
        <f>1/8*(SUMIFS(Merged_COEM!$Y$60:$Y$412,Merged_COEM!$D$60:$D$412,D140, Merged_COEM!$C$60:$C$412,C133))</f>
        <v>4.2650000000000006</v>
      </c>
      <c r="H140" s="37">
        <f>1/8*(SUMIFS(Merged_COEM!$Z$60:$Z$412,Merged_COEM!$D$60:$D$412,D140, Merged_COEM!$C$60:$C$412,C133)-SUM(SUMIFS(Merged_COEM!$Z$60:$Z$412,Merged_COEM!$D$60:$D$412,D140,Merged_COEM!$AA$60:$AA$412,{"Ongoing","N/A",""},Merged_COEM!$C$60:$C$412,C133)))</f>
        <v>3.4187500000000002</v>
      </c>
      <c r="I140" s="62">
        <f>IFERROR(F140/E140,"N/A")</f>
        <v>1</v>
      </c>
      <c r="J140" s="3">
        <f>COUNTIFS(Merged_COEM!$AK$60:$AK$412,J139,Merged_COEM!$D$60:$D$412,D140,Merged_COEM!$C$60:$C$412,C133)</f>
        <v>0</v>
      </c>
      <c r="K140" s="3">
        <f>COUNTIFS(Merged_COEM!$AK$60:$AK$412,K139,Merged_COEM!$D$60:$D$412,D140,Merged_COEM!$C$60:$C$412,C133)</f>
        <v>0</v>
      </c>
    </row>
    <row r="141" spans="1:11" x14ac:dyDescent="0.25">
      <c r="A141" s="1"/>
      <c r="C141" s="41">
        <v>2</v>
      </c>
      <c r="D141" s="37" t="str">
        <f>Table!$C$3</f>
        <v>ASW</v>
      </c>
      <c r="E141" s="37">
        <f>SUMIFS(Merged_COEM!$W$60:$W$412,Merged_COEM!$D$60:$D$412,D141, Merged_COEM!$C$60:$C$412,C133)</f>
        <v>1130</v>
      </c>
      <c r="F141" s="37">
        <f>SUMIFS(Merged_COEM!$X$60:$X$412,Merged_COEM!$D$60:$D$412,D141, Merged_COEM!$C$60:$C$412,C133)-SUM(SUMIFS(Merged_COEM!$X$60:$X$412,Merged_COEM!$D$60:$D$412,D141,Merged_COEM!$AA$60:$AA$412,{"Ongoing","N/A",""},Merged_COEM!$C$60:$C$412,C133))</f>
        <v>1130</v>
      </c>
      <c r="G141" s="37">
        <f>1/8*(SUMIFS(Merged_COEM!$Y$60:$Y$412,Merged_COEM!$D$60:$D$412,D141, Merged_COEM!$C$60:$C$412,C133))</f>
        <v>8.6900000000000013</v>
      </c>
      <c r="H141" s="37">
        <f>1/8*(SUMIFS(Merged_COEM!$Z$60:$Z$412,Merged_COEM!$D$60:$D$412,D141, Merged_COEM!$C$60:$C$412,C133)-SUM(SUMIFS(Merged_COEM!$Z$60:$Z$412,Merged_COEM!$D$60:$D$412,D141,Merged_COEM!$AA$60:$AA$412,{"Ongoing","N/A",""},Merged_COEM!$C$60:$C$412,C133)))</f>
        <v>6.88375</v>
      </c>
      <c r="I141" s="62">
        <f>IFERROR(F141/E141,"N/A")</f>
        <v>1</v>
      </c>
      <c r="J141" s="3">
        <f>COUNTIFS(Merged_COEM!$AK$60:$AK$412,J139,Merged_COEM!$D$60:$D$412,D141,Merged_COEM!$C$60:$C$412,C133)</f>
        <v>3</v>
      </c>
      <c r="K141" s="3">
        <f>COUNTIFS(Merged_COEM!$AK$60:$AK$412,K139,Merged_COEM!$D$60:$D$412,D141,Merged_COEM!$C$60:$C$412,C133)</f>
        <v>0</v>
      </c>
    </row>
    <row r="142" spans="1:11" x14ac:dyDescent="0.25">
      <c r="A142" s="1"/>
    </row>
    <row r="143" spans="1:11" x14ac:dyDescent="0.25">
      <c r="A143" s="1"/>
      <c r="C143" t="s">
        <v>121</v>
      </c>
    </row>
    <row r="144" spans="1:11" x14ac:dyDescent="0.25">
      <c r="A144" s="1"/>
      <c r="D144" s="212" t="s">
        <v>124</v>
      </c>
    </row>
    <row r="145" spans="1:11" x14ac:dyDescent="0.25">
      <c r="A145" s="1"/>
    </row>
    <row r="146" spans="1:11" x14ac:dyDescent="0.25">
      <c r="A146" s="1">
        <v>12</v>
      </c>
      <c r="B146" s="1" t="s">
        <v>53</v>
      </c>
      <c r="C146" s="1">
        <v>20200703</v>
      </c>
    </row>
    <row r="147" spans="1:11" x14ac:dyDescent="0.25">
      <c r="A147" s="1"/>
      <c r="B147" s="1" t="s">
        <v>115</v>
      </c>
      <c r="C147">
        <f>SUM(G153:G154)</f>
        <v>12.593749999999998</v>
      </c>
      <c r="D147" t="s">
        <v>116</v>
      </c>
    </row>
    <row r="148" spans="1:11" x14ac:dyDescent="0.25">
      <c r="A148" s="1"/>
      <c r="B148" s="1" t="s">
        <v>122</v>
      </c>
      <c r="C148">
        <f>SUM(INT((WEEKDAY(F148-{2,3,4,5,6})+H148-F148)/7))</f>
        <v>17</v>
      </c>
      <c r="D148" t="s">
        <v>116</v>
      </c>
      <c r="E148" t="s">
        <v>145</v>
      </c>
      <c r="F148" s="6">
        <v>44015</v>
      </c>
      <c r="G148" s="6" t="s">
        <v>114</v>
      </c>
      <c r="H148" s="6">
        <v>44039</v>
      </c>
    </row>
    <row r="149" spans="1:11" x14ac:dyDescent="0.25">
      <c r="A149" s="1"/>
      <c r="B149" s="1" t="s">
        <v>123</v>
      </c>
      <c r="C149">
        <f>SUM(INT((WEEKDAY(F149-{2,3,4,5,6})+H149-F149)/7))</f>
        <v>17</v>
      </c>
      <c r="D149" t="s">
        <v>116</v>
      </c>
      <c r="E149" t="s">
        <v>145</v>
      </c>
      <c r="F149" s="6">
        <v>44015</v>
      </c>
      <c r="G149" s="6" t="s">
        <v>114</v>
      </c>
      <c r="H149" s="6">
        <v>44039</v>
      </c>
    </row>
    <row r="150" spans="1:11" x14ac:dyDescent="0.25">
      <c r="A150" s="1"/>
      <c r="B150" s="1" t="s">
        <v>17</v>
      </c>
      <c r="C150" t="str">
        <f>IF(AND(F153=E153,F154=E154),IF(SUM(H153:H154)&gt;SUM(G153:G154),"Delayed",IF(SUM(H153:H154)&lt;SUM(G153:G154),"InAdvanced","Ontime")),"N/A")</f>
        <v>InAdvanced</v>
      </c>
      <c r="F150" s="6"/>
      <c r="G150" s="6"/>
      <c r="H150" s="6"/>
    </row>
    <row r="151" spans="1:11" x14ac:dyDescent="0.25">
      <c r="A151" s="1"/>
    </row>
    <row r="152" spans="1:11" ht="45" x14ac:dyDescent="0.25">
      <c r="A152" s="1"/>
      <c r="C152" s="50" t="s">
        <v>25</v>
      </c>
      <c r="D152" s="50" t="s">
        <v>26</v>
      </c>
      <c r="E152" s="8" t="s">
        <v>117</v>
      </c>
      <c r="F152" s="8" t="s">
        <v>118</v>
      </c>
      <c r="G152" s="8" t="s">
        <v>119</v>
      </c>
      <c r="H152" s="8" t="s">
        <v>120</v>
      </c>
      <c r="I152" s="8" t="s">
        <v>29</v>
      </c>
      <c r="J152" s="211" t="str">
        <f>Table!$C$41</f>
        <v>OPL</v>
      </c>
      <c r="K152" s="211" t="str">
        <f>Table!$C$42</f>
        <v>Defect</v>
      </c>
    </row>
    <row r="153" spans="1:11" x14ac:dyDescent="0.25">
      <c r="A153" s="1"/>
      <c r="C153" s="41">
        <v>1</v>
      </c>
      <c r="D153" s="37" t="s">
        <v>3</v>
      </c>
      <c r="E153" s="37">
        <f>SUMIFS(Merged_COEM!$W$60:$W$412,Merged_COEM!$D$60:$D$412,D153, Merged_COEM!$C$60:$C$412,C146)</f>
        <v>5471</v>
      </c>
      <c r="F153" s="37">
        <f>SUMIFS(Merged_COEM!$X$60:$X$412,Merged_COEM!$D$60:$D$412,D153, Merged_COEM!$C$60:$C$412,C146)-SUM(SUMIFS(Merged_COEM!$X$60:$X$412,Merged_COEM!$D$60:$D$412,Table!$D$3,Merged_COEM!$AA$60:$AA$412,{"Ongoing","N/A",""},Merged_COEM!$C$60:$C$412,C146))</f>
        <v>5471</v>
      </c>
      <c r="G153" s="37">
        <f>1/8*(SUMIFS(Merged_COEM!$Y$60:$Y$412,Merged_COEM!$D$60:$D$412,D153, Merged_COEM!$C$60:$C$412,C146))</f>
        <v>12.132499999999999</v>
      </c>
      <c r="H153" s="37">
        <f>1/8*(SUMIFS(Merged_COEM!$Z$60:$Z$412,Merged_COEM!$D$60:$D$412,D153, Merged_COEM!$C$60:$C$412,C146)-SUM(SUMIFS(Merged_COEM!$Z$60:$Z$412,Merged_COEM!$D$60:$D$412,D153,Merged_COEM!$AA$60:$AA$412,{"Ongoing","N/A",""},Merged_COEM!$C$60:$C$412,C146)))</f>
        <v>10.921249999999999</v>
      </c>
      <c r="I153" s="62">
        <f>IFERROR(F153/E153,"N/A")</f>
        <v>1</v>
      </c>
      <c r="J153" s="3">
        <f>COUNTIFS(Merged_COEM!$AK$60:$AK$412,J152,Merged_COEM!$D$60:$D$412,D153,Merged_COEM!$C$60:$C$412,C146)</f>
        <v>6</v>
      </c>
      <c r="K153" s="3">
        <f>COUNTIFS(Merged_COEM!$AK$60:$AK$412,K152,Merged_COEM!$D$60:$D$412,D153,Merged_COEM!$C$60:$C$412,C146)</f>
        <v>0</v>
      </c>
    </row>
    <row r="154" spans="1:11" x14ac:dyDescent="0.25">
      <c r="A154" s="1"/>
      <c r="C154" s="41">
        <v>2</v>
      </c>
      <c r="D154" s="37" t="s">
        <v>2</v>
      </c>
      <c r="E154" s="37">
        <f>SUMIFS(Merged_COEM!$W$60:$W$412,Merged_COEM!$D$60:$D$412,D154, Merged_COEM!$C$60:$C$412,C146)</f>
        <v>60</v>
      </c>
      <c r="F154" s="37">
        <f>SUMIFS(Merged_COEM!$X$60:$X$412,Merged_COEM!$D$60:$D$412,D154, Merged_COEM!$C$60:$C$412,C146)-SUM(SUMIFS(Merged_COEM!$X$60:$X$412,Merged_COEM!$D$60:$D$412,D154,Merged_COEM!$AA$60:$AA$412,{"Ongoing","N/A",""},Merged_COEM!$C$60:$C$412,C146))</f>
        <v>60</v>
      </c>
      <c r="G154" s="37">
        <f>1/8*(SUMIFS(Merged_COEM!$Y$60:$Y$412,Merged_COEM!$D$60:$D$412,D154, Merged_COEM!$C$60:$C$412,C146))</f>
        <v>0.46124999999999999</v>
      </c>
      <c r="H154" s="37">
        <f>1/8*(SUMIFS(Merged_COEM!$Z$60:$Z$412,Merged_COEM!$D$60:$D$412,D154, Merged_COEM!$C$60:$C$412,C146)-SUM(SUMIFS(Merged_COEM!$Z$60:$Z$412,Merged_COEM!$D$60:$D$412,D154,Merged_COEM!$AA$60:$AA$412,{"Ongoing","N/A",""},Merged_COEM!$C$60:$C$412,C146)))</f>
        <v>0.25</v>
      </c>
      <c r="I154" s="62">
        <f>IFERROR(F154/E154,"N/A")</f>
        <v>1</v>
      </c>
      <c r="J154" s="3">
        <f>COUNTIFS(Merged_COEM!$AK$60:$AK$412,J152,Merged_COEM!$D$60:$D$412,D154,Merged_COEM!$C$60:$C$412,C146)</f>
        <v>0</v>
      </c>
      <c r="K154" s="3">
        <f>COUNTIFS(Merged_COEM!$AK$60:$AK$412,K152,Merged_COEM!$D$60:$D$412,D154,Merged_COEM!$C$60:$C$412,C146)</f>
        <v>0</v>
      </c>
    </row>
    <row r="155" spans="1:11" x14ac:dyDescent="0.25">
      <c r="A155" s="1"/>
    </row>
    <row r="156" spans="1:11" x14ac:dyDescent="0.25">
      <c r="A156" s="1"/>
      <c r="C156" t="s">
        <v>121</v>
      </c>
    </row>
    <row r="157" spans="1:11" x14ac:dyDescent="0.25">
      <c r="A157" s="1"/>
      <c r="D157" s="118" t="s">
        <v>124</v>
      </c>
    </row>
    <row r="158" spans="1:11" x14ac:dyDescent="0.25">
      <c r="A158" s="1"/>
    </row>
    <row r="159" spans="1:11" x14ac:dyDescent="0.25">
      <c r="A159" s="1">
        <v>13</v>
      </c>
      <c r="B159" s="1" t="s">
        <v>53</v>
      </c>
      <c r="C159" s="1">
        <v>20200707</v>
      </c>
    </row>
    <row r="160" spans="1:11" x14ac:dyDescent="0.25">
      <c r="A160" s="1"/>
      <c r="B160" s="1" t="s">
        <v>115</v>
      </c>
      <c r="C160">
        <f>SUM(G166:G167)</f>
        <v>9.963750000000001</v>
      </c>
      <c r="D160" t="s">
        <v>116</v>
      </c>
    </row>
    <row r="161" spans="1:11" x14ac:dyDescent="0.25">
      <c r="A161" s="1"/>
      <c r="B161" s="1" t="s">
        <v>122</v>
      </c>
      <c r="C161">
        <f>SUM(INT((WEEKDAY(F161-{2,3,4,5,6})+H161-F161)/7))</f>
        <v>17</v>
      </c>
      <c r="D161" t="s">
        <v>116</v>
      </c>
      <c r="E161" t="s">
        <v>145</v>
      </c>
      <c r="F161" s="6">
        <v>44019</v>
      </c>
      <c r="G161" s="6" t="s">
        <v>114</v>
      </c>
      <c r="H161" s="6">
        <v>44041</v>
      </c>
    </row>
    <row r="162" spans="1:11" x14ac:dyDescent="0.25">
      <c r="A162" s="1"/>
      <c r="B162" s="1" t="s">
        <v>123</v>
      </c>
      <c r="C162">
        <f>SUM(INT((WEEKDAY(F162-{2,3,4,5,6})+H162-F162)/7))</f>
        <v>17</v>
      </c>
      <c r="D162" t="s">
        <v>116</v>
      </c>
      <c r="E162" t="s">
        <v>145</v>
      </c>
      <c r="F162" s="6">
        <v>44019</v>
      </c>
      <c r="G162" s="6" t="s">
        <v>114</v>
      </c>
      <c r="H162" s="6">
        <v>44041</v>
      </c>
    </row>
    <row r="163" spans="1:11" x14ac:dyDescent="0.25">
      <c r="A163" s="1"/>
      <c r="B163" s="1" t="s">
        <v>17</v>
      </c>
      <c r="C163" t="str">
        <f>IF(AND(F166=E166,F167=E167),IF(SUM(H166:H167)&gt;SUM(G166:G167),"Delayed",IF(SUM(H166:H167)&lt;SUM(G166:G167),"InAdvanced","Ontime")),"N/A")</f>
        <v>InAdvanced</v>
      </c>
      <c r="F163" s="6"/>
      <c r="G163" s="6"/>
      <c r="H163" s="6"/>
    </row>
    <row r="164" spans="1:11" x14ac:dyDescent="0.25">
      <c r="A164" s="1"/>
    </row>
    <row r="165" spans="1:11" ht="45" x14ac:dyDescent="0.25">
      <c r="A165" s="1"/>
      <c r="C165" s="50" t="s">
        <v>25</v>
      </c>
      <c r="D165" s="50" t="s">
        <v>26</v>
      </c>
      <c r="E165" s="8" t="s">
        <v>117</v>
      </c>
      <c r="F165" s="8" t="s">
        <v>118</v>
      </c>
      <c r="G165" s="8" t="s">
        <v>119</v>
      </c>
      <c r="H165" s="8" t="s">
        <v>120</v>
      </c>
      <c r="I165" s="8" t="s">
        <v>29</v>
      </c>
      <c r="J165" s="211" t="str">
        <f>Table!$C$41</f>
        <v>OPL</v>
      </c>
      <c r="K165" s="211" t="str">
        <f>Table!$C$42</f>
        <v>Defect</v>
      </c>
    </row>
    <row r="166" spans="1:11" x14ac:dyDescent="0.25">
      <c r="A166" s="1"/>
      <c r="C166" s="41">
        <v>1</v>
      </c>
      <c r="D166" s="37" t="s">
        <v>3</v>
      </c>
      <c r="E166" s="37">
        <f>SUMIFS(Merged_COEM!$W$60:$W$412,Merged_COEM!$D$60:$D$412,D166, Merged_COEM!$C$60:$C$412,C159)</f>
        <v>4487</v>
      </c>
      <c r="F166" s="37">
        <f>SUMIFS(Merged_COEM!$X$60:$X$412,Merged_COEM!$D$60:$D$412,D166, Merged_COEM!$C$60:$C$412,C159)-SUM(SUMIFS(Merged_COEM!$X$60:$X$412,Merged_COEM!$D$60:$D$412,Table!$D$3,Merged_COEM!$AA$60:$AA$412,{"Ongoing","N/A",""},Merged_COEM!$C$60:$C$412,C159))</f>
        <v>4487</v>
      </c>
      <c r="G166" s="37">
        <f>1/8*(SUMIFS(Merged_COEM!$Y$60:$Y$412,Merged_COEM!$D$60:$D$412,D166, Merged_COEM!$C$60:$C$412,C159))</f>
        <v>9.963750000000001</v>
      </c>
      <c r="H166" s="37">
        <f>1/8*(SUMIFS(Merged_COEM!$Z$60:$Z$412,Merged_COEM!$D$60:$D$412,D166, Merged_COEM!$C$60:$C$412,C159)-SUM(SUMIFS(Merged_COEM!$Z$60:$Z$412,Merged_COEM!$D$60:$D$412,D166,Merged_COEM!$AA$60:$AA$412,{"Ongoing","N/A",""},Merged_COEM!$C$60:$C$412,C159)))</f>
        <v>6.8574999999999999</v>
      </c>
      <c r="I166" s="62">
        <f>IFERROR(F166/E166,"N/A")</f>
        <v>1</v>
      </c>
      <c r="J166" s="3">
        <f>COUNTIFS(Merged_COEM!$AK$60:$AK$412,J165,Merged_COEM!$D$60:$D$412,D166,Merged_COEM!$C$60:$C$412,C159)</f>
        <v>0</v>
      </c>
      <c r="K166" s="3">
        <f>COUNTIFS(Merged_COEM!$AK$60:$AK$412,K165,Merged_COEM!$D$60:$D$412,D166,Merged_COEM!$C$60:$C$412,C159)</f>
        <v>0</v>
      </c>
    </row>
    <row r="167" spans="1:11" x14ac:dyDescent="0.25">
      <c r="A167" s="1"/>
      <c r="C167" s="41">
        <v>2</v>
      </c>
      <c r="D167" s="37" t="s">
        <v>2</v>
      </c>
      <c r="E167" s="37">
        <f>SUMIFS(Merged_COEM!$W$60:$W$412,Merged_COEM!$D$60:$D$412,D167, Merged_COEM!$C$60:$C$412,C159)</f>
        <v>0</v>
      </c>
      <c r="F167" s="37">
        <f>SUMIFS(Merged_COEM!$X$60:$X$412,Merged_COEM!$D$60:$D$412,D167, Merged_COEM!$C$60:$C$412,C159)-SUM(SUMIFS(Merged_COEM!$X$60:$X$412,Merged_COEM!$D$60:$D$412,D167,Merged_COEM!$AA$60:$AA$412,{"Ongoing","N/A",""},Merged_COEM!$C$60:$C$412,C159))</f>
        <v>0</v>
      </c>
      <c r="G167" s="37">
        <f>1/8*(SUMIFS(Merged_COEM!$Y$60:$Y$412,Merged_COEM!$D$60:$D$412,D167, Merged_COEM!$C$60:$C$412,C159))</f>
        <v>0</v>
      </c>
      <c r="H167" s="37">
        <f>1/8*(SUMIFS(Merged_COEM!$Z$60:$Z$412,Merged_COEM!$D$60:$D$412,D167, Merged_COEM!$C$60:$C$412,C159)-SUM(SUMIFS(Merged_COEM!$Z$60:$Z$412,Merged_COEM!$D$60:$D$412,D167,Merged_COEM!$AA$60:$AA$412,{"Ongoing","N/A",""},Merged_COEM!$C$60:$C$412,C159)))</f>
        <v>0</v>
      </c>
      <c r="I167" s="62" t="str">
        <f>IFERROR(F167/E167,"N/A")</f>
        <v>N/A</v>
      </c>
      <c r="J167" s="3">
        <f>COUNTIFS(Merged_COEM!$AK$60:$AK$412,J165,Merged_COEM!$D$60:$D$412,D167,Merged_COEM!$C$60:$C$412,C159)</f>
        <v>0</v>
      </c>
      <c r="K167" s="3">
        <f>COUNTIFS(Merged_COEM!$AK$60:$AK$412,K165,Merged_COEM!$D$60:$D$412,D167,Merged_COEM!$C$60:$C$412,C159)</f>
        <v>0</v>
      </c>
    </row>
    <row r="168" spans="1:11" x14ac:dyDescent="0.25">
      <c r="A168" s="1"/>
    </row>
    <row r="169" spans="1:11" x14ac:dyDescent="0.25">
      <c r="A169" s="1"/>
      <c r="C169" t="s">
        <v>121</v>
      </c>
    </row>
    <row r="170" spans="1:11" x14ac:dyDescent="0.25">
      <c r="A170" s="1"/>
      <c r="D170" s="118" t="s">
        <v>124</v>
      </c>
    </row>
    <row r="171" spans="1:11" x14ac:dyDescent="0.25">
      <c r="A171" s="1"/>
    </row>
    <row r="172" spans="1:11" x14ac:dyDescent="0.25">
      <c r="A172" s="1">
        <v>14</v>
      </c>
      <c r="B172" s="1" t="s">
        <v>53</v>
      </c>
      <c r="C172" s="1">
        <v>20200708</v>
      </c>
    </row>
    <row r="173" spans="1:11" x14ac:dyDescent="0.25">
      <c r="A173" s="1"/>
      <c r="B173" s="1" t="s">
        <v>115</v>
      </c>
      <c r="C173">
        <f>SUM(G179:G180)</f>
        <v>0.84</v>
      </c>
      <c r="D173" t="s">
        <v>116</v>
      </c>
    </row>
    <row r="174" spans="1:11" x14ac:dyDescent="0.25">
      <c r="A174" s="1"/>
      <c r="B174" s="1" t="s">
        <v>122</v>
      </c>
      <c r="C174">
        <f>SUM(INT((WEEKDAY(F174-{2,3,4,5,6})+H174-F174)/7))</f>
        <v>13</v>
      </c>
      <c r="D174" t="s">
        <v>116</v>
      </c>
      <c r="E174" t="s">
        <v>145</v>
      </c>
      <c r="F174" s="6">
        <v>44020</v>
      </c>
      <c r="G174" s="6" t="s">
        <v>114</v>
      </c>
      <c r="H174" s="6">
        <v>44037</v>
      </c>
    </row>
    <row r="175" spans="1:11" x14ac:dyDescent="0.25">
      <c r="A175" s="1"/>
      <c r="B175" s="1" t="s">
        <v>123</v>
      </c>
      <c r="C175">
        <f>SUM(INT((WEEKDAY(F175-{2,3,4,5,6})+H175-F175)/7))</f>
        <v>13</v>
      </c>
      <c r="D175" t="s">
        <v>116</v>
      </c>
      <c r="E175" t="s">
        <v>145</v>
      </c>
      <c r="F175" s="6">
        <v>44020</v>
      </c>
      <c r="G175" s="6" t="s">
        <v>114</v>
      </c>
      <c r="H175" s="6">
        <v>44037</v>
      </c>
    </row>
    <row r="176" spans="1:11" x14ac:dyDescent="0.25">
      <c r="A176" s="1"/>
      <c r="B176" s="1" t="s">
        <v>17</v>
      </c>
      <c r="C176" t="str">
        <f>IF(AND(F179=E179,F180=E180),IF(SUM(H179:H180)&gt;SUM(G179:G180),"Delayed",IF(SUM(H179:H180)&lt;SUM(G179:G180),"InAdvanced","Ontime")),"N/A")</f>
        <v>InAdvanced</v>
      </c>
      <c r="F176" s="6"/>
      <c r="G176" s="6"/>
      <c r="H176" s="6"/>
    </row>
    <row r="177" spans="1:11" x14ac:dyDescent="0.25">
      <c r="A177" s="1"/>
    </row>
    <row r="178" spans="1:11" ht="45" x14ac:dyDescent="0.25">
      <c r="A178" s="1"/>
      <c r="C178" s="50" t="s">
        <v>25</v>
      </c>
      <c r="D178" s="50" t="s">
        <v>26</v>
      </c>
      <c r="E178" s="8" t="s">
        <v>117</v>
      </c>
      <c r="F178" s="8" t="s">
        <v>118</v>
      </c>
      <c r="G178" s="8" t="s">
        <v>119</v>
      </c>
      <c r="H178" s="8" t="s">
        <v>120</v>
      </c>
      <c r="I178" s="8" t="s">
        <v>29</v>
      </c>
      <c r="J178" s="211" t="str">
        <f>Table!$C$41</f>
        <v>OPL</v>
      </c>
      <c r="K178" s="211" t="str">
        <f>Table!$C$42</f>
        <v>Defect</v>
      </c>
    </row>
    <row r="179" spans="1:11" x14ac:dyDescent="0.25">
      <c r="A179" s="1"/>
      <c r="C179" s="41">
        <v>1</v>
      </c>
      <c r="D179" s="37" t="s">
        <v>3</v>
      </c>
      <c r="E179" s="37">
        <f>SUMIFS(Merged_COEM!$W$60:$W$412,Merged_COEM!$D$60:$D$412,D179, Merged_COEM!$C$60:$C$412,C172)</f>
        <v>378</v>
      </c>
      <c r="F179" s="37">
        <f>SUMIFS(Merged_COEM!$X$60:$X$412,Merged_COEM!$D$60:$D$412,D179, Merged_COEM!$C$60:$C$412,C172)-SUM(SUMIFS(Merged_COEM!$X$60:$X$412,Merged_COEM!$D$60:$D$412,Table!$D$3,Merged_COEM!$AA$60:$AA$412,{"Ongoing","N/A",""},Merged_COEM!$C$60:$C$412,C172))</f>
        <v>378</v>
      </c>
      <c r="G179" s="37">
        <f>1/8*(SUMIFS(Merged_COEM!$Y$60:$Y$412,Merged_COEM!$D$60:$D$412,D179, Merged_COEM!$C$60:$C$412,C172))</f>
        <v>0.84</v>
      </c>
      <c r="H179" s="37">
        <f>1/8*(SUMIFS(Merged_COEM!$Z$60:$Z$412,Merged_COEM!$D$60:$D$412,D179, Merged_COEM!$C$60:$C$412,C172)-SUM(SUMIFS(Merged_COEM!$Z$60:$Z$412,Merged_COEM!$D$60:$D$412,D179,Merged_COEM!$AA$60:$AA$412,{"Ongoing","N/A",""},Merged_COEM!$C$60:$C$412,C172)))</f>
        <v>0.625</v>
      </c>
      <c r="I179" s="62">
        <f>IFERROR(F179/E179,"N/A")</f>
        <v>1</v>
      </c>
      <c r="J179" s="3">
        <f>COUNTIFS(Merged_COEM!$AK$60:$AK$412,J178,Merged_COEM!$D$60:$D$412,D179,Merged_COEM!$C$60:$C$412,C172)</f>
        <v>0</v>
      </c>
      <c r="K179" s="3">
        <f>COUNTIFS(Merged_COEM!$AK$60:$AK$412,K178,Merged_COEM!$D$60:$D$412,D179,Merged_COEM!$C$60:$C$412,C172)</f>
        <v>0</v>
      </c>
    </row>
    <row r="180" spans="1:11" x14ac:dyDescent="0.25">
      <c r="A180" s="1"/>
      <c r="C180" s="41">
        <v>2</v>
      </c>
      <c r="D180" s="37" t="s">
        <v>2</v>
      </c>
      <c r="E180" s="37">
        <f>SUMIFS(Merged_COEM!$W$60:$W$412,Merged_COEM!$D$60:$D$412,D180, Merged_COEM!$C$60:$C$412,C172)</f>
        <v>0</v>
      </c>
      <c r="F180" s="37">
        <f>SUMIFS(Merged_COEM!$X$60:$X$412,Merged_COEM!$D$60:$D$412,D180, Merged_COEM!$C$60:$C$412,C172)-SUM(SUMIFS(Merged_COEM!$X$60:$X$412,Merged_COEM!$D$60:$D$412,D180,Merged_COEM!$AA$60:$AA$412,{"Ongoing","N/A",""},Merged_COEM!$C$60:$C$412,C172))</f>
        <v>0</v>
      </c>
      <c r="G180" s="37">
        <f>1/8*(SUMIFS(Merged_COEM!$Y$60:$Y$412,Merged_COEM!$D$60:$D$412,D180, Merged_COEM!$C$60:$C$412,C172))</f>
        <v>0</v>
      </c>
      <c r="H180" s="37">
        <f>1/8*(SUMIFS(Merged_COEM!$Z$60:$Z$412,Merged_COEM!$D$60:$D$412,D180, Merged_COEM!$C$60:$C$412,C172)-SUM(SUMIFS(Merged_COEM!$Z$60:$Z$412,Merged_COEM!$D$60:$D$412,D180,Merged_COEM!$AA$60:$AA$412,{"Ongoing","N/A",""},Merged_COEM!$C$60:$C$412,C172)))</f>
        <v>0</v>
      </c>
      <c r="I180" s="62" t="str">
        <f>IFERROR(F180/E180,"N/A")</f>
        <v>N/A</v>
      </c>
      <c r="J180" s="3">
        <f>COUNTIFS(Merged_COEM!$AK$60:$AK$412,J178,Merged_COEM!$D$60:$D$412,D180,Merged_COEM!$C$60:$C$412,C172)</f>
        <v>0</v>
      </c>
      <c r="K180" s="3">
        <f>COUNTIFS(Merged_COEM!$AK$60:$AK$412,K178,Merged_COEM!$D$60:$D$412,D180,Merged_COEM!$C$60:$C$412,C172)</f>
        <v>0</v>
      </c>
    </row>
    <row r="181" spans="1:11" x14ac:dyDescent="0.25">
      <c r="A181" s="1"/>
    </row>
    <row r="182" spans="1:11" x14ac:dyDescent="0.25">
      <c r="A182" s="1"/>
      <c r="C182" t="s">
        <v>121</v>
      </c>
    </row>
    <row r="183" spans="1:11" x14ac:dyDescent="0.25">
      <c r="A183" s="1"/>
      <c r="D183" s="118" t="s">
        <v>124</v>
      </c>
    </row>
    <row r="184" spans="1:11" x14ac:dyDescent="0.25">
      <c r="A184" s="1"/>
    </row>
    <row r="185" spans="1:11" x14ac:dyDescent="0.25">
      <c r="A185" s="1"/>
    </row>
  </sheetData>
  <customSheetViews>
    <customSheetView guid="{99BC1C51-34DC-4BF2-906C-1E31B6171D71}" scale="85" topLeftCell="A28">
      <selection activeCell="R10" sqref="R10"/>
      <pageMargins left="0.7" right="0.7" top="0.75" bottom="0.75" header="0.3" footer="0.3"/>
      <pageSetup orientation="portrait" r:id="rId1"/>
    </customSheetView>
    <customSheetView guid="{7ECC2B8E-6A82-42F5-8AB0-4A51C54EA5EC}" scale="85" topLeftCell="A16">
      <selection activeCell="M30" sqref="M30"/>
      <pageMargins left="0.7" right="0.7" top="0.75" bottom="0.75" header="0.3" footer="0.3"/>
      <pageSetup orientation="portrait" r:id="rId2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3"/>
    </customSheetView>
    <customSheetView guid="{60D2C030-4E31-4E07-8E1C-44D2EE84B177}" scale="85">
      <selection activeCell="R10" sqref="R10"/>
      <pageMargins left="0.7" right="0.7" top="0.75" bottom="0.75" header="0.3" footer="0.3"/>
      <pageSetup orientation="portrait" r:id="rId4"/>
    </customSheetView>
    <customSheetView guid="{3B3E6719-EACB-4D2C-89C1-05FFAB6020FD}" scale="85" topLeftCell="A111">
      <selection activeCell="K185" sqref="K185"/>
      <pageMargins left="0.7" right="0.7" top="0.75" bottom="0.75" header="0.3" footer="0.3"/>
      <pageSetup orientation="portrait" r:id="rId5"/>
    </customSheetView>
    <customSheetView guid="{FECB4C41-27E8-4A22-AFB3-4F54CDD4960E}" scale="85">
      <selection activeCell="K212" sqref="K212"/>
      <pageMargins left="0.7" right="0.7" top="0.75" bottom="0.75" header="0.3" footer="0.3"/>
      <pageSetup orientation="portrait" r:id="rId6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7"/>
    </customSheetView>
    <customSheetView guid="{C94451EF-7A3E-4D72-B5A4-3D1B193192CC}" scale="85">
      <selection activeCell="G160" sqref="G160"/>
      <pageMargins left="0.7" right="0.7" top="0.75" bottom="0.75" header="0.3" footer="0.3"/>
      <pageSetup orientation="portrait" r:id="rId8"/>
    </customSheetView>
    <customSheetView guid="{89C03E1E-B6A8-49A1-B29C-5DC4FAB2FBC6}" scale="85" topLeftCell="A11">
      <selection activeCell="D117" sqref="D117"/>
      <pageMargins left="0.7" right="0.7" top="0.75" bottom="0.75" header="0.3" footer="0.3"/>
      <pageSetup orientation="portrait" r:id="rId9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4E06BDBF-2CED-473B-850B-2A6C7311FF41}" scale="85" topLeftCell="A4">
      <selection activeCell="B51" sqref="B51"/>
      <pageMargins left="0.7" right="0.7" top="0.75" bottom="0.75" header="0.3" footer="0.3"/>
      <pageSetup orientation="portrait" r:id="rId10"/>
    </customSheetView>
    <customSheetView guid="{A2E8CE38-D15E-4374-89B2-69D9421C4465}" scale="85" showPageBreaks="1" topLeftCell="A25">
      <selection activeCell="F58" sqref="F58"/>
      <pageMargins left="0.7" right="0.7" top="0.75" bottom="0.75" header="0.3" footer="0.3"/>
      <pageSetup orientation="portrait" r:id="rId11"/>
    </customSheetView>
    <customSheetView guid="{F96FC7D9-4F89-4FE0-8D00-C0083DEB0472}" scale="85" topLeftCell="A43">
      <selection activeCell="G112" sqref="G112"/>
      <pageMargins left="0.7" right="0.7" top="0.75" bottom="0.75" header="0.3" footer="0.3"/>
      <pageSetup orientation="portrait" r:id="rId12"/>
    </customSheetView>
    <customSheetView guid="{970EE037-F5E5-47AF-896A-0F6222879EBC}" scale="85" topLeftCell="A112">
      <selection activeCell="I133" sqref="I133"/>
      <pageMargins left="0.7" right="0.7" top="0.75" bottom="0.75" header="0.3" footer="0.3"/>
      <pageSetup orientation="portrait" r:id="rId13"/>
    </customSheetView>
    <customSheetView guid="{7E0EA425-A420-4443-B9E0-CDF0AA9E5D09}" scale="85" topLeftCell="A151">
      <selection activeCell="F178" sqref="F178"/>
      <pageMargins left="0.7" right="0.7" top="0.75" bottom="0.75" header="0.3" footer="0.3"/>
      <pageSetup orientation="portrait" r:id="rId14"/>
    </customSheetView>
  </customSheetViews>
  <conditionalFormatting sqref="I10">
    <cfRule type="cellIs" dxfId="39" priority="19" operator="equal">
      <formula>1</formula>
    </cfRule>
    <cfRule type="cellIs" dxfId="38" priority="20" operator="lessThan">
      <formula>1</formula>
    </cfRule>
  </conditionalFormatting>
  <conditionalFormatting sqref="I9">
    <cfRule type="cellIs" dxfId="37" priority="17" operator="equal">
      <formula>1</formula>
    </cfRule>
    <cfRule type="cellIs" dxfId="36" priority="18" operator="lessThan">
      <formula>1</formula>
    </cfRule>
  </conditionalFormatting>
  <conditionalFormatting sqref="I24">
    <cfRule type="cellIs" dxfId="35" priority="15" operator="equal">
      <formula>1</formula>
    </cfRule>
    <cfRule type="cellIs" dxfId="34" priority="16" operator="lessThan">
      <formula>1</formula>
    </cfRule>
  </conditionalFormatting>
  <conditionalFormatting sqref="I23">
    <cfRule type="cellIs" dxfId="33" priority="13" operator="equal">
      <formula>1</formula>
    </cfRule>
    <cfRule type="cellIs" dxfId="32" priority="14" operator="lessThan">
      <formula>1</formula>
    </cfRule>
  </conditionalFormatting>
  <conditionalFormatting sqref="I37">
    <cfRule type="cellIs" dxfId="31" priority="11" operator="equal">
      <formula>1</formula>
    </cfRule>
    <cfRule type="cellIs" dxfId="30" priority="12" operator="lessThan">
      <formula>1</formula>
    </cfRule>
  </conditionalFormatting>
  <conditionalFormatting sqref="I36">
    <cfRule type="cellIs" dxfId="29" priority="9" operator="equal">
      <formula>1</formula>
    </cfRule>
    <cfRule type="cellIs" dxfId="28" priority="10" operator="lessThan">
      <formula>1</formula>
    </cfRule>
  </conditionalFormatting>
  <conditionalFormatting sqref="I50">
    <cfRule type="cellIs" dxfId="27" priority="7" operator="equal">
      <formula>1</formula>
    </cfRule>
    <cfRule type="cellIs" dxfId="26" priority="8" operator="lessThan">
      <formula>1</formula>
    </cfRule>
  </conditionalFormatting>
  <conditionalFormatting sqref="I49">
    <cfRule type="cellIs" dxfId="25" priority="5" operator="equal">
      <formula>1</formula>
    </cfRule>
    <cfRule type="cellIs" dxfId="24" priority="6" operator="lessThan">
      <formula>1</formula>
    </cfRule>
  </conditionalFormatting>
  <conditionalFormatting sqref="I63">
    <cfRule type="cellIs" dxfId="23" priority="3" operator="equal">
      <formula>1</formula>
    </cfRule>
    <cfRule type="cellIs" dxfId="22" priority="4" operator="lessThan">
      <formula>1</formula>
    </cfRule>
  </conditionalFormatting>
  <conditionalFormatting sqref="I62">
    <cfRule type="cellIs" dxfId="21" priority="1" operator="equal">
      <formula>1</formula>
    </cfRule>
    <cfRule type="cellIs" dxfId="20" priority="2" operator="lessThan">
      <formula>1</formula>
    </cfRule>
  </conditionalFormatting>
  <pageMargins left="0.7" right="0.7" top="0.75" bottom="0.75" header="0.3" footer="0.3"/>
  <pageSetup orientation="portrait"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55"/>
  <sheetViews>
    <sheetView topLeftCell="A31" workbookViewId="0">
      <selection activeCell="J31" sqref="J31"/>
    </sheetView>
  </sheetViews>
  <sheetFormatPr defaultRowHeight="15" x14ac:dyDescent="0.25"/>
  <cols>
    <col min="3" max="3" width="5" customWidth="1"/>
    <col min="5" max="5" width="10" customWidth="1"/>
    <col min="6" max="6" width="13.140625" customWidth="1"/>
    <col min="8" max="8" width="15.140625" customWidth="1"/>
    <col min="9" max="9" width="23.5703125" customWidth="1"/>
  </cols>
  <sheetData>
    <row r="2" spans="1:11" x14ac:dyDescent="0.25">
      <c r="A2" s="1">
        <v>1</v>
      </c>
      <c r="B2" s="1" t="s">
        <v>53</v>
      </c>
      <c r="C2" s="1" t="s">
        <v>798</v>
      </c>
    </row>
    <row r="3" spans="1:11" x14ac:dyDescent="0.25">
      <c r="B3" s="1" t="s">
        <v>115</v>
      </c>
      <c r="C3">
        <f>SUM(G9:G10)</f>
        <v>29.635750000000005</v>
      </c>
      <c r="D3" t="s">
        <v>116</v>
      </c>
    </row>
    <row r="4" spans="1:11" x14ac:dyDescent="0.25">
      <c r="B4" s="1" t="s">
        <v>122</v>
      </c>
      <c r="C4">
        <f>SUM(INT((WEEKDAY(F4-{2,3,4,5,6})+H4-F4)/7))</f>
        <v>5</v>
      </c>
      <c r="D4" t="s">
        <v>116</v>
      </c>
      <c r="E4" t="s">
        <v>145</v>
      </c>
      <c r="F4" s="6">
        <v>44004</v>
      </c>
      <c r="G4" s="6" t="s">
        <v>114</v>
      </c>
      <c r="H4" s="6">
        <v>44008</v>
      </c>
    </row>
    <row r="5" spans="1:11" x14ac:dyDescent="0.25">
      <c r="B5" s="1" t="s">
        <v>123</v>
      </c>
      <c r="C5">
        <f>SUM(INT((WEEKDAY(F5-{2,3,4,5,6})+H5-F5)/7))</f>
        <v>5</v>
      </c>
      <c r="D5" t="s">
        <v>116</v>
      </c>
      <c r="E5" t="s">
        <v>179</v>
      </c>
      <c r="F5" s="6">
        <v>44004</v>
      </c>
      <c r="G5" s="6" t="s">
        <v>114</v>
      </c>
      <c r="H5" s="6">
        <v>44008</v>
      </c>
    </row>
    <row r="6" spans="1:11" x14ac:dyDescent="0.25">
      <c r="B6" s="1" t="s">
        <v>17</v>
      </c>
      <c r="C6" t="str">
        <f>IF(AND(F9=E9,F10=E10),IF(SUM(H9:H10)&gt;SUM(G9:G10),"Delayed",IF(SUM(H9:H10)&lt;SUM(G9:G10),"InAdvanced","Ontime")),"N/A")</f>
        <v>InAdvanced</v>
      </c>
      <c r="F6" s="6"/>
      <c r="G6" s="6"/>
      <c r="H6" s="6"/>
    </row>
    <row r="8" spans="1:11" ht="30" x14ac:dyDescent="0.25">
      <c r="C8" s="50" t="s">
        <v>25</v>
      </c>
      <c r="D8" s="50" t="s">
        <v>26</v>
      </c>
      <c r="E8" s="8" t="s">
        <v>117</v>
      </c>
      <c r="F8" s="8" t="s">
        <v>118</v>
      </c>
      <c r="G8" s="8" t="s">
        <v>119</v>
      </c>
      <c r="H8" s="8" t="s">
        <v>120</v>
      </c>
      <c r="I8" s="8" t="s">
        <v>29</v>
      </c>
      <c r="J8" s="91" t="str">
        <f>Table!$C$41</f>
        <v>OPL</v>
      </c>
      <c r="K8" s="91" t="str">
        <f>Table!$C$42</f>
        <v>Defect</v>
      </c>
    </row>
    <row r="9" spans="1:11" x14ac:dyDescent="0.25">
      <c r="C9" s="41">
        <v>1</v>
      </c>
      <c r="D9" s="37" t="str">
        <f>Table!$D$3</f>
        <v>PSW</v>
      </c>
      <c r="E9" s="37">
        <f>SUMIFS(Merged_JOEM!$W$60:$W$352,Merged_JOEM!$D$60:$D$352,D9, Merged_JOEM!$E$60:$E$352,C2)</f>
        <v>1440</v>
      </c>
      <c r="F9" s="37">
        <f>SUMIFS(Merged_JOEM!$X$60:$X$352,Merged_JOEM!$D$60:$D$352,D9, Merged_JOEM!$E$60:$E$352,C2)-SUM(SUMIFS(Merged_JOEM!$X$60:$X$352,Merged_JOEM!$D$60:$D$352,D9,Merged_JOEM!$AA$60:$AA$352,{"Ongoing","N/A",""},Merged_JOEM!$E$60:$E$352,C2))</f>
        <v>1440</v>
      </c>
      <c r="G9" s="37">
        <f>1/8*(SUMIFS(Merged_JOEM!$Y$60:$Y$352,Merged_JOEM!$D$60:$D$352,D9, Merged_JOEM!$E$60:$E$352,C2))</f>
        <v>3.1999999999999997</v>
      </c>
      <c r="H9" s="37">
        <f>1/8*(SUMIFS(Merged_JOEM!$Z$60:$Z$352,Merged_JOEM!$D$60:$D$352,D9, Merged_JOEM!$E$60:$E$352,C2)-SUM(SUMIFS(Merged_JOEM!$Z$60:$Z$352,Merged_JOEM!$D$60:$D$352,D9,Merged_JOEM!$AA$60:$AA$352,{"Ongoing","N/A",""},Merged_JOEM!$E$60:$E$352,C2)))</f>
        <v>3.1999999999999997</v>
      </c>
      <c r="I9" s="62">
        <f>IFERROR(F9/E9,"N/A")</f>
        <v>1</v>
      </c>
      <c r="J9" s="3">
        <f>COUNTIFS(Merged_JOEM!$AK$60:$AK$352,J8,Merged_JOEM!$D$60:$D$352,D9,Merged_JOEM!$E$60:$E$352,C2)</f>
        <v>0</v>
      </c>
      <c r="K9" s="3">
        <f>COUNTIFS(Merged_JOEM!$AK$60:$AK$352,K8,Merged_JOEM!$D$60:$D$352,D9,Merged_JOEM!$E$60:$E$352,C2)</f>
        <v>0</v>
      </c>
    </row>
    <row r="10" spans="1:11" x14ac:dyDescent="0.25">
      <c r="C10" s="41">
        <v>2</v>
      </c>
      <c r="D10" s="37" t="str">
        <f>Table!$C$3</f>
        <v>ASW</v>
      </c>
      <c r="E10" s="37">
        <f>SUMIFS(Merged_JOEM!$W$60:$W$352,Merged_JOEM!$D$60:$D$352,D10, Merged_JOEM!$E$60:$E$352,C2)</f>
        <v>3436.661000000001</v>
      </c>
      <c r="F10" s="37">
        <f>SUMIFS(Merged_JOEM!$X$60:$X$352,Merged_JOEM!$D$60:$D$352,D10, Merged_JOEM!$E$60:$E$352,C2)-SUM(SUMIFS(Merged_JOEM!$X$60:$X$352,Merged_JOEM!$D$60:$D$352,D10,Merged_JOEM!$AA$60:$AA$352,{"Ongoing","N/A",""},Merged_JOEM!$E$60:$E$352,C2))</f>
        <v>3436.661000000001</v>
      </c>
      <c r="G10" s="37">
        <f>1/8*(SUMIFS(Merged_JOEM!$Y$60:$Y$352,Merged_JOEM!$D$60:$D$352,D10, Merged_JOEM!$E$60:$E$352,C2))</f>
        <v>26.435750000000006</v>
      </c>
      <c r="H10" s="37">
        <f>1/8*(SUMIFS(Merged_JOEM!$Z$60:$Z$352,Merged_JOEM!$D$60:$D$352,D10, Merged_JOEM!$E$60:$E$352,C2)-SUM(SUMIFS(Merged_JOEM!$Z$60:$Z$352,Merged_JOEM!$D$60:$D$352,D10,Merged_JOEM!$AA$60:$AA$352,{"Ongoing","N/A",""},Merged_JOEM!$E$60:$E$352,C2)))</f>
        <v>15.058125</v>
      </c>
      <c r="I10" s="62">
        <f>IFERROR(F10/E10,"N/A")</f>
        <v>1</v>
      </c>
      <c r="J10" s="3">
        <f>COUNTIFS(Merged_JOEM!$AK$60:$AK$352,J8,Merged_JOEM!$D$60:$D$352,D10,Merged_JOEM!$E$60:$E$352,C2)</f>
        <v>0</v>
      </c>
      <c r="K10" s="3">
        <f>COUNTIFS(Merged_JOEM!$AK$60:$AK$352,K8,Merged_JOEM!$D$60:$D$352,D10,Merged_JOEM!$E$60:$E$352,C2)</f>
        <v>0</v>
      </c>
    </row>
    <row r="12" spans="1:11" x14ac:dyDescent="0.25">
      <c r="C12" t="s">
        <v>121</v>
      </c>
    </row>
    <row r="13" spans="1:11" x14ac:dyDescent="0.25">
      <c r="D13" s="33" t="s">
        <v>1075</v>
      </c>
    </row>
    <row r="14" spans="1:11" x14ac:dyDescent="0.25">
      <c r="D14" s="33"/>
    </row>
    <row r="16" spans="1:11" x14ac:dyDescent="0.25">
      <c r="A16" s="1">
        <v>2</v>
      </c>
      <c r="B16" s="1" t="s">
        <v>53</v>
      </c>
      <c r="C16" s="1" t="s">
        <v>1086</v>
      </c>
    </row>
    <row r="17" spans="1:11" x14ac:dyDescent="0.25">
      <c r="B17" s="1" t="s">
        <v>115</v>
      </c>
      <c r="C17">
        <f>SUM(G23:G24)</f>
        <v>24.440000000000005</v>
      </c>
      <c r="D17" t="s">
        <v>116</v>
      </c>
    </row>
    <row r="18" spans="1:11" x14ac:dyDescent="0.25">
      <c r="B18" s="1" t="s">
        <v>122</v>
      </c>
      <c r="C18">
        <f>SUM(INT((WEEKDAY(F18-{2,3,4,5,6})+H18-F18)/7))</f>
        <v>5</v>
      </c>
      <c r="D18" t="s">
        <v>116</v>
      </c>
      <c r="E18" t="s">
        <v>145</v>
      </c>
      <c r="F18" s="6">
        <v>44011</v>
      </c>
      <c r="G18" s="6" t="s">
        <v>114</v>
      </c>
      <c r="H18" s="6">
        <v>44015</v>
      </c>
    </row>
    <row r="19" spans="1:11" x14ac:dyDescent="0.25">
      <c r="B19" s="1" t="s">
        <v>123</v>
      </c>
      <c r="C19">
        <f>SUM(INT((WEEKDAY(F19-{2,3,4,5,6})+H19-F19)/7))</f>
        <v>5</v>
      </c>
      <c r="D19" t="s">
        <v>116</v>
      </c>
      <c r="E19" t="s">
        <v>179</v>
      </c>
      <c r="F19" s="6">
        <v>44011</v>
      </c>
      <c r="G19" s="6" t="s">
        <v>114</v>
      </c>
      <c r="H19" s="6">
        <v>44015</v>
      </c>
    </row>
    <row r="20" spans="1:11" x14ac:dyDescent="0.25">
      <c r="B20" s="1" t="s">
        <v>17</v>
      </c>
      <c r="C20" t="str">
        <f>IF(AND(F23=E23,F24=E24),IF(SUM(H23:H24)&gt;SUM(G23:G24),"Delayed",IF(SUM(H23:H24)&lt;SUM(G23:G24),"InAdvanced","Ontime")),"N/A")</f>
        <v>InAdvanced</v>
      </c>
      <c r="F20" s="6"/>
      <c r="G20" s="6"/>
      <c r="H20" s="6"/>
    </row>
    <row r="22" spans="1:11" ht="30" x14ac:dyDescent="0.25">
      <c r="C22" s="50" t="s">
        <v>25</v>
      </c>
      <c r="D22" s="50" t="s">
        <v>26</v>
      </c>
      <c r="E22" s="8" t="s">
        <v>117</v>
      </c>
      <c r="F22" s="8" t="s">
        <v>118</v>
      </c>
      <c r="G22" s="8" t="s">
        <v>119</v>
      </c>
      <c r="H22" s="8" t="s">
        <v>120</v>
      </c>
      <c r="I22" s="8" t="s">
        <v>29</v>
      </c>
      <c r="J22" s="8" t="str">
        <f>Table!$C$41</f>
        <v>OPL</v>
      </c>
      <c r="K22" s="8" t="str">
        <f>Table!$C$42</f>
        <v>Defect</v>
      </c>
    </row>
    <row r="23" spans="1:11" x14ac:dyDescent="0.25">
      <c r="C23" s="41">
        <v>1</v>
      </c>
      <c r="D23" s="37" t="str">
        <f>Table!$D$3</f>
        <v>PSW</v>
      </c>
      <c r="E23" s="37">
        <f>SUMIFS(Merged_JOEM!$W$60:$W$352,Merged_JOEM!$D$60:$D$352,D23, Merged_JOEM!$E$60:$E$352,C16)</f>
        <v>0</v>
      </c>
      <c r="F23" s="37">
        <f>SUMIFS(Merged_JOEM!$X$60:$X$352,Merged_JOEM!$D$60:$D$352,D23, Merged_JOEM!$E$60:$E$352,C16)-SUM(SUMIFS(Merged_JOEM!$X$60:$X$352,Merged_JOEM!$D$60:$D$352,D23,Merged_JOEM!$AA$60:$AA$352,{"Ongoing","N/A",""},Merged_JOEM!$E$60:$E$352,C16))</f>
        <v>0</v>
      </c>
      <c r="G23" s="37">
        <f>1/8*(SUMIFS(Merged_JOEM!$Y$60:$Y$352,Merged_JOEM!$D$60:$D$352,D23, Merged_JOEM!$E$60:$E$352,C16))</f>
        <v>0</v>
      </c>
      <c r="H23" s="37">
        <f>1/8*(SUMIFS(Merged_JOEM!$Z$60:$Z$352,Merged_JOEM!$D$60:$D$352,D23, Merged_JOEM!$E$60:$E$352,C16)-SUM(SUMIFS(Merged_JOEM!$Z$60:$Z$352,Merged_JOEM!$D$60:$D$352,D23,Merged_JOEM!$AA$60:$AA$352,{"Ongoing","N/A",""},Merged_JOEM!$E$60:$E$352,C16)))</f>
        <v>0</v>
      </c>
      <c r="I23" s="62" t="str">
        <f>IFERROR(F23/E23,"N/A")</f>
        <v>N/A</v>
      </c>
      <c r="J23" s="3">
        <f>COUNTIFS(Merged_JOEM!$AK$60:$AK$352,J22,Merged_JOEM!$D$60:$D$352,D23,Merged_JOEM!$E$60:$E$352,C16)</f>
        <v>0</v>
      </c>
      <c r="K23" s="3">
        <f>COUNTIFS(Merged_JOEM!$AK$60:$AK$352,K22,Merged_JOEM!$D$60:$D$352,D23,Merged_JOEM!$E$60:$E$352,C16)</f>
        <v>0</v>
      </c>
    </row>
    <row r="24" spans="1:11" x14ac:dyDescent="0.25">
      <c r="C24" s="41">
        <v>2</v>
      </c>
      <c r="D24" s="37" t="str">
        <f>Table!$C$3</f>
        <v>ASW</v>
      </c>
      <c r="E24" s="37">
        <f>SUMIFS(Merged_JOEM!$W$60:$W$352,Merged_JOEM!$D$60:$D$352,D24, Merged_JOEM!$E$60:$E$352,C16)</f>
        <v>3177.1999999999994</v>
      </c>
      <c r="F24" s="37">
        <f>SUMIFS(Merged_JOEM!$X$60:$X$352,Merged_JOEM!$D$60:$D$352,D24, Merged_JOEM!$E$60:$E$352,C16)-SUM(SUMIFS(Merged_JOEM!$X$60:$X$352,Merged_JOEM!$D$60:$D$352,D24,Merged_JOEM!$AA$60:$AA$352,{"Ongoing","N/A",""},Merged_JOEM!$E$60:$E$352,C16))</f>
        <v>3177.1999999999994</v>
      </c>
      <c r="G24" s="37">
        <f>1/8*(SUMIFS(Merged_JOEM!$Y$60:$Y$352,Merged_JOEM!$D$60:$D$352,D24, Merged_JOEM!$E$60:$E$352,C16))</f>
        <v>24.440000000000005</v>
      </c>
      <c r="H24" s="37">
        <f>1/8*(SUMIFS(Merged_JOEM!$Z$60:$Z$352,Merged_JOEM!$D$60:$D$352,D24, Merged_JOEM!$E$60:$E$352,C16)-SUM(SUMIFS(Merged_JOEM!$Z$60:$Z$352,Merged_JOEM!$D$60:$D$352,D24,Merged_JOEM!$AA$60:$AA$352,{"Ongoing","N/A",""},Merged_JOEM!$E$60:$E$352,C16)))</f>
        <v>17.114999999999998</v>
      </c>
      <c r="I24" s="62">
        <f>IFERROR(F24/E24,"N/A")</f>
        <v>1</v>
      </c>
      <c r="J24" s="3">
        <f>COUNTIFS(Merged_JOEM!$AK$60:$AK$352,J22,Merged_JOEM!$D$60:$D$352,D24,Merged_JOEM!$E$60:$E$352,C16)</f>
        <v>1</v>
      </c>
      <c r="K24" s="3">
        <f>COUNTIFS(Merged_JOEM!$AK$60:$AK$352,K22,Merged_JOEM!$D$60:$D$352,D24,Merged_JOEM!$E$60:$E$352,C16)</f>
        <v>0</v>
      </c>
    </row>
    <row r="26" spans="1:11" x14ac:dyDescent="0.25">
      <c r="C26" t="s">
        <v>121</v>
      </c>
    </row>
    <row r="27" spans="1:11" x14ac:dyDescent="0.25">
      <c r="D27" s="33" t="s">
        <v>1416</v>
      </c>
    </row>
    <row r="30" spans="1:11" x14ac:dyDescent="0.25">
      <c r="A30" s="1">
        <v>3</v>
      </c>
      <c r="B30" s="1" t="s">
        <v>53</v>
      </c>
      <c r="C30" s="1" t="s">
        <v>1251</v>
      </c>
    </row>
    <row r="31" spans="1:11" x14ac:dyDescent="0.25">
      <c r="B31" s="1" t="s">
        <v>115</v>
      </c>
      <c r="C31">
        <f>SUM(G37:G38)</f>
        <v>4.78</v>
      </c>
      <c r="D31" t="s">
        <v>116</v>
      </c>
    </row>
    <row r="32" spans="1:11" x14ac:dyDescent="0.25">
      <c r="B32" s="1" t="s">
        <v>122</v>
      </c>
      <c r="C32">
        <f>SUM(INT((WEEKDAY(F32-{2,3,4,5,6})+H32-F32)/7))</f>
        <v>5</v>
      </c>
      <c r="D32" t="s">
        <v>116</v>
      </c>
      <c r="E32" t="s">
        <v>145</v>
      </c>
      <c r="F32" s="6">
        <v>44011</v>
      </c>
      <c r="G32" s="6" t="s">
        <v>114</v>
      </c>
      <c r="H32" s="6">
        <v>44015</v>
      </c>
    </row>
    <row r="33" spans="1:11" x14ac:dyDescent="0.25">
      <c r="B33" s="1" t="s">
        <v>123</v>
      </c>
      <c r="C33">
        <f>SUM(INT((WEEKDAY(F33-{2,3,4,5,6})+H33-F33)/7))</f>
        <v>5</v>
      </c>
      <c r="D33" t="s">
        <v>116</v>
      </c>
      <c r="E33" t="s">
        <v>179</v>
      </c>
      <c r="F33" s="6">
        <v>44011</v>
      </c>
      <c r="G33" s="6" t="s">
        <v>114</v>
      </c>
      <c r="H33" s="6">
        <v>44015</v>
      </c>
    </row>
    <row r="34" spans="1:11" x14ac:dyDescent="0.25">
      <c r="B34" s="1" t="s">
        <v>17</v>
      </c>
      <c r="C34" t="str">
        <f>IF(AND(F37=E37,F38=E38),IF(SUM(H37:H38)&gt;SUM(G37:G38),"Delayed",IF(SUM(H37:H38)&lt;SUM(G37:G38),"InAdvanced","Ontime")),"N/A")</f>
        <v>Ontime</v>
      </c>
      <c r="F34" s="6"/>
      <c r="G34" s="6"/>
      <c r="H34" s="6"/>
    </row>
    <row r="36" spans="1:11" ht="30" x14ac:dyDescent="0.25">
      <c r="C36" s="50" t="s">
        <v>25</v>
      </c>
      <c r="D36" s="50" t="s">
        <v>26</v>
      </c>
      <c r="E36" s="8" t="s">
        <v>117</v>
      </c>
      <c r="F36" s="8" t="s">
        <v>118</v>
      </c>
      <c r="G36" s="8" t="s">
        <v>119</v>
      </c>
      <c r="H36" s="8" t="s">
        <v>120</v>
      </c>
      <c r="I36" s="8" t="s">
        <v>29</v>
      </c>
      <c r="J36" s="8" t="str">
        <f>Table!$C$41</f>
        <v>OPL</v>
      </c>
      <c r="K36" s="8" t="str">
        <f>Table!$C$42</f>
        <v>Defect</v>
      </c>
    </row>
    <row r="37" spans="1:11" x14ac:dyDescent="0.25">
      <c r="C37" s="41">
        <v>1</v>
      </c>
      <c r="D37" s="37" t="str">
        <f>Table!$D$3</f>
        <v>PSW</v>
      </c>
      <c r="E37" s="37">
        <f>SUMIFS(Merged_JOEM!$W$60:$W$352,Merged_JOEM!$D$60:$D$352,D37, Merged_JOEM!$E$60:$E$352,C30)</f>
        <v>0</v>
      </c>
      <c r="F37" s="37">
        <f>SUMIFS(Merged_JOEM!$X$60:$X$352,Merged_JOEM!$D$60:$D$352,D37, Merged_JOEM!$E$60:$E$352,C30)-SUM(SUMIFS(Merged_JOEM!$X$60:$X$352,Merged_JOEM!$D$60:$D$352,D37,Merged_JOEM!$AA$60:$AA$352,{"Ongoing","N/A",""},Merged_JOEM!$E$60:$E$352,C30))</f>
        <v>0</v>
      </c>
      <c r="G37" s="37">
        <f>1/8*(SUMIFS(Merged_JOEM!$Y$60:$Y$352,Merged_JOEM!$D$60:$D$352,D37, Merged_JOEM!$E$60:$E$352,C30))</f>
        <v>0</v>
      </c>
      <c r="H37" s="37">
        <f>1/8*(SUMIFS(Merged_JOEM!$Z$60:$Z$352,Merged_JOEM!$D$60:$D$352,D37, Merged_JOEM!$E$60:$E$352,C30)-SUM(SUMIFS(Merged_JOEM!$Z$60:$Z$352,Merged_JOEM!$D$60:$D$352,D37,Merged_JOEM!$AA$60:$AA$352,{"Ongoing","N/A",""},Merged_JOEM!$E$60:$E$352,C30)))</f>
        <v>0</v>
      </c>
      <c r="I37" s="62" t="str">
        <f>IFERROR(F37/E37,"N/A")</f>
        <v>N/A</v>
      </c>
      <c r="J37" s="3">
        <f>COUNTIFS(Merged_JOEM!$AK$60:$AK$352,J36,Merged_JOEM!$D$60:$D$352,D37,Merged_JOEM!$E$60:$E$352,C30)</f>
        <v>0</v>
      </c>
      <c r="K37" s="3">
        <f>COUNTIFS(Merged_JOEM!$AK$60:$AK$352,K36,Merged_JOEM!$D$60:$D$352,D37,Merged_JOEM!$E$60:$E$352,C30)</f>
        <v>0</v>
      </c>
    </row>
    <row r="38" spans="1:11" x14ac:dyDescent="0.25">
      <c r="C38" s="41">
        <v>2</v>
      </c>
      <c r="D38" s="37" t="str">
        <f>Table!$C$3</f>
        <v>ASW</v>
      </c>
      <c r="E38" s="37">
        <f>SUMIFS(Merged_JOEM!$W$60:$W$352,Merged_JOEM!$D$60:$D$352,D38, Merged_JOEM!$E$60:$E$352,C30)</f>
        <v>621.4</v>
      </c>
      <c r="F38" s="37">
        <f>SUMIFS(Merged_JOEM!$X$60:$X$352,Merged_JOEM!$D$60:$D$352,D38, Merged_JOEM!$E$60:$E$352,C30)-SUM(SUMIFS(Merged_JOEM!$X$60:$X$352,Merged_JOEM!$D$60:$D$352,D38,Merged_JOEM!$AA$60:$AA$352,{"Ongoing","N/A",""},Merged_JOEM!$E$60:$E$352,C30))</f>
        <v>621.4</v>
      </c>
      <c r="G38" s="37">
        <f>1/8*(SUMIFS(Merged_JOEM!$Y$60:$Y$352,Merged_JOEM!$D$60:$D$352,D38, Merged_JOEM!$E$60:$E$352,C30))</f>
        <v>4.78</v>
      </c>
      <c r="H38" s="37">
        <f>1/8*(SUMIFS(Merged_JOEM!$Z$60:$Z$352,Merged_JOEM!$D$60:$D$352,D38, Merged_JOEM!$E$60:$E$352,C30)-SUM(SUMIFS(Merged_JOEM!$Z$60:$Z$352,Merged_JOEM!$D$60:$D$352,D38,Merged_JOEM!$AA$60:$AA$352,{"Ongoing","N/A",""},Merged_JOEM!$E$60:$E$352,C30)))</f>
        <v>4.78</v>
      </c>
      <c r="I38" s="62">
        <f>IFERROR(F38/E38,"N/A")</f>
        <v>1</v>
      </c>
      <c r="J38" s="3">
        <f>COUNTIFS(Merged_JOEM!$AK$60:$AK$352,J36,Merged_JOEM!$D$60:$D$352,D38,Merged_JOEM!$E$60:$E$352,C30)</f>
        <v>0</v>
      </c>
      <c r="K38" s="3">
        <f>COUNTIFS(Merged_JOEM!$AK$60:$AK$352,K36,Merged_JOEM!$D$60:$D$352,D38,Merged_JOEM!$E$60:$E$352,C30)</f>
        <v>0</v>
      </c>
    </row>
    <row r="40" spans="1:11" x14ac:dyDescent="0.25">
      <c r="C40" t="s">
        <v>121</v>
      </c>
    </row>
    <row r="41" spans="1:11" x14ac:dyDescent="0.25">
      <c r="D41" s="33" t="s">
        <v>1416</v>
      </c>
    </row>
    <row r="44" spans="1:11" x14ac:dyDescent="0.25">
      <c r="A44">
        <v>4</v>
      </c>
      <c r="B44" s="1" t="s">
        <v>53</v>
      </c>
      <c r="C44" s="1" t="s">
        <v>1613</v>
      </c>
    </row>
    <row r="45" spans="1:11" x14ac:dyDescent="0.25">
      <c r="B45" s="1" t="s">
        <v>115</v>
      </c>
      <c r="C45">
        <f>SUM(G51:G52)</f>
        <v>34.270000000000003</v>
      </c>
      <c r="D45" t="s">
        <v>116</v>
      </c>
    </row>
    <row r="46" spans="1:11" x14ac:dyDescent="0.25">
      <c r="B46" s="1" t="s">
        <v>122</v>
      </c>
      <c r="C46">
        <f>SUM(INT((WEEKDAY(F46-{2,3,4,5,6})+H46-F46)/7))</f>
        <v>5</v>
      </c>
      <c r="D46" t="s">
        <v>116</v>
      </c>
      <c r="E46" t="s">
        <v>145</v>
      </c>
      <c r="F46" s="6">
        <v>44018</v>
      </c>
      <c r="G46" s="6" t="s">
        <v>114</v>
      </c>
      <c r="H46" s="6">
        <v>44022</v>
      </c>
    </row>
    <row r="47" spans="1:11" x14ac:dyDescent="0.25">
      <c r="B47" s="1" t="s">
        <v>123</v>
      </c>
      <c r="C47">
        <f>SUM(INT((WEEKDAY(F47-{2,3,4,5,6})+H47-F47)/7))</f>
        <v>5</v>
      </c>
      <c r="D47" t="s">
        <v>116</v>
      </c>
      <c r="E47" t="s">
        <v>179</v>
      </c>
      <c r="F47" s="6">
        <v>44018</v>
      </c>
      <c r="G47" s="6" t="s">
        <v>114</v>
      </c>
      <c r="H47" s="6">
        <v>44022</v>
      </c>
    </row>
    <row r="48" spans="1:11" x14ac:dyDescent="0.25">
      <c r="B48" s="1" t="s">
        <v>17</v>
      </c>
      <c r="C48" t="str">
        <f>IF(AND(F51=E51,F52=E52),IF(SUM(H51:H52)&gt;SUM(G51:G52),"Delayed",IF(SUM(H51:H52)&lt;SUM(G51:G52),"InAdvanced","Ontime")),"N/A")</f>
        <v>InAdvanced</v>
      </c>
      <c r="F48" s="6"/>
      <c r="G48" s="6"/>
      <c r="H48" s="6"/>
    </row>
    <row r="50" spans="3:11" ht="30" x14ac:dyDescent="0.25">
      <c r="C50" s="50" t="s">
        <v>25</v>
      </c>
      <c r="D50" s="50" t="s">
        <v>26</v>
      </c>
      <c r="E50" s="8" t="s">
        <v>117</v>
      </c>
      <c r="F50" s="8" t="s">
        <v>118</v>
      </c>
      <c r="G50" s="8" t="s">
        <v>119</v>
      </c>
      <c r="H50" s="8" t="s">
        <v>120</v>
      </c>
      <c r="I50" s="8" t="s">
        <v>29</v>
      </c>
      <c r="J50" s="8" t="str">
        <f>Table!$C$41</f>
        <v>OPL</v>
      </c>
      <c r="K50" s="8" t="str">
        <f>Table!$C$42</f>
        <v>Defect</v>
      </c>
    </row>
    <row r="51" spans="3:11" x14ac:dyDescent="0.25">
      <c r="C51" s="41">
        <v>1</v>
      </c>
      <c r="D51" s="37" t="str">
        <f>Table!$D$3</f>
        <v>PSW</v>
      </c>
      <c r="E51" s="37">
        <f>SUMIFS(Merged_JOEM!$W$60:$W$352,Merged_JOEM!$D$60:$D$352,D51, Merged_JOEM!$E$60:$E$352,C44)</f>
        <v>0</v>
      </c>
      <c r="F51" s="37">
        <f>SUMIFS(Merged_JOEM!$X$60:$X$352,Merged_JOEM!$D$60:$D$352,D51, Merged_JOEM!$E$60:$E$352,C44)-SUM(SUMIFS(Merged_JOEM!$X$60:$X$352,Merged_JOEM!$D$60:$D$352,D51,Merged_JOEM!$AA$60:$AA$352,{"Ongoing","N/A",""},Merged_JOEM!$E$60:$E$352,C44))</f>
        <v>0</v>
      </c>
      <c r="G51" s="37">
        <f>1/8*(SUMIFS(Merged_JOEM!$Y$60:$Y$352,Merged_JOEM!$D$60:$D$352,D51, Merged_JOEM!$E$60:$E$352,C44))</f>
        <v>0</v>
      </c>
      <c r="H51" s="37">
        <f>1/8*(SUMIFS(Merged_JOEM!$Z$60:$Z$352,Merged_JOEM!$D$60:$D$352,D51, Merged_JOEM!$E$60:$E$352,C44)-SUM(SUMIFS(Merged_JOEM!$Z$60:$Z$352,Merged_JOEM!$D$60:$D$352,D51,Merged_JOEM!$AA$60:$AA$352,{"Ongoing","N/A",""},Merged_JOEM!$E$60:$E$352,C44)))</f>
        <v>0</v>
      </c>
      <c r="I51" s="62" t="str">
        <f>IFERROR(F51/E51,"N/A")</f>
        <v>N/A</v>
      </c>
      <c r="J51" s="3">
        <f>COUNTIFS(Merged_JOEM!$AK$60:$AK$352,J50,Merged_JOEM!$D$60:$D$352,D51,Merged_JOEM!$E$60:$E$352,C44)</f>
        <v>0</v>
      </c>
      <c r="K51" s="3">
        <f>COUNTIFS(Merged_JOEM!$AK$60:$AK$352,K50,Merged_JOEM!$D$60:$D$352,D51,Merged_JOEM!$E$60:$E$352,C44)</f>
        <v>0</v>
      </c>
    </row>
    <row r="52" spans="3:11" x14ac:dyDescent="0.25">
      <c r="C52" s="41">
        <v>2</v>
      </c>
      <c r="D52" s="37" t="str">
        <f>Table!$C$3</f>
        <v>ASW</v>
      </c>
      <c r="E52" s="37">
        <f>SUMIFS(Merged_JOEM!$W$60:$W$352,Merged_JOEM!$D$60:$D$352,D52, Merged_JOEM!$E$60:$E$352,C44)</f>
        <v>4455.0999999999995</v>
      </c>
      <c r="F52" s="37">
        <f>SUMIFS(Merged_JOEM!$X$60:$X$352,Merged_JOEM!$D$60:$D$352,D52, Merged_JOEM!$E$60:$E$352,C44)-SUM(SUMIFS(Merged_JOEM!$X$60:$X$352,Merged_JOEM!$D$60:$D$352,D52,Merged_JOEM!$AA$60:$AA$352,{"Ongoing","N/A",""},Merged_JOEM!$E$60:$E$352,C44))</f>
        <v>4455.0999999999995</v>
      </c>
      <c r="G52" s="37">
        <f>1/8*(SUMIFS(Merged_JOEM!$Y$60:$Y$352,Merged_JOEM!$D$60:$D$352,D52, Merged_JOEM!$E$60:$E$352,C44))</f>
        <v>34.270000000000003</v>
      </c>
      <c r="H52" s="37">
        <f>1/8*(SUMIFS(Merged_JOEM!$Z$60:$Z$352,Merged_JOEM!$D$60:$D$352,D52, Merged_JOEM!$E$60:$E$352,C44)-SUM(SUMIFS(Merged_JOEM!$Z$60:$Z$352,Merged_JOEM!$D$60:$D$352,D52,Merged_JOEM!$AA$60:$AA$352,{"Ongoing","N/A",""},Merged_JOEM!$E$60:$E$352,C44)))</f>
        <v>29.379999999999995</v>
      </c>
      <c r="I52" s="62">
        <f>IFERROR(F52/E52,"N/A")</f>
        <v>1</v>
      </c>
      <c r="J52" s="3">
        <f>COUNTIFS(Merged_JOEM!$AK$60:$AK$352,J50,Merged_JOEM!$D$60:$D$352,D52,Merged_JOEM!$E$60:$E$352,C44)</f>
        <v>2</v>
      </c>
      <c r="K52" s="3">
        <f>COUNTIFS(Merged_JOEM!$AK$60:$AK$352,K50,Merged_JOEM!$D$60:$D$352,D52,Merged_JOEM!$E$60:$E$352,C44)</f>
        <v>0</v>
      </c>
    </row>
    <row r="54" spans="3:11" x14ac:dyDescent="0.25">
      <c r="C54" t="s">
        <v>121</v>
      </c>
    </row>
    <row r="55" spans="3:11" x14ac:dyDescent="0.25">
      <c r="D55" s="33" t="s">
        <v>1701</v>
      </c>
    </row>
  </sheetData>
  <customSheetViews>
    <customSheetView guid="{99BC1C51-34DC-4BF2-906C-1E31B6171D71}" topLeftCell="A7">
      <selection activeCell="A29" sqref="A29:XFD29"/>
      <pageMargins left="0.7" right="0.7" top="0.75" bottom="0.75" header="0.3" footer="0.3"/>
    </customSheetView>
    <customSheetView guid="{7ECC2B8E-6A82-42F5-8AB0-4A51C54EA5EC}" topLeftCell="A25">
      <selection activeCell="D56" sqref="D56"/>
      <pageMargins left="0.7" right="0.7" top="0.75" bottom="0.75" header="0.3" footer="0.3"/>
    </customSheetView>
    <customSheetView guid="{A2C66332-A809-458E-971B-FDB6D62C74C3}">
      <selection activeCell="A45" sqref="A45:XFD45"/>
      <pageMargins left="0.7" right="0.7" top="0.75" bottom="0.75" header="0.3" footer="0.3"/>
    </customSheetView>
    <customSheetView guid="{60D2C030-4E31-4E07-8E1C-44D2EE84B177}">
      <selection activeCell="A43" sqref="A43:XFD43"/>
      <pageMargins left="0.7" right="0.7" top="0.75" bottom="0.75" header="0.3" footer="0.3"/>
    </customSheetView>
    <customSheetView guid="{3B3E6719-EACB-4D2C-89C1-05FFAB6020FD}">
      <selection activeCell="H33" sqref="H33"/>
      <pageMargins left="0.7" right="0.7" top="0.75" bottom="0.75" header="0.3" footer="0.3"/>
    </customSheetView>
    <customSheetView guid="{FECB4C41-27E8-4A22-AFB3-4F54CDD4960E}" topLeftCell="A10">
      <selection activeCell="A43" sqref="A43:XFD43"/>
      <pageMargins left="0.7" right="0.7" top="0.75" bottom="0.75" header="0.3" footer="0.3"/>
    </customSheetView>
    <customSheetView guid="{D33AC7AF-C8AB-4CE9-94C7-9237011A5FC3}">
      <selection activeCell="A45" sqref="A45:XFD45"/>
      <pageMargins left="0.7" right="0.7" top="0.75" bottom="0.75" header="0.3" footer="0.3"/>
    </customSheetView>
    <customSheetView guid="{C94451EF-7A3E-4D72-B5A4-3D1B193192CC}">
      <selection activeCell="A29" sqref="A29:XFD29"/>
      <pageMargins left="0.7" right="0.7" top="0.75" bottom="0.75" header="0.3" footer="0.3"/>
    </customSheetView>
    <customSheetView guid="{89C03E1E-B6A8-49A1-B29C-5DC4FAB2FBC6}">
      <selection activeCell="A45" sqref="A45:XFD45"/>
      <pageMargins left="0.7" right="0.7" top="0.75" bottom="0.75" header="0.3" footer="0.3"/>
    </customSheetView>
    <customSheetView guid="{336B6883-2145-4B58-921E-CEC7185A847E}">
      <selection activeCell="K38" sqref="K38"/>
      <pageMargins left="0.7" right="0.7" top="0.75" bottom="0.75" header="0.3" footer="0.3"/>
    </customSheetView>
    <customSheetView guid="{4E06BDBF-2CED-473B-850B-2A6C7311FF41}">
      <selection activeCell="A43" sqref="A43:XFD43"/>
      <pageMargins left="0.7" right="0.7" top="0.75" bottom="0.75" header="0.3" footer="0.3"/>
      <pageSetup paperSize="9" orientation="portrait" r:id="rId1"/>
    </customSheetView>
    <customSheetView guid="{A2E8CE38-D15E-4374-89B2-69D9421C4465}" showPageBreaks="1">
      <selection activeCell="F16" sqref="F16"/>
      <pageMargins left="0.7" right="0.7" top="0.75" bottom="0.75" header="0.3" footer="0.3"/>
      <pageSetup orientation="portrait" horizontalDpi="300" r:id="rId2"/>
    </customSheetView>
    <customSheetView guid="{F96FC7D9-4F89-4FE0-8D00-C0083DEB0472}">
      <selection activeCell="C2" sqref="C2"/>
      <pageMargins left="0.7" right="0.7" top="0.75" bottom="0.75" header="0.3" footer="0.3"/>
    </customSheetView>
    <customSheetView guid="{970EE037-F5E5-47AF-896A-0F6222879EBC}" topLeftCell="A13">
      <selection activeCell="I9" sqref="I9:I10"/>
      <pageMargins left="0.7" right="0.7" top="0.75" bottom="0.75" header="0.3" footer="0.3"/>
      <pageSetup paperSize="9" orientation="portrait" r:id="rId3"/>
    </customSheetView>
    <customSheetView guid="{7E0EA425-A420-4443-B9E0-CDF0AA9E5D09}" topLeftCell="A31">
      <selection activeCell="J31" sqref="J31"/>
      <pageMargins left="0.7" right="0.7" top="0.75" bottom="0.75" header="0.3" footer="0.3"/>
    </customSheetView>
  </customSheetViews>
  <conditionalFormatting sqref="I10">
    <cfRule type="cellIs" dxfId="19" priority="3" operator="equal">
      <formula>1</formula>
    </cfRule>
    <cfRule type="cellIs" dxfId="18" priority="4" operator="lessThan">
      <formula>1</formula>
    </cfRule>
  </conditionalFormatting>
  <conditionalFormatting sqref="I9">
    <cfRule type="cellIs" dxfId="17" priority="1" operator="equal">
      <formula>1</formula>
    </cfRule>
    <cfRule type="cellIs" dxfId="1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T145"/>
  <sheetViews>
    <sheetView tabSelected="1" zoomScale="85" zoomScaleNormal="85" workbookViewId="0">
      <selection activeCell="N22" sqref="N22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3.285156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33" bestFit="1" customWidth="1"/>
    <col min="18" max="18" width="20.5703125" customWidth="1"/>
  </cols>
  <sheetData>
    <row r="2" spans="2:20" x14ac:dyDescent="0.25">
      <c r="B2" s="64" t="s">
        <v>952</v>
      </c>
      <c r="Q2" s="1" t="s">
        <v>103</v>
      </c>
    </row>
    <row r="3" spans="2:20" x14ac:dyDescent="0.25">
      <c r="B3" s="57" t="s">
        <v>0</v>
      </c>
      <c r="C3" s="57" t="s">
        <v>8</v>
      </c>
      <c r="D3" s="57" t="s">
        <v>399</v>
      </c>
      <c r="E3" s="57" t="s">
        <v>50</v>
      </c>
      <c r="F3" s="57" t="s">
        <v>95</v>
      </c>
      <c r="G3" s="57" t="s">
        <v>22</v>
      </c>
      <c r="H3" s="58" t="s">
        <v>24</v>
      </c>
      <c r="I3" s="58" t="s">
        <v>134</v>
      </c>
      <c r="J3" s="58" t="s">
        <v>143</v>
      </c>
      <c r="K3" s="115"/>
      <c r="L3" s="116"/>
      <c r="Q3" s="2" t="s">
        <v>955</v>
      </c>
      <c r="R3" s="2" t="s">
        <v>22</v>
      </c>
      <c r="S3" s="2" t="s">
        <v>453</v>
      </c>
      <c r="T3" s="2" t="s">
        <v>454</v>
      </c>
    </row>
    <row r="4" spans="2:20" x14ac:dyDescent="0.25">
      <c r="B4" s="59">
        <v>1</v>
      </c>
      <c r="C4" s="72" t="s">
        <v>6</v>
      </c>
      <c r="D4" s="61">
        <f>SUM(Merged_COEM!D42,Merged_JOEM!D42)</f>
        <v>5946.1538461538457</v>
      </c>
      <c r="E4" s="61">
        <f>SUM(Merged_COEM!E42,Merged_JOEM!E42)-M4</f>
        <v>4929.1538461538457</v>
      </c>
      <c r="F4" s="61">
        <f t="shared" ref="F4:F17" ca="1" si="0">$B$26</f>
        <v>18</v>
      </c>
      <c r="G4" s="61">
        <f t="shared" ref="G4" ca="1" si="1">IF(ISERROR(E4/(F4)),"N/A",E4/F4)</f>
        <v>273.84188034188031</v>
      </c>
      <c r="H4" s="62">
        <f t="shared" ref="H4:H18" si="2">IF(ISERROR(E4/D4),"N/A",E4/D4)</f>
        <v>0.82896507115135831</v>
      </c>
      <c r="I4" s="3">
        <f>SUM(Merged_COEM!L42,Merged_JOEM!L42)</f>
        <v>9</v>
      </c>
      <c r="J4" s="3">
        <f>SUM(Merged_COEM!M42,Merged_JOEM!M42)</f>
        <v>0</v>
      </c>
      <c r="L4" t="s">
        <v>6</v>
      </c>
      <c r="M4">
        <v>1017</v>
      </c>
      <c r="P4" t="str">
        <f>C4</f>
        <v>hieu.nguyen-trung</v>
      </c>
      <c r="Q4" s="3">
        <f>SUM(Merged_COEM!J42,Merged_JOEM!J42)</f>
        <v>4620.1538461538457</v>
      </c>
      <c r="R4" s="61">
        <f t="shared" ref="R4:R17" ca="1" si="3">Q4/F4</f>
        <v>256.67521367521363</v>
      </c>
      <c r="S4" s="3">
        <f t="shared" ref="S4:S17" si="4">RANK(Q4,$Q$4:$Q$17)</f>
        <v>13</v>
      </c>
      <c r="T4" s="3">
        <f t="shared" ref="T4:T17" ca="1" si="5">RANK(R4,$R$4:$R$17)</f>
        <v>13</v>
      </c>
    </row>
    <row r="5" spans="2:20" x14ac:dyDescent="0.25">
      <c r="B5" s="59">
        <v>2</v>
      </c>
      <c r="C5" s="72" t="s">
        <v>61</v>
      </c>
      <c r="D5" s="61">
        <f>SUM(Merged_COEM!D43,Merged_JOEM!D43)</f>
        <v>7279.2726923076934</v>
      </c>
      <c r="E5" s="61">
        <f>SUM(Merged_COEM!E43,Merged_JOEM!E43)</f>
        <v>7279.2726923076934</v>
      </c>
      <c r="F5" s="61">
        <f t="shared" ca="1" si="0"/>
        <v>18</v>
      </c>
      <c r="G5" s="61">
        <f t="shared" ref="G5:G17" ca="1" si="6">IF(ISERROR(E5/(F5)),"N/A",E5/F5)</f>
        <v>404.40403846153851</v>
      </c>
      <c r="H5" s="62">
        <f t="shared" ref="H5:H17" si="7">IF(ISERROR(E5/D5),"N/A",E5/D5)</f>
        <v>1</v>
      </c>
      <c r="I5" s="3">
        <f>SUM(Merged_COEM!L43,Merged_JOEM!L43)</f>
        <v>1</v>
      </c>
      <c r="J5" s="3">
        <f>SUM(Merged_COEM!M43,Merged_JOEM!M43)</f>
        <v>0</v>
      </c>
      <c r="L5" t="s">
        <v>231</v>
      </c>
      <c r="M5">
        <v>307</v>
      </c>
      <c r="P5" t="str">
        <f t="shared" ref="P5:P17" si="8">C5</f>
        <v>hau.nguyen-tai</v>
      </c>
      <c r="Q5" s="3">
        <f>SUM(Merged_COEM!J43,Merged_JOEM!J43)</f>
        <v>7279.2726923076934</v>
      </c>
      <c r="R5" s="61">
        <f t="shared" ca="1" si="3"/>
        <v>404.40403846153851</v>
      </c>
      <c r="S5" s="3">
        <f t="shared" si="4"/>
        <v>4</v>
      </c>
      <c r="T5" s="3">
        <f t="shared" ca="1" si="5"/>
        <v>4</v>
      </c>
    </row>
    <row r="6" spans="2:20" x14ac:dyDescent="0.25">
      <c r="B6" s="59">
        <v>3</v>
      </c>
      <c r="C6" s="72" t="s">
        <v>62</v>
      </c>
      <c r="D6" s="61">
        <f>SUM(Merged_COEM!D44,Merged_JOEM!D44)</f>
        <v>7029.0069230769241</v>
      </c>
      <c r="E6" s="61">
        <f>SUM(Merged_COEM!E44,Merged_JOEM!E44)</f>
        <v>7029.0069230769241</v>
      </c>
      <c r="F6" s="61">
        <f t="shared" ca="1" si="0"/>
        <v>18</v>
      </c>
      <c r="G6" s="61">
        <f t="shared" ca="1" si="6"/>
        <v>390.50038461538469</v>
      </c>
      <c r="H6" s="62">
        <f t="shared" si="7"/>
        <v>1</v>
      </c>
      <c r="I6" s="3">
        <f>SUM(Merged_COEM!L44,Merged_JOEM!L44)</f>
        <v>1</v>
      </c>
      <c r="J6" s="3">
        <f>SUM(Merged_COEM!M44,Merged_JOEM!M44)</f>
        <v>0</v>
      </c>
      <c r="L6" t="s">
        <v>66</v>
      </c>
      <c r="M6">
        <v>628</v>
      </c>
      <c r="P6" t="str">
        <f t="shared" si="8"/>
        <v>bang.nguyen-duy</v>
      </c>
      <c r="Q6" s="3">
        <f>SUM(Merged_COEM!J44,Merged_JOEM!J44)</f>
        <v>7029.0069230769241</v>
      </c>
      <c r="R6" s="61">
        <f t="shared" ca="1" si="3"/>
        <v>390.50038461538469</v>
      </c>
      <c r="S6" s="3">
        <f t="shared" si="4"/>
        <v>7</v>
      </c>
      <c r="T6" s="3">
        <f t="shared" ca="1" si="5"/>
        <v>7</v>
      </c>
    </row>
    <row r="7" spans="2:20" x14ac:dyDescent="0.25">
      <c r="B7" s="59">
        <v>4</v>
      </c>
      <c r="C7" s="72" t="s">
        <v>63</v>
      </c>
      <c r="D7" s="61">
        <f>SUM(Merged_COEM!D45,Merged_JOEM!D45)</f>
        <v>7085.9976923076929</v>
      </c>
      <c r="E7" s="61">
        <f>SUM(Merged_COEM!E45,Merged_JOEM!E45)</f>
        <v>7085.9976923076929</v>
      </c>
      <c r="F7" s="61">
        <f t="shared" ca="1" si="0"/>
        <v>18</v>
      </c>
      <c r="G7" s="61">
        <f t="shared" ca="1" si="6"/>
        <v>393.66653846153849</v>
      </c>
      <c r="H7" s="62">
        <f t="shared" si="7"/>
        <v>1</v>
      </c>
      <c r="I7" s="3">
        <f>SUM(Merged_COEM!L45,Merged_JOEM!L45)</f>
        <v>0</v>
      </c>
      <c r="J7" s="3">
        <f>SUM(Merged_COEM!M45,Merged_JOEM!M45)</f>
        <v>0</v>
      </c>
      <c r="L7" t="s">
        <v>233</v>
      </c>
      <c r="M7">
        <v>291</v>
      </c>
      <c r="P7" t="str">
        <f t="shared" si="8"/>
        <v>dac.luu-cong</v>
      </c>
      <c r="Q7" s="3">
        <f>SUM(Merged_COEM!J45,Merged_JOEM!J45)</f>
        <v>7085.9976923076929</v>
      </c>
      <c r="R7" s="61">
        <f t="shared" ca="1" si="3"/>
        <v>393.66653846153849</v>
      </c>
      <c r="S7" s="3">
        <f t="shared" si="4"/>
        <v>6</v>
      </c>
      <c r="T7" s="3">
        <f t="shared" ca="1" si="5"/>
        <v>6</v>
      </c>
    </row>
    <row r="8" spans="2:20" x14ac:dyDescent="0.25">
      <c r="B8" s="59">
        <v>5</v>
      </c>
      <c r="C8" s="72" t="s">
        <v>925</v>
      </c>
      <c r="D8" s="61">
        <f>SUM(Merged_COEM!D46,Merged_JOEM!D46)</f>
        <v>5957.5</v>
      </c>
      <c r="E8" s="61">
        <f>SUM(Merged_COEM!E46,Merged_JOEM!E46)</f>
        <v>5957.5</v>
      </c>
      <c r="F8" s="61">
        <f t="shared" ca="1" si="0"/>
        <v>18</v>
      </c>
      <c r="G8" s="61">
        <f t="shared" ca="1" si="6"/>
        <v>330.97222222222223</v>
      </c>
      <c r="H8" s="62">
        <f t="shared" si="7"/>
        <v>1</v>
      </c>
      <c r="I8" s="3">
        <f>SUM(Merged_COEM!L46,Merged_JOEM!L46)</f>
        <v>2</v>
      </c>
      <c r="J8" s="3">
        <f>SUM(Merged_COEM!M46,Merged_JOEM!M46)</f>
        <v>0</v>
      </c>
      <c r="L8" t="s">
        <v>232</v>
      </c>
      <c r="M8">
        <v>12</v>
      </c>
      <c r="P8" t="str">
        <f t="shared" si="8"/>
        <v>duong.nguyen-tuan</v>
      </c>
      <c r="Q8" s="3">
        <f>SUM(Merged_COEM!J46,Merged_JOEM!J46)</f>
        <v>4658.5</v>
      </c>
      <c r="R8" s="61">
        <f t="shared" ca="1" si="3"/>
        <v>258.80555555555554</v>
      </c>
      <c r="S8" s="3">
        <f t="shared" si="4"/>
        <v>11</v>
      </c>
      <c r="T8" s="3">
        <f t="shared" ca="1" si="5"/>
        <v>11</v>
      </c>
    </row>
    <row r="9" spans="2:20" x14ac:dyDescent="0.25">
      <c r="B9" s="59">
        <v>6</v>
      </c>
      <c r="C9" s="72" t="s">
        <v>64</v>
      </c>
      <c r="D9" s="61">
        <f>SUM(Merged_COEM!D47,Merged_JOEM!D47)</f>
        <v>9834.3846153846152</v>
      </c>
      <c r="E9" s="61">
        <f>SUM(Merged_COEM!E47,Merged_JOEM!E47)</f>
        <v>9834.3846153846152</v>
      </c>
      <c r="F9" s="61">
        <f t="shared" ca="1" si="0"/>
        <v>18</v>
      </c>
      <c r="G9" s="61">
        <f t="shared" ca="1" si="6"/>
        <v>546.35470085470081</v>
      </c>
      <c r="H9" s="62">
        <f t="shared" si="7"/>
        <v>1</v>
      </c>
      <c r="I9" s="3">
        <f>SUM(Merged_COEM!L47,Merged_JOEM!L47)</f>
        <v>8</v>
      </c>
      <c r="J9" s="3">
        <f>SUM(Merged_COEM!M47,Merged_JOEM!M47)</f>
        <v>0</v>
      </c>
      <c r="P9" t="str">
        <f t="shared" si="8"/>
        <v>loc.do-phu</v>
      </c>
      <c r="Q9" s="3">
        <f>SUM(Merged_COEM!J47,Merged_JOEM!J47)</f>
        <v>7796.2307692307695</v>
      </c>
      <c r="R9" s="61">
        <f t="shared" ca="1" si="3"/>
        <v>433.12393162393164</v>
      </c>
      <c r="S9" s="3">
        <f t="shared" si="4"/>
        <v>3</v>
      </c>
      <c r="T9" s="3">
        <f t="shared" ca="1" si="5"/>
        <v>3</v>
      </c>
    </row>
    <row r="10" spans="2:20" x14ac:dyDescent="0.25">
      <c r="B10" s="59">
        <v>7</v>
      </c>
      <c r="C10" s="72" t="s">
        <v>65</v>
      </c>
      <c r="D10" s="61">
        <f>SUM(Merged_COEM!D48,Merged_JOEM!D48)</f>
        <v>11585.461538461539</v>
      </c>
      <c r="E10" s="61">
        <f>SUM(Merged_COEM!E48,Merged_JOEM!E48)</f>
        <v>11585.461538461539</v>
      </c>
      <c r="F10" s="61">
        <f t="shared" ca="1" si="0"/>
        <v>18</v>
      </c>
      <c r="G10" s="61">
        <f t="shared" ca="1" si="6"/>
        <v>643.63675213675219</v>
      </c>
      <c r="H10" s="62">
        <f t="shared" si="7"/>
        <v>1</v>
      </c>
      <c r="I10" s="3">
        <f>SUM(Merged_COEM!L48,Merged_JOEM!L48)</f>
        <v>14</v>
      </c>
      <c r="J10" s="3">
        <f>SUM(Merged_COEM!M48,Merged_JOEM!M48)</f>
        <v>0</v>
      </c>
      <c r="P10" t="str">
        <f t="shared" si="8"/>
        <v>thanh.nguyen-kim</v>
      </c>
      <c r="Q10" s="3">
        <f>SUM(Merged_COEM!J48,Merged_JOEM!J48)</f>
        <v>8613.7692307692305</v>
      </c>
      <c r="R10" s="61">
        <f t="shared" ca="1" si="3"/>
        <v>478.54273504273505</v>
      </c>
      <c r="S10" s="3">
        <f t="shared" si="4"/>
        <v>1</v>
      </c>
      <c r="T10" s="3">
        <f t="shared" ca="1" si="5"/>
        <v>1</v>
      </c>
    </row>
    <row r="11" spans="2:20" x14ac:dyDescent="0.25">
      <c r="B11" s="59">
        <v>8</v>
      </c>
      <c r="C11" s="72" t="s">
        <v>66</v>
      </c>
      <c r="D11" s="61">
        <f>SUM(Merged_COEM!D49,Merged_JOEM!D49)</f>
        <v>11314.076923076922</v>
      </c>
      <c r="E11" s="61">
        <f>SUM(Merged_COEM!E49,Merged_JOEM!E49)-M6</f>
        <v>10686.076923076922</v>
      </c>
      <c r="F11" s="61">
        <f t="shared" ca="1" si="0"/>
        <v>18</v>
      </c>
      <c r="G11" s="61">
        <f t="shared" ca="1" si="6"/>
        <v>593.67094017094007</v>
      </c>
      <c r="H11" s="62">
        <f t="shared" si="7"/>
        <v>0.94449392519869735</v>
      </c>
      <c r="I11" s="3">
        <f>SUM(Merged_COEM!L49,Merged_JOEM!L49)</f>
        <v>7</v>
      </c>
      <c r="J11" s="3">
        <f>SUM(Merged_COEM!M49,Merged_JOEM!M49)</f>
        <v>0</v>
      </c>
      <c r="P11" t="str">
        <f t="shared" si="8"/>
        <v>chung.ly</v>
      </c>
      <c r="Q11" s="3">
        <f>SUM(Merged_COEM!J49,Merged_JOEM!J49)</f>
        <v>8148.6923076923076</v>
      </c>
      <c r="R11" s="61">
        <f t="shared" ca="1" si="3"/>
        <v>452.70512820512818</v>
      </c>
      <c r="S11" s="3">
        <f t="shared" si="4"/>
        <v>2</v>
      </c>
      <c r="T11" s="3">
        <f t="shared" ca="1" si="5"/>
        <v>2</v>
      </c>
    </row>
    <row r="12" spans="2:20" x14ac:dyDescent="0.25">
      <c r="B12" s="59">
        <v>9</v>
      </c>
      <c r="C12" s="72" t="s">
        <v>136</v>
      </c>
      <c r="D12" s="61">
        <f>SUM(Merged_COEM!D50,Merged_JOEM!D50)</f>
        <v>7220.3123076923075</v>
      </c>
      <c r="E12" s="61">
        <f>SUM(Merged_COEM!E50,Merged_JOEM!E50)</f>
        <v>7220.3123076923075</v>
      </c>
      <c r="F12" s="61">
        <f t="shared" ca="1" si="0"/>
        <v>18</v>
      </c>
      <c r="G12" s="61">
        <f t="shared" ca="1" si="6"/>
        <v>401.12846153846152</v>
      </c>
      <c r="H12" s="62">
        <f t="shared" si="7"/>
        <v>1</v>
      </c>
      <c r="I12" s="3">
        <f>SUM(Merged_COEM!L50,Merged_JOEM!L50)</f>
        <v>0</v>
      </c>
      <c r="J12" s="3">
        <f>SUM(Merged_COEM!M50,Merged_JOEM!M50)</f>
        <v>0</v>
      </c>
      <c r="P12" t="str">
        <f t="shared" si="8"/>
        <v>huy.do-anh</v>
      </c>
      <c r="Q12" s="3">
        <f>SUM(Merged_COEM!J50,Merged_JOEM!J50)</f>
        <v>7220.3123076923075</v>
      </c>
      <c r="R12" s="61">
        <f t="shared" ca="1" si="3"/>
        <v>401.12846153846152</v>
      </c>
      <c r="S12" s="3">
        <f t="shared" si="4"/>
        <v>5</v>
      </c>
      <c r="T12" s="3">
        <f t="shared" ca="1" si="5"/>
        <v>5</v>
      </c>
    </row>
    <row r="13" spans="2:20" x14ac:dyDescent="0.25">
      <c r="B13" s="59">
        <v>10</v>
      </c>
      <c r="C13" s="72" t="s">
        <v>137</v>
      </c>
      <c r="D13" s="61">
        <f>SUM(Merged_COEM!D51,Merged_JOEM!D51)</f>
        <v>6482.5</v>
      </c>
      <c r="E13" s="61">
        <f>SUM(Merged_COEM!E51,Merged_JOEM!E51)</f>
        <v>6482.5</v>
      </c>
      <c r="F13" s="61">
        <f t="shared" ca="1" si="0"/>
        <v>18</v>
      </c>
      <c r="G13" s="61">
        <f t="shared" ca="1" si="6"/>
        <v>360.13888888888891</v>
      </c>
      <c r="H13" s="62">
        <f t="shared" si="7"/>
        <v>1</v>
      </c>
      <c r="I13" s="3">
        <f>SUM(Merged_COEM!L51,Merged_JOEM!L51)</f>
        <v>1</v>
      </c>
      <c r="J13" s="3">
        <f>SUM(Merged_COEM!M51,Merged_JOEM!M51)</f>
        <v>0</v>
      </c>
      <c r="P13" t="str">
        <f t="shared" si="8"/>
        <v>phuong.nguyen-thanh</v>
      </c>
      <c r="Q13" s="3">
        <f>SUM(Merged_COEM!J51,Merged_JOEM!J51)</f>
        <v>4202.5</v>
      </c>
      <c r="R13" s="61">
        <f t="shared" ca="1" si="3"/>
        <v>233.47222222222223</v>
      </c>
      <c r="S13" s="3">
        <f t="shared" si="4"/>
        <v>14</v>
      </c>
      <c r="T13" s="3">
        <f t="shared" ca="1" si="5"/>
        <v>14</v>
      </c>
    </row>
    <row r="14" spans="2:20" x14ac:dyDescent="0.25">
      <c r="B14" s="59">
        <v>11</v>
      </c>
      <c r="C14" s="72" t="s">
        <v>327</v>
      </c>
      <c r="D14" s="61">
        <f>SUM(Merged_COEM!D52,Merged_JOEM!D52)</f>
        <v>6362.044615384616</v>
      </c>
      <c r="E14" s="61">
        <f>SUM(Merged_COEM!E52,Merged_JOEM!E52)</f>
        <v>6362.044615384616</v>
      </c>
      <c r="F14" s="61">
        <f t="shared" ca="1" si="0"/>
        <v>18</v>
      </c>
      <c r="G14" s="61">
        <f t="shared" ca="1" si="6"/>
        <v>353.4469230769231</v>
      </c>
      <c r="H14" s="62">
        <f t="shared" si="7"/>
        <v>1</v>
      </c>
      <c r="I14" s="3">
        <f>SUM(Merged_COEM!L52,Merged_JOEM!L52)</f>
        <v>0</v>
      </c>
      <c r="J14" s="3">
        <f>SUM(Merged_COEM!M52,Merged_JOEM!M52)</f>
        <v>0</v>
      </c>
      <c r="P14" t="str">
        <f t="shared" si="8"/>
        <v>khang.duong-chi</v>
      </c>
      <c r="Q14" s="3">
        <f>SUM(Merged_COEM!J52,Merged_JOEM!J52)</f>
        <v>6362.044615384616</v>
      </c>
      <c r="R14" s="61">
        <f t="shared" ca="1" si="3"/>
        <v>353.4469230769231</v>
      </c>
      <c r="S14" s="3">
        <f t="shared" si="4"/>
        <v>8</v>
      </c>
      <c r="T14" s="3">
        <f t="shared" ca="1" si="5"/>
        <v>8</v>
      </c>
    </row>
    <row r="15" spans="2:20" x14ac:dyDescent="0.25">
      <c r="B15" s="59">
        <v>12</v>
      </c>
      <c r="C15" s="72" t="s">
        <v>231</v>
      </c>
      <c r="D15" s="61">
        <f>SUM(Merged_COEM!D53,Merged_JOEM!D53)</f>
        <v>9792</v>
      </c>
      <c r="E15" s="61">
        <f>SUM(Merged_COEM!E53,Merged_JOEM!E53)-M5</f>
        <v>9485</v>
      </c>
      <c r="F15" s="61">
        <f t="shared" ca="1" si="0"/>
        <v>18</v>
      </c>
      <c r="G15" s="61">
        <f t="shared" ca="1" si="6"/>
        <v>526.94444444444446</v>
      </c>
      <c r="H15" s="62">
        <f t="shared" si="7"/>
        <v>0.96864787581699341</v>
      </c>
      <c r="I15" s="3">
        <f>SUM(Merged_COEM!L53,Merged_JOEM!L53)</f>
        <v>4</v>
      </c>
      <c r="J15" s="3">
        <f>SUM(Merged_COEM!M53,Merged_JOEM!M53)</f>
        <v>0</v>
      </c>
      <c r="M15" s="89"/>
      <c r="P15" t="str">
        <f t="shared" si="8"/>
        <v>chuong.nguyen-minh</v>
      </c>
      <c r="Q15" s="3">
        <f>SUM(Merged_COEM!J53,Merged_JOEM!J53)</f>
        <v>5930</v>
      </c>
      <c r="R15" s="61">
        <f t="shared" ca="1" si="3"/>
        <v>329.44444444444446</v>
      </c>
      <c r="S15" s="3">
        <f t="shared" si="4"/>
        <v>9</v>
      </c>
      <c r="T15" s="3">
        <f t="shared" ca="1" si="5"/>
        <v>9</v>
      </c>
    </row>
    <row r="16" spans="2:20" x14ac:dyDescent="0.25">
      <c r="B16" s="59">
        <v>13</v>
      </c>
      <c r="C16" s="72" t="s">
        <v>232</v>
      </c>
      <c r="D16" s="61">
        <f>SUM(Merged_COEM!D54,Merged_JOEM!D54)</f>
        <v>8261.6153846153848</v>
      </c>
      <c r="E16" s="61">
        <f>SUM(Merged_COEM!E54,Merged_JOEM!E54)-M8</f>
        <v>8249.6153846153848</v>
      </c>
      <c r="F16" s="61">
        <f t="shared" ca="1" si="0"/>
        <v>18</v>
      </c>
      <c r="G16" s="61">
        <f t="shared" ca="1" si="6"/>
        <v>458.31196581196582</v>
      </c>
      <c r="H16" s="62">
        <f t="shared" si="7"/>
        <v>0.99854749955773225</v>
      </c>
      <c r="I16" s="3">
        <f>SUM(Merged_COEM!L54,Merged_JOEM!L54)</f>
        <v>3</v>
      </c>
      <c r="J16" s="3">
        <f>SUM(Merged_COEM!M54,Merged_JOEM!M54)</f>
        <v>0</v>
      </c>
      <c r="M16" s="89"/>
      <c r="P16" t="str">
        <f t="shared" si="8"/>
        <v>nam.phan-the</v>
      </c>
      <c r="Q16" s="3">
        <f>SUM(Merged_COEM!J54,Merged_JOEM!J54)</f>
        <v>4630.6153846153848</v>
      </c>
      <c r="R16" s="61">
        <f t="shared" ca="1" si="3"/>
        <v>257.25641025641028</v>
      </c>
      <c r="S16" s="3">
        <f t="shared" si="4"/>
        <v>12</v>
      </c>
      <c r="T16" s="3">
        <f t="shared" ca="1" si="5"/>
        <v>12</v>
      </c>
    </row>
    <row r="17" spans="1:20" x14ac:dyDescent="0.25">
      <c r="B17" s="59">
        <v>14</v>
      </c>
      <c r="C17" s="72" t="s">
        <v>233</v>
      </c>
      <c r="D17" s="61">
        <f>SUM(Merged_COEM!D55,Merged_JOEM!D55)</f>
        <v>8565.6153846153848</v>
      </c>
      <c r="E17" s="61">
        <f>SUM(Merged_COEM!E55,Merged_JOEM!E55)-M7</f>
        <v>8274.6153846153848</v>
      </c>
      <c r="F17" s="61">
        <f t="shared" ca="1" si="0"/>
        <v>18</v>
      </c>
      <c r="G17" s="61">
        <f t="shared" ca="1" si="6"/>
        <v>459.70085470085473</v>
      </c>
      <c r="H17" s="62">
        <f t="shared" si="7"/>
        <v>0.96602695930958304</v>
      </c>
      <c r="I17" s="3">
        <f>SUM(Merged_COEM!L55,Merged_JOEM!L55)</f>
        <v>6</v>
      </c>
      <c r="J17" s="3">
        <f>SUM(Merged_COEM!M55,Merged_JOEM!M55)</f>
        <v>0</v>
      </c>
      <c r="L17" s="1" t="s">
        <v>956</v>
      </c>
      <c r="M17" s="89"/>
      <c r="N17" s="1" t="s">
        <v>957</v>
      </c>
      <c r="P17" t="str">
        <f t="shared" si="8"/>
        <v>huy.nguyen-hoang</v>
      </c>
      <c r="Q17" s="3">
        <f>SUM(Merged_COEM!J55,Merged_JOEM!J55)</f>
        <v>5672.6153846153848</v>
      </c>
      <c r="R17" s="61">
        <f t="shared" ca="1" si="3"/>
        <v>315.14529914529913</v>
      </c>
      <c r="S17" s="3">
        <f t="shared" si="4"/>
        <v>10</v>
      </c>
      <c r="T17" s="3">
        <f t="shared" ca="1" si="5"/>
        <v>10</v>
      </c>
    </row>
    <row r="18" spans="1:20" x14ac:dyDescent="0.25">
      <c r="A18" s="89"/>
      <c r="B18" s="57" t="s">
        <v>102</v>
      </c>
      <c r="C18" s="63"/>
      <c r="D18" s="61">
        <f>SUM(D4:D17)</f>
        <v>112715.94192307694</v>
      </c>
      <c r="E18" s="61">
        <f>SUM(E4:E17)</f>
        <v>110460.94192307694</v>
      </c>
      <c r="F18" s="61">
        <f ca="1">$B$26*(COUNTA($C$4:$C$17))</f>
        <v>252</v>
      </c>
      <c r="G18" s="61">
        <f ca="1">IF(ISERROR(E18/(F18)),"N/A",E18/F18)</f>
        <v>438.33707112332121</v>
      </c>
      <c r="H18" s="62">
        <f t="shared" si="2"/>
        <v>0.97999395683053492</v>
      </c>
      <c r="I18" s="3">
        <f>SUM(I4:I17)</f>
        <v>56</v>
      </c>
      <c r="J18" s="3">
        <f>SUM(J4:J17)</f>
        <v>0</v>
      </c>
      <c r="K18">
        <f ca="1">F18*Table!$D$4</f>
        <v>113400</v>
      </c>
      <c r="L18" s="81">
        <f ca="1">E18-K18</f>
        <v>-2939.0580769230583</v>
      </c>
      <c r="M18">
        <f>(COUNTA($C$4:$C$17))*Table!$D$4</f>
        <v>6300</v>
      </c>
      <c r="N18">
        <f ca="1">L18/Table!$D$4</f>
        <v>-6.5312401709401291</v>
      </c>
      <c r="P18" s="1" t="s">
        <v>102</v>
      </c>
      <c r="Q18" s="61">
        <f>SUM(Q4:Q17)</f>
        <v>89249.711153846161</v>
      </c>
      <c r="R18" s="61">
        <f ca="1">AVERAGE(R4:R17)</f>
        <v>354.16552045177048</v>
      </c>
    </row>
    <row r="21" spans="1:20" x14ac:dyDescent="0.25">
      <c r="A21" s="70" t="s">
        <v>166</v>
      </c>
      <c r="B21" s="70" t="s">
        <v>155</v>
      </c>
      <c r="J21" s="71"/>
      <c r="K21" s="70" t="s">
        <v>166</v>
      </c>
      <c r="L21" s="70" t="s">
        <v>154</v>
      </c>
    </row>
    <row r="22" spans="1:20" x14ac:dyDescent="0.25">
      <c r="J22" s="71"/>
    </row>
    <row r="23" spans="1:20" x14ac:dyDescent="0.25">
      <c r="A23" s="1" t="s">
        <v>38</v>
      </c>
      <c r="B23" s="32">
        <v>44003</v>
      </c>
      <c r="D23" s="32">
        <v>44027</v>
      </c>
      <c r="F23" s="6"/>
      <c r="J23" s="71"/>
      <c r="K23" s="1" t="s">
        <v>38</v>
      </c>
      <c r="L23" s="32">
        <f>B23</f>
        <v>44003</v>
      </c>
      <c r="N23" s="32">
        <f>D23</f>
        <v>44027</v>
      </c>
      <c r="P23" s="6"/>
    </row>
    <row r="24" spans="1:20" x14ac:dyDescent="0.25">
      <c r="A24" s="1" t="s">
        <v>30</v>
      </c>
      <c r="B24" s="7">
        <f>SUM(INT((WEEKDAY(B23-{2,3,4,5,6}) +D23-B23)/7))</f>
        <v>18</v>
      </c>
      <c r="J24" s="71"/>
      <c r="K24" s="1" t="s">
        <v>30</v>
      </c>
      <c r="L24" s="7">
        <f>B24</f>
        <v>18</v>
      </c>
    </row>
    <row r="25" spans="1:20" x14ac:dyDescent="0.25">
      <c r="A25" s="1" t="s">
        <v>131</v>
      </c>
      <c r="B25" s="7">
        <v>0</v>
      </c>
      <c r="J25" s="71"/>
      <c r="K25" s="1" t="s">
        <v>131</v>
      </c>
      <c r="L25" s="7">
        <f>B25</f>
        <v>0</v>
      </c>
    </row>
    <row r="26" spans="1:20" x14ac:dyDescent="0.25">
      <c r="A26" s="1" t="s">
        <v>104</v>
      </c>
      <c r="B26">
        <f ca="1">IF(TODAY()&lt;D23,SUM(INT((WEEKDAY(B23-{2,3,4,5,6})+TODAY()-B23)/7)),SUM(INT((WEEKDAY(B23-{2,3,4,5,6})+D23-B23)/7)))-B25</f>
        <v>18</v>
      </c>
      <c r="J26" s="71"/>
      <c r="K26" s="1" t="s">
        <v>104</v>
      </c>
      <c r="L26">
        <f ca="1">B26</f>
        <v>18</v>
      </c>
    </row>
    <row r="27" spans="1:20" x14ac:dyDescent="0.25">
      <c r="A27" s="1"/>
      <c r="J27" s="71"/>
      <c r="K27" s="1"/>
    </row>
    <row r="28" spans="1:20" x14ac:dyDescent="0.25">
      <c r="B28" s="1" t="s">
        <v>167</v>
      </c>
      <c r="J28" s="71"/>
      <c r="L28" s="1" t="s">
        <v>167</v>
      </c>
    </row>
    <row r="29" spans="1:20" ht="45" x14ac:dyDescent="0.25">
      <c r="C29" s="42" t="s">
        <v>25</v>
      </c>
      <c r="D29" s="42" t="s">
        <v>26</v>
      </c>
      <c r="E29" s="42" t="s">
        <v>27</v>
      </c>
      <c r="F29" s="42" t="s">
        <v>28</v>
      </c>
      <c r="G29" s="8" t="s">
        <v>95</v>
      </c>
      <c r="H29" s="8" t="s">
        <v>29</v>
      </c>
      <c r="J29" s="71"/>
      <c r="M29" s="50" t="s">
        <v>25</v>
      </c>
      <c r="N29" s="50" t="s">
        <v>26</v>
      </c>
      <c r="O29" s="50" t="s">
        <v>27</v>
      </c>
      <c r="P29" s="50" t="s">
        <v>28</v>
      </c>
      <c r="Q29" s="8" t="s">
        <v>95</v>
      </c>
      <c r="R29" s="8" t="s">
        <v>29</v>
      </c>
    </row>
    <row r="30" spans="1:20" x14ac:dyDescent="0.25">
      <c r="C30" s="44">
        <v>1</v>
      </c>
      <c r="D30" s="44" t="s">
        <v>3</v>
      </c>
      <c r="E30" s="44">
        <f>SUM(Merged_COEM!D18)</f>
        <v>61432</v>
      </c>
      <c r="F30" s="44">
        <f>SUM(Merged_COEM!E18)</f>
        <v>61432</v>
      </c>
      <c r="G30" s="44">
        <f>E30/Table!$D$4</f>
        <v>136.51555555555555</v>
      </c>
      <c r="H30" s="38">
        <f>IFERROR(F30/E30,"N/A")</f>
        <v>1</v>
      </c>
      <c r="J30" s="71"/>
      <c r="M30" s="55">
        <v>1</v>
      </c>
      <c r="N30" s="55" t="s">
        <v>3</v>
      </c>
      <c r="O30" s="55">
        <f>SUM(Merged_JOEM!D18)</f>
        <v>1440</v>
      </c>
      <c r="P30" s="55">
        <f>SUM(Merged_JOEM!E18)</f>
        <v>1440</v>
      </c>
      <c r="Q30" s="55">
        <f>O30/Table!$D$4</f>
        <v>3.2</v>
      </c>
      <c r="R30" s="38">
        <f>IFERROR(P30/O30,"N/A")</f>
        <v>1</v>
      </c>
    </row>
    <row r="31" spans="1:20" x14ac:dyDescent="0.25">
      <c r="C31" s="44">
        <v>2</v>
      </c>
      <c r="D31" s="44" t="s">
        <v>2</v>
      </c>
      <c r="E31" s="51">
        <f>SUM(Merged_COEM!D37)</f>
        <v>2709</v>
      </c>
      <c r="F31" s="55">
        <f>SUM(Merged_COEM!E37)</f>
        <v>2709</v>
      </c>
      <c r="G31" s="44">
        <f>E31/Table!$C$4</f>
        <v>20.838461538461537</v>
      </c>
      <c r="H31" s="38">
        <f>IFERROR(F31/E31,"N/A")</f>
        <v>1</v>
      </c>
      <c r="J31" s="71"/>
      <c r="M31" s="55">
        <v>2</v>
      </c>
      <c r="N31" s="55" t="s">
        <v>2</v>
      </c>
      <c r="O31" s="55">
        <f>SUM(Merged_JOEM!D37)</f>
        <v>11690.361000000001</v>
      </c>
      <c r="P31" s="55">
        <f>SUM(Merged_JOEM!E37)</f>
        <v>11690.361000000001</v>
      </c>
      <c r="Q31" s="55">
        <f>O31/Table!$C$4</f>
        <v>89.925853846153856</v>
      </c>
      <c r="R31" s="38">
        <f>IFERROR(P31/O31,"N/A")</f>
        <v>1</v>
      </c>
    </row>
    <row r="32" spans="1:20" x14ac:dyDescent="0.25">
      <c r="C32" s="30"/>
      <c r="D32" s="28"/>
      <c r="E32" s="28"/>
      <c r="F32" s="28"/>
      <c r="G32" s="31"/>
      <c r="J32" s="71"/>
      <c r="M32" s="30"/>
      <c r="N32" s="28"/>
      <c r="O32" s="28"/>
      <c r="P32" s="28"/>
      <c r="Q32" s="31"/>
    </row>
    <row r="33" spans="2:19" x14ac:dyDescent="0.25">
      <c r="B33" s="1" t="s">
        <v>168</v>
      </c>
      <c r="J33" s="71"/>
      <c r="L33" s="1" t="s">
        <v>168</v>
      </c>
    </row>
    <row r="34" spans="2:19" ht="30" x14ac:dyDescent="0.25">
      <c r="C34" s="42" t="s">
        <v>25</v>
      </c>
      <c r="D34" s="42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1"/>
      <c r="M34" s="50" t="s">
        <v>25</v>
      </c>
      <c r="N34" s="50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44">
        <v>1</v>
      </c>
      <c r="D35" s="26" t="s">
        <v>110</v>
      </c>
      <c r="E35" s="4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1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44">
        <f>E35/Table!$D$4</f>
        <v>9.8977777777777778</v>
      </c>
      <c r="H35" s="44">
        <f>F35/Table!$C$4</f>
        <v>0.36923076923076925</v>
      </c>
      <c r="J35" s="71"/>
      <c r="M35" s="55">
        <v>1</v>
      </c>
      <c r="N35" s="26" t="s">
        <v>110</v>
      </c>
      <c r="O35" s="55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5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55">
        <f>O35/Table!$D$4</f>
        <v>0</v>
      </c>
      <c r="R35" s="55">
        <f>P35/Table!$C$4</f>
        <v>0</v>
      </c>
      <c r="S35" t="s">
        <v>234</v>
      </c>
    </row>
    <row r="36" spans="2:19" x14ac:dyDescent="0.25">
      <c r="C36" s="44">
        <v>2</v>
      </c>
      <c r="D36" s="26" t="s">
        <v>111</v>
      </c>
      <c r="E36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55">
        <f>E36/Table!$D$4</f>
        <v>0</v>
      </c>
      <c r="H36" s="55">
        <f>F36/Table!$C$4</f>
        <v>0</v>
      </c>
      <c r="I36" t="s">
        <v>234</v>
      </c>
      <c r="J36" s="71"/>
      <c r="M36" s="55">
        <v>2</v>
      </c>
      <c r="N36" s="26" t="s">
        <v>111</v>
      </c>
      <c r="O36" s="55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5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2102.9010000000003</v>
      </c>
      <c r="Q36" s="55">
        <f>O36/Table!$D$4</f>
        <v>0</v>
      </c>
      <c r="R36" s="55">
        <f>P36/Table!$C$4</f>
        <v>16.176161538461542</v>
      </c>
    </row>
    <row r="37" spans="2:19" x14ac:dyDescent="0.25">
      <c r="C37" s="44">
        <v>3</v>
      </c>
      <c r="D37" s="26" t="s">
        <v>112</v>
      </c>
      <c r="E37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55">
        <f>E37/Table!$D$4</f>
        <v>0</v>
      </c>
      <c r="H37" s="55">
        <f>F37/Table!$C$4</f>
        <v>0</v>
      </c>
      <c r="I37" t="s">
        <v>234</v>
      </c>
      <c r="J37" s="71"/>
      <c r="M37" s="55">
        <v>3</v>
      </c>
      <c r="N37" s="26" t="s">
        <v>112</v>
      </c>
      <c r="O37" s="55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5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2030.6020000000003</v>
      </c>
      <c r="Q37" s="55">
        <f>O37/Table!$D$4</f>
        <v>0</v>
      </c>
      <c r="R37" s="55">
        <f>P37/Table!$C$4</f>
        <v>15.620015384615387</v>
      </c>
    </row>
    <row r="38" spans="2:19" x14ac:dyDescent="0.25">
      <c r="C38" s="55">
        <v>4</v>
      </c>
      <c r="D38" s="26" t="s">
        <v>113</v>
      </c>
      <c r="E38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55">
        <f>E38/Table!$D$4</f>
        <v>0</v>
      </c>
      <c r="H38" s="55">
        <f>F38/Table!$C$4</f>
        <v>0</v>
      </c>
      <c r="I38" t="s">
        <v>234</v>
      </c>
      <c r="J38" s="71"/>
      <c r="M38" s="55">
        <v>4</v>
      </c>
      <c r="N38" s="26" t="s">
        <v>113</v>
      </c>
      <c r="O38" s="55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5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2047.0660000000003</v>
      </c>
      <c r="Q38" s="55">
        <f>O38/Table!$D$4</f>
        <v>0</v>
      </c>
      <c r="R38" s="55">
        <f>P38/Table!$C$4</f>
        <v>15.74666153846154</v>
      </c>
    </row>
    <row r="39" spans="2:19" x14ac:dyDescent="0.25">
      <c r="C39" s="55">
        <v>5</v>
      </c>
      <c r="D39" s="26" t="s">
        <v>159</v>
      </c>
      <c r="E39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55">
        <f>E39/Table!$D$4</f>
        <v>2.1822222222222223</v>
      </c>
      <c r="H39" s="55">
        <f>F39/Table!$C$4</f>
        <v>0</v>
      </c>
      <c r="I39" t="s">
        <v>1493</v>
      </c>
      <c r="J39" s="71"/>
      <c r="M39" s="55">
        <v>5</v>
      </c>
      <c r="N39" s="26" t="s">
        <v>159</v>
      </c>
      <c r="O39" s="55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5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1062.0999999999999</v>
      </c>
      <c r="Q39" s="55">
        <f>O39/Table!$D$4</f>
        <v>0</v>
      </c>
      <c r="R39" s="55">
        <f>P39/Table!$C$4</f>
        <v>8.17</v>
      </c>
      <c r="S39" t="s">
        <v>1492</v>
      </c>
    </row>
    <row r="40" spans="2:19" x14ac:dyDescent="0.25">
      <c r="C40" s="55">
        <v>6</v>
      </c>
      <c r="D40" s="26" t="s">
        <v>160</v>
      </c>
      <c r="E40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6287</v>
      </c>
      <c r="F40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55">
        <f>E40/Table!$D$4</f>
        <v>13.971111111111112</v>
      </c>
      <c r="H40" s="55">
        <f>F40/Table!$C$4</f>
        <v>3.3538461538461539</v>
      </c>
      <c r="J40" s="71"/>
      <c r="M40" s="55">
        <v>6</v>
      </c>
      <c r="N40" s="26" t="s">
        <v>160</v>
      </c>
      <c r="O40" s="55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5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55">
        <f>O40/Table!$D$4</f>
        <v>0</v>
      </c>
      <c r="R40" s="55">
        <f>P40/Table!$C$4</f>
        <v>0</v>
      </c>
      <c r="S40" t="s">
        <v>234</v>
      </c>
    </row>
    <row r="41" spans="2:19" x14ac:dyDescent="0.25">
      <c r="C41" s="55">
        <v>7</v>
      </c>
      <c r="D41" s="26" t="s">
        <v>161</v>
      </c>
      <c r="E41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6883</v>
      </c>
      <c r="F41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55">
        <f>E41/Table!$D$4</f>
        <v>15.295555555555556</v>
      </c>
      <c r="H41" s="55">
        <f>F41/Table!$C$4</f>
        <v>3.8461538461538463</v>
      </c>
      <c r="J41" s="71"/>
      <c r="M41" s="55">
        <v>7</v>
      </c>
      <c r="N41" s="26" t="s">
        <v>161</v>
      </c>
      <c r="O41" s="55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5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55">
        <f>O41/Table!$D$4</f>
        <v>0</v>
      </c>
      <c r="R41" s="55">
        <f>P41/Table!$C$4</f>
        <v>0</v>
      </c>
      <c r="S41" t="s">
        <v>234</v>
      </c>
    </row>
    <row r="42" spans="2:19" x14ac:dyDescent="0.25">
      <c r="C42" s="55">
        <v>8</v>
      </c>
      <c r="D42" s="26" t="s">
        <v>162</v>
      </c>
      <c r="E42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6006</v>
      </c>
      <c r="F42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619</v>
      </c>
      <c r="G42" s="55">
        <f>E42/Table!$D$4</f>
        <v>13.346666666666666</v>
      </c>
      <c r="H42" s="55">
        <f>F42/Table!$C$4</f>
        <v>4.7615384615384615</v>
      </c>
      <c r="J42" s="71"/>
      <c r="M42" s="55">
        <v>8</v>
      </c>
      <c r="N42" s="26" t="s">
        <v>162</v>
      </c>
      <c r="O42" s="55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5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55">
        <f>O42/Table!$D$4</f>
        <v>0</v>
      </c>
      <c r="R42" s="55">
        <f>P42/Table!$C$4</f>
        <v>0</v>
      </c>
      <c r="S42" t="s">
        <v>234</v>
      </c>
    </row>
    <row r="43" spans="2:19" x14ac:dyDescent="0.25">
      <c r="C43" s="55">
        <v>9</v>
      </c>
      <c r="D43" s="26" t="s">
        <v>151</v>
      </c>
      <c r="E43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55">
        <f>E43/Table!$D$4</f>
        <v>0</v>
      </c>
      <c r="H43" s="55">
        <f>F43/Table!$C$4</f>
        <v>0</v>
      </c>
      <c r="I43" t="s">
        <v>234</v>
      </c>
      <c r="J43" s="71"/>
      <c r="M43" s="55">
        <v>9</v>
      </c>
      <c r="N43" s="26" t="s">
        <v>151</v>
      </c>
      <c r="O43" s="55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5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2085.8679999999999</v>
      </c>
      <c r="Q43" s="55">
        <f>O43/Table!$D$4</f>
        <v>0</v>
      </c>
      <c r="R43" s="55">
        <f>P43/Table!$C$4</f>
        <v>16.04513846153846</v>
      </c>
    </row>
    <row r="44" spans="2:19" x14ac:dyDescent="0.25">
      <c r="C44" s="55">
        <v>10</v>
      </c>
      <c r="D44" s="26" t="s">
        <v>150</v>
      </c>
      <c r="E44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55">
        <f>E44/Table!$D$4</f>
        <v>2.108888888888889</v>
      </c>
      <c r="H44" s="55">
        <f>F44/Table!$C$4</f>
        <v>0</v>
      </c>
      <c r="I44" t="s">
        <v>1493</v>
      </c>
      <c r="J44" s="71"/>
      <c r="M44" s="55">
        <v>10</v>
      </c>
      <c r="N44" s="26" t="s">
        <v>150</v>
      </c>
      <c r="O44" s="55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5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939.90000000000009</v>
      </c>
      <c r="Q44" s="55">
        <f>O44/Table!$D$4</f>
        <v>0</v>
      </c>
      <c r="R44" s="55">
        <f>P44/Table!$C$4</f>
        <v>7.23</v>
      </c>
      <c r="S44" t="s">
        <v>1492</v>
      </c>
    </row>
    <row r="45" spans="2:19" x14ac:dyDescent="0.25">
      <c r="C45" s="55">
        <v>11</v>
      </c>
      <c r="D45" s="26" t="s">
        <v>324</v>
      </c>
      <c r="E45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55">
        <f>E45/Table!$D$4</f>
        <v>0</v>
      </c>
      <c r="H45" s="55">
        <f>F45/Table!$C$4</f>
        <v>0</v>
      </c>
      <c r="I45" t="s">
        <v>234</v>
      </c>
      <c r="J45" s="71"/>
      <c r="M45" s="55">
        <v>11</v>
      </c>
      <c r="N45" s="26" t="s">
        <v>324</v>
      </c>
      <c r="O45" s="55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5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1421.924</v>
      </c>
      <c r="Q45" s="55">
        <f>O45/Table!$D$4</f>
        <v>3.2</v>
      </c>
      <c r="R45" s="55">
        <f>P45/Table!$C$4</f>
        <v>10.937876923076923</v>
      </c>
    </row>
    <row r="46" spans="2:19" x14ac:dyDescent="0.25">
      <c r="C46" s="55">
        <v>12</v>
      </c>
      <c r="D46" s="26" t="s">
        <v>230</v>
      </c>
      <c r="E46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143</v>
      </c>
      <c r="G46" s="55">
        <f>E46/Table!$D$4</f>
        <v>12.077777777777778</v>
      </c>
      <c r="H46" s="55">
        <f>F46/Table!$C$4</f>
        <v>1.1000000000000001</v>
      </c>
      <c r="J46" s="71"/>
      <c r="M46" s="55">
        <v>12</v>
      </c>
      <c r="N46" s="26" t="s">
        <v>230</v>
      </c>
      <c r="O46" s="55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55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55">
        <f>O46/Table!$D$4</f>
        <v>0</v>
      </c>
      <c r="R46" s="55">
        <f>P46/Table!$C$4</f>
        <v>0</v>
      </c>
      <c r="S46" t="s">
        <v>234</v>
      </c>
    </row>
    <row r="47" spans="2:19" x14ac:dyDescent="0.25">
      <c r="C47" s="55">
        <v>13</v>
      </c>
      <c r="D47" s="26" t="s">
        <v>228</v>
      </c>
      <c r="E47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166</v>
      </c>
      <c r="G47" s="55">
        <f>E47/Table!$D$4</f>
        <v>9.0133333333333336</v>
      </c>
      <c r="H47" s="55">
        <f>F47/Table!$C$4</f>
        <v>1.2769230769230768</v>
      </c>
      <c r="J47" s="71"/>
      <c r="M47" s="55">
        <v>13</v>
      </c>
      <c r="N47" s="26" t="s">
        <v>228</v>
      </c>
      <c r="O47" s="55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55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55">
        <f>O47/Table!$D$4</f>
        <v>0</v>
      </c>
      <c r="R47" s="55">
        <f>P47/Table!$C$4</f>
        <v>0</v>
      </c>
      <c r="S47" t="s">
        <v>234</v>
      </c>
    </row>
    <row r="48" spans="2:19" x14ac:dyDescent="0.25">
      <c r="C48" s="55">
        <v>14</v>
      </c>
      <c r="D48" s="26" t="s">
        <v>229</v>
      </c>
      <c r="E48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5008</v>
      </c>
      <c r="F48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192</v>
      </c>
      <c r="G48" s="55">
        <f>E48/Table!$D$4</f>
        <v>11.128888888888889</v>
      </c>
      <c r="H48" s="55">
        <f>F48/Table!$C$4</f>
        <v>1.476923076923077</v>
      </c>
      <c r="J48" s="71"/>
      <c r="M48" s="55">
        <v>14</v>
      </c>
      <c r="N48" s="26" t="s">
        <v>229</v>
      </c>
      <c r="O48" s="55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5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55">
        <f>O48/Table!$D$4</f>
        <v>0</v>
      </c>
      <c r="R48" s="55">
        <f>P48/Table!$C$4</f>
        <v>0</v>
      </c>
      <c r="S48" t="s">
        <v>234</v>
      </c>
    </row>
    <row r="49" spans="2:18" x14ac:dyDescent="0.25">
      <c r="C49" s="28"/>
      <c r="D49" s="27"/>
      <c r="E49" s="28"/>
      <c r="F49" s="28"/>
      <c r="G49" s="28"/>
      <c r="H49" s="28"/>
      <c r="J49" s="71"/>
      <c r="M49" s="28"/>
      <c r="N49" s="27"/>
      <c r="O49" s="28"/>
      <c r="P49" s="28"/>
      <c r="Q49" s="28"/>
      <c r="R49" s="28"/>
    </row>
    <row r="50" spans="2:18" x14ac:dyDescent="0.25">
      <c r="B50" s="1" t="s">
        <v>951</v>
      </c>
      <c r="C50" s="28"/>
      <c r="D50" s="27"/>
      <c r="E50" s="28"/>
      <c r="F50" s="28"/>
      <c r="G50" s="28"/>
      <c r="H50" s="28"/>
      <c r="J50" s="71"/>
      <c r="L50" s="1" t="s">
        <v>951</v>
      </c>
      <c r="M50" s="28"/>
      <c r="N50" s="27"/>
      <c r="O50" s="28"/>
      <c r="P50" s="28"/>
      <c r="Q50" s="28"/>
      <c r="R50" s="28"/>
    </row>
    <row r="51" spans="2:18" x14ac:dyDescent="0.25">
      <c r="C51" s="28"/>
      <c r="D51" s="27"/>
      <c r="E51" s="28"/>
      <c r="F51" s="28"/>
      <c r="G51" s="28"/>
      <c r="H51" s="28"/>
      <c r="J51" s="71"/>
      <c r="M51" s="28"/>
      <c r="N51" s="27"/>
      <c r="O51" s="28"/>
      <c r="P51" s="28"/>
      <c r="Q51" s="28"/>
      <c r="R51" s="28"/>
    </row>
    <row r="52" spans="2:18" ht="30" x14ac:dyDescent="0.25">
      <c r="C52" s="50" t="s">
        <v>25</v>
      </c>
      <c r="D52" s="50" t="s">
        <v>31</v>
      </c>
      <c r="E52" s="8" t="s">
        <v>32</v>
      </c>
      <c r="F52" s="8" t="s">
        <v>33</v>
      </c>
      <c r="G52" s="8" t="s">
        <v>128</v>
      </c>
      <c r="H52" s="8" t="s">
        <v>129</v>
      </c>
      <c r="J52" s="71"/>
      <c r="M52" s="50" t="s">
        <v>25</v>
      </c>
      <c r="N52" s="50" t="s">
        <v>31</v>
      </c>
      <c r="O52" s="8" t="s">
        <v>32</v>
      </c>
      <c r="P52" s="8" t="s">
        <v>33</v>
      </c>
      <c r="Q52" s="8" t="s">
        <v>128</v>
      </c>
      <c r="R52" s="8" t="s">
        <v>129</v>
      </c>
    </row>
    <row r="53" spans="2:18" x14ac:dyDescent="0.25">
      <c r="C53" s="55">
        <v>1</v>
      </c>
      <c r="D53" s="26" t="s">
        <v>110</v>
      </c>
      <c r="E53" s="55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5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55">
        <f>E53/Table!$D$4</f>
        <v>2.9466666666666668</v>
      </c>
      <c r="H53" s="55">
        <f>F53/Table!$C$4</f>
        <v>0</v>
      </c>
      <c r="J53" s="71"/>
      <c r="M53" s="55">
        <v>1</v>
      </c>
      <c r="N53" s="26" t="s">
        <v>110</v>
      </c>
      <c r="O53" s="55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5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55">
        <f>O53/Table!$D$4</f>
        <v>0</v>
      </c>
      <c r="R53" s="55">
        <f>P53/Table!$C$4</f>
        <v>0</v>
      </c>
    </row>
    <row r="54" spans="2:18" x14ac:dyDescent="0.25">
      <c r="C54" s="55">
        <v>2</v>
      </c>
      <c r="D54" s="26" t="s">
        <v>111</v>
      </c>
      <c r="E54" s="55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5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55">
        <f>E54/Table!$D$4</f>
        <v>0</v>
      </c>
      <c r="H54" s="55">
        <f>F54/Table!$C$4</f>
        <v>0</v>
      </c>
      <c r="I54" t="s">
        <v>234</v>
      </c>
      <c r="J54" s="71"/>
      <c r="M54" s="55">
        <v>2</v>
      </c>
      <c r="N54" s="26" t="s">
        <v>111</v>
      </c>
      <c r="O54" s="55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5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55">
        <f>O54/Table!$D$4</f>
        <v>0</v>
      </c>
      <c r="R54" s="55">
        <f>P54/Table!$C$4</f>
        <v>0</v>
      </c>
    </row>
    <row r="55" spans="2:18" x14ac:dyDescent="0.25">
      <c r="C55" s="55">
        <v>3</v>
      </c>
      <c r="D55" s="26" t="s">
        <v>112</v>
      </c>
      <c r="E55" s="55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5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55">
        <f>E55/Table!$D$4</f>
        <v>0</v>
      </c>
      <c r="H55" s="55">
        <f>F55/Table!$C$4</f>
        <v>0</v>
      </c>
      <c r="I55" t="s">
        <v>234</v>
      </c>
      <c r="J55" s="71"/>
      <c r="M55" s="55">
        <v>3</v>
      </c>
      <c r="N55" s="26" t="s">
        <v>112</v>
      </c>
      <c r="O55" s="55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5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55">
        <f>O55/Table!$D$4</f>
        <v>0</v>
      </c>
      <c r="R55" s="55">
        <f>P55/Table!$C$4</f>
        <v>0</v>
      </c>
    </row>
    <row r="56" spans="2:18" x14ac:dyDescent="0.25">
      <c r="C56" s="55">
        <v>4</v>
      </c>
      <c r="D56" s="26" t="s">
        <v>113</v>
      </c>
      <c r="E56" s="55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5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55">
        <f>E56/Table!$D$4</f>
        <v>0</v>
      </c>
      <c r="H56" s="55">
        <f>F56/Table!$C$4</f>
        <v>0</v>
      </c>
      <c r="I56" t="s">
        <v>234</v>
      </c>
      <c r="J56" s="71"/>
      <c r="M56" s="55">
        <v>4</v>
      </c>
      <c r="N56" s="26" t="s">
        <v>113</v>
      </c>
      <c r="O56" s="55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5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55">
        <f>O56/Table!$D$4</f>
        <v>0</v>
      </c>
      <c r="R56" s="55">
        <f>P56/Table!$C$4</f>
        <v>0</v>
      </c>
    </row>
    <row r="57" spans="2:18" x14ac:dyDescent="0.25">
      <c r="C57" s="55">
        <v>5</v>
      </c>
      <c r="D57" s="26" t="s">
        <v>159</v>
      </c>
      <c r="E57" s="55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5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55">
        <f>E57/Table!$D$4</f>
        <v>2.8866666666666667</v>
      </c>
      <c r="H57" s="55">
        <f>F57/Table!$C$4</f>
        <v>0</v>
      </c>
      <c r="J57" s="71"/>
      <c r="M57" s="55">
        <v>5</v>
      </c>
      <c r="N57" s="26" t="s">
        <v>159</v>
      </c>
      <c r="O57" s="55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5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55">
        <f>O57/Table!$D$4</f>
        <v>0</v>
      </c>
      <c r="R57" s="55">
        <f>P57/Table!$C$4</f>
        <v>0</v>
      </c>
    </row>
    <row r="58" spans="2:18" x14ac:dyDescent="0.25">
      <c r="C58" s="55">
        <v>6</v>
      </c>
      <c r="D58" s="26" t="s">
        <v>160</v>
      </c>
      <c r="E58" s="55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5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55">
        <f>E58/Table!$D$4</f>
        <v>3.76</v>
      </c>
      <c r="H58" s="55">
        <f>F58/Table!$C$4</f>
        <v>0.76923076923076927</v>
      </c>
      <c r="J58" s="71"/>
      <c r="M58" s="55">
        <v>6</v>
      </c>
      <c r="N58" s="26" t="s">
        <v>160</v>
      </c>
      <c r="O58" s="55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5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55">
        <f>O58/Table!$D$4</f>
        <v>0</v>
      </c>
      <c r="R58" s="55">
        <f>P58/Table!$C$4</f>
        <v>0</v>
      </c>
    </row>
    <row r="59" spans="2:18" x14ac:dyDescent="0.25">
      <c r="C59" s="55">
        <v>7</v>
      </c>
      <c r="D59" s="26" t="s">
        <v>161</v>
      </c>
      <c r="E59" s="55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5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55">
        <f>E59/Table!$D$4</f>
        <v>3.7422222222222223</v>
      </c>
      <c r="H59" s="55">
        <f>F59/Table!$C$4</f>
        <v>2.8615384615384616</v>
      </c>
      <c r="J59" s="71"/>
      <c r="M59" s="55">
        <v>7</v>
      </c>
      <c r="N59" s="26" t="s">
        <v>161</v>
      </c>
      <c r="O59" s="55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5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55">
        <f>O59/Table!$D$4</f>
        <v>0</v>
      </c>
      <c r="R59" s="55">
        <f>P59/Table!$C$4</f>
        <v>0</v>
      </c>
    </row>
    <row r="60" spans="2:18" x14ac:dyDescent="0.25">
      <c r="C60" s="55">
        <v>8</v>
      </c>
      <c r="D60" s="26" t="s">
        <v>162</v>
      </c>
      <c r="E60" s="55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55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55">
        <f>E60/Table!$D$4</f>
        <v>6.0111111111111111</v>
      </c>
      <c r="H60" s="55">
        <f>F60/Table!$C$4</f>
        <v>1.023076923076923</v>
      </c>
      <c r="J60" s="71"/>
      <c r="M60" s="55">
        <v>8</v>
      </c>
      <c r="N60" s="26" t="s">
        <v>162</v>
      </c>
      <c r="O60" s="55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55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55">
        <f>O60/Table!$D$4</f>
        <v>0</v>
      </c>
      <c r="R60" s="55">
        <f>P60/Table!$C$4</f>
        <v>0</v>
      </c>
    </row>
    <row r="61" spans="2:18" x14ac:dyDescent="0.25">
      <c r="C61" s="55">
        <v>9</v>
      </c>
      <c r="D61" s="26" t="s">
        <v>151</v>
      </c>
      <c r="E61" s="55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55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55">
        <f>E61/Table!$D$4</f>
        <v>0</v>
      </c>
      <c r="H61" s="55">
        <f>F61/Table!$C$4</f>
        <v>0</v>
      </c>
      <c r="I61" t="s">
        <v>234</v>
      </c>
      <c r="J61" s="71"/>
      <c r="M61" s="55">
        <v>9</v>
      </c>
      <c r="N61" s="26" t="s">
        <v>151</v>
      </c>
      <c r="O61" s="55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55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55">
        <f>O61/Table!$D$4</f>
        <v>0</v>
      </c>
      <c r="R61" s="55">
        <f>P61/Table!$C$4</f>
        <v>0</v>
      </c>
    </row>
    <row r="62" spans="2:18" x14ac:dyDescent="0.25">
      <c r="C62" s="55">
        <v>10</v>
      </c>
      <c r="D62" s="26" t="s">
        <v>150</v>
      </c>
      <c r="E62" s="55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55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55">
        <f>E62/Table!$D$4</f>
        <v>5.0666666666666664</v>
      </c>
      <c r="H62" s="55">
        <f>F62/Table!$C$4</f>
        <v>0</v>
      </c>
      <c r="J62" s="71"/>
      <c r="M62" s="55">
        <v>10</v>
      </c>
      <c r="N62" s="26" t="s">
        <v>150</v>
      </c>
      <c r="O62" s="55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55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55">
        <f>O62/Table!$D$4</f>
        <v>0</v>
      </c>
      <c r="R62" s="55">
        <f>P62/Table!$C$4</f>
        <v>0</v>
      </c>
    </row>
    <row r="63" spans="2:18" x14ac:dyDescent="0.25">
      <c r="C63" s="55">
        <v>11</v>
      </c>
      <c r="D63" s="26" t="s">
        <v>324</v>
      </c>
      <c r="E63" s="55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55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55">
        <f>E63/Table!$D$4</f>
        <v>0</v>
      </c>
      <c r="H63" s="55">
        <f>F63/Table!$C$4</f>
        <v>0</v>
      </c>
      <c r="I63" t="s">
        <v>234</v>
      </c>
      <c r="J63" s="71"/>
      <c r="M63" s="55">
        <v>11</v>
      </c>
      <c r="N63" s="26" t="s">
        <v>324</v>
      </c>
      <c r="O63" s="55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55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55">
        <f>O63/Table!$D$4</f>
        <v>0</v>
      </c>
      <c r="R63" s="55">
        <f>P63/Table!$C$4</f>
        <v>0</v>
      </c>
    </row>
    <row r="64" spans="2:18" x14ac:dyDescent="0.25">
      <c r="C64" s="55">
        <v>12</v>
      </c>
      <c r="D64" s="26" t="s">
        <v>230</v>
      </c>
      <c r="E64" s="55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55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55">
        <f>E64/Table!$D$4</f>
        <v>8.5822222222222226</v>
      </c>
      <c r="H64" s="55">
        <f>F64/Table!$C$4</f>
        <v>0</v>
      </c>
      <c r="J64" s="71"/>
      <c r="M64" s="55">
        <v>12</v>
      </c>
      <c r="N64" s="26" t="s">
        <v>230</v>
      </c>
      <c r="O64" s="55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55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55">
        <f>O64/Table!$D$4</f>
        <v>0</v>
      </c>
      <c r="R64" s="55">
        <f>P64/Table!$C$4</f>
        <v>0</v>
      </c>
    </row>
    <row r="65" spans="2:18" x14ac:dyDescent="0.25">
      <c r="C65" s="55">
        <v>13</v>
      </c>
      <c r="D65" s="26" t="s">
        <v>228</v>
      </c>
      <c r="E65" s="55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55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55">
        <f>E65/Table!$D$4</f>
        <v>8.068888888888889</v>
      </c>
      <c r="H65" s="55">
        <f>F65/Table!$C$4</f>
        <v>0</v>
      </c>
      <c r="J65" s="71"/>
      <c r="M65" s="55">
        <v>13</v>
      </c>
      <c r="N65" s="26" t="s">
        <v>228</v>
      </c>
      <c r="O65" s="55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55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55">
        <f>O65/Table!$D$4</f>
        <v>0</v>
      </c>
      <c r="R65" s="55">
        <f>P65/Table!$C$4</f>
        <v>0</v>
      </c>
    </row>
    <row r="66" spans="2:18" x14ac:dyDescent="0.25">
      <c r="C66" s="55">
        <v>14</v>
      </c>
      <c r="D66" s="26" t="s">
        <v>229</v>
      </c>
      <c r="E66" s="55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55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55">
        <f>E66/Table!$D$4</f>
        <v>6.4288888888888893</v>
      </c>
      <c r="H66" s="55">
        <f>F66/Table!$C$4</f>
        <v>0</v>
      </c>
      <c r="J66" s="71"/>
      <c r="M66" s="55">
        <v>14</v>
      </c>
      <c r="N66" s="26" t="s">
        <v>229</v>
      </c>
      <c r="O66" s="55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55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55">
        <f>O66/Table!$D$4</f>
        <v>0</v>
      </c>
      <c r="R66" s="55">
        <f>P66/Table!$C$4</f>
        <v>0</v>
      </c>
    </row>
    <row r="67" spans="2:18" x14ac:dyDescent="0.25">
      <c r="C67" s="28"/>
      <c r="D67" s="27"/>
      <c r="E67" s="28"/>
      <c r="F67" s="28"/>
      <c r="G67" s="28"/>
      <c r="H67" s="28"/>
      <c r="J67" s="71"/>
      <c r="M67" s="28"/>
      <c r="N67" s="27"/>
      <c r="O67" s="28"/>
      <c r="P67" s="28"/>
      <c r="Q67" s="28"/>
      <c r="R67" s="28"/>
    </row>
    <row r="68" spans="2:18" x14ac:dyDescent="0.25">
      <c r="C68" s="28"/>
      <c r="D68" s="27"/>
      <c r="E68" s="28"/>
      <c r="F68" s="28"/>
      <c r="G68" s="28"/>
      <c r="H68" s="28"/>
      <c r="J68" s="71"/>
      <c r="M68" s="28"/>
      <c r="N68" s="27"/>
      <c r="O68" s="28"/>
      <c r="P68" s="28"/>
      <c r="Q68" s="28"/>
      <c r="R68" s="28"/>
    </row>
    <row r="69" spans="2:18" x14ac:dyDescent="0.25">
      <c r="B69" s="1" t="s">
        <v>34</v>
      </c>
      <c r="J69" s="71"/>
      <c r="L69" s="1" t="s">
        <v>34</v>
      </c>
    </row>
    <row r="70" spans="2:18" x14ac:dyDescent="0.25">
      <c r="C70" s="50" t="s">
        <v>25</v>
      </c>
      <c r="D70" s="45" t="s">
        <v>35</v>
      </c>
      <c r="E70" s="46"/>
      <c r="F70" s="47"/>
      <c r="J70" s="71"/>
      <c r="M70" s="50" t="s">
        <v>25</v>
      </c>
      <c r="N70" s="45" t="s">
        <v>35</v>
      </c>
      <c r="O70" s="46"/>
      <c r="P70" s="47"/>
    </row>
    <row r="71" spans="2:18" x14ac:dyDescent="0.25">
      <c r="C71" s="55">
        <v>1</v>
      </c>
      <c r="D71" s="34" t="s">
        <v>58</v>
      </c>
      <c r="E71" s="35"/>
      <c r="F71" s="36"/>
      <c r="J71" s="71"/>
      <c r="M71" s="55">
        <v>1</v>
      </c>
      <c r="N71" s="34" t="s">
        <v>58</v>
      </c>
      <c r="O71" s="35"/>
      <c r="P71" s="36"/>
    </row>
    <row r="72" spans="2:18" x14ac:dyDescent="0.25">
      <c r="C72" s="55">
        <v>2</v>
      </c>
      <c r="D72" s="34" t="s">
        <v>58</v>
      </c>
      <c r="E72" s="35"/>
      <c r="F72" s="36"/>
      <c r="J72" s="71"/>
      <c r="M72" s="55">
        <v>2</v>
      </c>
      <c r="N72" s="34" t="s">
        <v>58</v>
      </c>
      <c r="O72" s="35"/>
      <c r="P72" s="36"/>
    </row>
    <row r="73" spans="2:18" x14ac:dyDescent="0.25">
      <c r="C73" s="55">
        <v>3</v>
      </c>
      <c r="D73" s="34" t="s">
        <v>58</v>
      </c>
      <c r="E73" s="35"/>
      <c r="F73" s="36"/>
      <c r="J73" s="71"/>
      <c r="M73" s="55">
        <v>3</v>
      </c>
      <c r="N73" s="34" t="s">
        <v>58</v>
      </c>
      <c r="O73" s="35"/>
      <c r="P73" s="36"/>
    </row>
    <row r="74" spans="2:18" x14ac:dyDescent="0.25">
      <c r="C74" s="55">
        <v>4</v>
      </c>
      <c r="D74" s="34" t="s">
        <v>58</v>
      </c>
      <c r="E74" s="35"/>
      <c r="F74" s="36"/>
      <c r="J74" s="71"/>
      <c r="M74" s="55">
        <v>4</v>
      </c>
      <c r="N74" s="34" t="s">
        <v>58</v>
      </c>
      <c r="O74" s="35"/>
      <c r="P74" s="36"/>
    </row>
    <row r="75" spans="2:18" x14ac:dyDescent="0.25">
      <c r="J75" s="71"/>
    </row>
    <row r="76" spans="2:18" x14ac:dyDescent="0.25">
      <c r="B76" s="1" t="s">
        <v>169</v>
      </c>
      <c r="J76" s="71"/>
      <c r="L76" s="1" t="s">
        <v>169</v>
      </c>
    </row>
    <row r="77" spans="2:18" x14ac:dyDescent="0.25">
      <c r="C77" s="42" t="s">
        <v>25</v>
      </c>
      <c r="D77" s="42" t="s">
        <v>31</v>
      </c>
      <c r="E77" s="8" t="s">
        <v>126</v>
      </c>
      <c r="F77" s="8" t="s">
        <v>127</v>
      </c>
      <c r="J77" s="71"/>
      <c r="M77" s="50" t="s">
        <v>25</v>
      </c>
      <c r="N77" s="50" t="s">
        <v>31</v>
      </c>
      <c r="O77" s="8" t="s">
        <v>126</v>
      </c>
      <c r="P77" s="8" t="s">
        <v>127</v>
      </c>
    </row>
    <row r="78" spans="2:18" x14ac:dyDescent="0.25">
      <c r="C78" s="55">
        <v>1</v>
      </c>
      <c r="D78" s="26" t="s">
        <v>110</v>
      </c>
      <c r="E78" s="43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51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1"/>
      <c r="M78" s="55">
        <v>1</v>
      </c>
      <c r="N78" s="26" t="s">
        <v>110</v>
      </c>
      <c r="O78" s="5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55">
        <v>2</v>
      </c>
      <c r="D79" s="26" t="s">
        <v>111</v>
      </c>
      <c r="E79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1"/>
      <c r="M79" s="55">
        <v>2</v>
      </c>
      <c r="N79" s="26" t="s">
        <v>111</v>
      </c>
      <c r="O79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55">
        <v>3</v>
      </c>
      <c r="D80" s="26" t="s">
        <v>112</v>
      </c>
      <c r="E80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1"/>
      <c r="M80" s="55">
        <v>3</v>
      </c>
      <c r="N80" s="26" t="s">
        <v>112</v>
      </c>
      <c r="O80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0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55">
        <v>4</v>
      </c>
      <c r="D81" s="26" t="s">
        <v>113</v>
      </c>
      <c r="E81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1"/>
      <c r="M81" s="55">
        <v>4</v>
      </c>
      <c r="N81" s="26" t="s">
        <v>113</v>
      </c>
      <c r="O81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55">
        <v>5</v>
      </c>
      <c r="D82" s="26" t="s">
        <v>159</v>
      </c>
      <c r="E82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1"/>
      <c r="M82" s="55">
        <v>5</v>
      </c>
      <c r="N82" s="26" t="s">
        <v>159</v>
      </c>
      <c r="O82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55">
        <v>6</v>
      </c>
      <c r="D83" s="26" t="s">
        <v>160</v>
      </c>
      <c r="E83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1"/>
      <c r="M83" s="55">
        <v>6</v>
      </c>
      <c r="N83" s="26" t="s">
        <v>160</v>
      </c>
      <c r="O83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55">
        <v>7</v>
      </c>
      <c r="D84" s="26" t="s">
        <v>161</v>
      </c>
      <c r="E84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1"/>
      <c r="M84" s="55">
        <v>7</v>
      </c>
      <c r="N84" s="26" t="s">
        <v>161</v>
      </c>
      <c r="O84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55">
        <v>8</v>
      </c>
      <c r="D85" s="26" t="s">
        <v>162</v>
      </c>
      <c r="E85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7</v>
      </c>
      <c r="F85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1"/>
      <c r="M85" s="55">
        <v>8</v>
      </c>
      <c r="N85" s="26" t="s">
        <v>162</v>
      </c>
      <c r="O85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55">
        <v>9</v>
      </c>
      <c r="D86" s="26" t="s">
        <v>151</v>
      </c>
      <c r="E86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1"/>
      <c r="M86" s="55">
        <v>9</v>
      </c>
      <c r="N86" s="26" t="s">
        <v>151</v>
      </c>
      <c r="O86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55">
        <v>10</v>
      </c>
      <c r="D87" s="26" t="s">
        <v>150</v>
      </c>
      <c r="E87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1"/>
      <c r="M87" s="55">
        <v>10</v>
      </c>
      <c r="N87" s="26" t="s">
        <v>150</v>
      </c>
      <c r="O87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55">
        <v>11</v>
      </c>
      <c r="D88" s="26" t="s">
        <v>324</v>
      </c>
      <c r="E88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1"/>
      <c r="M88" s="55">
        <v>11</v>
      </c>
      <c r="N88" s="26" t="s">
        <v>324</v>
      </c>
      <c r="O88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55">
        <v>12</v>
      </c>
      <c r="D89" s="26" t="s">
        <v>230</v>
      </c>
      <c r="E89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1"/>
      <c r="M89" s="55">
        <v>12</v>
      </c>
      <c r="N89" s="26" t="s">
        <v>230</v>
      </c>
      <c r="O89" s="54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55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55">
        <v>13</v>
      </c>
      <c r="D90" s="26" t="s">
        <v>228</v>
      </c>
      <c r="E90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3</v>
      </c>
      <c r="F90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1"/>
      <c r="M90" s="55">
        <v>13</v>
      </c>
      <c r="N90" s="26" t="s">
        <v>228</v>
      </c>
      <c r="O90" s="54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55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55">
        <v>14</v>
      </c>
      <c r="D91" s="26" t="s">
        <v>229</v>
      </c>
      <c r="E91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1"/>
      <c r="M91" s="55">
        <v>14</v>
      </c>
      <c r="N91" s="26" t="s">
        <v>229</v>
      </c>
      <c r="O91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55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28"/>
      <c r="D92" s="27"/>
      <c r="E92" s="56"/>
      <c r="F92" s="28"/>
      <c r="J92" s="71"/>
      <c r="M92" s="28"/>
      <c r="N92" s="27"/>
      <c r="O92" s="56"/>
      <c r="P92" s="28"/>
    </row>
    <row r="93" spans="2:16" x14ac:dyDescent="0.25">
      <c r="B93" s="1" t="s">
        <v>170</v>
      </c>
      <c r="J93" s="71"/>
      <c r="L93" s="1" t="s">
        <v>170</v>
      </c>
    </row>
    <row r="94" spans="2:16" x14ac:dyDescent="0.25">
      <c r="C94" s="42" t="s">
        <v>25</v>
      </c>
      <c r="D94" s="42" t="s">
        <v>31</v>
      </c>
      <c r="E94" s="8" t="s">
        <v>36</v>
      </c>
      <c r="F94" s="8" t="s">
        <v>37</v>
      </c>
      <c r="J94" s="71"/>
      <c r="M94" s="50" t="s">
        <v>25</v>
      </c>
      <c r="N94" s="50" t="s">
        <v>31</v>
      </c>
      <c r="O94" s="8" t="s">
        <v>36</v>
      </c>
      <c r="P94" s="8" t="s">
        <v>37</v>
      </c>
    </row>
    <row r="95" spans="2:16" x14ac:dyDescent="0.25">
      <c r="C95" s="55">
        <v>1</v>
      </c>
      <c r="D95" s="26" t="s">
        <v>110</v>
      </c>
      <c r="E95" s="43" t="s">
        <v>58</v>
      </c>
      <c r="F95" s="99" t="s">
        <v>58</v>
      </c>
      <c r="J95" s="71"/>
      <c r="M95" s="55">
        <v>1</v>
      </c>
      <c r="N95" s="26" t="s">
        <v>110</v>
      </c>
      <c r="O95" s="54" t="s">
        <v>58</v>
      </c>
      <c r="P95" s="54" t="s">
        <v>58</v>
      </c>
    </row>
    <row r="96" spans="2:16" x14ac:dyDescent="0.25">
      <c r="C96" s="55">
        <v>2</v>
      </c>
      <c r="D96" s="26" t="s">
        <v>111</v>
      </c>
      <c r="E96" s="43" t="s">
        <v>58</v>
      </c>
      <c r="F96" s="99" t="s">
        <v>58</v>
      </c>
      <c r="J96" s="71"/>
      <c r="M96" s="55">
        <v>2</v>
      </c>
      <c r="N96" s="26" t="s">
        <v>111</v>
      </c>
      <c r="O96" s="54" t="s">
        <v>58</v>
      </c>
      <c r="P96" s="54" t="s">
        <v>58</v>
      </c>
    </row>
    <row r="97" spans="2:16" x14ac:dyDescent="0.25">
      <c r="C97" s="55">
        <v>3</v>
      </c>
      <c r="D97" s="26" t="s">
        <v>112</v>
      </c>
      <c r="E97" s="43" t="s">
        <v>58</v>
      </c>
      <c r="F97" s="99" t="s">
        <v>58</v>
      </c>
      <c r="J97" s="71"/>
      <c r="M97" s="55">
        <v>3</v>
      </c>
      <c r="N97" s="26" t="s">
        <v>112</v>
      </c>
      <c r="O97" s="54" t="s">
        <v>58</v>
      </c>
      <c r="P97" s="54" t="s">
        <v>58</v>
      </c>
    </row>
    <row r="98" spans="2:16" x14ac:dyDescent="0.25">
      <c r="C98" s="55">
        <v>4</v>
      </c>
      <c r="D98" s="26" t="s">
        <v>113</v>
      </c>
      <c r="E98" s="43" t="s">
        <v>58</v>
      </c>
      <c r="F98" s="99" t="s">
        <v>58</v>
      </c>
      <c r="J98" s="71"/>
      <c r="M98" s="55">
        <v>4</v>
      </c>
      <c r="N98" s="26" t="s">
        <v>113</v>
      </c>
      <c r="O98" s="54" t="s">
        <v>58</v>
      </c>
      <c r="P98" s="54" t="s">
        <v>58</v>
      </c>
    </row>
    <row r="99" spans="2:16" x14ac:dyDescent="0.25">
      <c r="C99" s="55">
        <v>5</v>
      </c>
      <c r="D99" s="26" t="s">
        <v>159</v>
      </c>
      <c r="E99" s="54" t="s">
        <v>58</v>
      </c>
      <c r="F99" s="99" t="s">
        <v>58</v>
      </c>
      <c r="J99" s="71"/>
      <c r="M99" s="55">
        <v>5</v>
      </c>
      <c r="N99" s="26" t="s">
        <v>159</v>
      </c>
      <c r="O99" s="54" t="s">
        <v>58</v>
      </c>
      <c r="P99" s="54" t="s">
        <v>58</v>
      </c>
    </row>
    <row r="100" spans="2:16" x14ac:dyDescent="0.25">
      <c r="C100" s="55">
        <v>6</v>
      </c>
      <c r="D100" s="26" t="s">
        <v>160</v>
      </c>
      <c r="E100" s="54" t="s">
        <v>58</v>
      </c>
      <c r="F100" s="99" t="s">
        <v>58</v>
      </c>
      <c r="J100" s="71"/>
      <c r="M100" s="55">
        <v>6</v>
      </c>
      <c r="N100" s="26" t="s">
        <v>160</v>
      </c>
      <c r="O100" s="54" t="s">
        <v>58</v>
      </c>
      <c r="P100" s="54" t="s">
        <v>58</v>
      </c>
    </row>
    <row r="101" spans="2:16" x14ac:dyDescent="0.25">
      <c r="C101" s="55">
        <v>7</v>
      </c>
      <c r="D101" s="26" t="s">
        <v>161</v>
      </c>
      <c r="E101" s="54" t="s">
        <v>58</v>
      </c>
      <c r="F101" s="99" t="s">
        <v>58</v>
      </c>
      <c r="J101" s="71"/>
      <c r="M101" s="55">
        <v>7</v>
      </c>
      <c r="N101" s="26" t="s">
        <v>161</v>
      </c>
      <c r="O101" s="54" t="s">
        <v>58</v>
      </c>
      <c r="P101" s="54" t="s">
        <v>58</v>
      </c>
    </row>
    <row r="102" spans="2:16" x14ac:dyDescent="0.25">
      <c r="C102" s="55">
        <v>8</v>
      </c>
      <c r="D102" s="26" t="s">
        <v>162</v>
      </c>
      <c r="E102" s="54" t="s">
        <v>58</v>
      </c>
      <c r="F102" s="99" t="s">
        <v>58</v>
      </c>
      <c r="J102" s="71"/>
      <c r="M102" s="55">
        <v>8</v>
      </c>
      <c r="N102" s="26" t="s">
        <v>162</v>
      </c>
      <c r="O102" s="54" t="s">
        <v>58</v>
      </c>
      <c r="P102" s="54" t="s">
        <v>58</v>
      </c>
    </row>
    <row r="103" spans="2:16" x14ac:dyDescent="0.25">
      <c r="C103" s="55">
        <v>9</v>
      </c>
      <c r="D103" s="26" t="s">
        <v>151</v>
      </c>
      <c r="E103" s="54" t="s">
        <v>58</v>
      </c>
      <c r="F103" s="99" t="s">
        <v>58</v>
      </c>
      <c r="J103" s="71"/>
      <c r="M103" s="55">
        <v>9</v>
      </c>
      <c r="N103" s="26" t="s">
        <v>151</v>
      </c>
      <c r="O103" s="54" t="s">
        <v>58</v>
      </c>
      <c r="P103" s="54" t="s">
        <v>58</v>
      </c>
    </row>
    <row r="104" spans="2:16" x14ac:dyDescent="0.25">
      <c r="C104" s="55">
        <v>10</v>
      </c>
      <c r="D104" s="26" t="s">
        <v>150</v>
      </c>
      <c r="E104" s="54" t="s">
        <v>58</v>
      </c>
      <c r="F104" s="99" t="s">
        <v>58</v>
      </c>
      <c r="J104" s="71"/>
      <c r="M104" s="55">
        <v>10</v>
      </c>
      <c r="N104" s="26" t="s">
        <v>150</v>
      </c>
      <c r="O104" s="54" t="s">
        <v>58</v>
      </c>
      <c r="P104" s="54" t="s">
        <v>58</v>
      </c>
    </row>
    <row r="105" spans="2:16" x14ac:dyDescent="0.25">
      <c r="C105" s="55">
        <v>11</v>
      </c>
      <c r="D105" s="26" t="s">
        <v>324</v>
      </c>
      <c r="E105" s="54" t="s">
        <v>58</v>
      </c>
      <c r="F105" s="99" t="s">
        <v>58</v>
      </c>
      <c r="J105" s="71"/>
      <c r="M105" s="55">
        <v>11</v>
      </c>
      <c r="N105" s="26" t="s">
        <v>324</v>
      </c>
      <c r="O105" s="54" t="s">
        <v>58</v>
      </c>
      <c r="P105" s="54" t="s">
        <v>58</v>
      </c>
    </row>
    <row r="106" spans="2:16" x14ac:dyDescent="0.25">
      <c r="C106" s="55">
        <v>12</v>
      </c>
      <c r="D106" s="26" t="s">
        <v>230</v>
      </c>
      <c r="E106" s="54" t="s">
        <v>58</v>
      </c>
      <c r="F106" s="99" t="s">
        <v>58</v>
      </c>
      <c r="J106" s="71"/>
      <c r="M106" s="55">
        <v>12</v>
      </c>
      <c r="N106" s="26" t="s">
        <v>230</v>
      </c>
      <c r="O106" s="54" t="s">
        <v>58</v>
      </c>
      <c r="P106" s="54" t="s">
        <v>58</v>
      </c>
    </row>
    <row r="107" spans="2:16" x14ac:dyDescent="0.25">
      <c r="C107" s="55">
        <v>13</v>
      </c>
      <c r="D107" s="26" t="s">
        <v>228</v>
      </c>
      <c r="E107" s="54" t="s">
        <v>58</v>
      </c>
      <c r="F107" s="99" t="s">
        <v>58</v>
      </c>
      <c r="J107" s="71"/>
      <c r="M107" s="55">
        <v>13</v>
      </c>
      <c r="N107" s="26" t="s">
        <v>228</v>
      </c>
      <c r="O107" s="54" t="s">
        <v>58</v>
      </c>
      <c r="P107" s="54" t="s">
        <v>58</v>
      </c>
    </row>
    <row r="108" spans="2:16" x14ac:dyDescent="0.25">
      <c r="C108" s="55">
        <v>14</v>
      </c>
      <c r="D108" s="26" t="s">
        <v>229</v>
      </c>
      <c r="E108" s="54" t="s">
        <v>58</v>
      </c>
      <c r="F108" s="99" t="s">
        <v>58</v>
      </c>
      <c r="J108" s="71"/>
      <c r="M108" s="55">
        <v>14</v>
      </c>
      <c r="N108" s="26" t="s">
        <v>229</v>
      </c>
      <c r="O108" s="54" t="s">
        <v>58</v>
      </c>
      <c r="P108" s="54" t="s">
        <v>58</v>
      </c>
    </row>
    <row r="109" spans="2:16" x14ac:dyDescent="0.25">
      <c r="C109" s="28"/>
      <c r="D109" s="27"/>
      <c r="E109" s="56"/>
      <c r="F109" s="56"/>
      <c r="J109" s="71"/>
      <c r="M109" s="28"/>
      <c r="N109" s="27"/>
      <c r="O109" s="56"/>
      <c r="P109" s="56"/>
    </row>
    <row r="110" spans="2:16" x14ac:dyDescent="0.25">
      <c r="C110" s="28"/>
      <c r="D110" s="27"/>
      <c r="E110" s="56"/>
      <c r="F110" s="56"/>
      <c r="J110" s="71"/>
      <c r="M110" s="28"/>
      <c r="N110" s="27"/>
      <c r="O110" s="56"/>
      <c r="P110" s="56"/>
    </row>
    <row r="111" spans="2:16" x14ac:dyDescent="0.25">
      <c r="B111" s="1" t="s">
        <v>39</v>
      </c>
      <c r="J111" s="71"/>
      <c r="L111" s="1" t="s">
        <v>39</v>
      </c>
    </row>
    <row r="112" spans="2:16" x14ac:dyDescent="0.25">
      <c r="C112" s="1" t="s">
        <v>41</v>
      </c>
      <c r="J112" s="71"/>
      <c r="M112" s="1" t="s">
        <v>41</v>
      </c>
    </row>
    <row r="113" spans="2:14" x14ac:dyDescent="0.25">
      <c r="D113" t="s">
        <v>40</v>
      </c>
      <c r="J113" s="71"/>
      <c r="N113" t="s">
        <v>40</v>
      </c>
    </row>
    <row r="114" spans="2:14" x14ac:dyDescent="0.25">
      <c r="D114" t="s">
        <v>93</v>
      </c>
      <c r="J114" s="71"/>
      <c r="N114" t="s">
        <v>93</v>
      </c>
    </row>
    <row r="115" spans="2:14" x14ac:dyDescent="0.25">
      <c r="C115" s="1" t="s">
        <v>156</v>
      </c>
      <c r="J115" s="71"/>
      <c r="M115" s="1" t="s">
        <v>156</v>
      </c>
    </row>
    <row r="116" spans="2:14" x14ac:dyDescent="0.25">
      <c r="D116" t="s">
        <v>157</v>
      </c>
      <c r="J116" s="71"/>
      <c r="N116" t="s">
        <v>157</v>
      </c>
    </row>
    <row r="117" spans="2:14" x14ac:dyDescent="0.25">
      <c r="D117" t="s">
        <v>158</v>
      </c>
      <c r="J117" s="71"/>
      <c r="N117" t="s">
        <v>158</v>
      </c>
    </row>
    <row r="118" spans="2:14" x14ac:dyDescent="0.25">
      <c r="J118" s="71"/>
    </row>
    <row r="119" spans="2:14" x14ac:dyDescent="0.25">
      <c r="J119" s="71"/>
    </row>
    <row r="120" spans="2:14" x14ac:dyDescent="0.25">
      <c r="B120" t="s">
        <v>163</v>
      </c>
      <c r="C120" t="s">
        <v>155</v>
      </c>
      <c r="J120" s="71"/>
      <c r="K120" t="s">
        <v>154</v>
      </c>
    </row>
    <row r="121" spans="2:14" x14ac:dyDescent="0.25">
      <c r="D121" s="26" t="s">
        <v>110</v>
      </c>
      <c r="J121" s="71"/>
      <c r="L121" s="113" t="s">
        <v>111</v>
      </c>
    </row>
    <row r="122" spans="2:14" x14ac:dyDescent="0.25">
      <c r="D122" s="26" t="s">
        <v>159</v>
      </c>
      <c r="J122" s="71"/>
      <c r="L122" s="26" t="s">
        <v>112</v>
      </c>
    </row>
    <row r="123" spans="2:14" x14ac:dyDescent="0.25">
      <c r="D123" s="26" t="s">
        <v>160</v>
      </c>
      <c r="J123" s="71"/>
      <c r="L123" s="26" t="s">
        <v>113</v>
      </c>
      <c r="M123" s="32"/>
    </row>
    <row r="124" spans="2:14" x14ac:dyDescent="0.25">
      <c r="D124" s="26" t="s">
        <v>161</v>
      </c>
      <c r="J124" s="71"/>
      <c r="L124" s="26" t="s">
        <v>151</v>
      </c>
    </row>
    <row r="125" spans="2:14" x14ac:dyDescent="0.25">
      <c r="D125" s="26" t="s">
        <v>162</v>
      </c>
      <c r="J125" s="71"/>
      <c r="L125" s="26" t="s">
        <v>324</v>
      </c>
    </row>
    <row r="126" spans="2:14" x14ac:dyDescent="0.25">
      <c r="D126" s="26" t="s">
        <v>150</v>
      </c>
      <c r="J126" s="71"/>
      <c r="L126" s="175" t="s">
        <v>159</v>
      </c>
    </row>
    <row r="127" spans="2:14" x14ac:dyDescent="0.25">
      <c r="D127" s="26" t="s">
        <v>230</v>
      </c>
      <c r="J127" s="71"/>
      <c r="L127" s="175" t="s">
        <v>150</v>
      </c>
    </row>
    <row r="128" spans="2:14" x14ac:dyDescent="0.25">
      <c r="D128" s="26" t="s">
        <v>228</v>
      </c>
      <c r="J128" s="71"/>
    </row>
    <row r="129" spans="4:10" x14ac:dyDescent="0.25">
      <c r="D129" s="26" t="s">
        <v>229</v>
      </c>
      <c r="J129" s="71"/>
    </row>
    <row r="130" spans="4:10" x14ac:dyDescent="0.25">
      <c r="D130" s="27"/>
      <c r="J130" s="71"/>
    </row>
    <row r="131" spans="4:10" x14ac:dyDescent="0.25">
      <c r="D131" s="27"/>
      <c r="E131" s="135" t="s">
        <v>155</v>
      </c>
      <c r="G131" s="134" t="s">
        <v>154</v>
      </c>
    </row>
    <row r="132" spans="4:10" x14ac:dyDescent="0.25">
      <c r="D132" t="s">
        <v>110</v>
      </c>
      <c r="E132" s="132">
        <v>44003</v>
      </c>
      <c r="F132" t="s">
        <v>325</v>
      </c>
      <c r="G132" t="s">
        <v>144</v>
      </c>
    </row>
    <row r="133" spans="4:10" x14ac:dyDescent="0.25">
      <c r="D133" t="s">
        <v>111</v>
      </c>
      <c r="E133" t="s">
        <v>144</v>
      </c>
      <c r="G133" s="132">
        <v>44003</v>
      </c>
      <c r="H133" t="s">
        <v>325</v>
      </c>
    </row>
    <row r="134" spans="4:10" x14ac:dyDescent="0.25">
      <c r="D134" t="s">
        <v>112</v>
      </c>
      <c r="E134" t="s">
        <v>144</v>
      </c>
      <c r="G134" s="132">
        <v>44003</v>
      </c>
      <c r="H134" t="s">
        <v>325</v>
      </c>
    </row>
    <row r="135" spans="4:10" x14ac:dyDescent="0.25">
      <c r="D135" t="s">
        <v>113</v>
      </c>
      <c r="E135" t="s">
        <v>144</v>
      </c>
      <c r="G135" s="132">
        <v>44003</v>
      </c>
      <c r="H135" t="s">
        <v>325</v>
      </c>
    </row>
    <row r="136" spans="4:10" x14ac:dyDescent="0.25">
      <c r="D136" t="s">
        <v>159</v>
      </c>
      <c r="E136" s="132">
        <v>44003</v>
      </c>
      <c r="F136" s="132">
        <v>44010</v>
      </c>
      <c r="G136" s="132">
        <v>44011</v>
      </c>
      <c r="H136" t="s">
        <v>325</v>
      </c>
    </row>
    <row r="137" spans="4:10" x14ac:dyDescent="0.25">
      <c r="D137" t="s">
        <v>160</v>
      </c>
      <c r="E137" s="132">
        <v>44003</v>
      </c>
      <c r="F137" t="s">
        <v>325</v>
      </c>
      <c r="G137" t="s">
        <v>144</v>
      </c>
    </row>
    <row r="138" spans="4:10" x14ac:dyDescent="0.25">
      <c r="D138" t="s">
        <v>161</v>
      </c>
      <c r="E138" s="132">
        <v>44003</v>
      </c>
      <c r="F138" t="s">
        <v>325</v>
      </c>
      <c r="G138" t="s">
        <v>144</v>
      </c>
    </row>
    <row r="139" spans="4:10" x14ac:dyDescent="0.25">
      <c r="D139" t="s">
        <v>162</v>
      </c>
      <c r="E139" s="132">
        <v>44003</v>
      </c>
      <c r="F139" t="s">
        <v>325</v>
      </c>
      <c r="G139" t="s">
        <v>144</v>
      </c>
    </row>
    <row r="140" spans="4:10" x14ac:dyDescent="0.25">
      <c r="D140" t="s">
        <v>151</v>
      </c>
      <c r="E140" t="s">
        <v>144</v>
      </c>
      <c r="G140" s="132">
        <v>44003</v>
      </c>
      <c r="H140" t="s">
        <v>325</v>
      </c>
    </row>
    <row r="141" spans="4:10" x14ac:dyDescent="0.25">
      <c r="D141" t="s">
        <v>150</v>
      </c>
      <c r="E141" s="132">
        <v>44003</v>
      </c>
      <c r="F141" s="132">
        <v>44010</v>
      </c>
      <c r="G141" s="132">
        <v>44011</v>
      </c>
      <c r="H141" t="s">
        <v>325</v>
      </c>
    </row>
    <row r="142" spans="4:10" x14ac:dyDescent="0.25">
      <c r="D142" t="s">
        <v>324</v>
      </c>
      <c r="E142" t="s">
        <v>144</v>
      </c>
      <c r="G142" s="132">
        <v>44003</v>
      </c>
      <c r="H142" t="s">
        <v>325</v>
      </c>
    </row>
    <row r="143" spans="4:10" x14ac:dyDescent="0.25">
      <c r="D143" t="s">
        <v>230</v>
      </c>
      <c r="E143" s="132">
        <v>44003</v>
      </c>
      <c r="F143" t="s">
        <v>325</v>
      </c>
      <c r="G143" t="s">
        <v>144</v>
      </c>
    </row>
    <row r="144" spans="4:10" x14ac:dyDescent="0.25">
      <c r="D144" t="s">
        <v>228</v>
      </c>
      <c r="E144" s="132">
        <v>44003</v>
      </c>
      <c r="F144" t="s">
        <v>325</v>
      </c>
      <c r="G144" t="s">
        <v>144</v>
      </c>
    </row>
    <row r="145" spans="4:7" x14ac:dyDescent="0.25">
      <c r="D145" t="s">
        <v>229</v>
      </c>
      <c r="E145" s="132">
        <v>44003</v>
      </c>
      <c r="F145" t="s">
        <v>325</v>
      </c>
      <c r="G145" t="s">
        <v>144</v>
      </c>
    </row>
  </sheetData>
  <customSheetViews>
    <customSheetView guid="{99BC1C51-34DC-4BF2-906C-1E31B6171D71}" scale="85">
      <selection activeCell="N94" sqref="N94:N99"/>
      <pageMargins left="0.7" right="0.7" top="0.75" bottom="0.75" header="0.3" footer="0.3"/>
      <pageSetup orientation="portrait" horizontalDpi="300" verticalDpi="0" r:id="rId1"/>
    </customSheetView>
    <customSheetView guid="{7ECC2B8E-6A82-42F5-8AB0-4A51C54EA5EC}" scale="85">
      <selection activeCell="P24" sqref="P24"/>
      <pageMargins left="0.7" right="0.7" top="0.75" bottom="0.75" header="0.3" footer="0.3"/>
      <pageSetup orientation="portrait" horizontalDpi="300" verticalDpi="0" r:id="rId2"/>
    </customSheetView>
    <customSheetView guid="{A2C66332-A809-458E-971B-FDB6D62C74C3}" scale="85">
      <selection activeCell="A69" sqref="A69:XFD69"/>
      <pageMargins left="0.7" right="0.7" top="0.75" bottom="0.75" header="0.3" footer="0.3"/>
      <pageSetup orientation="portrait" horizontalDpi="300" verticalDpi="0" r:id="rId3"/>
    </customSheetView>
    <customSheetView guid="{60D2C030-4E31-4E07-8E1C-44D2EE84B177}" scale="85">
      <selection activeCell="Q25" sqref="Q25"/>
      <pageMargins left="0.7" right="0.7" top="0.75" bottom="0.75" header="0.3" footer="0.3"/>
      <pageSetup orientation="portrait" horizontalDpi="300" verticalDpi="0" r:id="rId4"/>
    </customSheetView>
    <customSheetView guid="{3B3E6719-EACB-4D2C-89C1-05FFAB6020FD}" scale="85" topLeftCell="A73">
      <selection activeCell="A96" sqref="A96:XFD96"/>
      <pageMargins left="0.7" right="0.7" top="0.75" bottom="0.75" header="0.3" footer="0.3"/>
      <pageSetup orientation="portrait" horizontalDpi="300" verticalDpi="0" r:id="rId5"/>
    </customSheetView>
    <customSheetView guid="{FECB4C41-27E8-4A22-AFB3-4F54CDD4960E}" scale="85" topLeftCell="A34">
      <selection activeCell="K9" sqref="K9"/>
      <pageMargins left="0.7" right="0.7" top="0.75" bottom="0.75" header="0.3" footer="0.3"/>
      <pageSetup orientation="portrait" horizontalDpi="300" verticalDpi="0" r:id="rId6"/>
    </customSheetView>
    <customSheetView guid="{D33AC7AF-C8AB-4CE9-94C7-9237011A5FC3}" scale="85">
      <selection activeCell="A96" sqref="A96:XFD96"/>
      <pageMargins left="0.7" right="0.7" top="0.75" bottom="0.75" header="0.3" footer="0.3"/>
      <pageSetup orientation="portrait" horizontalDpi="300" verticalDpi="0" r:id="rId7"/>
    </customSheetView>
    <customSheetView guid="{C94451EF-7A3E-4D72-B5A4-3D1B193192CC}" scale="85" topLeftCell="A16">
      <selection activeCell="A9" sqref="A9:XFD9"/>
      <pageMargins left="0.7" right="0.7" top="0.75" bottom="0.75" header="0.3" footer="0.3"/>
      <pageSetup orientation="portrait" horizontalDpi="300" verticalDpi="0" r:id="rId8"/>
    </customSheetView>
    <customSheetView guid="{89C03E1E-B6A8-49A1-B29C-5DC4FAB2FBC6}" scale="85" topLeftCell="A61">
      <selection activeCell="A16" sqref="A16:XFD16"/>
      <pageMargins left="0.7" right="0.7" top="0.75" bottom="0.75" header="0.3" footer="0.3"/>
      <pageSetup orientation="portrait" horizontalDpi="300" verticalDpi="0" r:id="rId9"/>
    </customSheetView>
    <customSheetView guid="{336B6883-2145-4B58-921E-CEC7185A847E}" scale="85">
      <selection activeCell="A96" sqref="A96:XFD96"/>
      <pageMargins left="0.7" right="0.7" top="0.75" bottom="0.75" header="0.3" footer="0.3"/>
      <pageSetup orientation="portrait" horizontalDpi="300" verticalDpi="0" r:id="rId10"/>
    </customSheetView>
    <customSheetView guid="{4E06BDBF-2CED-473B-850B-2A6C7311FF41}" scale="85" topLeftCell="A40">
      <selection activeCell="A96" sqref="A96:XFD96"/>
      <pageMargins left="0.7" right="0.7" top="0.75" bottom="0.75" header="0.3" footer="0.3"/>
      <pageSetup orientation="portrait" horizontalDpi="300" r:id="rId11"/>
    </customSheetView>
    <customSheetView guid="{A2E8CE38-D15E-4374-89B2-69D9421C4465}" scale="85" showPageBreaks="1">
      <selection activeCell="A69" sqref="A69:XFD69"/>
      <pageMargins left="0.7" right="0.7" top="0.75" bottom="0.75" header="0.3" footer="0.3"/>
      <pageSetup orientation="portrait" horizontalDpi="300" r:id="rId12"/>
    </customSheetView>
    <customSheetView guid="{F96FC7D9-4F89-4FE0-8D00-C0083DEB0472}" scale="85">
      <selection activeCell="G8" sqref="G8"/>
      <pageMargins left="0.7" right="0.7" top="0.75" bottom="0.75" header="0.3" footer="0.3"/>
      <pageSetup orientation="portrait" horizontalDpi="300" verticalDpi="0" r:id="rId13"/>
    </customSheetView>
    <customSheetView guid="{970EE037-F5E5-47AF-896A-0F6222879EBC}" scale="85">
      <selection activeCell="H22" sqref="H22"/>
      <pageMargins left="0.7" right="0.7" top="0.75" bottom="0.75" header="0.3" footer="0.3"/>
      <pageSetup orientation="portrait" horizontalDpi="300" r:id="rId14"/>
    </customSheetView>
    <customSheetView guid="{7E0EA425-A420-4443-B9E0-CDF0AA9E5D09}" scale="85">
      <selection activeCell="K18" sqref="K18"/>
      <pageMargins left="0.7" right="0.7" top="0.75" bottom="0.75" header="0.3" footer="0.3"/>
      <pageSetup orientation="portrait" horizontalDpi="300" verticalDpi="0" r:id="rId15"/>
    </customSheetView>
  </customSheetViews>
  <conditionalFormatting sqref="H30:H31 H5:H17">
    <cfRule type="cellIs" dxfId="15" priority="29" operator="equal">
      <formula>1</formula>
    </cfRule>
    <cfRule type="cellIs" dxfId="14" priority="30" operator="lessThan">
      <formula>1</formula>
    </cfRule>
  </conditionalFormatting>
  <conditionalFormatting sqref="R30:R31">
    <cfRule type="cellIs" dxfId="13" priority="19" operator="equal">
      <formula>1</formula>
    </cfRule>
    <cfRule type="cellIs" dxfId="12" priority="20" operator="lessThan">
      <formula>1</formula>
    </cfRule>
  </conditionalFormatting>
  <conditionalFormatting sqref="H18">
    <cfRule type="cellIs" dxfId="11" priority="7" operator="equal">
      <formula>1</formula>
    </cfRule>
    <cfRule type="cellIs" dxfId="10" priority="8" operator="lessThan">
      <formula>1</formula>
    </cfRule>
  </conditionalFormatting>
  <conditionalFormatting sqref="H4">
    <cfRule type="cellIs" dxfId="9" priority="11" operator="equal">
      <formula>1</formula>
    </cfRule>
    <cfRule type="cellIs" dxfId="8" priority="12" operator="lessThan">
      <formula>1</formula>
    </cfRule>
  </conditionalFormatting>
  <pageMargins left="0.7" right="0.7" top="0.75" bottom="0.75" header="0.3" footer="0.3"/>
  <pageSetup orientation="portrait" horizontalDpi="300" verticalDpi="0" r:id="rId1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7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8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G5:G18</xm:sqref>
        </x14:conditionalFormatting>
        <x14:conditionalFormatting xmlns:xm="http://schemas.microsoft.com/office/excel/2006/main">
          <x14:cfRule type="cellIs" priority="15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6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3" operator="greaterThanOrEqual" id="{C011E296-8F90-48A5-B5F6-BAE4553040C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" operator="lessThan" id="{7A60D980-883F-4C6F-9D29-FAE543DA4C10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R5:R18</xm:sqref>
        </x14:conditionalFormatting>
        <x14:conditionalFormatting xmlns:xm="http://schemas.microsoft.com/office/excel/2006/main">
          <x14:cfRule type="cellIs" priority="1" operator="greaterThanOrEqual" id="{87905D9E-2FE8-481D-8C6A-7E4A5FAB2647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" operator="lessThan" id="{2A79EE14-C664-42E0-868A-6B5BC4BBF422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R4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5"/>
  <sheetViews>
    <sheetView topLeftCell="A25" workbookViewId="0">
      <selection activeCell="C52" sqref="C52:C55"/>
    </sheetView>
  </sheetViews>
  <sheetFormatPr defaultRowHeight="15" x14ac:dyDescent="0.25"/>
  <cols>
    <col min="2" max="2" width="11.7109375" bestFit="1" customWidth="1"/>
    <col min="3" max="3" width="24.85546875" bestFit="1" customWidth="1"/>
    <col min="4" max="4" width="20.140625" customWidth="1"/>
    <col min="5" max="5" width="33.85546875" customWidth="1"/>
  </cols>
  <sheetData>
    <row r="2" spans="2:5" x14ac:dyDescent="0.25">
      <c r="B2" s="9" t="s">
        <v>11</v>
      </c>
    </row>
    <row r="3" spans="2:5" x14ac:dyDescent="0.25">
      <c r="B3" s="2" t="s">
        <v>4</v>
      </c>
      <c r="C3" s="10" t="s">
        <v>2</v>
      </c>
      <c r="D3" s="10" t="s">
        <v>3</v>
      </c>
    </row>
    <row r="4" spans="2:5" x14ac:dyDescent="0.25">
      <c r="B4" s="10">
        <v>1</v>
      </c>
      <c r="C4" s="11">
        <v>130</v>
      </c>
      <c r="D4" s="11">
        <v>450</v>
      </c>
    </row>
    <row r="6" spans="2:5" x14ac:dyDescent="0.25">
      <c r="B6" s="1" t="s">
        <v>42</v>
      </c>
    </row>
    <row r="7" spans="2:5" x14ac:dyDescent="0.25">
      <c r="B7" s="2" t="s">
        <v>0</v>
      </c>
      <c r="C7" s="2" t="s">
        <v>1</v>
      </c>
      <c r="D7" s="2" t="s">
        <v>47</v>
      </c>
      <c r="E7" s="4" t="s">
        <v>44</v>
      </c>
    </row>
    <row r="8" spans="2:5" ht="60" x14ac:dyDescent="0.25">
      <c r="B8" s="12">
        <v>1</v>
      </c>
      <c r="C8" s="12" t="s">
        <v>2</v>
      </c>
      <c r="D8" s="12" t="s">
        <v>45</v>
      </c>
      <c r="E8" s="13" t="s">
        <v>9</v>
      </c>
    </row>
    <row r="9" spans="2:5" ht="75" x14ac:dyDescent="0.25">
      <c r="B9" s="12">
        <v>2</v>
      </c>
      <c r="C9" s="12" t="s">
        <v>3</v>
      </c>
      <c r="D9" s="12" t="s">
        <v>46</v>
      </c>
      <c r="E9" s="13" t="s">
        <v>10</v>
      </c>
    </row>
    <row r="11" spans="2:5" x14ac:dyDescent="0.25">
      <c r="B11" s="1" t="s">
        <v>43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61</v>
      </c>
    </row>
    <row r="15" spans="2:5" x14ac:dyDescent="0.25">
      <c r="B15" s="3">
        <v>3</v>
      </c>
      <c r="C15" s="3" t="s">
        <v>62</v>
      </c>
    </row>
    <row r="16" spans="2:5" x14ac:dyDescent="0.25">
      <c r="B16" s="3">
        <v>4</v>
      </c>
      <c r="C16" s="3" t="s">
        <v>63</v>
      </c>
    </row>
    <row r="17" spans="2:5" x14ac:dyDescent="0.25">
      <c r="B17" s="3">
        <v>5</v>
      </c>
      <c r="C17" s="3" t="s">
        <v>925</v>
      </c>
    </row>
    <row r="18" spans="2:5" x14ac:dyDescent="0.25">
      <c r="B18" s="3">
        <v>6</v>
      </c>
      <c r="C18" s="3" t="s">
        <v>64</v>
      </c>
    </row>
    <row r="19" spans="2:5" x14ac:dyDescent="0.25">
      <c r="B19" s="3">
        <v>7</v>
      </c>
      <c r="C19" s="3" t="s">
        <v>65</v>
      </c>
    </row>
    <row r="20" spans="2:5" x14ac:dyDescent="0.25">
      <c r="B20" s="3">
        <v>8</v>
      </c>
      <c r="C20" s="3" t="s">
        <v>66</v>
      </c>
    </row>
    <row r="21" spans="2:5" x14ac:dyDescent="0.25">
      <c r="B21" s="3">
        <v>9</v>
      </c>
      <c r="C21" s="3" t="s">
        <v>136</v>
      </c>
    </row>
    <row r="22" spans="2:5" x14ac:dyDescent="0.25">
      <c r="B22" s="3">
        <v>10</v>
      </c>
      <c r="C22" s="3" t="s">
        <v>137</v>
      </c>
    </row>
    <row r="23" spans="2:5" x14ac:dyDescent="0.25">
      <c r="B23" s="3">
        <v>11</v>
      </c>
      <c r="C23" s="3" t="s">
        <v>327</v>
      </c>
    </row>
    <row r="24" spans="2:5" x14ac:dyDescent="0.25">
      <c r="B24" s="3">
        <v>12</v>
      </c>
      <c r="C24" s="3" t="s">
        <v>231</v>
      </c>
    </row>
    <row r="25" spans="2:5" x14ac:dyDescent="0.25">
      <c r="B25" s="3">
        <v>13</v>
      </c>
      <c r="C25" s="3" t="s">
        <v>232</v>
      </c>
    </row>
    <row r="26" spans="2:5" x14ac:dyDescent="0.25">
      <c r="B26" s="3">
        <v>14</v>
      </c>
      <c r="C26" s="3" t="s">
        <v>233</v>
      </c>
    </row>
    <row r="27" spans="2:5" x14ac:dyDescent="0.25">
      <c r="B27" s="3">
        <v>15</v>
      </c>
      <c r="C27" s="3"/>
    </row>
    <row r="29" spans="2:5" x14ac:dyDescent="0.25">
      <c r="B29" s="9" t="s">
        <v>19</v>
      </c>
    </row>
    <row r="30" spans="2:5" x14ac:dyDescent="0.25">
      <c r="B30" s="2" t="s">
        <v>0</v>
      </c>
      <c r="C30" s="2" t="s">
        <v>17</v>
      </c>
    </row>
    <row r="31" spans="2:5" x14ac:dyDescent="0.25">
      <c r="B31" s="2">
        <v>1</v>
      </c>
      <c r="C31" s="3" t="s">
        <v>20</v>
      </c>
      <c r="E31" s="22"/>
    </row>
    <row r="32" spans="2:5" x14ac:dyDescent="0.25">
      <c r="B32" s="2">
        <v>2</v>
      </c>
      <c r="C32" s="3" t="s">
        <v>23</v>
      </c>
    </row>
    <row r="33" spans="2:3" x14ac:dyDescent="0.25">
      <c r="B33" s="2">
        <v>3</v>
      </c>
      <c r="C33" s="3" t="s">
        <v>18</v>
      </c>
    </row>
    <row r="34" spans="2:3" x14ac:dyDescent="0.25">
      <c r="B34" s="2">
        <v>4</v>
      </c>
      <c r="C34" s="3" t="s">
        <v>69</v>
      </c>
    </row>
    <row r="35" spans="2:3" x14ac:dyDescent="0.25">
      <c r="B35" s="2">
        <v>5</v>
      </c>
      <c r="C35" s="3" t="s">
        <v>21</v>
      </c>
    </row>
    <row r="36" spans="2:3" x14ac:dyDescent="0.25">
      <c r="B36" s="2">
        <v>6</v>
      </c>
      <c r="C36" s="3" t="s">
        <v>89</v>
      </c>
    </row>
    <row r="37" spans="2:3" x14ac:dyDescent="0.25">
      <c r="B37" s="2">
        <v>7</v>
      </c>
      <c r="C37" s="3" t="s">
        <v>70</v>
      </c>
    </row>
    <row r="39" spans="2:3" x14ac:dyDescent="0.25">
      <c r="B39" s="9" t="s">
        <v>142</v>
      </c>
    </row>
    <row r="40" spans="2:3" x14ac:dyDescent="0.25">
      <c r="B40" s="2" t="s">
        <v>0</v>
      </c>
      <c r="C40" s="2" t="s">
        <v>17</v>
      </c>
    </row>
    <row r="41" spans="2:3" x14ac:dyDescent="0.25">
      <c r="B41" s="2">
        <v>1</v>
      </c>
      <c r="C41" s="3" t="s">
        <v>134</v>
      </c>
    </row>
    <row r="42" spans="2:3" x14ac:dyDescent="0.25">
      <c r="B42" s="2">
        <v>2</v>
      </c>
      <c r="C42" s="3" t="s">
        <v>143</v>
      </c>
    </row>
    <row r="43" spans="2:3" x14ac:dyDescent="0.25">
      <c r="B43" s="2">
        <v>3</v>
      </c>
      <c r="C43" s="3" t="s">
        <v>144</v>
      </c>
    </row>
    <row r="45" spans="2:3" x14ac:dyDescent="0.25">
      <c r="B45" s="1" t="s">
        <v>73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164</v>
      </c>
    </row>
    <row r="48" spans="2:3" x14ac:dyDescent="0.25">
      <c r="B48" s="2">
        <v>2</v>
      </c>
      <c r="C48" s="3" t="s">
        <v>165</v>
      </c>
    </row>
    <row r="50" spans="2:4" x14ac:dyDescent="0.25">
      <c r="B50" s="1" t="s">
        <v>139</v>
      </c>
    </row>
    <row r="51" spans="2:4" x14ac:dyDescent="0.25">
      <c r="B51" s="2" t="s">
        <v>0</v>
      </c>
      <c r="C51" s="2" t="s">
        <v>17</v>
      </c>
    </row>
    <row r="52" spans="2:4" x14ac:dyDescent="0.25">
      <c r="B52" s="2">
        <v>1</v>
      </c>
      <c r="C52" s="3" t="s">
        <v>1067</v>
      </c>
      <c r="D52" t="s">
        <v>1063</v>
      </c>
    </row>
    <row r="53" spans="2:4" x14ac:dyDescent="0.25">
      <c r="B53" s="2">
        <v>2</v>
      </c>
      <c r="C53" s="3" t="s">
        <v>1068</v>
      </c>
      <c r="D53" t="s">
        <v>1064</v>
      </c>
    </row>
    <row r="54" spans="2:4" x14ac:dyDescent="0.25">
      <c r="B54" s="2">
        <v>3</v>
      </c>
      <c r="C54" s="3" t="s">
        <v>1069</v>
      </c>
      <c r="D54" t="s">
        <v>1065</v>
      </c>
    </row>
    <row r="55" spans="2:4" x14ac:dyDescent="0.25">
      <c r="B55" s="2">
        <v>4</v>
      </c>
      <c r="C55" s="3" t="s">
        <v>1070</v>
      </c>
      <c r="D55" t="s">
        <v>1066</v>
      </c>
    </row>
  </sheetData>
  <customSheetViews>
    <customSheetView guid="{99BC1C51-34DC-4BF2-906C-1E31B6171D71}">
      <selection activeCell="E40" sqref="E40"/>
      <pageMargins left="0.7" right="0.7" top="0.75" bottom="0.75" header="0.3" footer="0.3"/>
    </customSheetView>
    <customSheetView guid="{7ECC2B8E-6A82-42F5-8AB0-4A51C54EA5EC}" topLeftCell="A4">
      <selection activeCell="J16" sqref="J16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60D2C030-4E31-4E07-8E1C-44D2EE84B177}">
      <selection activeCell="E40" sqref="E40"/>
      <pageMargins left="0.7" right="0.7" top="0.75" bottom="0.75" header="0.3" footer="0.3"/>
    </customSheetView>
    <customSheetView guid="{3B3E6719-EACB-4D2C-89C1-05FFAB6020FD}" topLeftCell="A64">
      <selection activeCell="N31" sqref="N31"/>
      <pageMargins left="0.7" right="0.7" top="0.75" bottom="0.75" header="0.3" footer="0.3"/>
    </customSheetView>
    <customSheetView guid="{FECB4C41-27E8-4A22-AFB3-4F54CDD4960E}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C94451EF-7A3E-4D72-B5A4-3D1B193192CC}" topLeftCell="A28">
      <selection activeCell="A27" sqref="A27:XFD27"/>
      <pageMargins left="0.7" right="0.7" top="0.75" bottom="0.75" header="0.3" footer="0.3"/>
    </customSheetView>
    <customSheetView guid="{89C03E1E-B6A8-49A1-B29C-5DC4FAB2FBC6}" topLeftCell="A61">
      <selection activeCell="D4" sqref="D4"/>
      <pageMargins left="0.7" right="0.7" top="0.75" bottom="0.75" header="0.3" footer="0.3"/>
      <pageSetup orientation="portrait" horizontalDpi="300" verticalDpi="0" r:id="rId2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4E06BDBF-2CED-473B-850B-2A6C7311FF41}">
      <selection activeCell="C13" sqref="C13:C22"/>
      <pageMargins left="0.7" right="0.7" top="0.75" bottom="0.75" header="0.3" footer="0.3"/>
      <pageSetup orientation="portrait" horizontalDpi="300" verticalDpi="0" r:id="rId3"/>
    </customSheetView>
    <customSheetView guid="{A2E8CE38-D15E-4374-89B2-69D9421C4465}" showPageBreaks="1">
      <selection activeCell="D4" sqref="D4"/>
      <pageMargins left="0.7" right="0.7" top="0.75" bottom="0.75" header="0.3" footer="0.3"/>
      <pageSetup orientation="portrait" horizontalDpi="300" r:id="rId4"/>
    </customSheetView>
    <customSheetView guid="{F96FC7D9-4F89-4FE0-8D00-C0083DEB0472}">
      <selection activeCell="D4" sqref="D4"/>
      <pageMargins left="0.7" right="0.7" top="0.75" bottom="0.75" header="0.3" footer="0.3"/>
      <pageSetup orientation="portrait" horizontalDpi="300" verticalDpi="0" r:id="rId5"/>
    </customSheetView>
    <customSheetView guid="{970EE037-F5E5-47AF-896A-0F6222879EBC}">
      <selection activeCell="C26" sqref="C26"/>
      <pageMargins left="0.7" right="0.7" top="0.75" bottom="0.75" header="0.3" footer="0.3"/>
      <pageSetup orientation="portrait" horizontalDpi="300" verticalDpi="0" r:id="rId6"/>
    </customSheetView>
    <customSheetView guid="{7E0EA425-A420-4443-B9E0-CDF0AA9E5D09}" topLeftCell="A25">
      <selection activeCell="C52" sqref="C52:C55"/>
      <pageMargins left="0.7" right="0.7" top="0.75" bottom="0.75" header="0.3" footer="0.3"/>
      <pageSetup orientation="portrait" horizontalDpi="300" verticalDpi="0" r:id="rId7"/>
    </customSheetView>
  </customSheetViews>
  <pageMargins left="0.7" right="0.7" top="0.75" bottom="0.75" header="0.3" footer="0.3"/>
  <pageSetup orientation="portrait" horizontalDpi="300" verticalDpi="0"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53"/>
  <sheetViews>
    <sheetView workbookViewId="0">
      <selection activeCell="A17" sqref="A17:XFD30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9" x14ac:dyDescent="0.25">
      <c r="A1" s="1" t="s">
        <v>80</v>
      </c>
    </row>
    <row r="2" spans="1:9" x14ac:dyDescent="0.25">
      <c r="B2" s="21" t="s">
        <v>82</v>
      </c>
      <c r="C2" t="s">
        <v>83</v>
      </c>
    </row>
    <row r="3" spans="1:9" x14ac:dyDescent="0.25">
      <c r="B3" s="21" t="s">
        <v>85</v>
      </c>
      <c r="C3" t="s">
        <v>84</v>
      </c>
    </row>
    <row r="4" spans="1:9" x14ac:dyDescent="0.25">
      <c r="B4" s="21"/>
    </row>
    <row r="5" spans="1:9" x14ac:dyDescent="0.25">
      <c r="B5" s="20" t="s">
        <v>78</v>
      </c>
    </row>
    <row r="6" spans="1:9" x14ac:dyDescent="0.25">
      <c r="B6" s="21" t="s">
        <v>86</v>
      </c>
      <c r="C6" t="s">
        <v>87</v>
      </c>
    </row>
    <row r="7" spans="1:9" x14ac:dyDescent="0.25">
      <c r="B7" s="21"/>
    </row>
    <row r="8" spans="1:9" x14ac:dyDescent="0.25">
      <c r="B8" s="20" t="s">
        <v>79</v>
      </c>
      <c r="C8" t="s">
        <v>81</v>
      </c>
    </row>
    <row r="11" spans="1:9" x14ac:dyDescent="0.25">
      <c r="B11" s="23" t="s">
        <v>53</v>
      </c>
      <c r="C11" s="245" t="s">
        <v>8</v>
      </c>
      <c r="D11" s="23" t="s">
        <v>94</v>
      </c>
      <c r="E11" s="23" t="s">
        <v>95</v>
      </c>
      <c r="F11" s="23" t="s">
        <v>96</v>
      </c>
    </row>
    <row r="12" spans="1:9" x14ac:dyDescent="0.25">
      <c r="B12" s="24" t="s">
        <v>1613</v>
      </c>
      <c r="C12" s="3" t="s">
        <v>99</v>
      </c>
      <c r="D12" s="3" t="s">
        <v>1252</v>
      </c>
      <c r="E12" s="185">
        <f>I35/8</f>
        <v>5.09</v>
      </c>
      <c r="F12" s="3" t="s">
        <v>98</v>
      </c>
      <c r="I12" t="s">
        <v>97</v>
      </c>
    </row>
    <row r="13" spans="1:9" x14ac:dyDescent="0.25">
      <c r="B13" s="25"/>
      <c r="C13" s="3" t="s">
        <v>100</v>
      </c>
      <c r="D13" s="3" t="s">
        <v>1253</v>
      </c>
      <c r="E13" s="185">
        <f>I36/8</f>
        <v>5.22</v>
      </c>
      <c r="F13" s="3" t="s">
        <v>98</v>
      </c>
      <c r="I13" t="s">
        <v>99</v>
      </c>
    </row>
    <row r="14" spans="1:9" x14ac:dyDescent="0.25">
      <c r="B14" s="186"/>
      <c r="C14" s="3" t="s">
        <v>176</v>
      </c>
      <c r="D14" s="3" t="s">
        <v>1254</v>
      </c>
      <c r="E14" s="185">
        <f>I42/8</f>
        <v>5.6899999999999995</v>
      </c>
      <c r="F14" s="3" t="s">
        <v>98</v>
      </c>
      <c r="I14" t="s">
        <v>100</v>
      </c>
    </row>
    <row r="15" spans="1:9" x14ac:dyDescent="0.25">
      <c r="B15" s="25"/>
      <c r="C15" s="3" t="s">
        <v>1418</v>
      </c>
      <c r="D15" s="3" t="s">
        <v>1255</v>
      </c>
      <c r="E15" s="185">
        <f>I43/8</f>
        <v>3.4600000000000004</v>
      </c>
      <c r="F15" s="3" t="s">
        <v>98</v>
      </c>
      <c r="I15" t="s">
        <v>101</v>
      </c>
    </row>
    <row r="16" spans="1:9" x14ac:dyDescent="0.25">
      <c r="B16" s="25"/>
      <c r="C16" s="3" t="s">
        <v>1071</v>
      </c>
      <c r="D16" s="3" t="s">
        <v>1256</v>
      </c>
      <c r="E16" s="185">
        <f>I44/8</f>
        <v>4.99</v>
      </c>
      <c r="F16" s="3" t="s">
        <v>98</v>
      </c>
      <c r="I16" t="s">
        <v>176</v>
      </c>
    </row>
    <row r="17" spans="1:9" x14ac:dyDescent="0.25">
      <c r="B17" s="25"/>
      <c r="C17" s="3" t="s">
        <v>101</v>
      </c>
      <c r="D17" s="3" t="s">
        <v>1257</v>
      </c>
      <c r="E17" s="185">
        <f>I37/8</f>
        <v>5.27</v>
      </c>
      <c r="F17" s="3" t="s">
        <v>98</v>
      </c>
      <c r="I17" t="s">
        <v>1071</v>
      </c>
    </row>
    <row r="18" spans="1:9" x14ac:dyDescent="0.25">
      <c r="B18" s="246"/>
      <c r="C18" s="3" t="s">
        <v>1417</v>
      </c>
      <c r="D18" s="3" t="s">
        <v>1622</v>
      </c>
      <c r="E18" s="185">
        <f>I38/8</f>
        <v>4.5500000000000007</v>
      </c>
      <c r="F18" s="3" t="s">
        <v>98</v>
      </c>
    </row>
    <row r="19" spans="1:9" x14ac:dyDescent="0.25">
      <c r="B19" s="158"/>
      <c r="C19" s="5"/>
      <c r="D19" s="5"/>
      <c r="E19" s="204"/>
      <c r="F19" s="5"/>
      <c r="I19" t="s">
        <v>1417</v>
      </c>
    </row>
    <row r="20" spans="1:9" x14ac:dyDescent="0.25">
      <c r="B20" s="205" t="s">
        <v>53</v>
      </c>
      <c r="C20" s="205" t="s">
        <v>8</v>
      </c>
      <c r="D20" s="205" t="s">
        <v>94</v>
      </c>
      <c r="E20" s="206" t="s">
        <v>95</v>
      </c>
      <c r="F20" s="205" t="s">
        <v>96</v>
      </c>
      <c r="I20" t="s">
        <v>1418</v>
      </c>
    </row>
    <row r="21" spans="1:9" x14ac:dyDescent="0.25">
      <c r="B21" s="24" t="s">
        <v>1251</v>
      </c>
      <c r="C21" s="3" t="s">
        <v>99</v>
      </c>
      <c r="D21" s="3" t="s">
        <v>1252</v>
      </c>
      <c r="E21" s="185">
        <f>H35/8</f>
        <v>4.08</v>
      </c>
      <c r="F21" s="3" t="s">
        <v>98</v>
      </c>
    </row>
    <row r="22" spans="1:9" x14ac:dyDescent="0.25">
      <c r="B22" s="25"/>
      <c r="C22" s="3" t="s">
        <v>1071</v>
      </c>
      <c r="D22" s="3" t="s">
        <v>1253</v>
      </c>
      <c r="E22" s="185">
        <f>H44/8</f>
        <v>0.7</v>
      </c>
      <c r="F22" s="3" t="s">
        <v>98</v>
      </c>
    </row>
    <row r="23" spans="1:9" x14ac:dyDescent="0.25">
      <c r="B23" s="158"/>
      <c r="C23" s="5"/>
      <c r="D23" s="5"/>
      <c r="E23" s="204"/>
      <c r="F23" s="5"/>
    </row>
    <row r="24" spans="1:9" x14ac:dyDescent="0.25">
      <c r="B24" s="158"/>
      <c r="C24" s="5"/>
      <c r="D24" s="5"/>
      <c r="E24" s="204"/>
      <c r="F24" s="5"/>
    </row>
    <row r="25" spans="1:9" x14ac:dyDescent="0.25">
      <c r="B25" s="158"/>
      <c r="C25" s="5"/>
      <c r="D25" s="5"/>
      <c r="E25" s="204"/>
      <c r="F25" s="5"/>
    </row>
    <row r="26" spans="1:9" x14ac:dyDescent="0.25">
      <c r="B26" s="158"/>
      <c r="C26" s="5"/>
      <c r="D26" s="5"/>
      <c r="E26" s="204"/>
      <c r="F26" s="5"/>
    </row>
    <row r="27" spans="1:9" x14ac:dyDescent="0.25">
      <c r="B27" s="158"/>
      <c r="C27" s="5"/>
      <c r="D27" s="5"/>
      <c r="E27" s="204"/>
      <c r="F27" s="5"/>
    </row>
    <row r="28" spans="1:9" x14ac:dyDescent="0.25">
      <c r="B28" s="158"/>
      <c r="C28" s="5"/>
      <c r="D28" s="5"/>
      <c r="E28" s="204"/>
      <c r="F28" s="5"/>
    </row>
    <row r="29" spans="1:9" x14ac:dyDescent="0.25">
      <c r="B29" s="158"/>
      <c r="C29" s="5"/>
      <c r="D29" s="5"/>
      <c r="E29" s="204"/>
      <c r="F29" s="5"/>
    </row>
    <row r="30" spans="1:9" x14ac:dyDescent="0.25">
      <c r="B30" s="158"/>
      <c r="C30" s="5"/>
      <c r="D30" s="5"/>
      <c r="E30" s="204"/>
      <c r="F30" s="5"/>
    </row>
    <row r="32" spans="1:9" x14ac:dyDescent="0.25">
      <c r="A32" s="1" t="s">
        <v>107</v>
      </c>
    </row>
    <row r="34" spans="8:13" x14ac:dyDescent="0.25">
      <c r="H34">
        <f>SUMIFS(Merged_JOEM!$Y$60:$Y$352, Merged_JOEM!$E$60:$E$352, $B$21,Merged_JOEM!$S$60:$S$352,Table!C13)</f>
        <v>0</v>
      </c>
      <c r="I34">
        <f>SUMIFS(Merged_JOEM!$Y$60:$Y$352, Merged_JOEM!$E$60:$E$352, Check_List!$B$12,Merged_JOEM!$S$60:$S$352,Table!C13)</f>
        <v>0</v>
      </c>
      <c r="K34" s="3" t="s">
        <v>6</v>
      </c>
    </row>
    <row r="35" spans="8:13" x14ac:dyDescent="0.25">
      <c r="H35">
        <f>SUMIFS(Merged_JOEM!$Y$60:$Y$352, Merged_JOEM!$E$60:$E$352, $B$21,Merged_JOEM!$S$60:$S$352,Table!C14)</f>
        <v>32.64</v>
      </c>
      <c r="I35">
        <f>SUMIFS(Merged_JOEM!$Y$60:$Y$352, Merged_JOEM!$E$60:$E$352, Check_List!$B$12,Merged_JOEM!$S$60:$S$352,Table!C14)</f>
        <v>40.72</v>
      </c>
      <c r="K35" s="3" t="s">
        <v>61</v>
      </c>
      <c r="M35" t="s">
        <v>99</v>
      </c>
    </row>
    <row r="36" spans="8:13" x14ac:dyDescent="0.25">
      <c r="H36">
        <f>SUMIFS(Merged_JOEM!$Y$60:$Y$352, Merged_JOEM!$E$60:$E$352, $B$21,Merged_JOEM!$S$60:$S$352,Table!C15)</f>
        <v>0</v>
      </c>
      <c r="I36">
        <f>SUMIFS(Merged_JOEM!$Y$60:$Y$352, Merged_JOEM!$E$60:$E$352, Check_List!$B$12,Merged_JOEM!$S$60:$S$352,Table!C15)</f>
        <v>41.76</v>
      </c>
      <c r="K36" s="3" t="s">
        <v>62</v>
      </c>
      <c r="M36" t="s">
        <v>100</v>
      </c>
    </row>
    <row r="37" spans="8:13" x14ac:dyDescent="0.25">
      <c r="H37">
        <f>SUMIFS(Merged_JOEM!$Y$60:$Y$352, Merged_JOEM!$E$60:$E$352, $B$21,Merged_JOEM!$S$60:$S$352,Table!C16)</f>
        <v>0</v>
      </c>
      <c r="I37">
        <f>SUMIFS(Merged_JOEM!$Y$60:$Y$352, Merged_JOEM!$E$60:$E$352, Check_List!$B$12,Merged_JOEM!$S$60:$S$352,Table!C16)</f>
        <v>42.16</v>
      </c>
      <c r="K37" s="3" t="s">
        <v>63</v>
      </c>
      <c r="M37" t="s">
        <v>101</v>
      </c>
    </row>
    <row r="38" spans="8:13" x14ac:dyDescent="0.25">
      <c r="H38">
        <f>SUMIFS(Merged_JOEM!$Y$60:$Y$352, Merged_JOEM!$E$60:$E$352, $B$21,Merged_JOEM!$S$60:$S$352,Table!C17)</f>
        <v>0</v>
      </c>
      <c r="I38">
        <f>SUMIFS(Merged_JOEM!$Y$60:$Y$352, Merged_JOEM!$E$60:$E$352, Check_List!$B$12,Merged_JOEM!$S$60:$S$352,Table!C17)</f>
        <v>36.400000000000006</v>
      </c>
      <c r="K38" s="3" t="s">
        <v>925</v>
      </c>
    </row>
    <row r="39" spans="8:13" x14ac:dyDescent="0.25">
      <c r="H39">
        <f>SUMIFS(Merged_JOEM!$Y$60:$Y$352, Merged_JOEM!$E$60:$E$352, $B$21,Merged_JOEM!$S$60:$S$352,Table!C18)</f>
        <v>0</v>
      </c>
      <c r="I39">
        <f>SUMIFS(Merged_JOEM!$Y$60:$Y$352, Merged_JOEM!$E$60:$E$352, Check_List!$B$12,Merged_JOEM!$S$60:$S$352,Table!C18)</f>
        <v>0</v>
      </c>
      <c r="K39" s="3" t="s">
        <v>64</v>
      </c>
    </row>
    <row r="40" spans="8:13" x14ac:dyDescent="0.25">
      <c r="H40">
        <f>SUMIFS(Merged_JOEM!$Y$60:$Y$352, Merged_JOEM!$E$60:$E$352, $B$21,Merged_JOEM!$S$60:$S$352,Table!C19)</f>
        <v>0</v>
      </c>
      <c r="I40">
        <f>SUMIFS(Merged_JOEM!$Y$60:$Y$352, Merged_JOEM!$E$60:$E$352, Check_List!$B$12,Merged_JOEM!$S$60:$S$352,Table!C19)</f>
        <v>0</v>
      </c>
      <c r="K40" s="3" t="s">
        <v>65</v>
      </c>
    </row>
    <row r="41" spans="8:13" x14ac:dyDescent="0.25">
      <c r="H41">
        <f>SUMIFS(Merged_JOEM!$Y$60:$Y$352, Merged_JOEM!$E$60:$E$352, $B$21,Merged_JOEM!$S$60:$S$352,Table!C20)</f>
        <v>0</v>
      </c>
      <c r="I41">
        <f>SUMIFS(Merged_JOEM!$Y$60:$Y$352, Merged_JOEM!$E$60:$E$352, Check_List!$B$12,Merged_JOEM!$S$60:$S$352,Table!C20)</f>
        <v>0</v>
      </c>
      <c r="K41" s="3" t="s">
        <v>66</v>
      </c>
    </row>
    <row r="42" spans="8:13" x14ac:dyDescent="0.25">
      <c r="H42">
        <f>SUMIFS(Merged_JOEM!$Y$60:$Y$352, Merged_JOEM!$E$60:$E$352, $B$21,Merged_JOEM!$S$60:$S$352,Table!C21)</f>
        <v>0</v>
      </c>
      <c r="I42">
        <f>SUMIFS(Merged_JOEM!$Y$60:$Y$352, Merged_JOEM!$E$60:$E$352, Check_List!$B$12,Merged_JOEM!$S$60:$S$352,Table!C21)</f>
        <v>45.519999999999996</v>
      </c>
      <c r="K42" s="3" t="s">
        <v>136</v>
      </c>
      <c r="M42" t="s">
        <v>176</v>
      </c>
    </row>
    <row r="43" spans="8:13" x14ac:dyDescent="0.25">
      <c r="H43">
        <f>SUMIFS(Merged_JOEM!$Y$60:$Y$352, Merged_JOEM!$E$60:$E$352, $B$21,Merged_JOEM!$S$60:$S$352,Table!C22)</f>
        <v>0</v>
      </c>
      <c r="I43">
        <f>SUMIFS(Merged_JOEM!$Y$60:$Y$352, Merged_JOEM!$E$60:$E$352, Check_List!$B$12,Merged_JOEM!$S$60:$S$352,Table!C22)</f>
        <v>27.680000000000003</v>
      </c>
      <c r="K43" s="3" t="s">
        <v>137</v>
      </c>
    </row>
    <row r="44" spans="8:13" x14ac:dyDescent="0.25">
      <c r="H44">
        <f>SUMIFS(Merged_JOEM!$Y$60:$Y$352, Merged_JOEM!$E$60:$E$352, $B$21,Merged_JOEM!$S$60:$S$352,Table!C23)</f>
        <v>5.6</v>
      </c>
      <c r="I44">
        <f>SUMIFS(Merged_JOEM!$Y$60:$Y$352, Merged_JOEM!$E$60:$E$352, Check_List!$B$12,Merged_JOEM!$S$60:$S$352,Table!C23)</f>
        <v>39.92</v>
      </c>
      <c r="K44" s="3" t="s">
        <v>327</v>
      </c>
      <c r="M44" t="s">
        <v>1071</v>
      </c>
    </row>
    <row r="45" spans="8:13" x14ac:dyDescent="0.25">
      <c r="H45">
        <f>SUMIFS(Merged_JOEM!$Y$60:$Y$352, Merged_JOEM!$E$60:$E$352, $B$21,Merged_JOEM!$S$60:$S$352,Table!C24)</f>
        <v>0</v>
      </c>
      <c r="I45">
        <f>SUMIFS(Merged_JOEM!$Y$60:$Y$352, Merged_JOEM!$E$60:$E$352, Check_List!$B$12,Merged_JOEM!$S$60:$S$352,Table!C24)</f>
        <v>0</v>
      </c>
      <c r="K45" s="3" t="s">
        <v>231</v>
      </c>
    </row>
    <row r="46" spans="8:13" x14ac:dyDescent="0.25">
      <c r="H46">
        <f>SUMIFS(Merged_JOEM!$Y$60:$Y$352, Merged_JOEM!$E$60:$E$352, $B$21,Merged_JOEM!$S$60:$S$352,Table!C25)</f>
        <v>0</v>
      </c>
      <c r="I46">
        <f>SUMIFS(Merged_JOEM!$Y$60:$Y$352, Merged_JOEM!$E$60:$E$352, Check_List!$B$12,Merged_JOEM!$S$60:$S$352,Table!C25)</f>
        <v>0</v>
      </c>
      <c r="K46" s="3" t="s">
        <v>232</v>
      </c>
    </row>
    <row r="47" spans="8:13" x14ac:dyDescent="0.25">
      <c r="H47">
        <f>SUMIFS(Merged_JOEM!$Y$60:$Y$352, Merged_JOEM!$E$60:$E$352, $B$21,Merged_JOEM!$S$60:$S$352,Table!C26)</f>
        <v>0</v>
      </c>
      <c r="I47">
        <f>SUMIFS(Merged_JOEM!$Y$60:$Y$352, Merged_JOEM!$E$60:$E$352, Check_List!$B$12,Merged_JOEM!$S$60:$S$352,Table!C26)</f>
        <v>0</v>
      </c>
      <c r="K47" s="3" t="s">
        <v>233</v>
      </c>
    </row>
    <row r="52" spans="2:2" x14ac:dyDescent="0.25">
      <c r="B52" t="s">
        <v>108</v>
      </c>
    </row>
    <row r="53" spans="2:2" x14ac:dyDescent="0.25">
      <c r="B53" t="s">
        <v>109</v>
      </c>
    </row>
  </sheetData>
  <customSheetViews>
    <customSheetView guid="{99BC1C51-34DC-4BF2-906C-1E31B6171D71}">
      <selection activeCell="I27" sqref="I27"/>
      <pageMargins left="0.7" right="0.7" top="0.75" bottom="0.75" header="0.3" footer="0.3"/>
    </customSheetView>
    <customSheetView guid="{7ECC2B8E-6A82-42F5-8AB0-4A51C54EA5EC}" topLeftCell="A4">
      <selection activeCell="D16" sqref="D16"/>
      <pageMargins left="0.7" right="0.7" top="0.75" bottom="0.75" header="0.3" footer="0.3"/>
      <pageSetup orientation="portrait" horizontalDpi="300" verticalDpi="0" r:id="rId1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60D2C030-4E31-4E07-8E1C-44D2EE84B177}">
      <selection activeCell="A17" sqref="A17:XFD30"/>
      <pageMargins left="0.7" right="0.7" top="0.75" bottom="0.75" header="0.3" footer="0.3"/>
    </customSheetView>
    <customSheetView guid="{3B3E6719-EACB-4D2C-89C1-05FFAB6020FD}">
      <selection activeCell="A17" sqref="A17:XFD30"/>
      <pageMargins left="0.7" right="0.7" top="0.75" bottom="0.75" header="0.3" footer="0.3"/>
    </customSheetView>
    <customSheetView guid="{FECB4C41-27E8-4A22-AFB3-4F54CDD4960E}">
      <selection activeCell="C12" sqref="C12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C94451EF-7A3E-4D72-B5A4-3D1B193192CC}">
      <selection activeCell="A17" sqref="A17:XFD30"/>
      <pageMargins left="0.7" right="0.7" top="0.75" bottom="0.75" header="0.3" footer="0.3"/>
    </customSheetView>
    <customSheetView guid="{89C03E1E-B6A8-49A1-B29C-5DC4FAB2FBC6}" topLeftCell="A11">
      <selection activeCell="A17" sqref="A17:XFD30"/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4E06BDBF-2CED-473B-850B-2A6C7311FF41}">
      <selection activeCell="A17" sqref="A17:XFD30"/>
      <pageMargins left="0.7" right="0.7" top="0.75" bottom="0.75" header="0.3" footer="0.3"/>
    </customSheetView>
    <customSheetView guid="{A2E8CE38-D15E-4374-89B2-69D9421C4465}" showPageBreaks="1">
      <selection activeCell="A17" sqref="A17:XFD30"/>
      <pageMargins left="0.7" right="0.7" top="0.75" bottom="0.75" header="0.3" footer="0.3"/>
      <pageSetup orientation="portrait" horizontalDpi="300" r:id="rId2"/>
    </customSheetView>
    <customSheetView guid="{F96FC7D9-4F89-4FE0-8D00-C0083DEB0472}">
      <selection activeCell="C12" sqref="C12"/>
      <pageMargins left="0.7" right="0.7" top="0.75" bottom="0.75" header="0.3" footer="0.3"/>
    </customSheetView>
    <customSheetView guid="{970EE037-F5E5-47AF-896A-0F6222879EBC}">
      <selection activeCell="B6" sqref="B6:C6"/>
      <pageMargins left="0.7" right="0.7" top="0.75" bottom="0.75" header="0.3" footer="0.3"/>
    </customSheetView>
    <customSheetView guid="{7E0EA425-A420-4443-B9E0-CDF0AA9E5D09}">
      <selection activeCell="A17" sqref="A17:XFD30"/>
      <pageMargins left="0.7" right="0.7" top="0.75" bottom="0.75" header="0.3" footer="0.3"/>
    </customSheetView>
  </customSheetView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99BC1C51-34DC-4BF2-906C-1E31B6171D71}">
      <selection activeCell="P30" sqref="P30"/>
      <pageMargins left="0.7" right="0.7" top="0.75" bottom="0.75" header="0.3" footer="0.3"/>
    </customSheetView>
    <customSheetView guid="{7ECC2B8E-6A82-42F5-8AB0-4A51C54EA5EC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60D2C030-4E31-4E07-8E1C-44D2EE84B177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FECB4C41-27E8-4A22-AFB3-4F54CDD4960E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C94451EF-7A3E-4D72-B5A4-3D1B193192CC}">
      <selection activeCell="P30" sqref="P30"/>
      <pageMargins left="0.7" right="0.7" top="0.75" bottom="0.75" header="0.3" footer="0.3"/>
    </customSheetView>
    <customSheetView guid="{89C03E1E-B6A8-49A1-B29C-5DC4FAB2FBC6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4E06BDBF-2CED-473B-850B-2A6C7311FF41}">
      <selection activeCell="P30" sqref="P30"/>
      <pageMargins left="0.7" right="0.7" top="0.75" bottom="0.75" header="0.3" footer="0.3"/>
    </customSheetView>
    <customSheetView guid="{A2E8CE38-D15E-4374-89B2-69D9421C4465}" showPageBreaks="1">
      <selection activeCell="P30" sqref="P30"/>
      <pageMargins left="0.7" right="0.7" top="0.75" bottom="0.75" header="0.3" footer="0.3"/>
      <pageSetup orientation="portrait" horizontalDpi="300" r:id="rId1"/>
    </customSheetView>
    <customSheetView guid="{F96FC7D9-4F89-4FE0-8D00-C0083DEB0472}">
      <selection activeCell="P30" sqref="P30"/>
      <pageMargins left="0.7" right="0.7" top="0.75" bottom="0.75" header="0.3" footer="0.3"/>
    </customSheetView>
    <customSheetView guid="{970EE037-F5E5-47AF-896A-0F6222879EBC}">
      <selection activeCell="P30" sqref="P30"/>
      <pageMargins left="0.7" right="0.7" top="0.75" bottom="0.75" header="0.3" footer="0.3"/>
    </customSheetView>
    <customSheetView guid="{7E0EA425-A420-4443-B9E0-CDF0AA9E5D09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145"/>
  <sheetViews>
    <sheetView topLeftCell="A106" workbookViewId="0">
      <selection activeCell="A6" sqref="A6:XFD6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20" x14ac:dyDescent="0.25">
      <c r="A1" s="89"/>
      <c r="B1" s="89"/>
      <c r="J1" s="148"/>
      <c r="K1" s="89"/>
      <c r="L1" s="89"/>
    </row>
    <row r="2" spans="1:20" x14ac:dyDescent="0.25">
      <c r="B2" s="64" t="s">
        <v>952</v>
      </c>
      <c r="J2" s="148"/>
      <c r="Q2" s="1" t="s">
        <v>103</v>
      </c>
    </row>
    <row r="3" spans="1:20" x14ac:dyDescent="0.25">
      <c r="A3" s="149"/>
      <c r="B3" s="150" t="s">
        <v>0</v>
      </c>
      <c r="C3" s="57" t="s">
        <v>8</v>
      </c>
      <c r="D3" s="150" t="s">
        <v>399</v>
      </c>
      <c r="E3" s="57" t="s">
        <v>50</v>
      </c>
      <c r="F3" s="150" t="s">
        <v>95</v>
      </c>
      <c r="G3" s="57" t="s">
        <v>22</v>
      </c>
      <c r="H3" s="57" t="s">
        <v>24</v>
      </c>
      <c r="I3" s="57" t="s">
        <v>134</v>
      </c>
      <c r="J3" s="58" t="s">
        <v>143</v>
      </c>
      <c r="K3" s="151"/>
      <c r="L3" s="152"/>
      <c r="N3" s="7"/>
      <c r="P3" s="7"/>
      <c r="Q3" s="2" t="s">
        <v>955</v>
      </c>
      <c r="R3" s="2" t="s">
        <v>22</v>
      </c>
      <c r="S3" s="2" t="s">
        <v>453</v>
      </c>
      <c r="T3" s="2" t="s">
        <v>454</v>
      </c>
    </row>
    <row r="4" spans="1:20" x14ac:dyDescent="0.25">
      <c r="A4" s="149"/>
      <c r="B4" s="153">
        <v>1</v>
      </c>
      <c r="C4" s="60" t="s">
        <v>6</v>
      </c>
      <c r="D4" s="61">
        <f>SUM(Merged_COEM!D42,Merged_JOEM!D42)</f>
        <v>5946.1538461538457</v>
      </c>
      <c r="E4" s="61">
        <f>SUM(Merged_COEM!E42,Merged_JOEM!E42)</f>
        <v>5946.1538461538457</v>
      </c>
      <c r="F4" s="61">
        <f t="shared" ref="F4:F17" ca="1" si="0">$B$26</f>
        <v>27</v>
      </c>
      <c r="G4" s="61">
        <f t="shared" ref="G4:G18" ca="1" si="1">IF(ISERROR(E4/(F4)),"N/A",E4/F4)</f>
        <v>220.22792022792021</v>
      </c>
      <c r="H4" s="62">
        <f t="shared" ref="H4:H18" si="2">IF(ISERROR(E4/D4),"N/A",E4/D4)</f>
        <v>1</v>
      </c>
      <c r="I4" s="3">
        <f>SUM(Merged_COEM!L42,Merged_JOEM!L42)</f>
        <v>9</v>
      </c>
      <c r="J4" s="154">
        <f>SUM(Merged_COEM!M42,Merged_JOEM!M42)</f>
        <v>0</v>
      </c>
      <c r="K4" s="149"/>
      <c r="L4" s="7"/>
      <c r="P4" t="str">
        <f t="shared" ref="P4:P17" si="3">C4</f>
        <v>hieu.nguyen-trung</v>
      </c>
      <c r="Q4" s="3">
        <f>SUM(Merged_COEM!J42,Merged_JOEM!J42)</f>
        <v>4620.1538461538457</v>
      </c>
      <c r="R4" s="61">
        <f t="shared" ref="R4:R17" ca="1" si="4">Q4/F4</f>
        <v>171.11680911680909</v>
      </c>
      <c r="S4" s="3">
        <f t="shared" ref="S4:S17" si="5">RANK(Q4,$Q$4:$Q$17)</f>
        <v>13</v>
      </c>
      <c r="T4" s="3">
        <f t="shared" ref="T4:T17" ca="1" si="6">RANK(R4,$R$4:$R$17)</f>
        <v>13</v>
      </c>
    </row>
    <row r="5" spans="1:20" x14ac:dyDescent="0.25">
      <c r="A5" s="149"/>
      <c r="B5" s="153">
        <v>2</v>
      </c>
      <c r="C5" s="60" t="s">
        <v>61</v>
      </c>
      <c r="D5" s="61">
        <f>SUM(Merged_COEM!D43,Merged_JOEM!D43)</f>
        <v>7279.2726923076934</v>
      </c>
      <c r="E5" s="61">
        <f>SUM(Merged_COEM!E43,Merged_JOEM!E43)</f>
        <v>7279.2726923076934</v>
      </c>
      <c r="F5" s="61">
        <f t="shared" ca="1" si="0"/>
        <v>27</v>
      </c>
      <c r="G5" s="61">
        <f t="shared" ca="1" si="1"/>
        <v>269.60269230769234</v>
      </c>
      <c r="H5" s="62">
        <f t="shared" si="2"/>
        <v>1</v>
      </c>
      <c r="I5" s="3">
        <f>SUM(Merged_COEM!L43,Merged_JOEM!L43)</f>
        <v>1</v>
      </c>
      <c r="J5" s="154">
        <f>SUM(Merged_COEM!M43,Merged_JOEM!M43)</f>
        <v>0</v>
      </c>
      <c r="K5" s="149"/>
      <c r="L5" s="7"/>
      <c r="P5" t="str">
        <f t="shared" si="3"/>
        <v>hau.nguyen-tai</v>
      </c>
      <c r="Q5" s="3">
        <f>SUM(Merged_COEM!J43,Merged_JOEM!J43)</f>
        <v>7279.2726923076934</v>
      </c>
      <c r="R5" s="61">
        <f t="shared" ca="1" si="4"/>
        <v>269.60269230769234</v>
      </c>
      <c r="S5" s="3">
        <f t="shared" si="5"/>
        <v>4</v>
      </c>
      <c r="T5" s="3">
        <f t="shared" ca="1" si="6"/>
        <v>4</v>
      </c>
    </row>
    <row r="6" spans="1:20" x14ac:dyDescent="0.25">
      <c r="A6" s="149"/>
      <c r="B6" s="59">
        <v>3</v>
      </c>
      <c r="C6" s="60" t="s">
        <v>62</v>
      </c>
      <c r="D6" s="61">
        <f>SUM(Merged_COEM!D44,Merged_JOEM!D44)</f>
        <v>7029.0069230769241</v>
      </c>
      <c r="E6" s="61">
        <f>SUM(Merged_COEM!E44,Merged_JOEM!E44)</f>
        <v>7029.0069230769241</v>
      </c>
      <c r="F6" s="61">
        <f t="shared" ca="1" si="0"/>
        <v>27</v>
      </c>
      <c r="G6" s="61">
        <f t="shared" ca="1" si="1"/>
        <v>260.33358974358976</v>
      </c>
      <c r="H6" s="62">
        <f t="shared" si="2"/>
        <v>1</v>
      </c>
      <c r="I6" s="3">
        <f>SUM(Merged_COEM!L44,Merged_JOEM!L44)</f>
        <v>1</v>
      </c>
      <c r="J6" s="154">
        <f>SUM(Merged_COEM!M44,Merged_JOEM!M44)</f>
        <v>0</v>
      </c>
      <c r="K6" s="149"/>
      <c r="P6" t="str">
        <f t="shared" si="3"/>
        <v>bang.nguyen-duy</v>
      </c>
      <c r="Q6" s="3">
        <f>SUM(Merged_COEM!J44,Merged_JOEM!J44)</f>
        <v>7029.0069230769241</v>
      </c>
      <c r="R6" s="61">
        <f t="shared" ca="1" si="4"/>
        <v>260.33358974358976</v>
      </c>
      <c r="S6" s="3">
        <f t="shared" si="5"/>
        <v>7</v>
      </c>
      <c r="T6" s="3">
        <f t="shared" ca="1" si="6"/>
        <v>7</v>
      </c>
    </row>
    <row r="7" spans="1:20" x14ac:dyDescent="0.25">
      <c r="A7" s="149"/>
      <c r="B7" s="59">
        <v>4</v>
      </c>
      <c r="C7" s="60" t="s">
        <v>63</v>
      </c>
      <c r="D7" s="61">
        <f>SUM(Merged_COEM!D45,Merged_JOEM!D45)</f>
        <v>7085.9976923076929</v>
      </c>
      <c r="E7" s="61">
        <f>SUM(Merged_COEM!E45,Merged_JOEM!E45)</f>
        <v>7085.9976923076929</v>
      </c>
      <c r="F7" s="61">
        <f t="shared" ca="1" si="0"/>
        <v>27</v>
      </c>
      <c r="G7" s="61">
        <f t="shared" ca="1" si="1"/>
        <v>262.44435897435898</v>
      </c>
      <c r="H7" s="62">
        <f t="shared" si="2"/>
        <v>1</v>
      </c>
      <c r="I7" s="3">
        <f>SUM(Merged_COEM!L45,Merged_JOEM!L45)</f>
        <v>0</v>
      </c>
      <c r="J7" s="154">
        <f>SUM(Merged_COEM!M45,Merged_JOEM!M45)</f>
        <v>0</v>
      </c>
      <c r="K7" s="149"/>
      <c r="P7" t="str">
        <f t="shared" si="3"/>
        <v>dac.luu-cong</v>
      </c>
      <c r="Q7" s="3">
        <f>SUM(Merged_COEM!J45,Merged_JOEM!J45)</f>
        <v>7085.9976923076929</v>
      </c>
      <c r="R7" s="61">
        <f t="shared" ca="1" si="4"/>
        <v>262.44435897435898</v>
      </c>
      <c r="S7" s="3">
        <f t="shared" si="5"/>
        <v>6</v>
      </c>
      <c r="T7" s="3">
        <f t="shared" ca="1" si="6"/>
        <v>6</v>
      </c>
    </row>
    <row r="8" spans="1:20" x14ac:dyDescent="0.25">
      <c r="B8" s="155">
        <v>5</v>
      </c>
      <c r="C8" s="60" t="s">
        <v>925</v>
      </c>
      <c r="D8" s="61">
        <f>SUM(Merged_COEM!D46,Merged_JOEM!D46)</f>
        <v>5957.5</v>
      </c>
      <c r="E8" s="61">
        <f>SUM(Merged_COEM!E46,Merged_JOEM!E46)</f>
        <v>5957.5</v>
      </c>
      <c r="F8" s="61">
        <f t="shared" ca="1" si="0"/>
        <v>27</v>
      </c>
      <c r="G8" s="61">
        <f t="shared" ca="1" si="1"/>
        <v>220.64814814814815</v>
      </c>
      <c r="H8" s="62">
        <f t="shared" si="2"/>
        <v>1</v>
      </c>
      <c r="I8" s="3">
        <f>SUM(Merged_COEM!L46,Merged_JOEM!L46)</f>
        <v>2</v>
      </c>
      <c r="J8" s="154">
        <f>SUM(Merged_COEM!M46,Merged_JOEM!M46)</f>
        <v>0</v>
      </c>
      <c r="L8" s="149"/>
      <c r="P8" t="str">
        <f t="shared" si="3"/>
        <v>duong.nguyen-tuan</v>
      </c>
      <c r="Q8" s="3">
        <f>SUM(Merged_COEM!J46,Merged_JOEM!J46)</f>
        <v>4658.5</v>
      </c>
      <c r="R8" s="61">
        <f t="shared" ca="1" si="4"/>
        <v>172.53703703703704</v>
      </c>
      <c r="S8" s="3">
        <f t="shared" si="5"/>
        <v>11</v>
      </c>
      <c r="T8" s="3">
        <f t="shared" ca="1" si="6"/>
        <v>11</v>
      </c>
    </row>
    <row r="9" spans="1:20" x14ac:dyDescent="0.25">
      <c r="B9" s="59">
        <v>6</v>
      </c>
      <c r="C9" s="72" t="s">
        <v>64</v>
      </c>
      <c r="D9" s="156">
        <f>SUM(Merged_COEM!D47,Merged_JOEM!D47)</f>
        <v>9834.3846153846152</v>
      </c>
      <c r="E9" s="156">
        <f>SUM(Merged_COEM!E47,Merged_JOEM!E47)</f>
        <v>9834.3846153846152</v>
      </c>
      <c r="F9" s="156">
        <f t="shared" ca="1" si="0"/>
        <v>27</v>
      </c>
      <c r="G9" s="156">
        <f t="shared" ca="1" si="1"/>
        <v>364.23646723646721</v>
      </c>
      <c r="H9" s="157">
        <f t="shared" si="2"/>
        <v>1</v>
      </c>
      <c r="I9" s="3">
        <f>SUM(Merged_COEM!L47,Merged_JOEM!L47)</f>
        <v>8</v>
      </c>
      <c r="J9" s="154">
        <f>SUM(Merged_COEM!M47,Merged_JOEM!M47)</f>
        <v>0</v>
      </c>
      <c r="M9" s="158"/>
      <c r="N9" s="158"/>
      <c r="O9" s="158"/>
      <c r="P9" s="158" t="str">
        <f t="shared" si="3"/>
        <v>loc.do-phu</v>
      </c>
      <c r="Q9" s="159">
        <f>SUM(Merged_COEM!J47,Merged_JOEM!J47)</f>
        <v>7796.2307692307695</v>
      </c>
      <c r="R9" s="156">
        <f t="shared" ca="1" si="4"/>
        <v>288.74928774928776</v>
      </c>
      <c r="S9" s="3">
        <f t="shared" si="5"/>
        <v>3</v>
      </c>
      <c r="T9" s="3">
        <f t="shared" ca="1" si="6"/>
        <v>3</v>
      </c>
    </row>
    <row r="10" spans="1:20" x14ac:dyDescent="0.25">
      <c r="B10" s="59">
        <v>7</v>
      </c>
      <c r="C10" s="60" t="s">
        <v>65</v>
      </c>
      <c r="D10" s="160">
        <f>SUM(Merged_COEM!D48,Merged_JOEM!D48)</f>
        <v>11585.461538461539</v>
      </c>
      <c r="E10" s="160">
        <f>SUM(Merged_COEM!E48,Merged_JOEM!E48)</f>
        <v>11585.461538461539</v>
      </c>
      <c r="F10" s="160">
        <f t="shared" ca="1" si="0"/>
        <v>27</v>
      </c>
      <c r="G10" s="160">
        <f t="shared" ca="1" si="1"/>
        <v>429.09116809116813</v>
      </c>
      <c r="H10" s="62">
        <f t="shared" si="2"/>
        <v>1</v>
      </c>
      <c r="I10" s="3">
        <f>SUM(Merged_COEM!L48,Merged_JOEM!L48)</f>
        <v>14</v>
      </c>
      <c r="J10" s="154">
        <f>SUM(Merged_COEM!M48,Merged_JOEM!M48)</f>
        <v>0</v>
      </c>
      <c r="M10" s="161"/>
      <c r="N10" s="161"/>
      <c r="O10" s="161"/>
      <c r="P10" s="161" t="str">
        <f t="shared" si="3"/>
        <v>thanh.nguyen-kim</v>
      </c>
      <c r="Q10" s="162">
        <f>SUM(Merged_COEM!J48,Merged_JOEM!J48)</f>
        <v>8613.7692307692305</v>
      </c>
      <c r="R10" s="163">
        <f t="shared" ca="1" si="4"/>
        <v>319.02849002849001</v>
      </c>
      <c r="S10" s="3">
        <f t="shared" si="5"/>
        <v>1</v>
      </c>
      <c r="T10" s="3">
        <f t="shared" ca="1" si="6"/>
        <v>1</v>
      </c>
    </row>
    <row r="11" spans="1:20" x14ac:dyDescent="0.25">
      <c r="B11" s="59">
        <v>8</v>
      </c>
      <c r="C11" s="60" t="s">
        <v>66</v>
      </c>
      <c r="D11" s="160">
        <f>SUM(Merged_COEM!D49,Merged_JOEM!D49)</f>
        <v>11314.076923076922</v>
      </c>
      <c r="E11" s="160">
        <f>SUM(Merged_COEM!E49,Merged_JOEM!E49)</f>
        <v>11314.076923076922</v>
      </c>
      <c r="F11" s="160">
        <f t="shared" ca="1" si="0"/>
        <v>27</v>
      </c>
      <c r="G11" s="160">
        <f t="shared" ca="1" si="1"/>
        <v>419.03988603988597</v>
      </c>
      <c r="H11" s="62">
        <f t="shared" si="2"/>
        <v>1</v>
      </c>
      <c r="I11" s="3">
        <f>SUM(Merged_COEM!L49,Merged_JOEM!L49)</f>
        <v>7</v>
      </c>
      <c r="J11" s="154">
        <f>SUM(Merged_COEM!M49,Merged_JOEM!M49)</f>
        <v>0</v>
      </c>
      <c r="M11" s="161"/>
      <c r="N11" s="161"/>
      <c r="O11" s="161"/>
      <c r="P11" s="161" t="str">
        <f t="shared" si="3"/>
        <v>chung.ly</v>
      </c>
      <c r="Q11" s="162">
        <f>SUM(Merged_COEM!J49,Merged_JOEM!J49)</f>
        <v>8148.6923076923076</v>
      </c>
      <c r="R11" s="163">
        <f t="shared" ca="1" si="4"/>
        <v>301.80341880341882</v>
      </c>
      <c r="S11" s="3">
        <f t="shared" si="5"/>
        <v>2</v>
      </c>
      <c r="T11" s="3">
        <f t="shared" ca="1" si="6"/>
        <v>2</v>
      </c>
    </row>
    <row r="12" spans="1:20" x14ac:dyDescent="0.25">
      <c r="B12" s="59">
        <v>9</v>
      </c>
      <c r="C12" s="60" t="s">
        <v>136</v>
      </c>
      <c r="D12" s="160">
        <f>SUM(Merged_COEM!D50,Merged_JOEM!D50)</f>
        <v>7220.3123076923075</v>
      </c>
      <c r="E12" s="160">
        <f>SUM(Merged_COEM!E50,Merged_JOEM!E50)</f>
        <v>7220.3123076923075</v>
      </c>
      <c r="F12" s="160">
        <f t="shared" ca="1" si="0"/>
        <v>27</v>
      </c>
      <c r="G12" s="164">
        <f t="shared" ca="1" si="1"/>
        <v>267.41897435897437</v>
      </c>
      <c r="H12" s="62">
        <f t="shared" si="2"/>
        <v>1</v>
      </c>
      <c r="I12" s="3">
        <f>SUM(Merged_COEM!L50,Merged_JOEM!L50)</f>
        <v>0</v>
      </c>
      <c r="J12" s="154">
        <f>SUM(Merged_COEM!M50,Merged_JOEM!M50)</f>
        <v>0</v>
      </c>
      <c r="M12" s="161"/>
      <c r="N12" s="161"/>
      <c r="O12" s="161"/>
      <c r="P12" s="161" t="str">
        <f t="shared" si="3"/>
        <v>huy.do-anh</v>
      </c>
      <c r="Q12" s="165">
        <f>SUM(Merged_COEM!J50,Merged_JOEM!J50)</f>
        <v>7220.3123076923075</v>
      </c>
      <c r="R12" s="61">
        <f t="shared" ca="1" si="4"/>
        <v>267.41897435897437</v>
      </c>
      <c r="S12" s="3">
        <f t="shared" si="5"/>
        <v>5</v>
      </c>
      <c r="T12" s="3">
        <f t="shared" ca="1" si="6"/>
        <v>5</v>
      </c>
    </row>
    <row r="13" spans="1:20" x14ac:dyDescent="0.25">
      <c r="B13" s="155">
        <v>10</v>
      </c>
      <c r="C13" s="60" t="s">
        <v>137</v>
      </c>
      <c r="D13" s="61">
        <f>SUM(Merged_COEM!D51,Merged_JOEM!D51)</f>
        <v>6482.5</v>
      </c>
      <c r="E13" s="61">
        <f>SUM(Merged_COEM!E51,Merged_JOEM!E51)</f>
        <v>6482.5</v>
      </c>
      <c r="F13" s="61">
        <f t="shared" ca="1" si="0"/>
        <v>27</v>
      </c>
      <c r="G13" s="61">
        <f t="shared" ca="1" si="1"/>
        <v>240.09259259259258</v>
      </c>
      <c r="H13" s="62">
        <f t="shared" si="2"/>
        <v>1</v>
      </c>
      <c r="I13" s="3">
        <f>SUM(Merged_COEM!L51,Merged_JOEM!L51)</f>
        <v>1</v>
      </c>
      <c r="J13" s="154">
        <f>SUM(Merged_COEM!M51,Merged_JOEM!M51)</f>
        <v>0</v>
      </c>
      <c r="L13" s="149"/>
      <c r="P13" t="str">
        <f t="shared" si="3"/>
        <v>phuong.nguyen-thanh</v>
      </c>
      <c r="Q13" s="3">
        <f>SUM(Merged_COEM!J51,Merged_JOEM!J51)</f>
        <v>4202.5</v>
      </c>
      <c r="R13" s="61">
        <f t="shared" ca="1" si="4"/>
        <v>155.64814814814815</v>
      </c>
      <c r="S13" s="3">
        <f t="shared" si="5"/>
        <v>14</v>
      </c>
      <c r="T13" s="3">
        <f t="shared" ca="1" si="6"/>
        <v>14</v>
      </c>
    </row>
    <row r="14" spans="1:20" x14ac:dyDescent="0.25">
      <c r="B14" s="59">
        <v>11</v>
      </c>
      <c r="C14" s="72" t="s">
        <v>327</v>
      </c>
      <c r="D14" s="156">
        <f>SUM(Merged_COEM!D52,Merged_JOEM!D52)</f>
        <v>6362.044615384616</v>
      </c>
      <c r="E14" s="156">
        <f>SUM(Merged_COEM!E52,Merged_JOEM!E52)</f>
        <v>6362.044615384616</v>
      </c>
      <c r="F14" s="156">
        <f t="shared" ca="1" si="0"/>
        <v>27</v>
      </c>
      <c r="G14" s="156">
        <f t="shared" ca="1" si="1"/>
        <v>235.63128205128208</v>
      </c>
      <c r="H14" s="157">
        <f t="shared" si="2"/>
        <v>1</v>
      </c>
      <c r="I14" s="3">
        <f>SUM(Merged_COEM!L52,Merged_JOEM!L52)</f>
        <v>0</v>
      </c>
      <c r="J14" s="154">
        <f>SUM(Merged_COEM!M52,Merged_JOEM!M52)</f>
        <v>0</v>
      </c>
      <c r="M14" s="158"/>
      <c r="N14" s="158"/>
      <c r="O14" s="158"/>
      <c r="P14" s="158" t="str">
        <f t="shared" si="3"/>
        <v>khang.duong-chi</v>
      </c>
      <c r="Q14" s="159">
        <f>SUM(Merged_COEM!J52,Merged_JOEM!J52)</f>
        <v>6362.044615384616</v>
      </c>
      <c r="R14" s="156">
        <f t="shared" ca="1" si="4"/>
        <v>235.63128205128208</v>
      </c>
      <c r="S14" s="3">
        <f t="shared" si="5"/>
        <v>8</v>
      </c>
      <c r="T14" s="3">
        <f t="shared" ca="1" si="6"/>
        <v>8</v>
      </c>
    </row>
    <row r="15" spans="1:20" x14ac:dyDescent="0.25">
      <c r="B15" s="59">
        <v>12</v>
      </c>
      <c r="C15" s="60" t="s">
        <v>231</v>
      </c>
      <c r="D15" s="160">
        <f>SUM(Merged_COEM!D53,Merged_JOEM!D53)</f>
        <v>9792</v>
      </c>
      <c r="E15" s="160">
        <f>SUM(Merged_COEM!E53,Merged_JOEM!E53)</f>
        <v>9792</v>
      </c>
      <c r="F15" s="160">
        <f t="shared" ca="1" si="0"/>
        <v>27</v>
      </c>
      <c r="G15" s="160">
        <f t="shared" ca="1" si="1"/>
        <v>362.66666666666669</v>
      </c>
      <c r="H15" s="166">
        <f t="shared" si="2"/>
        <v>1</v>
      </c>
      <c r="I15" s="3">
        <f>SUM(Merged_COEM!L53,Merged_JOEM!L53)</f>
        <v>4</v>
      </c>
      <c r="J15" s="154">
        <f>SUM(Merged_COEM!M53,Merged_JOEM!M53)</f>
        <v>0</v>
      </c>
      <c r="M15" s="161"/>
      <c r="N15" s="161"/>
      <c r="O15" s="161"/>
      <c r="P15" s="161" t="str">
        <f t="shared" si="3"/>
        <v>chuong.nguyen-minh</v>
      </c>
      <c r="Q15" s="162">
        <f>SUM(Merged_COEM!J53,Merged_JOEM!J53)</f>
        <v>5930</v>
      </c>
      <c r="R15" s="160">
        <f t="shared" ca="1" si="4"/>
        <v>219.62962962962962</v>
      </c>
      <c r="S15" s="3">
        <f t="shared" si="5"/>
        <v>9</v>
      </c>
      <c r="T15" s="3">
        <f t="shared" ca="1" si="6"/>
        <v>9</v>
      </c>
    </row>
    <row r="16" spans="1:20" x14ac:dyDescent="0.25">
      <c r="B16" s="59">
        <v>13</v>
      </c>
      <c r="C16" s="60" t="s">
        <v>232</v>
      </c>
      <c r="D16" s="160">
        <f>SUM(Merged_COEM!D54,Merged_JOEM!D54)</f>
        <v>8261.6153846153848</v>
      </c>
      <c r="E16" s="160">
        <f>SUM(Merged_COEM!E54,Merged_JOEM!E54)</f>
        <v>8261.6153846153848</v>
      </c>
      <c r="F16" s="160">
        <f t="shared" ca="1" si="0"/>
        <v>27</v>
      </c>
      <c r="G16" s="160">
        <f t="shared" ca="1" si="1"/>
        <v>305.98575498575497</v>
      </c>
      <c r="H16" s="166">
        <f t="shared" si="2"/>
        <v>1</v>
      </c>
      <c r="I16" s="3">
        <f>SUM(Merged_COEM!L54,Merged_JOEM!L54)</f>
        <v>3</v>
      </c>
      <c r="J16" s="154">
        <f>SUM(Merged_COEM!M54,Merged_JOEM!M54)</f>
        <v>0</v>
      </c>
      <c r="M16" s="161"/>
      <c r="N16" s="161"/>
      <c r="O16" s="161"/>
      <c r="P16" s="161" t="str">
        <f t="shared" si="3"/>
        <v>nam.phan-the</v>
      </c>
      <c r="Q16" s="162">
        <f>SUM(Merged_COEM!J54,Merged_JOEM!J54)</f>
        <v>4630.6153846153848</v>
      </c>
      <c r="R16" s="160">
        <f t="shared" ca="1" si="4"/>
        <v>171.5042735042735</v>
      </c>
      <c r="S16" s="3">
        <f t="shared" si="5"/>
        <v>12</v>
      </c>
      <c r="T16" s="3">
        <f t="shared" ca="1" si="6"/>
        <v>12</v>
      </c>
    </row>
    <row r="17" spans="1:20" x14ac:dyDescent="0.25">
      <c r="B17" s="59">
        <v>14</v>
      </c>
      <c r="C17" s="60" t="s">
        <v>233</v>
      </c>
      <c r="D17" s="160">
        <f>SUM(Merged_COEM!D55,Merged_JOEM!D55)</f>
        <v>8565.6153846153848</v>
      </c>
      <c r="E17" s="160">
        <f>SUM(Merged_COEM!E55,Merged_JOEM!E55)</f>
        <v>8565.6153846153848</v>
      </c>
      <c r="F17" s="160">
        <f t="shared" ca="1" si="0"/>
        <v>27</v>
      </c>
      <c r="G17" s="160">
        <f t="shared" ca="1" si="1"/>
        <v>317.24501424501426</v>
      </c>
      <c r="H17" s="166">
        <f t="shared" si="2"/>
        <v>1</v>
      </c>
      <c r="I17" s="3">
        <f>SUM(Merged_COEM!L55,Merged_JOEM!L55)</f>
        <v>6</v>
      </c>
      <c r="J17" s="154">
        <f>SUM(Merged_COEM!M55,Merged_JOEM!M55)</f>
        <v>0</v>
      </c>
      <c r="L17" s="1" t="s">
        <v>956</v>
      </c>
      <c r="M17" s="161"/>
      <c r="N17" s="167" t="s">
        <v>957</v>
      </c>
      <c r="O17" s="161"/>
      <c r="P17" s="161" t="str">
        <f t="shared" si="3"/>
        <v>huy.nguyen-hoang</v>
      </c>
      <c r="Q17" s="162">
        <f>SUM(Merged_COEM!J55,Merged_JOEM!J55)</f>
        <v>5672.6153846153848</v>
      </c>
      <c r="R17" s="160">
        <f t="shared" ca="1" si="4"/>
        <v>210.09686609686611</v>
      </c>
      <c r="S17" s="3">
        <f t="shared" si="5"/>
        <v>10</v>
      </c>
      <c r="T17" s="3">
        <f t="shared" ca="1" si="6"/>
        <v>10</v>
      </c>
    </row>
    <row r="18" spans="1:20" x14ac:dyDescent="0.25">
      <c r="B18" s="57" t="s">
        <v>102</v>
      </c>
      <c r="C18" s="63"/>
      <c r="D18" s="160">
        <f>SUM(D4:D17)</f>
        <v>112715.94192307694</v>
      </c>
      <c r="E18" s="160">
        <f>SUM(E4:E17)</f>
        <v>112715.94192307694</v>
      </c>
      <c r="F18" s="160">
        <f ca="1">$B$26*(COUNTA($C$4:$C$17))</f>
        <v>378</v>
      </c>
      <c r="G18" s="160">
        <f t="shared" ca="1" si="1"/>
        <v>298.19032254782257</v>
      </c>
      <c r="H18" s="166">
        <f t="shared" si="2"/>
        <v>1</v>
      </c>
      <c r="I18" s="3">
        <f>SUM(I4:I17)</f>
        <v>56</v>
      </c>
      <c r="J18" s="154">
        <f>SUM(J4:J17)</f>
        <v>0</v>
      </c>
      <c r="K18">
        <f ca="1">F18*Table!$D$4</f>
        <v>170100</v>
      </c>
      <c r="L18" s="81">
        <f ca="1">E18-K18</f>
        <v>-57384.058076923058</v>
      </c>
      <c r="M18" s="161">
        <f>(COUNTA($C$4:$C$17))*Table!$D$4</f>
        <v>6300</v>
      </c>
      <c r="N18" s="161">
        <f ca="1">L18/Table!$D$4</f>
        <v>-127.52012905982902</v>
      </c>
      <c r="O18" s="161"/>
      <c r="P18" s="167" t="s">
        <v>102</v>
      </c>
      <c r="Q18" s="160">
        <f>SUM(Q4:Q17)</f>
        <v>89249.711153846161</v>
      </c>
      <c r="R18" s="160">
        <f ca="1">AVERAGE(R4:R17)</f>
        <v>236.11034696784697</v>
      </c>
    </row>
    <row r="19" spans="1:20" x14ac:dyDescent="0.25">
      <c r="C19" s="161"/>
      <c r="D19" s="161"/>
      <c r="E19" s="161"/>
      <c r="F19" s="161"/>
      <c r="G19" s="161"/>
      <c r="H19" s="161"/>
      <c r="J19" s="148"/>
      <c r="M19" s="161"/>
      <c r="N19" s="161"/>
      <c r="O19" s="161"/>
      <c r="P19" s="161"/>
      <c r="Q19" s="161"/>
      <c r="R19" s="161"/>
    </row>
    <row r="20" spans="1:20" x14ac:dyDescent="0.25">
      <c r="C20" s="161"/>
      <c r="D20" s="161"/>
      <c r="E20" s="161"/>
      <c r="F20" s="161"/>
      <c r="G20" s="161"/>
      <c r="H20" s="161"/>
      <c r="J20" s="148"/>
      <c r="M20" s="161"/>
      <c r="N20" s="161"/>
      <c r="O20" s="161"/>
      <c r="P20" s="161"/>
      <c r="Q20" s="161"/>
      <c r="R20" s="161"/>
    </row>
    <row r="21" spans="1:20" x14ac:dyDescent="0.25">
      <c r="A21" s="70" t="s">
        <v>166</v>
      </c>
      <c r="B21" s="70" t="s">
        <v>155</v>
      </c>
      <c r="C21" s="161"/>
      <c r="D21" s="161"/>
      <c r="E21" s="161"/>
      <c r="F21" s="161"/>
      <c r="G21" s="161"/>
      <c r="H21" s="161"/>
      <c r="J21" s="71"/>
      <c r="K21" s="70" t="s">
        <v>166</v>
      </c>
      <c r="L21" s="70" t="s">
        <v>154</v>
      </c>
      <c r="M21" s="161"/>
      <c r="N21" s="161"/>
      <c r="O21" s="161"/>
      <c r="P21" s="161"/>
      <c r="Q21" s="161"/>
      <c r="R21" s="161"/>
    </row>
    <row r="22" spans="1:20" x14ac:dyDescent="0.25">
      <c r="C22" s="161"/>
      <c r="D22" s="161"/>
      <c r="E22" s="161"/>
      <c r="F22" s="161"/>
      <c r="G22" s="161"/>
      <c r="H22" s="161"/>
      <c r="J22" s="71"/>
      <c r="M22" s="161"/>
      <c r="N22" s="161"/>
      <c r="O22" s="161"/>
      <c r="P22" s="161"/>
      <c r="Q22" s="161"/>
      <c r="R22" s="161"/>
    </row>
    <row r="23" spans="1:20" x14ac:dyDescent="0.25">
      <c r="A23" s="1" t="s">
        <v>38</v>
      </c>
      <c r="B23" s="32">
        <v>44003</v>
      </c>
      <c r="C23" s="161"/>
      <c r="D23" s="168">
        <f ca="1">TODAY()</f>
        <v>44040</v>
      </c>
      <c r="E23" s="161"/>
      <c r="F23" s="169"/>
      <c r="G23" s="161"/>
      <c r="H23" s="161"/>
      <c r="J23" s="71"/>
      <c r="K23" s="1" t="s">
        <v>38</v>
      </c>
      <c r="L23" s="32">
        <f>B23</f>
        <v>44003</v>
      </c>
      <c r="M23" s="161"/>
      <c r="N23" s="168">
        <f ca="1">D23</f>
        <v>44040</v>
      </c>
      <c r="O23" s="161"/>
      <c r="P23" s="169"/>
      <c r="Q23" s="161"/>
      <c r="R23" s="161"/>
    </row>
    <row r="24" spans="1:20" x14ac:dyDescent="0.25">
      <c r="A24" s="1" t="s">
        <v>30</v>
      </c>
      <c r="B24">
        <f ca="1">SUM(INT((WEEKDAY(B23-{2,3,4,5,6}) +D23-B23)/7))</f>
        <v>27</v>
      </c>
      <c r="C24" s="161"/>
      <c r="D24" s="161"/>
      <c r="E24" s="161"/>
      <c r="F24" s="161"/>
      <c r="G24" s="161"/>
      <c r="H24" s="161"/>
      <c r="J24" s="71"/>
      <c r="K24" s="1" t="s">
        <v>30</v>
      </c>
      <c r="L24">
        <f ca="1">B24</f>
        <v>27</v>
      </c>
      <c r="M24" s="161"/>
      <c r="N24" s="161"/>
      <c r="O24" s="161"/>
      <c r="P24" s="161"/>
      <c r="Q24" s="161"/>
      <c r="R24" s="161"/>
    </row>
    <row r="25" spans="1:20" x14ac:dyDescent="0.25">
      <c r="A25" s="1" t="s">
        <v>131</v>
      </c>
      <c r="B25">
        <v>0</v>
      </c>
      <c r="C25" s="161"/>
      <c r="D25" s="161"/>
      <c r="E25" s="161"/>
      <c r="F25" s="161"/>
      <c r="J25" s="71"/>
      <c r="K25" s="1" t="s">
        <v>131</v>
      </c>
      <c r="L25">
        <f>B25</f>
        <v>0</v>
      </c>
      <c r="M25" s="161"/>
      <c r="N25" s="161"/>
      <c r="O25" s="161"/>
      <c r="P25" s="161"/>
    </row>
    <row r="26" spans="1:20" x14ac:dyDescent="0.25">
      <c r="A26" s="1" t="s">
        <v>104</v>
      </c>
      <c r="B26" s="149">
        <f ca="1">IF(TODAY()&lt;D23,SUM(INT((WEEKDAY(B23-{2,3,4,5,6})+TODAY()-B23)/7)),SUM(INT((WEEKDAY(B23-{2,3,4,5,6})+D23-B23)/7)))-B25</f>
        <v>27</v>
      </c>
      <c r="J26" s="71"/>
      <c r="K26" s="1" t="s">
        <v>104</v>
      </c>
      <c r="L26" s="149">
        <f ca="1">B26</f>
        <v>27</v>
      </c>
    </row>
    <row r="27" spans="1:20" x14ac:dyDescent="0.25">
      <c r="A27" s="1"/>
      <c r="C27" s="158"/>
      <c r="D27" s="158"/>
      <c r="E27" s="158"/>
      <c r="F27" s="158"/>
      <c r="J27" s="71"/>
      <c r="K27" s="1"/>
      <c r="M27" s="158"/>
      <c r="N27" s="158"/>
      <c r="O27" s="158"/>
      <c r="P27" s="158"/>
    </row>
    <row r="28" spans="1:20" x14ac:dyDescent="0.25">
      <c r="B28" s="1" t="s">
        <v>167</v>
      </c>
      <c r="C28" s="161"/>
      <c r="D28" s="170"/>
      <c r="E28" s="161"/>
      <c r="F28" s="161"/>
      <c r="J28" s="71"/>
      <c r="L28" s="1" t="s">
        <v>167</v>
      </c>
      <c r="M28" s="161"/>
      <c r="N28" s="170"/>
      <c r="O28" s="161"/>
      <c r="P28" s="161"/>
    </row>
    <row r="29" spans="1:20" ht="75" x14ac:dyDescent="0.25">
      <c r="C29" s="50" t="s">
        <v>25</v>
      </c>
      <c r="D29" s="171" t="s">
        <v>26</v>
      </c>
      <c r="E29" s="50" t="s">
        <v>27</v>
      </c>
      <c r="F29" s="50" t="s">
        <v>28</v>
      </c>
      <c r="G29" s="8" t="s">
        <v>95</v>
      </c>
      <c r="H29" s="8" t="s">
        <v>29</v>
      </c>
      <c r="J29" s="71"/>
      <c r="M29" s="50" t="s">
        <v>25</v>
      </c>
      <c r="N29" s="171" t="s">
        <v>26</v>
      </c>
      <c r="O29" s="50" t="s">
        <v>27</v>
      </c>
      <c r="P29" s="50" t="s">
        <v>28</v>
      </c>
      <c r="Q29" s="8" t="s">
        <v>95</v>
      </c>
      <c r="R29" s="8" t="s">
        <v>29</v>
      </c>
    </row>
    <row r="30" spans="1:20" x14ac:dyDescent="0.25">
      <c r="C30" s="55">
        <v>1</v>
      </c>
      <c r="D30" s="54" t="s">
        <v>3</v>
      </c>
      <c r="E30" s="55">
        <f>SUM(Merged_COEM!D18)</f>
        <v>61432</v>
      </c>
      <c r="F30" s="55">
        <f>SUM(Merged_COEM!E18)</f>
        <v>61432</v>
      </c>
      <c r="G30" s="37">
        <f>E30/Table!$D$4</f>
        <v>136.51555555555555</v>
      </c>
      <c r="H30" s="38">
        <f>IFERROR(F30/E30,"N/A")</f>
        <v>1</v>
      </c>
      <c r="J30" s="71"/>
      <c r="M30" s="55">
        <v>1</v>
      </c>
      <c r="N30" s="54" t="s">
        <v>3</v>
      </c>
      <c r="O30" s="55">
        <f>SUM(Merged_JOEM!D18)</f>
        <v>1440</v>
      </c>
      <c r="P30" s="55">
        <f>SUM(Merged_JOEM!E18)</f>
        <v>1440</v>
      </c>
      <c r="Q30" s="37">
        <f>O30/Table!$D$4</f>
        <v>3.2</v>
      </c>
      <c r="R30" s="38">
        <f>IFERROR(P30/O30,"N/A")</f>
        <v>1</v>
      </c>
    </row>
    <row r="31" spans="1:20" x14ac:dyDescent="0.25">
      <c r="C31" s="55">
        <v>2</v>
      </c>
      <c r="D31" s="54" t="s">
        <v>2</v>
      </c>
      <c r="E31" s="55">
        <f>SUM(Merged_COEM!D37)</f>
        <v>2709</v>
      </c>
      <c r="F31" s="55">
        <f>SUM(Merged_COEM!E37)</f>
        <v>2709</v>
      </c>
      <c r="G31" s="37">
        <f>E31/Table!$C$4</f>
        <v>20.838461538461537</v>
      </c>
      <c r="H31" s="38">
        <f>IFERROR(F31/E31,"N/A")</f>
        <v>1</v>
      </c>
      <c r="J31" s="71"/>
      <c r="M31" s="55">
        <v>2</v>
      </c>
      <c r="N31" s="54" t="s">
        <v>2</v>
      </c>
      <c r="O31" s="55">
        <f>SUM(Merged_JOEM!D37)</f>
        <v>11690.361000000001</v>
      </c>
      <c r="P31" s="55">
        <f>SUM(Merged_JOEM!E37)</f>
        <v>11690.361000000001</v>
      </c>
      <c r="Q31" s="37">
        <f>O31/Table!$C$4</f>
        <v>89.925853846153856</v>
      </c>
      <c r="R31" s="38">
        <f>IFERROR(P31/O31,"N/A")</f>
        <v>1</v>
      </c>
    </row>
    <row r="32" spans="1:20" x14ac:dyDescent="0.25">
      <c r="C32" s="172"/>
      <c r="D32" s="173"/>
      <c r="E32" s="173"/>
      <c r="F32" s="173"/>
      <c r="G32" s="174"/>
      <c r="J32" s="71"/>
      <c r="M32" s="172"/>
      <c r="N32" s="173"/>
      <c r="O32" s="173"/>
      <c r="P32" s="173"/>
      <c r="Q32" s="174"/>
    </row>
    <row r="33" spans="2:19" x14ac:dyDescent="0.25">
      <c r="B33" s="1" t="s">
        <v>168</v>
      </c>
      <c r="J33" s="71"/>
      <c r="L33" s="1" t="s">
        <v>168</v>
      </c>
    </row>
    <row r="34" spans="2:19" ht="45" x14ac:dyDescent="0.25">
      <c r="C34" s="50" t="s">
        <v>25</v>
      </c>
      <c r="D34" s="50" t="s">
        <v>31</v>
      </c>
      <c r="E34" s="8" t="s">
        <v>32</v>
      </c>
      <c r="F34" s="8" t="s">
        <v>33</v>
      </c>
      <c r="G34" s="8" t="s">
        <v>128</v>
      </c>
      <c r="H34" s="8" t="s">
        <v>129</v>
      </c>
      <c r="J34" s="71"/>
      <c r="M34" s="50" t="s">
        <v>25</v>
      </c>
      <c r="N34" s="50" t="s">
        <v>31</v>
      </c>
      <c r="O34" s="8" t="s">
        <v>32</v>
      </c>
      <c r="P34" s="8" t="s">
        <v>33</v>
      </c>
      <c r="Q34" s="8" t="s">
        <v>128</v>
      </c>
      <c r="R34" s="8" t="s">
        <v>129</v>
      </c>
    </row>
    <row r="35" spans="2:19" x14ac:dyDescent="0.25">
      <c r="C35" s="55">
        <v>1</v>
      </c>
      <c r="D35" s="26" t="s">
        <v>110</v>
      </c>
      <c r="E35" s="54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4454</v>
      </c>
      <c r="F35" s="55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48</v>
      </c>
      <c r="G35" s="37">
        <f>E35/Table!$D$4</f>
        <v>9.8977777777777778</v>
      </c>
      <c r="H35" s="37">
        <f>F35/Table!$C$4</f>
        <v>0.36923076923076925</v>
      </c>
      <c r="J35" s="71"/>
      <c r="M35" s="55">
        <v>1</v>
      </c>
      <c r="N35" s="26" t="s">
        <v>110</v>
      </c>
      <c r="O35" s="54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5" s="55">
        <f>VLOOKUP(SUBSTITUTE(SUBSTITUTE(SUBSTITUTE(SUBSTITUTE(SUBSTITUTE(SUBSTITUTE(SUBSTITUTE(SUBSTITUTE(SUBSTITUTE(SUBSTITUTE(SUBSTITUTE(SUBSTITUTE(SUBSTITUTE(SUBSTITUTE(N35,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35" s="37">
        <f>O35/Table!$D$4</f>
        <v>0</v>
      </c>
      <c r="R35" s="37">
        <f>P35/Table!$C$4</f>
        <v>0</v>
      </c>
      <c r="S35" t="s">
        <v>234</v>
      </c>
    </row>
    <row r="36" spans="2:19" x14ac:dyDescent="0.25">
      <c r="C36" s="55">
        <v>2</v>
      </c>
      <c r="D36" s="26" t="s">
        <v>111</v>
      </c>
      <c r="E36" s="54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6" s="55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6" s="37">
        <f>E36/Table!$D$4</f>
        <v>0</v>
      </c>
      <c r="H36" s="37">
        <f>F36/Table!$C$4</f>
        <v>0</v>
      </c>
      <c r="I36" t="s">
        <v>234</v>
      </c>
      <c r="J36" s="71"/>
      <c r="M36" s="55">
        <v>2</v>
      </c>
      <c r="N36" s="26" t="s">
        <v>111</v>
      </c>
      <c r="O36" s="54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6" s="55">
        <f>VLOOKUP(SUBSTITUTE(SUBSTITUTE(SUBSTITUTE(SUBSTITUTE(SUBSTITUTE(SUBSTITUTE(SUBSTITUTE(SUBSTITUTE(SUBSTITUTE(SUBSTITUTE(SUBSTITUTE(SUBSTITUTE(SUBSTITUTE(SUBSTITUTE(N36,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2102.9010000000003</v>
      </c>
      <c r="Q36" s="37">
        <f>O36/Table!$D$4</f>
        <v>0</v>
      </c>
      <c r="R36" s="37">
        <f>P36/Table!$C$4</f>
        <v>16.176161538461542</v>
      </c>
    </row>
    <row r="37" spans="2:19" x14ac:dyDescent="0.25">
      <c r="C37" s="55">
        <v>3</v>
      </c>
      <c r="D37" s="26" t="s">
        <v>112</v>
      </c>
      <c r="E37" s="54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7" s="55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7" s="37">
        <f>E37/Table!$D$4</f>
        <v>0</v>
      </c>
      <c r="H37" s="37">
        <f>F37/Table!$C$4</f>
        <v>0</v>
      </c>
      <c r="I37" t="s">
        <v>234</v>
      </c>
      <c r="J37" s="71"/>
      <c r="M37" s="55">
        <v>3</v>
      </c>
      <c r="N37" s="26" t="s">
        <v>112</v>
      </c>
      <c r="O37" s="54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7" s="55">
        <f>VLOOKUP(SUBSTITUTE(SUBSTITUTE(SUBSTITUTE(SUBSTITUTE(SUBSTITUTE(SUBSTITUTE(SUBSTITUTE(SUBSTITUTE(SUBSTITUTE(SUBSTITUTE(SUBSTITUTE(SUBSTITUTE(SUBSTITUTE(SUBSTITUTE(N37,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2030.6020000000003</v>
      </c>
      <c r="Q37" s="37">
        <f>O37/Table!$D$4</f>
        <v>0</v>
      </c>
      <c r="R37" s="37">
        <f>P37/Table!$C$4</f>
        <v>15.620015384615387</v>
      </c>
    </row>
    <row r="38" spans="2:19" x14ac:dyDescent="0.25">
      <c r="C38" s="55">
        <v>4</v>
      </c>
      <c r="D38" s="26" t="s">
        <v>113</v>
      </c>
      <c r="E38" s="54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38" s="55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8" s="37">
        <f>E38/Table!$D$4</f>
        <v>0</v>
      </c>
      <c r="H38" s="37">
        <f>F38/Table!$C$4</f>
        <v>0</v>
      </c>
      <c r="I38" t="s">
        <v>234</v>
      </c>
      <c r="J38" s="71"/>
      <c r="M38" s="55">
        <v>4</v>
      </c>
      <c r="N38" s="26" t="s">
        <v>113</v>
      </c>
      <c r="O38" s="54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8" s="55">
        <f>VLOOKUP(SUBSTITUTE(SUBSTITUTE(SUBSTITUTE(SUBSTITUTE(SUBSTITUTE(SUBSTITUTE(SUBSTITUTE(SUBSTITUTE(SUBSTITUTE(SUBSTITUTE(SUBSTITUTE(SUBSTITUTE(SUBSTITUTE(SUBSTITUTE(N38,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2047.0660000000003</v>
      </c>
      <c r="Q38" s="37">
        <f>O38/Table!$D$4</f>
        <v>0</v>
      </c>
      <c r="R38" s="37">
        <f>P38/Table!$C$4</f>
        <v>15.74666153846154</v>
      </c>
    </row>
    <row r="39" spans="2:19" x14ac:dyDescent="0.25">
      <c r="C39" s="55">
        <v>5</v>
      </c>
      <c r="D39" s="26" t="s">
        <v>159</v>
      </c>
      <c r="E39" s="54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982</v>
      </c>
      <c r="F39" s="55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39" s="37">
        <f>E39/Table!$D$4</f>
        <v>2.1822222222222223</v>
      </c>
      <c r="H39" s="37">
        <f>F39/Table!$C$4</f>
        <v>0</v>
      </c>
      <c r="J39" s="71"/>
      <c r="M39" s="55">
        <v>5</v>
      </c>
      <c r="N39" s="26" t="s">
        <v>159</v>
      </c>
      <c r="O39" s="54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39" s="55">
        <f>VLOOKUP(SUBSTITUTE(SUBSTITUTE(SUBSTITUTE(SUBSTITUTE(SUBSTITUTE(SUBSTITUTE(SUBSTITUTE(SUBSTITUTE(SUBSTITUTE(SUBSTITUTE(SUBSTITUTE(SUBSTITUTE(SUBSTITUTE(SUBSTITUTE(N39,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1062.0999999999999</v>
      </c>
      <c r="Q39" s="37">
        <f>O39/Table!$D$4</f>
        <v>0</v>
      </c>
      <c r="R39" s="37">
        <f>P39/Table!$C$4</f>
        <v>8.17</v>
      </c>
      <c r="S39" t="s">
        <v>234</v>
      </c>
    </row>
    <row r="40" spans="2:19" x14ac:dyDescent="0.25">
      <c r="C40" s="55">
        <v>6</v>
      </c>
      <c r="D40" s="26" t="s">
        <v>160</v>
      </c>
      <c r="E40" s="54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6287</v>
      </c>
      <c r="F40" s="55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436</v>
      </c>
      <c r="G40" s="37">
        <f>E40/Table!$D$4</f>
        <v>13.971111111111112</v>
      </c>
      <c r="H40" s="37">
        <f>F40/Table!$C$4</f>
        <v>3.3538461538461539</v>
      </c>
      <c r="J40" s="71"/>
      <c r="M40" s="55">
        <v>6</v>
      </c>
      <c r="N40" s="26" t="s">
        <v>160</v>
      </c>
      <c r="O40" s="54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0" s="55">
        <f>VLOOKUP(SUBSTITUTE(SUBSTITUTE(SUBSTITUTE(SUBSTITUTE(SUBSTITUTE(SUBSTITUTE(SUBSTITUTE(SUBSTITUTE(SUBSTITUTE(SUBSTITUTE(SUBSTITUTE(SUBSTITUTE(SUBSTITUTE(SUBSTITUTE(N40,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0" s="37">
        <f>O40/Table!$D$4</f>
        <v>0</v>
      </c>
      <c r="R40" s="37">
        <f>P40/Table!$C$4</f>
        <v>0</v>
      </c>
      <c r="S40" t="s">
        <v>234</v>
      </c>
    </row>
    <row r="41" spans="2:19" x14ac:dyDescent="0.25">
      <c r="C41" s="55">
        <v>7</v>
      </c>
      <c r="D41" s="26" t="s">
        <v>161</v>
      </c>
      <c r="E41" s="54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6883</v>
      </c>
      <c r="F41" s="55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500</v>
      </c>
      <c r="G41" s="37">
        <f>E41/Table!$D$4</f>
        <v>15.295555555555556</v>
      </c>
      <c r="H41" s="37">
        <f>F41/Table!$C$4</f>
        <v>3.8461538461538463</v>
      </c>
      <c r="J41" s="71"/>
      <c r="M41" s="55">
        <v>7</v>
      </c>
      <c r="N41" s="26" t="s">
        <v>161</v>
      </c>
      <c r="O41" s="54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1" s="55">
        <f>VLOOKUP(SUBSTITUTE(SUBSTITUTE(SUBSTITUTE(SUBSTITUTE(SUBSTITUTE(SUBSTITUTE(SUBSTITUTE(SUBSTITUTE(SUBSTITUTE(SUBSTITUTE(SUBSTITUTE(SUBSTITUTE(SUBSTITUTE(SUBSTITUTE(N41,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1" s="37">
        <f>O41/Table!$D$4</f>
        <v>0</v>
      </c>
      <c r="R41" s="37">
        <f>P41/Table!$C$4</f>
        <v>0</v>
      </c>
      <c r="S41" t="s">
        <v>234</v>
      </c>
    </row>
    <row r="42" spans="2:19" x14ac:dyDescent="0.25">
      <c r="C42" s="55">
        <v>8</v>
      </c>
      <c r="D42" s="26" t="s">
        <v>162</v>
      </c>
      <c r="E42" s="54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6006</v>
      </c>
      <c r="F42" s="55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619</v>
      </c>
      <c r="G42" s="37">
        <f>E42/Table!$D$4</f>
        <v>13.346666666666666</v>
      </c>
      <c r="H42" s="37">
        <f>F42/Table!$C$4</f>
        <v>4.7615384615384615</v>
      </c>
      <c r="J42" s="71"/>
      <c r="M42" s="55">
        <v>8</v>
      </c>
      <c r="N42" s="26" t="s">
        <v>162</v>
      </c>
      <c r="O42" s="54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2" s="55">
        <f>VLOOKUP(SUBSTITUTE(SUBSTITUTE(SUBSTITUTE(SUBSTITUTE(SUBSTITUTE(SUBSTITUTE(SUBSTITUTE(SUBSTITUTE(SUBSTITUTE(SUBSTITUTE(SUBSTITUTE(SUBSTITUTE(SUBSTITUTE(SUBSTITUTE(N42,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2" s="37">
        <f>O42/Table!$D$4</f>
        <v>0</v>
      </c>
      <c r="R42" s="37">
        <f>P42/Table!$C$4</f>
        <v>0</v>
      </c>
      <c r="S42" t="s">
        <v>234</v>
      </c>
    </row>
    <row r="43" spans="2:19" x14ac:dyDescent="0.25">
      <c r="C43" s="55">
        <v>9</v>
      </c>
      <c r="D43" s="26" t="s">
        <v>151</v>
      </c>
      <c r="E43" s="54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3" s="55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3" s="37">
        <f>E43/Table!$D$4</f>
        <v>0</v>
      </c>
      <c r="H43" s="37">
        <f>F43/Table!$C$4</f>
        <v>0</v>
      </c>
      <c r="I43" t="s">
        <v>234</v>
      </c>
      <c r="J43" s="71"/>
      <c r="M43" s="55">
        <v>9</v>
      </c>
      <c r="N43" s="26" t="s">
        <v>151</v>
      </c>
      <c r="O43" s="54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3" s="55">
        <f>VLOOKUP(SUBSTITUTE(SUBSTITUTE(SUBSTITUTE(SUBSTITUTE(SUBSTITUTE(SUBSTITUTE(SUBSTITUTE(SUBSTITUTE(SUBSTITUTE(SUBSTITUTE(SUBSTITUTE(SUBSTITUTE(SUBSTITUTE(SUBSTITUTE(N43,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2085.8679999999999</v>
      </c>
      <c r="Q43" s="37">
        <f>O43/Table!$D$4</f>
        <v>0</v>
      </c>
      <c r="R43" s="37">
        <f>P43/Table!$C$4</f>
        <v>16.04513846153846</v>
      </c>
    </row>
    <row r="44" spans="2:19" x14ac:dyDescent="0.25">
      <c r="C44" s="55">
        <v>10</v>
      </c>
      <c r="D44" s="26" t="s">
        <v>150</v>
      </c>
      <c r="E44" s="54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949</v>
      </c>
      <c r="F44" s="55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4" s="37">
        <f>E44/Table!$D$4</f>
        <v>2.108888888888889</v>
      </c>
      <c r="H44" s="37">
        <f>F44/Table!$C$4</f>
        <v>0</v>
      </c>
      <c r="J44" s="71"/>
      <c r="M44" s="55">
        <v>10</v>
      </c>
      <c r="N44" s="26" t="s">
        <v>150</v>
      </c>
      <c r="O44" s="54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4" s="55">
        <f>VLOOKUP(SUBSTITUTE(SUBSTITUTE(SUBSTITUTE(SUBSTITUTE(SUBSTITUTE(SUBSTITUTE(SUBSTITUTE(SUBSTITUTE(SUBSTITUTE(SUBSTITUTE(SUBSTITUTE(SUBSTITUTE(SUBSTITUTE(SUBSTITUTE(N44,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939.90000000000009</v>
      </c>
      <c r="Q44" s="37">
        <f>O44/Table!$D$4</f>
        <v>0</v>
      </c>
      <c r="R44" s="37">
        <f>P44/Table!$C$4</f>
        <v>7.23</v>
      </c>
      <c r="S44" t="s">
        <v>234</v>
      </c>
    </row>
    <row r="45" spans="2:19" x14ac:dyDescent="0.25">
      <c r="C45" s="55">
        <v>11</v>
      </c>
      <c r="D45" s="26" t="s">
        <v>324</v>
      </c>
      <c r="E45" s="54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0</v>
      </c>
      <c r="F45" s="55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0</v>
      </c>
      <c r="G45" s="37">
        <f>E45/Table!$D$4</f>
        <v>0</v>
      </c>
      <c r="H45" s="37">
        <f>F45/Table!$C$4</f>
        <v>0</v>
      </c>
      <c r="I45" t="s">
        <v>234</v>
      </c>
      <c r="J45" s="71"/>
      <c r="M45" s="55">
        <v>11</v>
      </c>
      <c r="N45" s="26" t="s">
        <v>324</v>
      </c>
      <c r="O45" s="54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1440</v>
      </c>
      <c r="P45" s="55">
        <f>VLOOKUP(SUBSTITUTE(SUBSTITUTE(SUBSTITUTE(SUBSTITUTE(SUBSTITUTE(SUBSTITUTE(SUBSTITUTE(SUBSTITUTE(SUBSTITUTE(SUBSTITUTE(SUBSTITUTE(SUBSTITUTE(SUBSTITUTE(SUBSTITUTE(N45,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1421.924</v>
      </c>
      <c r="Q45" s="37">
        <f>O45/Table!$D$4</f>
        <v>3.2</v>
      </c>
      <c r="R45" s="37">
        <f>P45/Table!$C$4</f>
        <v>10.937876923076923</v>
      </c>
    </row>
    <row r="46" spans="2:19" x14ac:dyDescent="0.25">
      <c r="B46" s="149"/>
      <c r="C46" s="37">
        <v>12</v>
      </c>
      <c r="D46" s="175" t="s">
        <v>230</v>
      </c>
      <c r="E46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5435</v>
      </c>
      <c r="F46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143</v>
      </c>
      <c r="G46" s="37">
        <f>E46/Table!$D$4</f>
        <v>12.077777777777778</v>
      </c>
      <c r="H46" s="37">
        <f>F46/Table!$C$4</f>
        <v>1.1000000000000001</v>
      </c>
      <c r="J46" s="71"/>
      <c r="L46" s="149"/>
      <c r="M46" s="37">
        <v>12</v>
      </c>
      <c r="N46" s="175" t="s">
        <v>230</v>
      </c>
      <c r="O46" s="37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6" s="37">
        <f>VLOOKUP(SUBSTITUTE(SUBSTITUTE(SUBSTITUTE(SUBSTITUTE(SUBSTITUTE(SUBSTITUTE(SUBSTITUTE(SUBSTITUTE(SUBSTITUTE(SUBSTITUTE(SUBSTITUTE(SUBSTITUTE(SUBSTITUTE(SUBSTITUTE(N46,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6" s="37">
        <f>O46/Table!$D$4</f>
        <v>0</v>
      </c>
      <c r="R46" s="37">
        <f>P46/Table!$C$4</f>
        <v>0</v>
      </c>
      <c r="S46" t="s">
        <v>234</v>
      </c>
    </row>
    <row r="47" spans="2:19" x14ac:dyDescent="0.25">
      <c r="C47" s="176">
        <v>13</v>
      </c>
      <c r="D47" s="113" t="s">
        <v>228</v>
      </c>
      <c r="E47" s="17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4056</v>
      </c>
      <c r="F47" s="176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166</v>
      </c>
      <c r="G47" s="37">
        <f>E47/Table!$D$4</f>
        <v>9.0133333333333336</v>
      </c>
      <c r="H47" s="37">
        <f>F47/Table!$C$4</f>
        <v>1.2769230769230768</v>
      </c>
      <c r="J47" s="71"/>
      <c r="M47" s="176">
        <v>13</v>
      </c>
      <c r="N47" s="113" t="s">
        <v>228</v>
      </c>
      <c r="O47" s="176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7" s="176">
        <f>VLOOKUP(SUBSTITUTE(SUBSTITUTE(SUBSTITUTE(SUBSTITUTE(SUBSTITUTE(SUBSTITUTE(SUBSTITUTE(SUBSTITUTE(SUBSTITUTE(SUBSTITUTE(SUBSTITUTE(SUBSTITUTE(SUBSTITUTE(SUBSTITUTE(N47,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7" s="37">
        <f>O47/Table!$D$4</f>
        <v>0</v>
      </c>
      <c r="R47" s="37">
        <f>P47/Table!$C$4</f>
        <v>0</v>
      </c>
      <c r="S47" t="s">
        <v>234</v>
      </c>
    </row>
    <row r="48" spans="2:19" x14ac:dyDescent="0.25">
      <c r="C48" s="55">
        <v>14</v>
      </c>
      <c r="D48" s="26" t="s">
        <v>229</v>
      </c>
      <c r="E48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Chuong","chuong.nguyen-minh"),Merged_COEM!$C$4:$K$17,8,0)</f>
        <v>5008</v>
      </c>
      <c r="F48" s="54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Chuong","chuong.nguyen-minh"),Merged_COEM!$C$23:$K$36,8,0)</f>
        <v>192</v>
      </c>
      <c r="G48" s="37">
        <f>E48/Table!$D$4</f>
        <v>11.128888888888889</v>
      </c>
      <c r="H48" s="37">
        <f>F48/Table!$C$4</f>
        <v>1.476923076923077</v>
      </c>
      <c r="J48" s="71"/>
      <c r="M48" s="55">
        <v>14</v>
      </c>
      <c r="N48" s="26" t="s">
        <v>229</v>
      </c>
      <c r="O48" s="5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Chuong","chuong.nguyen-minh"),Merged_JOEM!$C$4:$K$17,8,0)</f>
        <v>0</v>
      </c>
      <c r="P48" s="54">
        <f>VLOOKUP(SUBSTITUTE(SUBSTITUTE(SUBSTITUTE(SUBSTITUTE(SUBSTITUTE(SUBSTITUTE(SUBSTITUTE(SUBSTITUTE(SUBSTITUTE(SUBSTITUTE(SUBSTITUTE(SUBSTITUTE(SUBSTITUTE(SUBSTITUTE(N48,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Chuong","chuong.nguyen-minh"),Merged_JOEM!$C$23:$K$36,8,0)</f>
        <v>0</v>
      </c>
      <c r="Q48" s="37">
        <f>O48/Table!$D$4</f>
        <v>0</v>
      </c>
      <c r="R48" s="37">
        <f>P48/Table!$C$4</f>
        <v>0</v>
      </c>
      <c r="S48" t="s">
        <v>234</v>
      </c>
    </row>
    <row r="49" spans="2:18" x14ac:dyDescent="0.25">
      <c r="C49" s="28"/>
      <c r="D49" s="27"/>
      <c r="E49" s="56"/>
      <c r="F49" s="56"/>
      <c r="G49" s="173"/>
      <c r="H49" s="173"/>
      <c r="J49" s="71"/>
      <c r="M49" s="28"/>
      <c r="N49" s="27"/>
      <c r="O49" s="56"/>
      <c r="P49" s="56"/>
      <c r="Q49" s="173"/>
      <c r="R49" s="173"/>
    </row>
    <row r="50" spans="2:18" x14ac:dyDescent="0.25">
      <c r="B50" s="1" t="s">
        <v>951</v>
      </c>
      <c r="C50" s="28"/>
      <c r="D50" s="27"/>
      <c r="E50" s="56"/>
      <c r="F50" s="56"/>
      <c r="G50" s="173"/>
      <c r="H50" s="173"/>
      <c r="J50" s="71"/>
      <c r="L50" s="1" t="s">
        <v>951</v>
      </c>
      <c r="M50" s="28"/>
      <c r="N50" s="27"/>
      <c r="O50" s="56"/>
      <c r="P50" s="56"/>
      <c r="Q50" s="173"/>
      <c r="R50" s="173"/>
    </row>
    <row r="51" spans="2:18" x14ac:dyDescent="0.25">
      <c r="C51" s="28"/>
      <c r="D51" s="27"/>
      <c r="E51" s="56"/>
      <c r="F51" s="56"/>
      <c r="G51" s="173"/>
      <c r="H51" s="173"/>
      <c r="J51" s="71"/>
      <c r="M51" s="28"/>
      <c r="N51" s="27"/>
      <c r="O51" s="56"/>
      <c r="P51" s="56"/>
      <c r="Q51" s="173"/>
      <c r="R51" s="173"/>
    </row>
    <row r="52" spans="2:18" ht="45" x14ac:dyDescent="0.25">
      <c r="C52" s="50" t="s">
        <v>25</v>
      </c>
      <c r="D52" s="50" t="s">
        <v>31</v>
      </c>
      <c r="E52" s="177" t="s">
        <v>32</v>
      </c>
      <c r="F52" s="177" t="s">
        <v>33</v>
      </c>
      <c r="G52" s="8" t="s">
        <v>128</v>
      </c>
      <c r="H52" s="8" t="s">
        <v>129</v>
      </c>
      <c r="J52" s="71"/>
      <c r="M52" s="50" t="s">
        <v>25</v>
      </c>
      <c r="N52" s="50" t="s">
        <v>31</v>
      </c>
      <c r="O52" s="177" t="s">
        <v>32</v>
      </c>
      <c r="P52" s="177" t="s">
        <v>33</v>
      </c>
      <c r="Q52" s="8" t="s">
        <v>128</v>
      </c>
      <c r="R52" s="8" t="s">
        <v>129</v>
      </c>
    </row>
    <row r="53" spans="2:18" x14ac:dyDescent="0.25">
      <c r="C53" s="55">
        <v>1</v>
      </c>
      <c r="D53" s="26" t="s">
        <v>110</v>
      </c>
      <c r="E53" s="5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1326</v>
      </c>
      <c r="F53" s="54">
        <f>VLOOKUP(SUBSTITUTE(SUBSTITUTE(SUBSTITUTE(SUBSTITUTE(SUBSTITUTE(SUBSTITUTE(SUBSTITUTE(SUBSTITUTE(SUBSTITUTE(SUBSTITUTE(SUBSTITUTE(SUBSTITUTE(SUBSTITUTE(SUBSTITUTE(D53,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3" s="37">
        <f>E53/Table!$D$4</f>
        <v>2.9466666666666668</v>
      </c>
      <c r="H53" s="37">
        <f>F53/Table!$C$4</f>
        <v>0</v>
      </c>
      <c r="J53" s="71"/>
      <c r="M53" s="55">
        <v>1</v>
      </c>
      <c r="N53" s="26" t="s">
        <v>110</v>
      </c>
      <c r="O53" s="5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3" s="54">
        <f>VLOOKUP(SUBSTITUTE(SUBSTITUTE(SUBSTITUTE(SUBSTITUTE(SUBSTITUTE(SUBSTITUTE(SUBSTITUTE(SUBSTITUTE(SUBSTITUTE(SUBSTITUTE(SUBSTITUTE(SUBSTITUTE(SUBSTITUTE(SUBSTITUTE(N53,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3" s="37">
        <f>O53/Table!$D$4</f>
        <v>0</v>
      </c>
      <c r="R53" s="37">
        <f>P53/Table!$C$4</f>
        <v>0</v>
      </c>
    </row>
    <row r="54" spans="2:18" x14ac:dyDescent="0.25">
      <c r="C54" s="55">
        <v>2</v>
      </c>
      <c r="D54" s="26" t="s">
        <v>111</v>
      </c>
      <c r="E54" s="5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4" s="54">
        <f>VLOOKUP(SUBSTITUTE(SUBSTITUTE(SUBSTITUTE(SUBSTITUTE(SUBSTITUTE(SUBSTITUTE(SUBSTITUTE(SUBSTITUTE(SUBSTITUTE(SUBSTITUTE(SUBSTITUTE(SUBSTITUTE(SUBSTITUTE(SUBSTITUTE(D54,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4" s="37">
        <f>E54/Table!$D$4</f>
        <v>0</v>
      </c>
      <c r="H54" s="37">
        <f>F54/Table!$C$4</f>
        <v>0</v>
      </c>
      <c r="I54" t="s">
        <v>234</v>
      </c>
      <c r="J54" s="71"/>
      <c r="M54" s="55">
        <v>2</v>
      </c>
      <c r="N54" s="26" t="s">
        <v>111</v>
      </c>
      <c r="O54" s="5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4" s="54">
        <f>VLOOKUP(SUBSTITUTE(SUBSTITUTE(SUBSTITUTE(SUBSTITUTE(SUBSTITUTE(SUBSTITUTE(SUBSTITUTE(SUBSTITUTE(SUBSTITUTE(SUBSTITUTE(SUBSTITUTE(SUBSTITUTE(SUBSTITUTE(SUBSTITUTE(N54,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4" s="37">
        <f>O54/Table!$D$4</f>
        <v>0</v>
      </c>
      <c r="R54" s="37">
        <f>P54/Table!$C$4</f>
        <v>0</v>
      </c>
    </row>
    <row r="55" spans="2:18" x14ac:dyDescent="0.25">
      <c r="C55" s="55">
        <v>3</v>
      </c>
      <c r="D55" s="26" t="s">
        <v>112</v>
      </c>
      <c r="E55" s="54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5" s="54">
        <f>VLOOKUP(SUBSTITUTE(SUBSTITUTE(SUBSTITUTE(SUBSTITUTE(SUBSTITUTE(SUBSTITUTE(SUBSTITUTE(SUBSTITUTE(SUBSTITUTE(SUBSTITUTE(SUBSTITUTE(SUBSTITUTE(SUBSTITUTE(SUBSTITUTE(D55,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5" s="37">
        <f>E55/Table!$D$4</f>
        <v>0</v>
      </c>
      <c r="H55" s="37">
        <f>F55/Table!$C$4</f>
        <v>0</v>
      </c>
      <c r="I55" t="s">
        <v>234</v>
      </c>
      <c r="J55" s="71"/>
      <c r="M55" s="55">
        <v>3</v>
      </c>
      <c r="N55" s="26" t="s">
        <v>112</v>
      </c>
      <c r="O55" s="54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5" s="54">
        <f>VLOOKUP(SUBSTITUTE(SUBSTITUTE(SUBSTITUTE(SUBSTITUTE(SUBSTITUTE(SUBSTITUTE(SUBSTITUTE(SUBSTITUTE(SUBSTITUTE(SUBSTITUTE(SUBSTITUTE(SUBSTITUTE(SUBSTITUTE(SUBSTITUTE(N55,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5" s="37">
        <f>O55/Table!$D$4</f>
        <v>0</v>
      </c>
      <c r="R55" s="37">
        <f>P55/Table!$C$4</f>
        <v>0</v>
      </c>
    </row>
    <row r="56" spans="2:18" x14ac:dyDescent="0.25">
      <c r="C56" s="55">
        <v>4</v>
      </c>
      <c r="D56" s="26" t="s">
        <v>113</v>
      </c>
      <c r="E56" s="54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56" s="54">
        <f>VLOOKUP(SUBSTITUTE(SUBSTITUTE(SUBSTITUTE(SUBSTITUTE(SUBSTITUTE(SUBSTITUTE(SUBSTITUTE(SUBSTITUTE(SUBSTITUTE(SUBSTITUTE(SUBSTITUTE(SUBSTITUTE(SUBSTITUTE(SUBSTITUTE(D56,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6" s="37">
        <f>E56/Table!$D$4</f>
        <v>0</v>
      </c>
      <c r="H56" s="37">
        <f>F56/Table!$C$4</f>
        <v>0</v>
      </c>
      <c r="I56" t="s">
        <v>234</v>
      </c>
      <c r="J56" s="71"/>
      <c r="M56" s="55">
        <v>4</v>
      </c>
      <c r="N56" s="26" t="s">
        <v>113</v>
      </c>
      <c r="O56" s="54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6" s="54">
        <f>VLOOKUP(SUBSTITUTE(SUBSTITUTE(SUBSTITUTE(SUBSTITUTE(SUBSTITUTE(SUBSTITUTE(SUBSTITUTE(SUBSTITUTE(SUBSTITUTE(SUBSTITUTE(SUBSTITUTE(SUBSTITUTE(SUBSTITUTE(SUBSTITUTE(N56,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6" s="37">
        <f>O56/Table!$D$4</f>
        <v>0</v>
      </c>
      <c r="R56" s="37">
        <f>P56/Table!$C$4</f>
        <v>0</v>
      </c>
    </row>
    <row r="57" spans="2:18" x14ac:dyDescent="0.25">
      <c r="C57" s="55">
        <v>5</v>
      </c>
      <c r="D57" s="26" t="s">
        <v>159</v>
      </c>
      <c r="E57" s="54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1299</v>
      </c>
      <c r="F57" s="54">
        <f>VLOOKUP(SUBSTITUTE(SUBSTITUTE(SUBSTITUTE(SUBSTITUTE(SUBSTITUTE(SUBSTITUTE(SUBSTITUTE(SUBSTITUTE(SUBSTITUTE(SUBSTITUTE(SUBSTITUTE(SUBSTITUTE(SUBSTITUTE(SUBSTITUTE(D57,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57" s="37">
        <f>E57/Table!$D$4</f>
        <v>2.8866666666666667</v>
      </c>
      <c r="H57" s="37">
        <f>F57/Table!$C$4</f>
        <v>0</v>
      </c>
      <c r="J57" s="71"/>
      <c r="M57" s="55">
        <v>5</v>
      </c>
      <c r="N57" s="26" t="s">
        <v>159</v>
      </c>
      <c r="O57" s="54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7" s="54">
        <f>VLOOKUP(SUBSTITUTE(SUBSTITUTE(SUBSTITUTE(SUBSTITUTE(SUBSTITUTE(SUBSTITUTE(SUBSTITUTE(SUBSTITUTE(SUBSTITUTE(SUBSTITUTE(SUBSTITUTE(SUBSTITUTE(SUBSTITUTE(SUBSTITUTE(N57,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7" s="37">
        <f>O57/Table!$D$4</f>
        <v>0</v>
      </c>
      <c r="R57" s="37">
        <f>P57/Table!$C$4</f>
        <v>0</v>
      </c>
    </row>
    <row r="58" spans="2:18" x14ac:dyDescent="0.25">
      <c r="C58" s="55">
        <v>6</v>
      </c>
      <c r="D58" s="26" t="s">
        <v>160</v>
      </c>
      <c r="E58" s="54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1692</v>
      </c>
      <c r="F58" s="54">
        <f>VLOOKUP(SUBSTITUTE(SUBSTITUTE(SUBSTITUTE(SUBSTITUTE(SUBSTITUTE(SUBSTITUTE(SUBSTITUTE(SUBSTITUTE(SUBSTITUTE(SUBSTITUTE(SUBSTITUTE(SUBSTITUTE(SUBSTITUTE(SUBSTITUTE(D58,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100</v>
      </c>
      <c r="G58" s="37">
        <f>E58/Table!$D$4</f>
        <v>3.76</v>
      </c>
      <c r="H58" s="37">
        <f>F58/Table!$C$4</f>
        <v>0.76923076923076927</v>
      </c>
      <c r="J58" s="71"/>
      <c r="M58" s="55">
        <v>6</v>
      </c>
      <c r="N58" s="26" t="s">
        <v>160</v>
      </c>
      <c r="O58" s="54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8" s="54">
        <f>VLOOKUP(SUBSTITUTE(SUBSTITUTE(SUBSTITUTE(SUBSTITUTE(SUBSTITUTE(SUBSTITUTE(SUBSTITUTE(SUBSTITUTE(SUBSTITUTE(SUBSTITUTE(SUBSTITUTE(SUBSTITUTE(SUBSTITUTE(SUBSTITUTE(N58,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8" s="37">
        <f>O58/Table!$D$4</f>
        <v>0</v>
      </c>
      <c r="R58" s="37">
        <f>P58/Table!$C$4</f>
        <v>0</v>
      </c>
    </row>
    <row r="59" spans="2:18" x14ac:dyDescent="0.25">
      <c r="C59" s="55">
        <v>7</v>
      </c>
      <c r="D59" s="26" t="s">
        <v>161</v>
      </c>
      <c r="E59" s="54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1684</v>
      </c>
      <c r="F59" s="54">
        <f>VLOOKUP(SUBSTITUTE(SUBSTITUTE(SUBSTITUTE(SUBSTITUTE(SUBSTITUTE(SUBSTITUTE(SUBSTITUTE(SUBSTITUTE(SUBSTITUTE(SUBSTITUTE(SUBSTITUTE(SUBSTITUTE(SUBSTITUTE(SUBSTITUTE(D59,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372</v>
      </c>
      <c r="G59" s="37">
        <f>E59/Table!$D$4</f>
        <v>3.7422222222222223</v>
      </c>
      <c r="H59" s="37">
        <f>F59/Table!$C$4</f>
        <v>2.8615384615384616</v>
      </c>
      <c r="J59" s="71"/>
      <c r="M59" s="55">
        <v>7</v>
      </c>
      <c r="N59" s="26" t="s">
        <v>161</v>
      </c>
      <c r="O59" s="54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59" s="54">
        <f>VLOOKUP(SUBSTITUTE(SUBSTITUTE(SUBSTITUTE(SUBSTITUTE(SUBSTITUTE(SUBSTITUTE(SUBSTITUTE(SUBSTITUTE(SUBSTITUTE(SUBSTITUTE(SUBSTITUTE(SUBSTITUTE(SUBSTITUTE(SUBSTITUTE(N59,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59" s="37">
        <f>O59/Table!$D$4</f>
        <v>0</v>
      </c>
      <c r="R59" s="37">
        <f>P59/Table!$C$4</f>
        <v>0</v>
      </c>
    </row>
    <row r="60" spans="2:18" x14ac:dyDescent="0.25">
      <c r="B60" s="149"/>
      <c r="C60" s="37">
        <v>8</v>
      </c>
      <c r="D60" s="175" t="s">
        <v>162</v>
      </c>
      <c r="E60" s="37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2705</v>
      </c>
      <c r="F60" s="37">
        <f>VLOOKUP(SUBSTITUTE(SUBSTITUTE(SUBSTITUTE(SUBSTITUTE(SUBSTITUTE(SUBSTITUTE(SUBSTITUTE(SUBSTITUTE(SUBSTITUTE(SUBSTITUTE(SUBSTITUTE(SUBSTITUTE(SUBSTITUTE(SUBSTITUTE(D60,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133</v>
      </c>
      <c r="G60" s="37">
        <f>E60/Table!$D$4</f>
        <v>6.0111111111111111</v>
      </c>
      <c r="H60" s="37">
        <f>F60/Table!$C$4</f>
        <v>1.023076923076923</v>
      </c>
      <c r="J60" s="71"/>
      <c r="L60" s="149"/>
      <c r="M60" s="37">
        <v>8</v>
      </c>
      <c r="N60" s="175" t="s">
        <v>162</v>
      </c>
      <c r="O60" s="37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0" s="37">
        <f>VLOOKUP(SUBSTITUTE(SUBSTITUTE(SUBSTITUTE(SUBSTITUTE(SUBSTITUTE(SUBSTITUTE(SUBSTITUTE(SUBSTITUTE(SUBSTITUTE(SUBSTITUTE(SUBSTITUTE(SUBSTITUTE(SUBSTITUTE(SUBSTITUTE(N60,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0" s="37">
        <f>O60/Table!$D$4</f>
        <v>0</v>
      </c>
      <c r="R60" s="37">
        <f>P60/Table!$C$4</f>
        <v>0</v>
      </c>
    </row>
    <row r="61" spans="2:18" x14ac:dyDescent="0.25">
      <c r="C61" s="178">
        <v>9</v>
      </c>
      <c r="D61" s="175" t="s">
        <v>151</v>
      </c>
      <c r="E61" s="37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1" s="37">
        <f>VLOOKUP(SUBSTITUTE(SUBSTITUTE(SUBSTITUTE(SUBSTITUTE(SUBSTITUTE(SUBSTITUTE(SUBSTITUTE(SUBSTITUTE(SUBSTITUTE(SUBSTITUTE(SUBSTITUTE(SUBSTITUTE(SUBSTITUTE(SUBSTITUTE(D61,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1" s="37">
        <f>E61/Table!$D$4</f>
        <v>0</v>
      </c>
      <c r="H61" s="37">
        <f>F61/Table!$C$4</f>
        <v>0</v>
      </c>
      <c r="I61" t="s">
        <v>234</v>
      </c>
      <c r="J61" s="71"/>
      <c r="M61" s="178">
        <v>9</v>
      </c>
      <c r="N61" s="175" t="s">
        <v>151</v>
      </c>
      <c r="O61" s="37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1" s="37">
        <f>VLOOKUP(SUBSTITUTE(SUBSTITUTE(SUBSTITUTE(SUBSTITUTE(SUBSTITUTE(SUBSTITUTE(SUBSTITUTE(SUBSTITUTE(SUBSTITUTE(SUBSTITUTE(SUBSTITUTE(SUBSTITUTE(SUBSTITUTE(SUBSTITUTE(N61,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1" s="37">
        <f>O61/Table!$D$4</f>
        <v>0</v>
      </c>
      <c r="R61" s="37">
        <f>P61/Table!$C$4</f>
        <v>0</v>
      </c>
    </row>
    <row r="62" spans="2:18" x14ac:dyDescent="0.25">
      <c r="C62" s="37">
        <v>10</v>
      </c>
      <c r="D62" s="175" t="s">
        <v>150</v>
      </c>
      <c r="E62" s="37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2280</v>
      </c>
      <c r="F62" s="37">
        <f>VLOOKUP(SUBSTITUTE(SUBSTITUTE(SUBSTITUTE(SUBSTITUTE(SUBSTITUTE(SUBSTITUTE(SUBSTITUTE(SUBSTITUTE(SUBSTITUTE(SUBSTITUTE(SUBSTITUTE(SUBSTITUTE(SUBSTITUTE(SUBSTITUTE(D62,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2" s="37">
        <f>E62/Table!$D$4</f>
        <v>5.0666666666666664</v>
      </c>
      <c r="H62" s="37">
        <f>F62/Table!$C$4</f>
        <v>0</v>
      </c>
      <c r="J62" s="71"/>
      <c r="M62" s="37">
        <v>10</v>
      </c>
      <c r="N62" s="175" t="s">
        <v>150</v>
      </c>
      <c r="O62" s="37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2" s="37">
        <f>VLOOKUP(SUBSTITUTE(SUBSTITUTE(SUBSTITUTE(SUBSTITUTE(SUBSTITUTE(SUBSTITUTE(SUBSTITUTE(SUBSTITUTE(SUBSTITUTE(SUBSTITUTE(SUBSTITUTE(SUBSTITUTE(SUBSTITUTE(SUBSTITUTE(N62,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2" s="37">
        <f>O62/Table!$D$4</f>
        <v>0</v>
      </c>
      <c r="R62" s="37">
        <f>P62/Table!$C$4</f>
        <v>0</v>
      </c>
    </row>
    <row r="63" spans="2:18" x14ac:dyDescent="0.25">
      <c r="C63" s="37">
        <v>11</v>
      </c>
      <c r="D63" s="175" t="s">
        <v>324</v>
      </c>
      <c r="E63" s="37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0</v>
      </c>
      <c r="F63" s="37">
        <f>VLOOKUP(SUBSTITUTE(SUBSTITUTE(SUBSTITUTE(SUBSTITUTE(SUBSTITUTE(SUBSTITUTE(SUBSTITUTE(SUBSTITUTE(SUBSTITUTE(SUBSTITUTE(SUBSTITUTE(SUBSTITUTE(SUBSTITUTE(SUBSTITUTE(D63,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3" s="37">
        <f>E63/Table!$D$4</f>
        <v>0</v>
      </c>
      <c r="H63" s="37">
        <f>F63/Table!$C$4</f>
        <v>0</v>
      </c>
      <c r="I63" t="s">
        <v>234</v>
      </c>
      <c r="J63" s="71"/>
      <c r="M63" s="37">
        <v>11</v>
      </c>
      <c r="N63" s="175" t="s">
        <v>324</v>
      </c>
      <c r="O63" s="37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3" s="37">
        <f>VLOOKUP(SUBSTITUTE(SUBSTITUTE(SUBSTITUTE(SUBSTITUTE(SUBSTITUTE(SUBSTITUTE(SUBSTITUTE(SUBSTITUTE(SUBSTITUTE(SUBSTITUTE(SUBSTITUTE(SUBSTITUTE(SUBSTITUTE(SUBSTITUTE(N63,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3" s="37">
        <f>O63/Table!$D$4</f>
        <v>0</v>
      </c>
      <c r="R63" s="37">
        <f>P63/Table!$C$4</f>
        <v>0</v>
      </c>
    </row>
    <row r="64" spans="2:18" x14ac:dyDescent="0.25">
      <c r="C64" s="178">
        <v>12</v>
      </c>
      <c r="D64" s="175" t="s">
        <v>230</v>
      </c>
      <c r="E64" s="37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3862</v>
      </c>
      <c r="F64" s="37">
        <f>VLOOKUP(SUBSTITUTE(SUBSTITUTE(SUBSTITUTE(SUBSTITUTE(SUBSTITUTE(SUBSTITUTE(SUBSTITUTE(SUBSTITUTE(SUBSTITUTE(SUBSTITUTE(SUBSTITUTE(SUBSTITUTE(SUBSTITUTE(SUBSTITUTE(D64,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4" s="37">
        <f>E64/Table!$D$4</f>
        <v>8.5822222222222226</v>
      </c>
      <c r="H64" s="37">
        <f>F64/Table!$C$4</f>
        <v>0</v>
      </c>
      <c r="J64" s="71"/>
      <c r="M64" s="178">
        <v>12</v>
      </c>
      <c r="N64" s="175" t="s">
        <v>230</v>
      </c>
      <c r="O64" s="37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4" s="37">
        <f>VLOOKUP(SUBSTITUTE(SUBSTITUTE(SUBSTITUTE(SUBSTITUTE(SUBSTITUTE(SUBSTITUTE(SUBSTITUTE(SUBSTITUTE(SUBSTITUTE(SUBSTITUTE(SUBSTITUTE(SUBSTITUTE(SUBSTITUTE(SUBSTITUTE(N64,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4" s="37">
        <f>O64/Table!$D$4</f>
        <v>0</v>
      </c>
      <c r="R64" s="37">
        <f>P64/Table!$C$4</f>
        <v>0</v>
      </c>
    </row>
    <row r="65" spans="2:18" x14ac:dyDescent="0.25">
      <c r="C65" s="37">
        <v>13</v>
      </c>
      <c r="D65" s="175" t="s">
        <v>228</v>
      </c>
      <c r="E65" s="37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3631</v>
      </c>
      <c r="F65" s="37">
        <f>VLOOKUP(SUBSTITUTE(SUBSTITUTE(SUBSTITUTE(SUBSTITUTE(SUBSTITUTE(SUBSTITUTE(SUBSTITUTE(SUBSTITUTE(SUBSTITUTE(SUBSTITUTE(SUBSTITUTE(SUBSTITUTE(SUBSTITUTE(SUBSTITUTE(D65,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5" s="37">
        <f>E65/Table!$D$4</f>
        <v>8.068888888888889</v>
      </c>
      <c r="H65" s="37">
        <f>F65/Table!$C$4</f>
        <v>0</v>
      </c>
      <c r="J65" s="71"/>
      <c r="M65" s="37">
        <v>13</v>
      </c>
      <c r="N65" s="175" t="s">
        <v>228</v>
      </c>
      <c r="O65" s="37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5" s="37">
        <f>VLOOKUP(SUBSTITUTE(SUBSTITUTE(SUBSTITUTE(SUBSTITUTE(SUBSTITUTE(SUBSTITUTE(SUBSTITUTE(SUBSTITUTE(SUBSTITUTE(SUBSTITUTE(SUBSTITUTE(SUBSTITUTE(SUBSTITUTE(SUBSTITUTE(N65,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5" s="37">
        <f>O65/Table!$D$4</f>
        <v>0</v>
      </c>
      <c r="R65" s="37">
        <f>P65/Table!$C$4</f>
        <v>0</v>
      </c>
    </row>
    <row r="66" spans="2:18" x14ac:dyDescent="0.25">
      <c r="C66" s="37">
        <v>14</v>
      </c>
      <c r="D66" s="175" t="s">
        <v>229</v>
      </c>
      <c r="E66" s="37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Chuong","chuong.nguyen-minh"),Merged_COEM!$C$4:$K$17,7,0)</f>
        <v>2893</v>
      </c>
      <c r="F66" s="37">
        <f>VLOOKUP(SUBSTITUTE(SUBSTITUTE(SUBSTITUTE(SUBSTITUTE(SUBSTITUTE(SUBSTITUTE(SUBSTITUTE(SUBSTITUTE(SUBSTITUTE(SUBSTITUTE(SUBSTITUTE(SUBSTITUTE(SUBSTITUTE(SUBSTITUTE(D66,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Chuong","chuong.nguyen-minh"),Merged_COEM!$C$23:$K$36,7,0)</f>
        <v>0</v>
      </c>
      <c r="G66" s="37">
        <f>E66/Table!$D$4</f>
        <v>6.4288888888888893</v>
      </c>
      <c r="H66" s="37">
        <f>F66/Table!$C$4</f>
        <v>0</v>
      </c>
      <c r="J66" s="71"/>
      <c r="M66" s="37">
        <v>14</v>
      </c>
      <c r="N66" s="175" t="s">
        <v>229</v>
      </c>
      <c r="O66" s="37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Chuong","chuong.nguyen-minh"),Merged_JOEM!$C$4:$K$17,7,0)</f>
        <v>0</v>
      </c>
      <c r="P66" s="37">
        <f>VLOOKUP(SUBSTITUTE(SUBSTITUTE(SUBSTITUTE(SUBSTITUTE(SUBSTITUTE(SUBSTITUTE(SUBSTITUTE(SUBSTITUTE(SUBSTITUTE(SUBSTITUTE(SUBSTITUTE(SUBSTITUTE(SUBSTITUTE(SUBSTITUTE(N66,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Chuong","chuong.nguyen-minh"),Merged_JOEM!$C$23:$K$36,7,0)</f>
        <v>0</v>
      </c>
      <c r="Q66" s="37">
        <f>O66/Table!$D$4</f>
        <v>0</v>
      </c>
      <c r="R66" s="37">
        <f>P66/Table!$C$4</f>
        <v>0</v>
      </c>
    </row>
    <row r="67" spans="2:18" x14ac:dyDescent="0.25">
      <c r="C67" s="179"/>
      <c r="D67" s="180"/>
      <c r="E67" s="173"/>
      <c r="F67" s="173"/>
      <c r="G67" s="173"/>
      <c r="H67" s="173"/>
      <c r="J67" s="71"/>
      <c r="M67" s="179"/>
      <c r="N67" s="180"/>
      <c r="O67" s="173"/>
      <c r="P67" s="173"/>
      <c r="Q67" s="173"/>
      <c r="R67" s="173"/>
    </row>
    <row r="68" spans="2:18" x14ac:dyDescent="0.25">
      <c r="C68" s="173"/>
      <c r="D68" s="180"/>
      <c r="E68" s="173"/>
      <c r="F68" s="173"/>
      <c r="G68" s="173"/>
      <c r="H68" s="173"/>
      <c r="J68" s="71"/>
      <c r="M68" s="173"/>
      <c r="N68" s="180"/>
      <c r="O68" s="173"/>
      <c r="P68" s="173"/>
      <c r="Q68" s="173"/>
      <c r="R68" s="173"/>
    </row>
    <row r="69" spans="2:18" x14ac:dyDescent="0.25">
      <c r="B69" s="1" t="s">
        <v>34</v>
      </c>
      <c r="J69" s="71"/>
      <c r="L69" s="1" t="s">
        <v>34</v>
      </c>
    </row>
    <row r="70" spans="2:18" x14ac:dyDescent="0.25">
      <c r="C70" s="50" t="s">
        <v>25</v>
      </c>
      <c r="D70" s="45" t="s">
        <v>35</v>
      </c>
      <c r="E70" s="46"/>
      <c r="F70" s="47"/>
      <c r="J70" s="71"/>
      <c r="M70" s="50" t="s">
        <v>25</v>
      </c>
      <c r="N70" s="45" t="s">
        <v>35</v>
      </c>
      <c r="O70" s="46"/>
      <c r="P70" s="47"/>
    </row>
    <row r="71" spans="2:18" x14ac:dyDescent="0.25">
      <c r="C71" s="37">
        <v>1</v>
      </c>
      <c r="D71" s="34" t="s">
        <v>58</v>
      </c>
      <c r="E71" s="35"/>
      <c r="F71" s="36"/>
      <c r="J71" s="71"/>
      <c r="M71" s="37">
        <v>1</v>
      </c>
      <c r="N71" s="34" t="s">
        <v>58</v>
      </c>
      <c r="O71" s="35"/>
      <c r="P71" s="36"/>
    </row>
    <row r="72" spans="2:18" x14ac:dyDescent="0.25">
      <c r="C72" s="37">
        <v>2</v>
      </c>
      <c r="D72" s="34" t="s">
        <v>58</v>
      </c>
      <c r="E72" s="35"/>
      <c r="F72" s="36"/>
      <c r="J72" s="71"/>
      <c r="M72" s="37">
        <v>2</v>
      </c>
      <c r="N72" s="34" t="s">
        <v>58</v>
      </c>
      <c r="O72" s="35"/>
      <c r="P72" s="36"/>
    </row>
    <row r="73" spans="2:18" x14ac:dyDescent="0.25">
      <c r="C73" s="37">
        <v>3</v>
      </c>
      <c r="D73" s="34" t="s">
        <v>58</v>
      </c>
      <c r="E73" s="35"/>
      <c r="F73" s="36"/>
      <c r="J73" s="71"/>
      <c r="L73" s="161"/>
      <c r="M73" s="37">
        <v>3</v>
      </c>
      <c r="N73" s="34" t="s">
        <v>58</v>
      </c>
      <c r="O73" s="35"/>
      <c r="P73" s="36"/>
    </row>
    <row r="74" spans="2:18" x14ac:dyDescent="0.25">
      <c r="C74" s="37">
        <v>4</v>
      </c>
      <c r="D74" s="34" t="s">
        <v>58</v>
      </c>
      <c r="E74" s="35"/>
      <c r="F74" s="36"/>
      <c r="J74" s="71"/>
      <c r="L74" s="161"/>
      <c r="M74" s="37">
        <v>4</v>
      </c>
      <c r="N74" s="34" t="s">
        <v>58</v>
      </c>
      <c r="O74" s="35"/>
      <c r="P74" s="36"/>
    </row>
    <row r="75" spans="2:18" x14ac:dyDescent="0.25">
      <c r="D75" s="161"/>
      <c r="J75" s="71"/>
    </row>
    <row r="76" spans="2:18" x14ac:dyDescent="0.25">
      <c r="B76" s="1" t="s">
        <v>169</v>
      </c>
      <c r="D76" s="161"/>
      <c r="J76" s="71"/>
      <c r="L76" s="1" t="s">
        <v>169</v>
      </c>
    </row>
    <row r="77" spans="2:18" ht="30" x14ac:dyDescent="0.25">
      <c r="C77" s="50" t="s">
        <v>25</v>
      </c>
      <c r="D77" s="50" t="s">
        <v>31</v>
      </c>
      <c r="E77" s="8" t="s">
        <v>126</v>
      </c>
      <c r="F77" s="8" t="s">
        <v>127</v>
      </c>
      <c r="J77" s="71"/>
      <c r="M77" s="50" t="s">
        <v>25</v>
      </c>
      <c r="N77" s="50" t="s">
        <v>31</v>
      </c>
      <c r="O77" s="8" t="s">
        <v>126</v>
      </c>
      <c r="P77" s="8" t="s">
        <v>127</v>
      </c>
    </row>
    <row r="78" spans="2:18" x14ac:dyDescent="0.25">
      <c r="C78" s="37">
        <v>1</v>
      </c>
      <c r="D78" s="26" t="s">
        <v>110</v>
      </c>
      <c r="E78" s="3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9</v>
      </c>
      <c r="F78" s="3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8" s="71"/>
      <c r="M78" s="37">
        <v>1</v>
      </c>
      <c r="N78" s="175" t="s">
        <v>110</v>
      </c>
      <c r="O78" s="3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78" s="37">
        <f>VLOOKUP(SUBSTITUTE(SUBSTITUTE(SUBSTITUTE(SUBSTITUTE(SUBSTITUTE(SUBSTITUTE(SUBSTITUTE(SUBSTITUTE(SUBSTITUTE(SUBSTITUTE(SUBSTITUTE(SUBSTITUTE(SUBSTITUTE(SUBSTITUTE(D35,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79" spans="2:18" x14ac:dyDescent="0.25">
      <c r="C79" s="37">
        <v>2</v>
      </c>
      <c r="D79" s="26" t="s">
        <v>111</v>
      </c>
      <c r="E79" s="37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79" s="37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79" s="71"/>
      <c r="M79" s="37">
        <v>2</v>
      </c>
      <c r="N79" s="175" t="s">
        <v>111</v>
      </c>
      <c r="O79" s="37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79" s="37">
        <f>VLOOKUP(SUBSTITUTE(SUBSTITUTE(SUBSTITUTE(SUBSTITUTE(SUBSTITUTE(SUBSTITUTE(SUBSTITUTE(SUBSTITUTE(SUBSTITUTE(SUBSTITUTE(SUBSTITUTE(SUBSTITUTE(SUBSTITUTE(SUBSTITUTE(D36,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0" spans="2:18" x14ac:dyDescent="0.25">
      <c r="C80" s="37">
        <v>3</v>
      </c>
      <c r="D80" s="26" t="s">
        <v>112</v>
      </c>
      <c r="E80" s="37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0" s="37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0" s="71"/>
      <c r="M80" s="37">
        <v>3</v>
      </c>
      <c r="N80" s="175" t="s">
        <v>112</v>
      </c>
      <c r="O80" s="37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0" s="37">
        <f>VLOOKUP(SUBSTITUTE(SUBSTITUTE(SUBSTITUTE(SUBSTITUTE(SUBSTITUTE(SUBSTITUTE(SUBSTITUTE(SUBSTITUTE(SUBSTITUTE(SUBSTITUTE(SUBSTITUTE(SUBSTITUTE(SUBSTITUTE(SUBSTITUTE(D37,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1" spans="2:16" x14ac:dyDescent="0.25">
      <c r="C81" s="37">
        <v>4</v>
      </c>
      <c r="D81" s="175" t="s">
        <v>113</v>
      </c>
      <c r="E81" s="37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1" s="37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1" s="71"/>
      <c r="M81" s="37">
        <v>4</v>
      </c>
      <c r="N81" s="175" t="s">
        <v>113</v>
      </c>
      <c r="O81" s="37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1" s="37">
        <f>VLOOKUP(SUBSTITUTE(SUBSTITUTE(SUBSTITUTE(SUBSTITUTE(SUBSTITUTE(SUBSTITUTE(SUBSTITUTE(SUBSTITUTE(SUBSTITUTE(SUBSTITUTE(SUBSTITUTE(SUBSTITUTE(SUBSTITUTE(SUBSTITUTE(D38,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2" spans="2:16" x14ac:dyDescent="0.25">
      <c r="C82" s="37">
        <v>5</v>
      </c>
      <c r="D82" s="175" t="s">
        <v>159</v>
      </c>
      <c r="E82" s="37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2" s="37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2" s="71"/>
      <c r="M82" s="37">
        <v>5</v>
      </c>
      <c r="N82" s="175" t="s">
        <v>159</v>
      </c>
      <c r="O82" s="37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1</v>
      </c>
      <c r="P82" s="37">
        <f>VLOOKUP(SUBSTITUTE(SUBSTITUTE(SUBSTITUTE(SUBSTITUTE(SUBSTITUTE(SUBSTITUTE(SUBSTITUTE(SUBSTITUTE(SUBSTITUTE(SUBSTITUTE(SUBSTITUTE(SUBSTITUTE(SUBSTITUTE(SUBSTITUTE(D39,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3" spans="2:16" x14ac:dyDescent="0.25">
      <c r="C83" s="37">
        <v>6</v>
      </c>
      <c r="D83" s="175" t="s">
        <v>160</v>
      </c>
      <c r="E83" s="37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8</v>
      </c>
      <c r="F83" s="37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3" s="71"/>
      <c r="M83" s="37">
        <v>6</v>
      </c>
      <c r="N83" s="175" t="s">
        <v>160</v>
      </c>
      <c r="O83" s="37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3" s="37">
        <f>VLOOKUP(SUBSTITUTE(SUBSTITUTE(SUBSTITUTE(SUBSTITUTE(SUBSTITUTE(SUBSTITUTE(SUBSTITUTE(SUBSTITUTE(SUBSTITUTE(SUBSTITUTE(SUBSTITUTE(SUBSTITUTE(SUBSTITUTE(SUBSTITUTE(D40,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4" spans="2:16" x14ac:dyDescent="0.25">
      <c r="C84" s="37">
        <v>7</v>
      </c>
      <c r="D84" s="175" t="s">
        <v>161</v>
      </c>
      <c r="E84" s="37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14</v>
      </c>
      <c r="F84" s="37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4" s="71"/>
      <c r="M84" s="37">
        <v>7</v>
      </c>
      <c r="N84" s="175" t="s">
        <v>161</v>
      </c>
      <c r="O84" s="37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4" s="37">
        <f>VLOOKUP(SUBSTITUTE(SUBSTITUTE(SUBSTITUTE(SUBSTITUTE(SUBSTITUTE(SUBSTITUTE(SUBSTITUTE(SUBSTITUTE(SUBSTITUTE(SUBSTITUTE(SUBSTITUTE(SUBSTITUTE(SUBSTITUTE(SUBSTITUTE(D41,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5" spans="2:16" x14ac:dyDescent="0.25">
      <c r="C85" s="37">
        <v>8</v>
      </c>
      <c r="D85" s="175" t="s">
        <v>162</v>
      </c>
      <c r="E85" s="37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7</v>
      </c>
      <c r="F85" s="37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5" s="71"/>
      <c r="M85" s="37">
        <v>8</v>
      </c>
      <c r="N85" s="175" t="s">
        <v>162</v>
      </c>
      <c r="O85" s="37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5" s="37">
        <f>VLOOKUP(SUBSTITUTE(SUBSTITUTE(SUBSTITUTE(SUBSTITUTE(SUBSTITUTE(SUBSTITUTE(SUBSTITUTE(SUBSTITUTE(SUBSTITUTE(SUBSTITUTE(SUBSTITUTE(SUBSTITUTE(SUBSTITUTE(SUBSTITUTE(D42,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6" spans="2:16" x14ac:dyDescent="0.25">
      <c r="C86" s="37">
        <v>9</v>
      </c>
      <c r="D86" s="175" t="s">
        <v>151</v>
      </c>
      <c r="E86" s="37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6" s="37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6" s="71"/>
      <c r="M86" s="37">
        <v>9</v>
      </c>
      <c r="N86" s="175" t="s">
        <v>151</v>
      </c>
      <c r="O86" s="37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6" s="37">
        <f>VLOOKUP(SUBSTITUTE(SUBSTITUTE(SUBSTITUTE(SUBSTITUTE(SUBSTITUTE(SUBSTITUTE(SUBSTITUTE(SUBSTITUTE(SUBSTITUTE(SUBSTITUTE(SUBSTITUTE(SUBSTITUTE(SUBSTITUTE(SUBSTITUTE(D43,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7" spans="2:16" x14ac:dyDescent="0.25">
      <c r="C87" s="37">
        <v>10</v>
      </c>
      <c r="D87" s="175" t="s">
        <v>150</v>
      </c>
      <c r="E87" s="37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1</v>
      </c>
      <c r="F87" s="37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7" s="71"/>
      <c r="M87" s="37">
        <v>10</v>
      </c>
      <c r="N87" s="175" t="s">
        <v>150</v>
      </c>
      <c r="O87" s="37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7" s="37">
        <f>VLOOKUP(SUBSTITUTE(SUBSTITUTE(SUBSTITUTE(SUBSTITUTE(SUBSTITUTE(SUBSTITUTE(SUBSTITUTE(SUBSTITUTE(SUBSTITUTE(SUBSTITUTE(SUBSTITUTE(SUBSTITUTE(SUBSTITUTE(SUBSTITUTE(D44,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8" spans="2:16" x14ac:dyDescent="0.25">
      <c r="C88" s="37">
        <v>11</v>
      </c>
      <c r="D88" s="175" t="s">
        <v>324</v>
      </c>
      <c r="E88" s="37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0</v>
      </c>
      <c r="F88" s="37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8" s="71"/>
      <c r="M88" s="37">
        <v>11</v>
      </c>
      <c r="N88" s="175" t="s">
        <v>324</v>
      </c>
      <c r="O88" s="37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8" s="37">
        <f>VLOOKUP(SUBSTITUTE(SUBSTITUTE(SUBSTITUTE(SUBSTITUTE(SUBSTITUTE(SUBSTITUTE(SUBSTITUTE(SUBSTITUTE(SUBSTITUTE(SUBSTITUTE(SUBSTITUTE(SUBSTITUTE(SUBSTITUTE(SUBSTITUTE(D45,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89" spans="2:16" x14ac:dyDescent="0.25">
      <c r="C89" s="37">
        <v>12</v>
      </c>
      <c r="D89" s="175" t="s">
        <v>230</v>
      </c>
      <c r="E89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4</v>
      </c>
      <c r="F89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89" s="71"/>
      <c r="M89" s="37">
        <v>12</v>
      </c>
      <c r="N89" s="175" t="s">
        <v>230</v>
      </c>
      <c r="O89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89" s="37">
        <f>VLOOKUP(SUBSTITUTE(SUBSTITUTE(SUBSTITUTE(SUBSTITUTE(SUBSTITUTE(SUBSTITUTE(SUBSTITUTE(SUBSTITUTE(SUBSTITUTE(SUBSTITUTE(SUBSTITUTE(SUBSTITUTE(SUBSTITUTE(SUBSTITUTE(D46,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0" spans="2:16" x14ac:dyDescent="0.25">
      <c r="C90" s="37">
        <v>13</v>
      </c>
      <c r="D90" s="175" t="s">
        <v>228</v>
      </c>
      <c r="E90" s="37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3</v>
      </c>
      <c r="F90" s="37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0" s="71"/>
      <c r="M90" s="37">
        <v>13</v>
      </c>
      <c r="N90" s="175" t="s">
        <v>228</v>
      </c>
      <c r="O90" s="37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0" s="37">
        <f>VLOOKUP(SUBSTITUTE(SUBSTITUTE(SUBSTITUTE(SUBSTITUTE(SUBSTITUTE(SUBSTITUTE(SUBSTITUTE(SUBSTITUTE(SUBSTITUTE(SUBSTITUTE(SUBSTITUTE(SUBSTITUTE(SUBSTITUTE(SUBSTITUTE(D47,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1" spans="2:16" x14ac:dyDescent="0.25">
      <c r="C91" s="37">
        <v>14</v>
      </c>
      <c r="D91" s="175" t="s">
        <v>229</v>
      </c>
      <c r="E91" s="37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Chuong","chuong.nguyen-minh"),Merged_COEM!$C$42:$M$55,10,0)</f>
        <v>6</v>
      </c>
      <c r="F91" s="37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Chuong","chuong.nguyen-minh"),Merged_COEM!$C$42:$M$55,11,0)</f>
        <v>0</v>
      </c>
      <c r="J91" s="71"/>
      <c r="M91" s="37">
        <v>14</v>
      </c>
      <c r="N91" s="175" t="s">
        <v>229</v>
      </c>
      <c r="O91" s="37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Chuong","chuong.nguyen-minh"),Merged_JOEM!$C$42:$M$55,10,0)</f>
        <v>0</v>
      </c>
      <c r="P91" s="37">
        <f>VLOOKUP(SUBSTITUTE(SUBSTITUTE(SUBSTITUTE(SUBSTITUTE(SUBSTITUTE(SUBSTITUTE(SUBSTITUTE(SUBSTITUTE(SUBSTITUTE(SUBSTITUTE(SUBSTITUTE(SUBSTITUTE(SUBSTITUTE(SUBSTITUTE(D48,
"Nguyen Trung Hieu","hieu.nguyen-trung"),
"Nguyen Tai Hau","hau.nguyen-tai"),
"Nguyen Duy Bang","bang.nguyen-duy"),
"Luu Cong Dac","dac.luu-cong"),
"Nguyen Tuan Duong","duong.nguyen-tuan"),
"Do Phu Loc","loc.do-phu"),
"Nguyen Kim Thanh","thanh.nguyen-kim"),
"Ly Chung","chung.ly"),
"Do Anh Huy","huy.do-anh"),
"Nguyen Thanh Phuong","phuong.nguyen-thanh"),
"Phan The Nam","nam.phan-the"),
"Duong Chi Khang","khang.duong-chi"),
"Nguyen Tran Hoang Huy","huy.nguyen-hoang"),
"Nguyen Minh Chuong","chuong.nguyen-minh"),Merged_JOEM!$C$42:$M$55,11,0)</f>
        <v>0</v>
      </c>
    </row>
    <row r="92" spans="2:16" x14ac:dyDescent="0.25">
      <c r="C92" s="173"/>
      <c r="D92" s="180"/>
      <c r="E92" s="173"/>
      <c r="F92" s="173"/>
      <c r="J92" s="71"/>
      <c r="M92" s="173"/>
      <c r="N92" s="180"/>
      <c r="O92" s="173"/>
      <c r="P92" s="173"/>
    </row>
    <row r="93" spans="2:16" x14ac:dyDescent="0.25">
      <c r="B93" s="1" t="s">
        <v>170</v>
      </c>
      <c r="J93" s="71"/>
      <c r="L93" s="1" t="s">
        <v>170</v>
      </c>
    </row>
    <row r="94" spans="2:16" ht="30" x14ac:dyDescent="0.25">
      <c r="C94" s="50" t="s">
        <v>25</v>
      </c>
      <c r="D94" s="50" t="s">
        <v>31</v>
      </c>
      <c r="E94" s="8" t="s">
        <v>36</v>
      </c>
      <c r="F94" s="8" t="s">
        <v>37</v>
      </c>
      <c r="J94" s="71"/>
      <c r="M94" s="50" t="s">
        <v>25</v>
      </c>
      <c r="N94" s="50" t="s">
        <v>31</v>
      </c>
      <c r="O94" s="8" t="s">
        <v>36</v>
      </c>
      <c r="P94" s="8" t="s">
        <v>37</v>
      </c>
    </row>
    <row r="95" spans="2:16" x14ac:dyDescent="0.25">
      <c r="C95" s="37">
        <v>1</v>
      </c>
      <c r="D95" s="175" t="s">
        <v>110</v>
      </c>
      <c r="E95" s="181" t="s">
        <v>58</v>
      </c>
      <c r="F95" s="181" t="s">
        <v>58</v>
      </c>
      <c r="J95" s="71"/>
      <c r="M95" s="37">
        <v>1</v>
      </c>
      <c r="N95" s="175" t="s">
        <v>110</v>
      </c>
      <c r="O95" s="181" t="s">
        <v>58</v>
      </c>
      <c r="P95" s="181" t="s">
        <v>58</v>
      </c>
    </row>
    <row r="96" spans="2:16" x14ac:dyDescent="0.25">
      <c r="C96" s="37">
        <v>2</v>
      </c>
      <c r="D96" s="175" t="s">
        <v>111</v>
      </c>
      <c r="E96" s="181" t="s">
        <v>58</v>
      </c>
      <c r="F96" s="181" t="s">
        <v>58</v>
      </c>
      <c r="J96" s="71"/>
      <c r="M96" s="37">
        <v>2</v>
      </c>
      <c r="N96" s="175" t="s">
        <v>111</v>
      </c>
      <c r="O96" s="181" t="s">
        <v>58</v>
      </c>
      <c r="P96" s="181" t="s">
        <v>58</v>
      </c>
    </row>
    <row r="97" spans="2:16" x14ac:dyDescent="0.25">
      <c r="C97" s="37">
        <v>3</v>
      </c>
      <c r="D97" s="175" t="s">
        <v>112</v>
      </c>
      <c r="E97" s="181" t="s">
        <v>58</v>
      </c>
      <c r="F97" s="181" t="s">
        <v>58</v>
      </c>
      <c r="J97" s="71"/>
      <c r="M97" s="37">
        <v>3</v>
      </c>
      <c r="N97" s="175" t="s">
        <v>112</v>
      </c>
      <c r="O97" s="181" t="s">
        <v>58</v>
      </c>
      <c r="P97" s="181" t="s">
        <v>58</v>
      </c>
    </row>
    <row r="98" spans="2:16" x14ac:dyDescent="0.25">
      <c r="C98" s="37">
        <v>4</v>
      </c>
      <c r="D98" s="175" t="s">
        <v>113</v>
      </c>
      <c r="E98" s="181" t="s">
        <v>58</v>
      </c>
      <c r="F98" s="181" t="s">
        <v>58</v>
      </c>
      <c r="J98" s="71"/>
      <c r="M98" s="37">
        <v>4</v>
      </c>
      <c r="N98" s="175" t="s">
        <v>113</v>
      </c>
      <c r="O98" s="181" t="s">
        <v>58</v>
      </c>
      <c r="P98" s="181" t="s">
        <v>58</v>
      </c>
    </row>
    <row r="99" spans="2:16" x14ac:dyDescent="0.25">
      <c r="C99" s="37">
        <v>5</v>
      </c>
      <c r="D99" s="175" t="s">
        <v>159</v>
      </c>
      <c r="E99" s="181" t="s">
        <v>58</v>
      </c>
      <c r="F99" s="181" t="s">
        <v>58</v>
      </c>
      <c r="J99" s="71"/>
      <c r="M99" s="37">
        <v>5</v>
      </c>
      <c r="N99" s="175" t="s">
        <v>159</v>
      </c>
      <c r="O99" s="181" t="s">
        <v>58</v>
      </c>
      <c r="P99" s="181" t="s">
        <v>58</v>
      </c>
    </row>
    <row r="100" spans="2:16" x14ac:dyDescent="0.25">
      <c r="C100" s="37">
        <v>6</v>
      </c>
      <c r="D100" s="175" t="s">
        <v>160</v>
      </c>
      <c r="E100" s="181" t="s">
        <v>58</v>
      </c>
      <c r="F100" s="181" t="s">
        <v>58</v>
      </c>
      <c r="J100" s="71"/>
      <c r="M100" s="37">
        <v>6</v>
      </c>
      <c r="N100" s="175" t="s">
        <v>160</v>
      </c>
      <c r="O100" s="181" t="s">
        <v>58</v>
      </c>
      <c r="P100" s="181" t="s">
        <v>58</v>
      </c>
    </row>
    <row r="101" spans="2:16" x14ac:dyDescent="0.25">
      <c r="C101" s="37">
        <v>7</v>
      </c>
      <c r="D101" s="175" t="s">
        <v>161</v>
      </c>
      <c r="E101" s="181" t="s">
        <v>58</v>
      </c>
      <c r="F101" s="181" t="s">
        <v>58</v>
      </c>
      <c r="J101" s="71"/>
      <c r="M101" s="37">
        <v>7</v>
      </c>
      <c r="N101" s="175" t="s">
        <v>161</v>
      </c>
      <c r="O101" s="181" t="s">
        <v>58</v>
      </c>
      <c r="P101" s="181" t="s">
        <v>58</v>
      </c>
    </row>
    <row r="102" spans="2:16" x14ac:dyDescent="0.25">
      <c r="C102" s="37">
        <v>8</v>
      </c>
      <c r="D102" s="175" t="s">
        <v>162</v>
      </c>
      <c r="E102" s="181" t="s">
        <v>58</v>
      </c>
      <c r="F102" s="181" t="s">
        <v>58</v>
      </c>
      <c r="J102" s="71"/>
      <c r="M102" s="37">
        <v>8</v>
      </c>
      <c r="N102" s="175" t="s">
        <v>162</v>
      </c>
      <c r="O102" s="181" t="s">
        <v>58</v>
      </c>
      <c r="P102" s="181" t="s">
        <v>58</v>
      </c>
    </row>
    <row r="103" spans="2:16" x14ac:dyDescent="0.25">
      <c r="C103" s="37">
        <v>9</v>
      </c>
      <c r="D103" s="175" t="s">
        <v>151</v>
      </c>
      <c r="E103" s="181" t="s">
        <v>58</v>
      </c>
      <c r="F103" s="181" t="s">
        <v>58</v>
      </c>
      <c r="J103" s="71"/>
      <c r="M103" s="37">
        <v>9</v>
      </c>
      <c r="N103" s="175" t="s">
        <v>151</v>
      </c>
      <c r="O103" s="181" t="s">
        <v>58</v>
      </c>
      <c r="P103" s="181" t="s">
        <v>58</v>
      </c>
    </row>
    <row r="104" spans="2:16" x14ac:dyDescent="0.25">
      <c r="C104" s="37">
        <v>10</v>
      </c>
      <c r="D104" s="175" t="s">
        <v>150</v>
      </c>
      <c r="E104" s="181" t="s">
        <v>58</v>
      </c>
      <c r="F104" s="181" t="s">
        <v>58</v>
      </c>
      <c r="J104" s="71"/>
      <c r="M104" s="37">
        <v>10</v>
      </c>
      <c r="N104" s="175" t="s">
        <v>150</v>
      </c>
      <c r="O104" s="181" t="s">
        <v>58</v>
      </c>
      <c r="P104" s="181" t="s">
        <v>58</v>
      </c>
    </row>
    <row r="105" spans="2:16" x14ac:dyDescent="0.25">
      <c r="C105" s="37">
        <v>11</v>
      </c>
      <c r="D105" s="175" t="s">
        <v>324</v>
      </c>
      <c r="E105" s="181" t="s">
        <v>58</v>
      </c>
      <c r="F105" s="181" t="s">
        <v>58</v>
      </c>
      <c r="J105" s="71"/>
      <c r="M105" s="37">
        <v>11</v>
      </c>
      <c r="N105" s="175" t="s">
        <v>324</v>
      </c>
      <c r="O105" s="181" t="s">
        <v>58</v>
      </c>
      <c r="P105" s="181" t="s">
        <v>58</v>
      </c>
    </row>
    <row r="106" spans="2:16" x14ac:dyDescent="0.25">
      <c r="C106" s="37">
        <v>12</v>
      </c>
      <c r="D106" s="175" t="s">
        <v>230</v>
      </c>
      <c r="E106" s="181" t="s">
        <v>58</v>
      </c>
      <c r="F106" s="181" t="s">
        <v>58</v>
      </c>
      <c r="J106" s="71"/>
      <c r="M106" s="37">
        <v>12</v>
      </c>
      <c r="N106" s="175" t="s">
        <v>230</v>
      </c>
      <c r="O106" s="181" t="s">
        <v>58</v>
      </c>
      <c r="P106" s="181" t="s">
        <v>58</v>
      </c>
    </row>
    <row r="107" spans="2:16" x14ac:dyDescent="0.25">
      <c r="C107" s="37">
        <v>13</v>
      </c>
      <c r="D107" s="175" t="s">
        <v>228</v>
      </c>
      <c r="E107" s="181" t="s">
        <v>58</v>
      </c>
      <c r="F107" s="181" t="s">
        <v>58</v>
      </c>
      <c r="J107" s="71"/>
      <c r="M107" s="37">
        <v>13</v>
      </c>
      <c r="N107" s="175" t="s">
        <v>228</v>
      </c>
      <c r="O107" s="181" t="s">
        <v>58</v>
      </c>
      <c r="P107" s="181" t="s">
        <v>58</v>
      </c>
    </row>
    <row r="108" spans="2:16" x14ac:dyDescent="0.25">
      <c r="C108" s="37">
        <v>14</v>
      </c>
      <c r="D108" s="175" t="s">
        <v>229</v>
      </c>
      <c r="E108" s="181" t="s">
        <v>58</v>
      </c>
      <c r="F108" s="181" t="s">
        <v>58</v>
      </c>
      <c r="J108" s="71"/>
      <c r="M108" s="37">
        <v>14</v>
      </c>
      <c r="N108" s="175" t="s">
        <v>229</v>
      </c>
      <c r="O108" s="181" t="s">
        <v>58</v>
      </c>
      <c r="P108" s="181" t="s">
        <v>58</v>
      </c>
    </row>
    <row r="109" spans="2:16" x14ac:dyDescent="0.25">
      <c r="C109" s="173"/>
      <c r="D109" s="180"/>
      <c r="E109" s="173"/>
      <c r="F109" s="173"/>
      <c r="J109" s="71"/>
      <c r="M109" s="173"/>
      <c r="N109" s="180"/>
      <c r="O109" s="173"/>
      <c r="P109" s="173"/>
    </row>
    <row r="110" spans="2:16" x14ac:dyDescent="0.25">
      <c r="C110" s="173"/>
      <c r="D110" s="180"/>
      <c r="E110" s="173"/>
      <c r="F110" s="173"/>
      <c r="J110" s="71"/>
      <c r="M110" s="173"/>
      <c r="N110" s="180"/>
      <c r="O110" s="173"/>
      <c r="P110" s="173"/>
    </row>
    <row r="111" spans="2:16" x14ac:dyDescent="0.25">
      <c r="B111" s="1" t="s">
        <v>39</v>
      </c>
      <c r="J111" s="71"/>
      <c r="L111" s="1" t="s">
        <v>39</v>
      </c>
    </row>
    <row r="112" spans="2:16" x14ac:dyDescent="0.25">
      <c r="C112" s="1" t="s">
        <v>41</v>
      </c>
      <c r="J112" s="71"/>
      <c r="M112" s="1" t="s">
        <v>41</v>
      </c>
    </row>
    <row r="113" spans="2:14" x14ac:dyDescent="0.25">
      <c r="D113" t="s">
        <v>40</v>
      </c>
      <c r="J113" s="71"/>
      <c r="N113" t="s">
        <v>40</v>
      </c>
    </row>
    <row r="114" spans="2:14" x14ac:dyDescent="0.25">
      <c r="D114" t="s">
        <v>93</v>
      </c>
      <c r="J114" s="71"/>
      <c r="N114" t="s">
        <v>93</v>
      </c>
    </row>
    <row r="115" spans="2:14" x14ac:dyDescent="0.25">
      <c r="C115" s="1" t="s">
        <v>156</v>
      </c>
      <c r="J115" s="71"/>
      <c r="M115" s="1" t="s">
        <v>156</v>
      </c>
    </row>
    <row r="116" spans="2:14" x14ac:dyDescent="0.25">
      <c r="D116" t="s">
        <v>157</v>
      </c>
      <c r="J116" s="71"/>
      <c r="N116" t="s">
        <v>157</v>
      </c>
    </row>
    <row r="117" spans="2:14" x14ac:dyDescent="0.25">
      <c r="D117" t="s">
        <v>158</v>
      </c>
      <c r="J117" s="71"/>
      <c r="N117" t="s">
        <v>158</v>
      </c>
    </row>
    <row r="118" spans="2:14" x14ac:dyDescent="0.25">
      <c r="J118" s="71"/>
    </row>
    <row r="119" spans="2:14" x14ac:dyDescent="0.25">
      <c r="J119" s="71"/>
    </row>
    <row r="120" spans="2:14" x14ac:dyDescent="0.25">
      <c r="B120" t="s">
        <v>163</v>
      </c>
      <c r="C120" t="s">
        <v>155</v>
      </c>
      <c r="J120" s="71"/>
      <c r="K120" t="s">
        <v>154</v>
      </c>
    </row>
    <row r="121" spans="2:14" x14ac:dyDescent="0.25">
      <c r="D121" s="175" t="s">
        <v>110</v>
      </c>
      <c r="J121" s="71"/>
      <c r="L121" s="175" t="s">
        <v>111</v>
      </c>
    </row>
    <row r="122" spans="2:14" x14ac:dyDescent="0.25">
      <c r="D122" s="175" t="s">
        <v>159</v>
      </c>
      <c r="J122" s="71"/>
      <c r="L122" s="175" t="s">
        <v>112</v>
      </c>
    </row>
    <row r="123" spans="2:14" x14ac:dyDescent="0.25">
      <c r="D123" s="175" t="s">
        <v>160</v>
      </c>
      <c r="J123" s="71"/>
      <c r="L123" s="175" t="s">
        <v>113</v>
      </c>
      <c r="M123" s="32"/>
    </row>
    <row r="124" spans="2:14" x14ac:dyDescent="0.25">
      <c r="D124" s="175" t="s">
        <v>161</v>
      </c>
      <c r="J124" s="71"/>
      <c r="L124" s="175" t="s">
        <v>151</v>
      </c>
    </row>
    <row r="125" spans="2:14" x14ac:dyDescent="0.25">
      <c r="D125" s="175" t="s">
        <v>162</v>
      </c>
      <c r="J125" s="71"/>
      <c r="L125" s="175" t="s">
        <v>324</v>
      </c>
    </row>
    <row r="126" spans="2:14" x14ac:dyDescent="0.25">
      <c r="D126" s="175" t="s">
        <v>150</v>
      </c>
      <c r="J126" s="71"/>
    </row>
    <row r="127" spans="2:14" x14ac:dyDescent="0.25">
      <c r="D127" s="175" t="s">
        <v>230</v>
      </c>
      <c r="J127" s="71"/>
    </row>
    <row r="128" spans="2:14" x14ac:dyDescent="0.25">
      <c r="D128" s="175" t="s">
        <v>228</v>
      </c>
      <c r="J128" s="71"/>
    </row>
    <row r="129" spans="4:10" x14ac:dyDescent="0.25">
      <c r="D129" s="175" t="s">
        <v>229</v>
      </c>
      <c r="J129" s="71"/>
    </row>
    <row r="130" spans="4:10" x14ac:dyDescent="0.25">
      <c r="D130" s="180"/>
      <c r="J130" s="71"/>
    </row>
    <row r="131" spans="4:10" x14ac:dyDescent="0.25">
      <c r="D131" s="180"/>
      <c r="E131" s="182" t="s">
        <v>155</v>
      </c>
      <c r="G131" s="71" t="s">
        <v>154</v>
      </c>
    </row>
    <row r="132" spans="4:10" x14ac:dyDescent="0.25">
      <c r="D132" t="s">
        <v>110</v>
      </c>
      <c r="E132" s="183">
        <v>44003</v>
      </c>
      <c r="F132" t="s">
        <v>325</v>
      </c>
      <c r="G132" t="s">
        <v>144</v>
      </c>
    </row>
    <row r="133" spans="4:10" x14ac:dyDescent="0.25">
      <c r="D133" t="s">
        <v>111</v>
      </c>
      <c r="E133" t="s">
        <v>144</v>
      </c>
      <c r="G133" s="183">
        <v>44003</v>
      </c>
      <c r="H133" t="s">
        <v>325</v>
      </c>
    </row>
    <row r="134" spans="4:10" x14ac:dyDescent="0.25">
      <c r="D134" t="s">
        <v>112</v>
      </c>
      <c r="E134" t="s">
        <v>144</v>
      </c>
      <c r="G134" s="183">
        <v>44003</v>
      </c>
      <c r="H134" t="s">
        <v>325</v>
      </c>
    </row>
    <row r="135" spans="4:10" x14ac:dyDescent="0.25">
      <c r="D135" t="s">
        <v>113</v>
      </c>
      <c r="E135" t="s">
        <v>144</v>
      </c>
      <c r="G135" s="183">
        <v>44003</v>
      </c>
      <c r="H135" t="s">
        <v>325</v>
      </c>
    </row>
    <row r="136" spans="4:10" x14ac:dyDescent="0.25">
      <c r="D136" t="s">
        <v>159</v>
      </c>
      <c r="E136" s="183">
        <v>44003</v>
      </c>
      <c r="F136" t="s">
        <v>325</v>
      </c>
      <c r="G136" t="s">
        <v>144</v>
      </c>
    </row>
    <row r="137" spans="4:10" x14ac:dyDescent="0.25">
      <c r="D137" t="s">
        <v>160</v>
      </c>
      <c r="E137" s="183">
        <v>44003</v>
      </c>
      <c r="F137" t="s">
        <v>325</v>
      </c>
      <c r="G137" t="s">
        <v>144</v>
      </c>
    </row>
    <row r="138" spans="4:10" x14ac:dyDescent="0.25">
      <c r="D138" t="s">
        <v>161</v>
      </c>
      <c r="E138" s="183">
        <v>44003</v>
      </c>
      <c r="F138" t="s">
        <v>325</v>
      </c>
      <c r="G138" t="s">
        <v>144</v>
      </c>
    </row>
    <row r="139" spans="4:10" x14ac:dyDescent="0.25">
      <c r="D139" t="s">
        <v>162</v>
      </c>
      <c r="E139" s="183">
        <v>44003</v>
      </c>
      <c r="F139" t="s">
        <v>325</v>
      </c>
      <c r="G139" t="s">
        <v>144</v>
      </c>
    </row>
    <row r="140" spans="4:10" x14ac:dyDescent="0.25">
      <c r="D140" t="s">
        <v>151</v>
      </c>
      <c r="E140" t="s">
        <v>144</v>
      </c>
      <c r="G140" s="183">
        <v>44003</v>
      </c>
      <c r="H140" t="s">
        <v>325</v>
      </c>
    </row>
    <row r="141" spans="4:10" x14ac:dyDescent="0.25">
      <c r="D141" t="s">
        <v>150</v>
      </c>
      <c r="E141" s="183">
        <v>44003</v>
      </c>
      <c r="F141" t="s">
        <v>325</v>
      </c>
      <c r="G141" t="s">
        <v>144</v>
      </c>
    </row>
    <row r="142" spans="4:10" x14ac:dyDescent="0.25">
      <c r="D142" t="s">
        <v>324</v>
      </c>
      <c r="E142" t="s">
        <v>144</v>
      </c>
      <c r="G142" s="183">
        <v>44003</v>
      </c>
      <c r="H142" t="s">
        <v>325</v>
      </c>
    </row>
    <row r="143" spans="4:10" x14ac:dyDescent="0.25">
      <c r="D143" t="s">
        <v>230</v>
      </c>
      <c r="E143" s="183">
        <v>44003</v>
      </c>
      <c r="F143" t="s">
        <v>325</v>
      </c>
      <c r="G143" t="s">
        <v>144</v>
      </c>
    </row>
    <row r="144" spans="4:10" x14ac:dyDescent="0.25">
      <c r="D144" t="s">
        <v>228</v>
      </c>
      <c r="E144" s="183">
        <v>44003</v>
      </c>
      <c r="F144" t="s">
        <v>325</v>
      </c>
      <c r="G144" t="s">
        <v>144</v>
      </c>
    </row>
    <row r="145" spans="4:7" x14ac:dyDescent="0.25">
      <c r="D145" t="s">
        <v>229</v>
      </c>
      <c r="E145" s="183">
        <v>44003</v>
      </c>
      <c r="F145" t="s">
        <v>325</v>
      </c>
      <c r="G145" t="s">
        <v>144</v>
      </c>
    </row>
  </sheetData>
  <customSheetViews>
    <customSheetView guid="{99BC1C51-34DC-4BF2-906C-1E31B6171D71}" topLeftCell="A106">
      <selection activeCell="D4" sqref="D4"/>
      <pageMargins left="0.7" right="0.7" top="0.75" bottom="0.75" header="0.3" footer="0.3"/>
      <pageSetup orientation="portrait" horizontalDpi="300" verticalDpi="0" r:id="rId1"/>
    </customSheetView>
    <customSheetView guid="{7ECC2B8E-6A82-42F5-8AB0-4A51C54EA5EC}">
      <selection activeCell="O10" sqref="O10"/>
      <pageMargins left="0.7" right="0.7" top="0.75" bottom="0.75" header="0.3" footer="0.3"/>
      <pageSetup orientation="portrait" horizontalDpi="300" verticalDpi="0" r:id="rId2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3"/>
    </customSheetView>
    <customSheetView guid="{60D2C030-4E31-4E07-8E1C-44D2EE84B177}" topLeftCell="A106">
      <selection activeCell="D4" sqref="D4"/>
      <pageMargins left="0.7" right="0.7" top="0.75" bottom="0.75" header="0.3" footer="0.3"/>
      <pageSetup orientation="portrait" horizontalDpi="300" verticalDpi="0" r:id="rId4"/>
    </customSheetView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5"/>
    </customSheetView>
    <customSheetView guid="{FECB4C41-27E8-4A22-AFB3-4F54CDD4960E}" topLeftCell="A106">
      <selection activeCell="A6" sqref="A6:XFD6"/>
      <pageMargins left="0.7" right="0.7" top="0.75" bottom="0.75" header="0.3" footer="0.3"/>
      <pageSetup orientation="portrait" horizontalDpi="300" verticalDpi="0" r:id="rId6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7"/>
    </customSheetView>
    <customSheetView guid="{C94451EF-7A3E-4D72-B5A4-3D1B193192CC}">
      <selection activeCell="G24" sqref="G24"/>
      <pageMargins left="0.7" right="0.7" top="0.75" bottom="0.75" header="0.3" footer="0.3"/>
      <pageSetup orientation="portrait" horizontalDpi="300" verticalDpi="0" r:id="rId8"/>
    </customSheetView>
    <customSheetView guid="{89C03E1E-B6A8-49A1-B29C-5DC4FAB2FBC6}" topLeftCell="A106">
      <selection activeCell="A6" sqref="A6:XFD6"/>
      <pageMargins left="0.7" right="0.7" top="0.75" bottom="0.75" header="0.3" footer="0.3"/>
      <pageSetup orientation="portrait" horizontalDpi="300" verticalDpi="0" r:id="rId9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10"/>
    </customSheetView>
    <customSheetView guid="{4E06BDBF-2CED-473B-850B-2A6C7311FF41}">
      <selection activeCell="B5" sqref="B5"/>
      <pageMargins left="0.7" right="0.7" top="0.75" bottom="0.75" header="0.3" footer="0.3"/>
      <pageSetup orientation="portrait" horizontalDpi="300" verticalDpi="0" r:id="rId11"/>
    </customSheetView>
    <customSheetView guid="{A2E8CE38-D15E-4374-89B2-69D9421C4465}" showPageBreaks="1" topLeftCell="A106">
      <selection activeCell="A6" sqref="A6:XFD6"/>
      <pageMargins left="0.7" right="0.7" top="0.75" bottom="0.75" header="0.3" footer="0.3"/>
      <pageSetup orientation="portrait" horizontalDpi="300" r:id="rId12"/>
    </customSheetView>
    <customSheetView guid="{F96FC7D9-4F89-4FE0-8D00-C0083DEB0472}" topLeftCell="A106">
      <selection activeCell="A6" sqref="A6:XFD6"/>
      <pageMargins left="0.7" right="0.7" top="0.75" bottom="0.75" header="0.3" footer="0.3"/>
      <pageSetup orientation="portrait" horizontalDpi="300" verticalDpi="0" r:id="rId13"/>
    </customSheetView>
    <customSheetView guid="{970EE037-F5E5-47AF-896A-0F6222879EBC}" topLeftCell="A43">
      <selection activeCell="H21" sqref="H21"/>
      <pageMargins left="0.7" right="0.7" top="0.75" bottom="0.75" header="0.3" footer="0.3"/>
      <pageSetup orientation="portrait" horizontalDpi="300" verticalDpi="0" r:id="rId14"/>
    </customSheetView>
    <customSheetView guid="{7E0EA425-A420-4443-B9E0-CDF0AA9E5D09}" topLeftCell="A106">
      <selection activeCell="A6" sqref="A6:XFD6"/>
      <pageMargins left="0.7" right="0.7" top="0.75" bottom="0.75" header="0.3" footer="0.3"/>
      <pageSetup orientation="portrait" horizontalDpi="300" verticalDpi="0" r:id="rId15"/>
    </customSheetView>
  </customSheetViews>
  <pageMargins left="0.7" right="0.7" top="0.75" bottom="0.75" header="0.3" footer="0.3"/>
  <pageSetup orientation="portrait" horizontalDpi="300" verticalDpi="0" r:id="rId16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Monthly_20200720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EXTERNAL Nguyen Tuan Duong (Ban Vien, RBVH/EPS45)</cp:lastModifiedBy>
  <dcterms:created xsi:type="dcterms:W3CDTF">2006-09-16T00:00:00Z</dcterms:created>
  <dcterms:modified xsi:type="dcterms:W3CDTF">2020-07-28T07:08:03Z</dcterms:modified>
</cp:coreProperties>
</file>